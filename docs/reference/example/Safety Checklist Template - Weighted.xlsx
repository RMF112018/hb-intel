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/Users/bobbyfetting/Downloads/"/>
    </mc:Choice>
  </mc:AlternateContent>
  <xr:revisionPtr revIDLastSave="0" documentId="8_{41E3250C-CAD5-40A7-A3D8-F06FDC438E06}" xr6:coauthVersionLast="47" xr6:coauthVersionMax="47" xr10:uidLastSave="{00000000-0000-0000-0000-000000000000}"/>
  <bookViews>
    <workbookView xWindow="4280" yWindow="660" windowWidth="24720" windowHeight="18980" xr2:uid="{6F937327-2405-48D2-A075-7D7A02836D6F}"/>
  </bookViews>
  <sheets>
    <sheet name="ScoreCard" sheetId="1" r:id="rId1"/>
    <sheet name="ScoringWeigh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2" i="1" l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B140" i="1"/>
  <c r="B139" i="1"/>
  <c r="B138" i="1"/>
  <c r="B137" i="1"/>
  <c r="B136" i="1"/>
  <c r="B135" i="1"/>
  <c r="B134" i="1"/>
  <c r="B133" i="1"/>
  <c r="B132" i="1"/>
  <c r="C131" i="1"/>
  <c r="D131" i="1"/>
  <c r="B131" i="1"/>
  <c r="C130" i="1"/>
  <c r="D130" i="1"/>
  <c r="B130" i="1"/>
  <c r="G12" i="1"/>
  <c r="G13" i="1"/>
  <c r="G14" i="1"/>
  <c r="G15" i="1"/>
  <c r="G16" i="1"/>
  <c r="G17" i="1"/>
  <c r="G18" i="1"/>
  <c r="G19" i="1"/>
  <c r="G20" i="1"/>
  <c r="C129" i="1"/>
  <c r="B129" i="1"/>
  <c r="G11" i="1"/>
  <c r="F11" i="1"/>
  <c r="D14" i="2"/>
  <c r="C14" i="2"/>
  <c r="F140" i="1"/>
  <c r="F139" i="1"/>
  <c r="F138" i="1"/>
  <c r="F137" i="1"/>
  <c r="F136" i="1"/>
  <c r="F135" i="1"/>
  <c r="F134" i="1"/>
  <c r="F133" i="1"/>
  <c r="F132" i="1"/>
  <c r="F131" i="1"/>
  <c r="F130" i="1"/>
  <c r="G124" i="1"/>
  <c r="F124" i="1"/>
  <c r="G123" i="1"/>
  <c r="F123" i="1"/>
  <c r="G122" i="1"/>
  <c r="F122" i="1"/>
  <c r="G121" i="1"/>
  <c r="F121" i="1"/>
  <c r="G120" i="1"/>
  <c r="F120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89" i="1"/>
  <c r="F89" i="1"/>
  <c r="G88" i="1"/>
  <c r="F88" i="1"/>
  <c r="G87" i="1"/>
  <c r="F87" i="1"/>
  <c r="G86" i="1"/>
  <c r="F86" i="1"/>
  <c r="G85" i="1"/>
  <c r="F85" i="1"/>
  <c r="G84" i="1"/>
  <c r="F84" i="1"/>
  <c r="G81" i="1"/>
  <c r="F81" i="1"/>
  <c r="G80" i="1"/>
  <c r="F80" i="1"/>
  <c r="G79" i="1"/>
  <c r="F79" i="1"/>
  <c r="G78" i="1"/>
  <c r="F78" i="1"/>
  <c r="G77" i="1"/>
  <c r="F77" i="1"/>
  <c r="G76" i="1"/>
  <c r="F76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7" i="1"/>
  <c r="F27" i="1"/>
  <c r="G26" i="1"/>
  <c r="F26" i="1"/>
  <c r="G25" i="1"/>
  <c r="F25" i="1"/>
  <c r="G24" i="1"/>
  <c r="F24" i="1"/>
  <c r="G23" i="1"/>
  <c r="F23" i="1"/>
  <c r="F12" i="1"/>
  <c r="F13" i="1"/>
  <c r="F14" i="1"/>
  <c r="F15" i="1"/>
  <c r="F16" i="1"/>
  <c r="F17" i="1"/>
  <c r="F18" i="1"/>
  <c r="F19" i="1"/>
  <c r="F20" i="1"/>
  <c r="D129" i="1"/>
  <c r="E133" i="1"/>
  <c r="G4" i="1"/>
  <c r="G5" i="1"/>
  <c r="G6" i="1"/>
  <c r="F129" i="1" l="1"/>
  <c r="E131" i="1"/>
  <c r="E132" i="1"/>
  <c r="E137" i="1"/>
  <c r="E134" i="1"/>
  <c r="E136" i="1"/>
  <c r="E139" i="1"/>
  <c r="E140" i="1"/>
  <c r="E130" i="1"/>
  <c r="E135" i="1"/>
  <c r="E138" i="1"/>
  <c r="E129" i="1"/>
  <c r="G7" i="1" s="1" a="1"/>
  <c r="G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<sst xmlns="http://schemas.openxmlformats.org/spreadsheetml/2006/main" count="262" uniqueCount="142">
  <si>
    <t>Construction Site Safety Walk Checklist (Field Form)</t>
  </si>
  <si>
    <t>Date</t>
  </si>
  <si>
    <t>Insp #.</t>
  </si>
  <si>
    <t>Summary (auto)</t>
  </si>
  <si>
    <t>Project/Site</t>
  </si>
  <si>
    <t>Total Yes</t>
  </si>
  <si>
    <t>Total No</t>
  </si>
  <si>
    <t>Total N/A</t>
  </si>
  <si>
    <t>Safety Score %</t>
  </si>
  <si>
    <t>Item</t>
  </si>
  <si>
    <t>Yes</t>
  </si>
  <si>
    <t>No</t>
  </si>
  <si>
    <t>N/A</t>
  </si>
  <si>
    <t>Notes</t>
  </si>
  <si>
    <t>Score</t>
  </si>
  <si>
    <t>Inspection Flag</t>
  </si>
  <si>
    <t>1. General Site Conditions</t>
  </si>
  <si>
    <t>Site access controlled (fencing/gates/sign-in)</t>
  </si>
  <si>
    <t>Safety signage posted (PPE, hazards, traffic)</t>
  </si>
  <si>
    <t>X</t>
  </si>
  <si>
    <t>Subcontractors Signing in</t>
  </si>
  <si>
    <t>Walkways/egress clear and maintained</t>
  </si>
  <si>
    <t>Lighting adequate for work areas</t>
  </si>
  <si>
    <t>Housekeeping acceptable (debris managed)</t>
  </si>
  <si>
    <t>Stairs/ramps/temporary steps stable and clear</t>
  </si>
  <si>
    <t>Waste disposal bins available and used</t>
  </si>
  <si>
    <t>Sharp protrusions/rebar capped or protected</t>
  </si>
  <si>
    <t xml:space="preserve">OSHA 300A (2/1-4/30) and Worker's Comp Information Posted </t>
  </si>
  <si>
    <t>2. Emergency &amp; Fire Preparedness</t>
  </si>
  <si>
    <t>Emergency contact board posted and current</t>
  </si>
  <si>
    <t>First aid kit available and stocked</t>
  </si>
  <si>
    <t>Fire extinguishers staged, accessible, inspected</t>
  </si>
  <si>
    <t>Emergency routes/assembly point communicated</t>
  </si>
  <si>
    <t>AED available (if required) and location known</t>
  </si>
  <si>
    <t>3. PPE &amp; Worker Compliance</t>
  </si>
  <si>
    <t>Hard hats worn in required areas</t>
  </si>
  <si>
    <t>Safety glasses worn (side shields) in required areas</t>
  </si>
  <si>
    <t>Hi-vis worn where required</t>
  </si>
  <si>
    <t>Gloves used appropriately for tasks</t>
  </si>
  <si>
    <t>Hearing protection used where needed</t>
  </si>
  <si>
    <t>Respiratory protection used where required (dust/fumes)</t>
  </si>
  <si>
    <t>PPE condition acceptable (no cracks/tears)</t>
  </si>
  <si>
    <t>Safe guards in place (guards on grinders)</t>
  </si>
  <si>
    <t>4. Fall Protection &amp; Openings</t>
  </si>
  <si>
    <t>Leading edges protected (guardrail/cable/controlled access)</t>
  </si>
  <si>
    <t>Floor openings covered, secured, labeled</t>
  </si>
  <si>
    <t>Shafts/stairwells protected (guardrails/barricades)</t>
  </si>
  <si>
    <t>Fall Protection: Harness/lanyard inspected and used correctly where required</t>
  </si>
  <si>
    <t>Tie-off to approved anchor points only</t>
  </si>
  <si>
    <t>Aerial/Scissor lifts: proper tie-in and gate use</t>
  </si>
  <si>
    <t>Scaffold platforms fully decked with same material and protected</t>
  </si>
  <si>
    <t>Scaffold Tags in place and signed off daily</t>
  </si>
  <si>
    <t>Tools/materials secured at height (dropped object prevention)</t>
  </si>
  <si>
    <t>Toe boards installed where required</t>
  </si>
  <si>
    <t>5. Ladders &amp; Scaffolds</t>
  </si>
  <si>
    <t>Ladders in good condition; rated for use</t>
  </si>
  <si>
    <t>Ladders set correctly (4:1), secured, stable footing</t>
  </si>
  <si>
    <t>Ladders extend 3 ft above landing/tied-off as required</t>
  </si>
  <si>
    <t>A-frame ladders fully opened before climbing</t>
  </si>
  <si>
    <t>No standing on top step; 3 points of contact</t>
  </si>
  <si>
    <t>No Aluminum ladders on site</t>
  </si>
  <si>
    <t>Scaffold base plates/leveling; no improvised blocks</t>
  </si>
  <si>
    <t>Scaffold guardrails/toe boards installed</t>
  </si>
  <si>
    <t>Scaffold access provided (ladder/stairs)</t>
  </si>
  <si>
    <t>Scaffold tags/inspection current (if used)</t>
  </si>
  <si>
    <t xml:space="preserve">Baker scaffolding erected with casters or feet in place </t>
  </si>
  <si>
    <t xml:space="preserve">If scaffolding is on casters; wheels locked before employee climbs </t>
  </si>
  <si>
    <t>6. Electrical &amp; Temporary Power</t>
  </si>
  <si>
    <t>GFCI protection used (temp power, wet areas)</t>
  </si>
  <si>
    <t xml:space="preserve">16 Guage cord or heavier used </t>
  </si>
  <si>
    <t>Extension cords intact (no cuts/splices)</t>
  </si>
  <si>
    <t>Cords managed (not through doorways/pinch points)</t>
  </si>
  <si>
    <t>Temporary panels labeled; covers in place</t>
  </si>
  <si>
    <t>Open junction boxes covered; no exposed conductors</t>
  </si>
  <si>
    <t>LOTO used where required; energized work controlled</t>
  </si>
  <si>
    <t>Wet conditions addressed (cord elevation, equipment rated)</t>
  </si>
  <si>
    <t>7. Hot Work &amp; Fire Risk Controls</t>
  </si>
  <si>
    <t>Hot work permit posted (if required)</t>
  </si>
  <si>
    <t>Fire watch assigned and equipped</t>
  </si>
  <si>
    <t>Combustibles cleared or protected (blankets/shields)</t>
  </si>
  <si>
    <t>Fire extinguisher staged at hot work location</t>
  </si>
  <si>
    <t>Gas cylinders secured upright with caps/valves protected</t>
  </si>
  <si>
    <t>Post-work fire watch completed (per policy)</t>
  </si>
  <si>
    <t>8. Material Handling &amp; Storage</t>
  </si>
  <si>
    <t>Materials stacked stable; no leaning/over stacking</t>
  </si>
  <si>
    <t>Stored to prevent collapse/roll (chocks, dunnage)</t>
  </si>
  <si>
    <t>Aisles kept clear; access maintained</t>
  </si>
  <si>
    <t>Flammables stored in approved containers/cabinets</t>
  </si>
  <si>
    <t>Cylinders separated/secured (oxygen/acetylene)</t>
  </si>
  <si>
    <t>Overhead storage hazards controlled/excluded</t>
  </si>
  <si>
    <t>9. Equipment &amp; Mobile Plant</t>
  </si>
  <si>
    <t>Operators trained/certified where required</t>
  </si>
  <si>
    <t>Daily equipment inspections completed (forklift, lifts, etc.)</t>
  </si>
  <si>
    <t>Seatbelts used; guards in place</t>
  </si>
  <si>
    <t>Back-up alarms/visual warnings functioning</t>
  </si>
  <si>
    <t>Spotters used where required; blind spots managed</t>
  </si>
  <si>
    <t>Swing radius/exclusion zones barricaded</t>
  </si>
  <si>
    <t>No one under suspended loads; rigging inspected</t>
  </si>
  <si>
    <t>Qualified Rigger/Signal Person Used</t>
  </si>
  <si>
    <t>Critical Lift Plans Established/Communicated (as required)</t>
  </si>
  <si>
    <t>10. Excavations &amp; Ground Disturbance</t>
  </si>
  <si>
    <t>Utility locate completed; markings visible</t>
  </si>
  <si>
    <t>Protective system used (sloping/shoring/trench box for &gt;5)</t>
  </si>
  <si>
    <t>Spoil piles set back (≥2 ft)</t>
  </si>
  <si>
    <t>Safe access/egress (ladder/ramps) provided</t>
  </si>
  <si>
    <t>Barricades installed around open excavations</t>
  </si>
  <si>
    <t>Daily competent person inspection documented</t>
  </si>
  <si>
    <t>11. Environmental &amp; Health</t>
  </si>
  <si>
    <t>Dust control implemented (wet methods/vacuum)</t>
  </si>
  <si>
    <t>Silica controls followed (if applicable)</t>
  </si>
  <si>
    <t>Noise exposure managed; hearing protection available</t>
  </si>
  <si>
    <t>Heat/cold stress controls (water, shade, breaks)</t>
  </si>
  <si>
    <t>Drinking water available and clean</t>
  </si>
  <si>
    <t>Chemical containers labeled; SDS accessible</t>
  </si>
  <si>
    <t>Ventilation used for fumes/solvents</t>
  </si>
  <si>
    <t>12. Behavioral / Work Practices</t>
  </si>
  <si>
    <t>Pre-task planning / JHA conducted for active tasks (if applicable)</t>
  </si>
  <si>
    <t>Workers following SOPs; no unsafe shortcuts observed</t>
  </si>
  <si>
    <t>Communication effective (hand signals, radios as needed)</t>
  </si>
  <si>
    <t>Supervision present for high-risk work</t>
  </si>
  <si>
    <t>Near-misses/hazards being reported promptly</t>
  </si>
  <si>
    <t>Section Scores (auto) — copy into Inspection_Log</t>
  </si>
  <si>
    <t>Section</t>
  </si>
  <si>
    <t>Score %</t>
  </si>
  <si>
    <t>Incomplete Inspection Items</t>
  </si>
  <si>
    <t>Key Findings / Corrective Actions (free text)</t>
  </si>
  <si>
    <t>Num</t>
  </si>
  <si>
    <t>Weight</t>
  </si>
  <si>
    <t>Rationale (Risk to Life / Serious Injury)</t>
  </si>
  <si>
    <t>Administrative / low-acute risk</t>
  </si>
  <si>
    <t>Response capability (mitigates severity)</t>
  </si>
  <si>
    <t>Foundational barrier to multiple hazards</t>
  </si>
  <si>
    <t>Highest fatality cause (falls)</t>
  </si>
  <si>
    <t>Fall-related (second-highest exposure)</t>
  </si>
  <si>
    <t>Electrocution risk</t>
  </si>
  <si>
    <t>Fire / explosion potential</t>
  </si>
  <si>
    <t>Struck-by / collapse</t>
  </si>
  <si>
    <t>Struck-by / crushing (mobile equipment)</t>
  </si>
  <si>
    <t>Cave-in / burial (caught-in/between)</t>
  </si>
  <si>
    <t>Primarily chronic / lower acute fatality</t>
  </si>
  <si>
    <t>Human-factor prevention across all areas</t>
  </si>
  <si>
    <t>Total Weight Allocation: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</si>
</sst>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>
    <font>
      <sz val="11"/>
      <color theme="1"/>
      <name val="Aptos Narrow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color rgb="FF1F4E79"/>
      <name val="Calibri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353AF7"/>
        <bgColor indexed="64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/>
      <top style="thin">
        <color theme="2" tint="-0.249977111117893"/>
      </top>
      <bottom style="thin">
        <color rgb="FF9E9E9E"/>
      </bottom>
      <diagonal/>
    </border>
    <border>
      <left/>
      <right style="thin">
        <color rgb="FF9E9E9E"/>
      </right>
      <top style="thin">
        <color theme="2" tint="-0.249977111117893"/>
      </top>
      <bottom style="thin">
        <color rgb="FF9E9E9E"/>
      </bottom>
      <diagonal/>
    </border>
  </borders>
  <cellStyleXfs count="1">
    <xf numFmtId="0" fontId="0" fillId="0" borderId="0"/>
  </cellStyleXfs>
  <cellXfs count="50">
    <xf numFmtId="0" fontId="0" fillId="0" borderId="0" xfId="0"/>
    <xf numFmtId="1" fontId="0" fillId="4" borderId="1" xfId="0" applyNumberForma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0" fillId="4" borderId="1" xfId="0" applyNumberForma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7" fillId="0" borderId="0" xfId="0" applyFont="1"/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/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/>
    <xf numFmtId="0" fontId="5" fillId="3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0" fillId="0" borderId="0" xfId="0" applyFont="1"/>
    <xf numFmtId="0" fontId="9" fillId="0" borderId="0" xfId="0" applyFont="1" applyAlignment="1">
      <alignment horizontal="left" wrapText="1"/>
    </xf>
    <xf numFmtId="9" fontId="9" fillId="0" borderId="0" xfId="0" applyNumberFormat="1" applyFont="1" applyAlignment="1">
      <alignment horizontal="left" wrapText="1"/>
    </xf>
    <xf numFmtId="2" fontId="9" fillId="0" borderId="0" xfId="0" applyNumberFormat="1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left" vertical="center" wrapText="1"/>
    </xf>
    <xf numFmtId="0" fontId="6" fillId="6" borderId="7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14" fontId="3" fillId="4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2" fillId="6" borderId="10" xfId="0" applyFont="1" applyFill="1" applyBorder="1" applyAlignment="1">
      <alignment horizontal="left" vertical="center" wrapText="1"/>
    </xf>
    <xf numFmtId="0" fontId="6" fillId="6" borderId="8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6" fillId="6" borderId="9" xfId="0" applyFont="1" applyFill="1" applyBorder="1" applyAlignment="1">
      <alignment horizontal="left" vertical="center" wrapText="1"/>
    </xf>
    <xf numFmtId="0" fontId="6" fillId="6" borderId="10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0" fillId="3" borderId="0" xfId="0" applyFill="1" applyAlignment="1"/>
    <xf numFmtId="0" fontId="0" fillId="0" borderId="0" xfId="0" applyAlignment="1"/>
    <xf numFmtId="0" fontId="0" fillId="0" borderId="2" xfId="0" applyBorder="1" applyAlignment="1"/>
  </cellXfs>
  <cellStyles count="1">
    <cellStyle name="Normal" xfId="0" builtinId="0"/>
  </cellStyles>
  <dxfs count="1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3" formatCode="0%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3" formatCode="0%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8CBA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8CBA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8C12E-7807-4B9F-A2D9-5025801EC560}" name="tblWeights" displayName="tblWeights" ref="A1:D14" totalsRowCount="1" headerRowDxfId="9" dataDxfId="8">
  <autoFilter ref="A1:D13" xr:uid="{46D8C12E-7807-4B9F-A2D9-5025801EC560}"/>
  <tableColumns count="4">
    <tableColumn id="1" xr3:uid="{3BCD8EF1-DD23-4FFF-8A10-0D15BDEC377A}" name="Num" dataDxfId="6" totalsRowDxfId="7"/>
    <tableColumn id="2" xr3:uid="{FBAE33BE-B888-46C2-8482-0CFD86063900}" name="Section" totalsRowLabel="Total Weight Allocation:" dataDxfId="4" totalsRowDxfId="5"/>
    <tableColumn id="3" xr3:uid="{D1EFD63C-8C1F-4A94-BC26-E61D48063F6F}" name="Weight" totalsRowFunction="custom" dataDxfId="2" totalsRowDxfId="3">
      <totalsRowFormula>SUM(tblWeights[Weight])</totalsRowFormula>
    </tableColumn>
    <tableColumn id="4" xr3:uid="{C15D1362-A246-4843-9559-EFB68FCD522C}" name="Rationale (Risk to Life / Serious Injury)" totalsRowFunction="custom" dataDxfId="0" totalsRowDxfId="1">
      <totalsRowFormula>IF(ABS(1-SUM(tblWeights[Weight]))&lt;=0.000001,"",IF(1-SUM(tblWeights[Weight])&gt;0,"Add "&amp;TEXT(1-SUM(tblWeights[Weight]),"0%")&amp;" to the category weights","Deduct "&amp;TEXT(ABS(1-SUM(tblWeights[Weight])),"0%")&amp;" from the category weights"))</totalsRow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63305E-451D-4EB3-A6B4-C8C335A6BF8C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3986-184E-4200-A045-50F5AEF7C1DF}">
  <sheetPr>
    <pageSetUpPr fitToPage="1"/>
  </sheetPr>
  <dimension ref="A1:I148"/>
  <sheetViews>
    <sheetView tabSelected="1" topLeftCell="A28" zoomScale="120" zoomScaleNormal="120" workbookViewId="0">
      <selection activeCell="D133" sqref="D133"/>
    </sheetView>
  </sheetViews>
  <sheetFormatPr defaultColWidth="8.85546875" defaultRowHeight="15"/>
  <cols>
    <col min="1" max="1" width="53.42578125" customWidth="1"/>
    <col min="2" max="3" width="6" customWidth="1"/>
    <col min="4" max="4" width="8" customWidth="1"/>
    <col min="5" max="5" width="36" customWidth="1"/>
    <col min="6" max="6" width="18.28515625" customWidth="1"/>
    <col min="7" max="7" width="15.140625" customWidth="1"/>
  </cols>
  <sheetData>
    <row r="1" spans="1:9" ht="27.95" customHeight="1">
      <c r="A1" s="32" t="s">
        <v>0</v>
      </c>
      <c r="B1" s="47"/>
      <c r="C1" s="47"/>
      <c r="D1" s="47"/>
      <c r="E1" s="47"/>
      <c r="F1" s="47"/>
      <c r="G1" s="47"/>
    </row>
    <row r="3" spans="1:9" ht="18" customHeight="1">
      <c r="A3" s="17" t="s">
        <v>1</v>
      </c>
      <c r="B3" s="33"/>
      <c r="C3" s="48"/>
      <c r="D3" s="17" t="s">
        <v>2</v>
      </c>
      <c r="E3" s="16"/>
      <c r="F3" s="34" t="s">
        <v>3</v>
      </c>
      <c r="G3" s="49"/>
    </row>
    <row r="4" spans="1:9" ht="18" customHeight="1">
      <c r="A4" s="17" t="s">
        <v>4</v>
      </c>
      <c r="B4" s="35"/>
      <c r="C4" s="48"/>
      <c r="D4" s="17"/>
      <c r="E4" s="16"/>
      <c r="F4" s="15" t="s">
        <v>5</v>
      </c>
      <c r="G4" s="1">
        <f>COUNTIF(B11:B124,"X")</f>
        <v>77</v>
      </c>
    </row>
    <row r="5" spans="1:9" ht="18" customHeight="1">
      <c r="A5" s="17"/>
      <c r="B5" s="35"/>
      <c r="C5" s="48"/>
      <c r="F5" s="15" t="s">
        <v>6</v>
      </c>
      <c r="G5" s="1">
        <f>COUNTIF(C11:C124,"X")</f>
        <v>15</v>
      </c>
    </row>
    <row r="6" spans="1:9">
      <c r="F6" s="15" t="s">
        <v>7</v>
      </c>
      <c r="G6" s="1">
        <f>COUNTIF(D11:D124,"X")</f>
        <v>1</v>
      </c>
    </row>
    <row r="7" spans="1:9" ht="16.5">
      <c r="F7" s="2" t="s">
        <v>8</v>
      </c>
      <c r="G7" s="3" cm="1">
        <f t="array" ref="G7">SUMPRODUCT(E129:E140, INDEX(ScoringWeights!C:C, MATCH(A129:A140, ScoringWeights!B:B, 0)))</f>
        <v>0.85671428571428576</v>
      </c>
    </row>
    <row r="9" spans="1:9" ht="21.95" customHeight="1">
      <c r="A9" s="4" t="s">
        <v>9</v>
      </c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</row>
    <row r="10" spans="1:9" ht="20.100000000000001" customHeight="1">
      <c r="A10" s="29" t="s">
        <v>16</v>
      </c>
      <c r="B10" s="30"/>
      <c r="C10" s="30"/>
      <c r="D10" s="30"/>
      <c r="E10" s="30"/>
      <c r="F10" s="30"/>
      <c r="G10" s="31"/>
    </row>
    <row r="11" spans="1:9">
      <c r="A11" s="9" t="s">
        <v>17</v>
      </c>
      <c r="B11" s="10"/>
      <c r="C11" s="10"/>
      <c r="D11" s="10"/>
      <c r="E11" s="9"/>
      <c r="F11" s="10" t="str">
        <f>IF(AND(B11="X",C11="X"), "", IF(B11="X",1,IF(C11="X",0,IF(D11="X","",""))))</f>
        <v/>
      </c>
      <c r="G11" s="10" t="str">
        <f>IF(COUNTIF(B11:D11,"X")=0,"INCOMPLETE",IF(COUNTIF(B11:D11,"X")&gt;1,"MULTI","COMPLETE"))</f>
        <v>INCOMPLETE</v>
      </c>
      <c r="I11" s="8"/>
    </row>
    <row r="12" spans="1:9">
      <c r="A12" s="9" t="s">
        <v>18</v>
      </c>
      <c r="B12" s="10"/>
      <c r="C12" s="10" t="s">
        <v>19</v>
      </c>
      <c r="D12" s="10"/>
      <c r="E12" s="9"/>
      <c r="F12" s="10">
        <f t="shared" ref="F12:F20" si="0">IF(AND(B12="X",C12="X"), "", IF(B12="X",1,IF(C12="X",0,IF(D12="X","",""))))</f>
        <v>0</v>
      </c>
      <c r="G12" s="10" t="str">
        <f t="shared" ref="G12:G20" si="1">IF(COUNTIF(B12:D12,"X")=0,"INCOMPLETE",IF(COUNTIF(B12:D12,"X")&gt;1,"MULTI","COMPLETE"))</f>
        <v>COMPLETE</v>
      </c>
      <c r="I12" s="8"/>
    </row>
    <row r="13" spans="1:9">
      <c r="A13" s="9" t="s">
        <v>20</v>
      </c>
      <c r="B13" s="10"/>
      <c r="C13" s="10" t="s">
        <v>19</v>
      </c>
      <c r="D13" s="10"/>
      <c r="E13" s="9"/>
      <c r="F13" s="10">
        <f t="shared" si="0"/>
        <v>0</v>
      </c>
      <c r="G13" s="10" t="str">
        <f t="shared" si="1"/>
        <v>COMPLETE</v>
      </c>
      <c r="I13" s="8"/>
    </row>
    <row r="14" spans="1:9">
      <c r="A14" s="9" t="s">
        <v>21</v>
      </c>
      <c r="B14" s="10"/>
      <c r="C14" s="10" t="s">
        <v>19</v>
      </c>
      <c r="D14" s="10"/>
      <c r="E14" s="9"/>
      <c r="F14" s="10">
        <f t="shared" si="0"/>
        <v>0</v>
      </c>
      <c r="G14" s="10" t="str">
        <f t="shared" si="1"/>
        <v>COMPLETE</v>
      </c>
      <c r="I14" s="8"/>
    </row>
    <row r="15" spans="1:9">
      <c r="A15" s="9" t="s">
        <v>22</v>
      </c>
      <c r="B15" s="10" t="s">
        <v>19</v>
      </c>
      <c r="C15" s="10"/>
      <c r="D15" s="10"/>
      <c r="E15" s="9"/>
      <c r="F15" s="10">
        <f t="shared" si="0"/>
        <v>1</v>
      </c>
      <c r="G15" s="10" t="str">
        <f t="shared" si="1"/>
        <v>COMPLETE</v>
      </c>
      <c r="I15" s="8"/>
    </row>
    <row r="16" spans="1:9">
      <c r="A16" s="9" t="s">
        <v>23</v>
      </c>
      <c r="B16" s="10" t="s">
        <v>19</v>
      </c>
      <c r="C16" s="10"/>
      <c r="D16" s="10"/>
      <c r="E16" s="9"/>
      <c r="F16" s="10">
        <f t="shared" si="0"/>
        <v>1</v>
      </c>
      <c r="G16" s="10" t="str">
        <f t="shared" si="1"/>
        <v>COMPLETE</v>
      </c>
    </row>
    <row r="17" spans="1:9">
      <c r="A17" s="9" t="s">
        <v>24</v>
      </c>
      <c r="B17" s="10" t="s">
        <v>19</v>
      </c>
      <c r="C17" s="10" t="s">
        <v>19</v>
      </c>
      <c r="D17" s="10"/>
      <c r="E17" s="9"/>
      <c r="F17" s="10" t="str">
        <f t="shared" si="0"/>
        <v/>
      </c>
      <c r="G17" s="10" t="str">
        <f t="shared" si="1"/>
        <v>MULTI</v>
      </c>
    </row>
    <row r="18" spans="1:9">
      <c r="A18" s="9" t="s">
        <v>25</v>
      </c>
      <c r="B18" s="10" t="s">
        <v>19</v>
      </c>
      <c r="C18" s="10"/>
      <c r="D18" s="10"/>
      <c r="E18" s="9"/>
      <c r="F18" s="10">
        <f t="shared" si="0"/>
        <v>1</v>
      </c>
      <c r="G18" s="10" t="str">
        <f t="shared" si="1"/>
        <v>COMPLETE</v>
      </c>
    </row>
    <row r="19" spans="1:9">
      <c r="A19" s="9" t="s">
        <v>26</v>
      </c>
      <c r="B19" s="10"/>
      <c r="C19" s="10"/>
      <c r="D19" s="10" t="s">
        <v>19</v>
      </c>
      <c r="E19" s="9"/>
      <c r="F19" s="10" t="str">
        <f t="shared" si="0"/>
        <v/>
      </c>
      <c r="G19" s="10" t="str">
        <f t="shared" si="1"/>
        <v>COMPLETE</v>
      </c>
    </row>
    <row r="20" spans="1:9">
      <c r="A20" s="9" t="s">
        <v>27</v>
      </c>
      <c r="B20" s="10" t="s">
        <v>19</v>
      </c>
      <c r="C20" s="10"/>
      <c r="D20" s="10"/>
      <c r="E20" s="11"/>
      <c r="F20" s="10">
        <f t="shared" si="0"/>
        <v>1</v>
      </c>
      <c r="G20" s="10" t="str">
        <f t="shared" si="1"/>
        <v>COMPLETE</v>
      </c>
    </row>
    <row r="21" spans="1:9">
      <c r="A21" s="11"/>
      <c r="B21" s="10"/>
      <c r="C21" s="10"/>
      <c r="D21" s="10"/>
      <c r="E21" s="11"/>
      <c r="F21" s="10"/>
      <c r="G21" s="10"/>
    </row>
    <row r="22" spans="1:9" ht="20.100000000000001" customHeight="1">
      <c r="A22" s="37" t="s">
        <v>28</v>
      </c>
      <c r="B22" s="38"/>
      <c r="C22" s="38"/>
      <c r="D22" s="38"/>
      <c r="E22" s="38"/>
      <c r="F22" s="38"/>
      <c r="G22" s="39"/>
    </row>
    <row r="23" spans="1:9">
      <c r="A23" s="9" t="s">
        <v>29</v>
      </c>
      <c r="B23" s="10" t="s">
        <v>19</v>
      </c>
      <c r="C23" s="10"/>
      <c r="D23" s="10"/>
      <c r="E23" s="9"/>
      <c r="F23" s="10">
        <f t="shared" ref="F23:F27" si="2">IF(AND(B23="X",C23="X"), "", IF(B23="X",1,IF(C23="X",0,IF(D23="X","",""))))</f>
        <v>1</v>
      </c>
      <c r="G23" s="10" t="str">
        <f t="shared" ref="G23:G27" si="3">IF(COUNTIF(B23:C23,"X")=0,"INCOMPLETE",IF(COUNTIF(B23:D23,"X")&gt;1,"MULTI","COMPLETE"))</f>
        <v>COMPLETE</v>
      </c>
    </row>
    <row r="24" spans="1:9">
      <c r="A24" s="9" t="s">
        <v>30</v>
      </c>
      <c r="B24" s="10"/>
      <c r="C24" s="10" t="s">
        <v>19</v>
      </c>
      <c r="D24" s="10"/>
      <c r="E24" s="9"/>
      <c r="F24" s="10">
        <f t="shared" si="2"/>
        <v>0</v>
      </c>
      <c r="G24" s="10" t="str">
        <f t="shared" si="3"/>
        <v>COMPLETE</v>
      </c>
    </row>
    <row r="25" spans="1:9">
      <c r="A25" s="9" t="s">
        <v>31</v>
      </c>
      <c r="B25" s="10"/>
      <c r="C25" s="10" t="s">
        <v>19</v>
      </c>
      <c r="D25" s="10"/>
      <c r="E25" s="9"/>
      <c r="F25" s="10">
        <f t="shared" si="2"/>
        <v>0</v>
      </c>
      <c r="G25" s="10" t="str">
        <f t="shared" si="3"/>
        <v>COMPLETE</v>
      </c>
    </row>
    <row r="26" spans="1:9">
      <c r="A26" s="9" t="s">
        <v>32</v>
      </c>
      <c r="B26" s="10" t="s">
        <v>19</v>
      </c>
      <c r="C26" s="10"/>
      <c r="D26" s="10"/>
      <c r="E26" s="9"/>
      <c r="F26" s="10">
        <f t="shared" si="2"/>
        <v>1</v>
      </c>
      <c r="G26" s="10" t="str">
        <f t="shared" si="3"/>
        <v>COMPLETE</v>
      </c>
    </row>
    <row r="27" spans="1:9">
      <c r="A27" s="9" t="s">
        <v>33</v>
      </c>
      <c r="B27" s="10" t="s">
        <v>19</v>
      </c>
      <c r="C27" s="10"/>
      <c r="D27" s="10"/>
      <c r="E27" s="9"/>
      <c r="F27" s="10">
        <f t="shared" si="2"/>
        <v>1</v>
      </c>
      <c r="G27" s="10" t="str">
        <f t="shared" si="3"/>
        <v>COMPLETE</v>
      </c>
    </row>
    <row r="28" spans="1:9">
      <c r="A28" s="11"/>
      <c r="B28" s="11"/>
      <c r="C28" s="11"/>
      <c r="D28" s="11"/>
      <c r="E28" s="11"/>
      <c r="F28" s="11"/>
      <c r="G28" s="11"/>
    </row>
    <row r="29" spans="1:9" ht="20.100000000000001" customHeight="1">
      <c r="A29" s="37" t="s">
        <v>34</v>
      </c>
      <c r="B29" s="38"/>
      <c r="C29" s="38"/>
      <c r="D29" s="38"/>
      <c r="E29" s="38"/>
      <c r="F29" s="38"/>
      <c r="G29" s="39"/>
    </row>
    <row r="30" spans="1:9">
      <c r="A30" s="9" t="s">
        <v>35</v>
      </c>
      <c r="B30" s="10" t="s">
        <v>19</v>
      </c>
      <c r="C30" s="10"/>
      <c r="D30" s="10"/>
      <c r="E30" s="9"/>
      <c r="F30" s="10">
        <f t="shared" ref="F30:F37" si="4">IF(AND(B30="X",C30="X"), "", IF(B30="X",1,IF(C30="X",0,IF(D30="X","",""))))</f>
        <v>1</v>
      </c>
      <c r="G30" s="10" t="str">
        <f t="shared" ref="G30:G37" si="5">IF(COUNTIF(B30:C30,"X")=0,"INCOMPLETE",IF(COUNTIF(B30:D30,"X")&gt;1,"MULTI","COMPLETE"))</f>
        <v>COMPLETE</v>
      </c>
    </row>
    <row r="31" spans="1:9">
      <c r="A31" s="9" t="s">
        <v>36</v>
      </c>
      <c r="B31" s="10"/>
      <c r="C31" s="10" t="s">
        <v>19</v>
      </c>
      <c r="D31" s="10"/>
      <c r="E31" s="9"/>
      <c r="F31" s="10">
        <f t="shared" si="4"/>
        <v>0</v>
      </c>
      <c r="G31" s="10" t="str">
        <f t="shared" si="5"/>
        <v>COMPLETE</v>
      </c>
      <c r="I31" s="8"/>
    </row>
    <row r="32" spans="1:9">
      <c r="A32" s="9" t="s">
        <v>37</v>
      </c>
      <c r="B32" s="10"/>
      <c r="C32" s="10" t="s">
        <v>19</v>
      </c>
      <c r="D32" s="10"/>
      <c r="E32" s="9"/>
      <c r="F32" s="10">
        <f t="shared" si="4"/>
        <v>0</v>
      </c>
      <c r="G32" s="10" t="str">
        <f t="shared" si="5"/>
        <v>COMPLETE</v>
      </c>
    </row>
    <row r="33" spans="1:9">
      <c r="A33" s="9" t="s">
        <v>38</v>
      </c>
      <c r="B33" s="10"/>
      <c r="C33" s="10" t="s">
        <v>19</v>
      </c>
      <c r="D33" s="10"/>
      <c r="E33" s="9"/>
      <c r="F33" s="10">
        <f t="shared" si="4"/>
        <v>0</v>
      </c>
      <c r="G33" s="10" t="str">
        <f t="shared" si="5"/>
        <v>COMPLETE</v>
      </c>
    </row>
    <row r="34" spans="1:9">
      <c r="A34" s="9" t="s">
        <v>39</v>
      </c>
      <c r="B34" s="10" t="s">
        <v>19</v>
      </c>
      <c r="C34" s="10"/>
      <c r="D34" s="10"/>
      <c r="E34" s="9"/>
      <c r="F34" s="10">
        <f t="shared" si="4"/>
        <v>1</v>
      </c>
      <c r="G34" s="10" t="str">
        <f t="shared" si="5"/>
        <v>COMPLETE</v>
      </c>
    </row>
    <row r="35" spans="1:9">
      <c r="A35" s="9" t="s">
        <v>40</v>
      </c>
      <c r="B35" s="10" t="s">
        <v>19</v>
      </c>
      <c r="C35" s="10"/>
      <c r="D35" s="10"/>
      <c r="E35" s="9"/>
      <c r="F35" s="10">
        <f t="shared" si="4"/>
        <v>1</v>
      </c>
      <c r="G35" s="10" t="str">
        <f t="shared" si="5"/>
        <v>COMPLETE</v>
      </c>
    </row>
    <row r="36" spans="1:9">
      <c r="A36" s="9" t="s">
        <v>41</v>
      </c>
      <c r="B36" s="10" t="s">
        <v>19</v>
      </c>
      <c r="C36" s="10"/>
      <c r="D36" s="10"/>
      <c r="E36" s="9"/>
      <c r="F36" s="10">
        <f t="shared" si="4"/>
        <v>1</v>
      </c>
      <c r="G36" s="10" t="str">
        <f t="shared" si="5"/>
        <v>COMPLETE</v>
      </c>
    </row>
    <row r="37" spans="1:9">
      <c r="A37" s="12" t="s">
        <v>42</v>
      </c>
      <c r="B37" s="10" t="s">
        <v>19</v>
      </c>
      <c r="C37" s="10"/>
      <c r="D37" s="10"/>
      <c r="E37" s="9"/>
      <c r="F37" s="10">
        <f t="shared" si="4"/>
        <v>1</v>
      </c>
      <c r="G37" s="10" t="str">
        <f t="shared" si="5"/>
        <v>COMPLETE</v>
      </c>
    </row>
    <row r="38" spans="1:9">
      <c r="A38" s="11"/>
      <c r="B38" s="11"/>
      <c r="C38" s="11"/>
      <c r="D38" s="11"/>
      <c r="E38" s="11"/>
      <c r="F38" s="11"/>
      <c r="G38" s="11"/>
    </row>
    <row r="39" spans="1:9" ht="20.100000000000001" customHeight="1">
      <c r="A39" s="37" t="s">
        <v>43</v>
      </c>
      <c r="B39" s="38"/>
      <c r="C39" s="38"/>
      <c r="D39" s="38"/>
      <c r="E39" s="38"/>
      <c r="F39" s="38"/>
      <c r="G39" s="39"/>
    </row>
    <row r="40" spans="1:9">
      <c r="A40" s="9" t="s">
        <v>44</v>
      </c>
      <c r="B40" s="10" t="s">
        <v>19</v>
      </c>
      <c r="C40" s="10"/>
      <c r="D40" s="10"/>
      <c r="E40" s="9"/>
      <c r="F40" s="10">
        <f t="shared" ref="F40:F49" si="6">IF(AND(B40="X",C40="X"), "", IF(B40="X",1,IF(C40="X",0,IF(D40="X","",""))))</f>
        <v>1</v>
      </c>
      <c r="G40" s="10" t="str">
        <f t="shared" ref="G40:G49" si="7">IF(COUNTIF(B40:C40,"X")=0,"INCOMPLETE",IF(COUNTIF(B40:D40,"X")&gt;1,"MULTI","COMPLETE"))</f>
        <v>COMPLETE</v>
      </c>
    </row>
    <row r="41" spans="1:9">
      <c r="A41" s="12" t="s">
        <v>45</v>
      </c>
      <c r="B41" s="10" t="s">
        <v>19</v>
      </c>
      <c r="C41" s="10"/>
      <c r="D41" s="10"/>
      <c r="E41" s="9"/>
      <c r="F41" s="10">
        <f t="shared" si="6"/>
        <v>1</v>
      </c>
      <c r="G41" s="10" t="str">
        <f t="shared" si="7"/>
        <v>COMPLETE</v>
      </c>
    </row>
    <row r="42" spans="1:9">
      <c r="A42" s="12" t="s">
        <v>46</v>
      </c>
      <c r="B42" s="10" t="s">
        <v>19</v>
      </c>
      <c r="C42" s="10"/>
      <c r="D42" s="10"/>
      <c r="E42" s="9"/>
      <c r="F42" s="10">
        <f t="shared" si="6"/>
        <v>1</v>
      </c>
      <c r="G42" s="10" t="str">
        <f t="shared" si="7"/>
        <v>COMPLETE</v>
      </c>
    </row>
    <row r="43" spans="1:9" ht="29.25">
      <c r="A43" s="12" t="s">
        <v>47</v>
      </c>
      <c r="B43" s="10" t="s">
        <v>19</v>
      </c>
      <c r="C43" s="10"/>
      <c r="D43" s="10"/>
      <c r="E43" s="9"/>
      <c r="F43" s="10">
        <f t="shared" si="6"/>
        <v>1</v>
      </c>
      <c r="G43" s="10" t="str">
        <f t="shared" si="7"/>
        <v>COMPLETE</v>
      </c>
    </row>
    <row r="44" spans="1:9">
      <c r="A44" s="12" t="s">
        <v>48</v>
      </c>
      <c r="B44" s="10" t="s">
        <v>19</v>
      </c>
      <c r="C44" s="10"/>
      <c r="D44" s="10"/>
      <c r="E44" s="9"/>
      <c r="F44" s="10">
        <f t="shared" si="6"/>
        <v>1</v>
      </c>
      <c r="G44" s="10" t="str">
        <f t="shared" si="7"/>
        <v>COMPLETE</v>
      </c>
    </row>
    <row r="45" spans="1:9">
      <c r="A45" s="12" t="s">
        <v>49</v>
      </c>
      <c r="B45" s="10" t="s">
        <v>19</v>
      </c>
      <c r="C45" s="10"/>
      <c r="D45" s="10"/>
      <c r="E45" s="9"/>
      <c r="F45" s="10">
        <f t="shared" si="6"/>
        <v>1</v>
      </c>
      <c r="G45" s="10" t="str">
        <f t="shared" si="7"/>
        <v>COMPLETE</v>
      </c>
    </row>
    <row r="46" spans="1:9" ht="29.25">
      <c r="A46" s="12" t="s">
        <v>50</v>
      </c>
      <c r="B46" s="10" t="s">
        <v>19</v>
      </c>
      <c r="C46" s="10"/>
      <c r="D46" s="10"/>
      <c r="E46" s="9"/>
      <c r="F46" s="10">
        <f t="shared" si="6"/>
        <v>1</v>
      </c>
      <c r="G46" s="10" t="str">
        <f t="shared" si="7"/>
        <v>COMPLETE</v>
      </c>
      <c r="I46" s="8"/>
    </row>
    <row r="47" spans="1:9">
      <c r="A47" s="12" t="s">
        <v>51</v>
      </c>
      <c r="B47" s="10" t="s">
        <v>19</v>
      </c>
      <c r="C47" s="10" t="s">
        <v>19</v>
      </c>
      <c r="D47" s="10"/>
      <c r="E47" s="9"/>
      <c r="F47" s="10" t="str">
        <f t="shared" si="6"/>
        <v/>
      </c>
      <c r="G47" s="10" t="str">
        <f t="shared" si="7"/>
        <v>MULTI</v>
      </c>
      <c r="I47" s="8"/>
    </row>
    <row r="48" spans="1:9">
      <c r="A48" s="12" t="s">
        <v>52</v>
      </c>
      <c r="B48" s="10"/>
      <c r="C48" s="10" t="s">
        <v>19</v>
      </c>
      <c r="D48" s="10"/>
      <c r="E48" s="9"/>
      <c r="F48" s="10">
        <f t="shared" si="6"/>
        <v>0</v>
      </c>
      <c r="G48" s="10" t="str">
        <f t="shared" si="7"/>
        <v>COMPLETE</v>
      </c>
    </row>
    <row r="49" spans="1:7">
      <c r="A49" s="9" t="s">
        <v>53</v>
      </c>
      <c r="B49" s="10"/>
      <c r="C49" s="10" t="s">
        <v>19</v>
      </c>
      <c r="D49" s="10"/>
      <c r="E49" s="9"/>
      <c r="F49" s="10">
        <f t="shared" si="6"/>
        <v>0</v>
      </c>
      <c r="G49" s="10" t="str">
        <f t="shared" si="7"/>
        <v>COMPLETE</v>
      </c>
    </row>
    <row r="50" spans="1:7">
      <c r="A50" s="11"/>
      <c r="B50" s="11"/>
      <c r="C50" s="11"/>
      <c r="D50" s="11"/>
      <c r="E50" s="11"/>
      <c r="F50" s="11"/>
      <c r="G50" s="11"/>
    </row>
    <row r="51" spans="1:7" ht="20.100000000000001" customHeight="1">
      <c r="A51" s="37" t="s">
        <v>54</v>
      </c>
      <c r="B51" s="38"/>
      <c r="C51" s="38"/>
      <c r="D51" s="38"/>
      <c r="E51" s="38"/>
      <c r="F51" s="38"/>
      <c r="G51" s="39"/>
    </row>
    <row r="52" spans="1:7">
      <c r="A52" s="12" t="s">
        <v>55</v>
      </c>
      <c r="B52" s="10" t="s">
        <v>19</v>
      </c>
      <c r="C52" s="10"/>
      <c r="D52" s="10"/>
      <c r="E52" s="9"/>
      <c r="F52" s="10">
        <f t="shared" ref="F52:F63" si="8">IF(AND(B52="X",C52="X"), "", IF(B52="X",1,IF(C52="X",0,IF(D52="X","",""))))</f>
        <v>1</v>
      </c>
      <c r="G52" s="10" t="str">
        <f t="shared" ref="G52:G63" si="9">IF(COUNTIF(B52:C52,"X")=0,"INCOMPLETE",IF(COUNTIF(B52:D52,"X")&gt;1,"MULTI","COMPLETE"))</f>
        <v>COMPLETE</v>
      </c>
    </row>
    <row r="53" spans="1:7">
      <c r="A53" s="12" t="s">
        <v>56</v>
      </c>
      <c r="B53" s="10"/>
      <c r="C53" s="10" t="s">
        <v>19</v>
      </c>
      <c r="D53" s="10"/>
      <c r="E53" s="9"/>
      <c r="F53" s="10">
        <f t="shared" si="8"/>
        <v>0</v>
      </c>
      <c r="G53" s="10" t="str">
        <f t="shared" si="9"/>
        <v>COMPLETE</v>
      </c>
    </row>
    <row r="54" spans="1:7">
      <c r="A54" s="12" t="s">
        <v>57</v>
      </c>
      <c r="B54" s="10" t="s">
        <v>19</v>
      </c>
      <c r="C54" s="10"/>
      <c r="D54" s="10"/>
      <c r="E54" s="9"/>
      <c r="F54" s="10">
        <f t="shared" si="8"/>
        <v>1</v>
      </c>
      <c r="G54" s="10" t="str">
        <f t="shared" si="9"/>
        <v>COMPLETE</v>
      </c>
    </row>
    <row r="55" spans="1:7">
      <c r="A55" s="12" t="s">
        <v>58</v>
      </c>
      <c r="B55" s="10" t="s">
        <v>19</v>
      </c>
      <c r="C55" s="10"/>
      <c r="D55" s="10"/>
      <c r="E55" s="9"/>
      <c r="F55" s="10">
        <f t="shared" si="8"/>
        <v>1</v>
      </c>
      <c r="G55" s="10" t="str">
        <f t="shared" si="9"/>
        <v>COMPLETE</v>
      </c>
    </row>
    <row r="56" spans="1:7">
      <c r="A56" s="12" t="s">
        <v>59</v>
      </c>
      <c r="B56" s="10" t="s">
        <v>19</v>
      </c>
      <c r="C56" s="10"/>
      <c r="D56" s="10"/>
      <c r="E56" s="9"/>
      <c r="F56" s="10">
        <f t="shared" si="8"/>
        <v>1</v>
      </c>
      <c r="G56" s="10" t="str">
        <f t="shared" si="9"/>
        <v>COMPLETE</v>
      </c>
    </row>
    <row r="57" spans="1:7">
      <c r="A57" s="12" t="s">
        <v>60</v>
      </c>
      <c r="B57" s="10"/>
      <c r="C57" s="10" t="s">
        <v>19</v>
      </c>
      <c r="D57" s="10"/>
      <c r="E57" s="9"/>
      <c r="F57" s="10">
        <f t="shared" si="8"/>
        <v>0</v>
      </c>
      <c r="G57" s="10" t="str">
        <f t="shared" si="9"/>
        <v>COMPLETE</v>
      </c>
    </row>
    <row r="58" spans="1:7">
      <c r="A58" s="12" t="s">
        <v>61</v>
      </c>
      <c r="B58" s="10" t="s">
        <v>19</v>
      </c>
      <c r="C58" s="10"/>
      <c r="D58" s="10"/>
      <c r="E58" s="9"/>
      <c r="F58" s="10">
        <f t="shared" si="8"/>
        <v>1</v>
      </c>
      <c r="G58" s="10" t="str">
        <f t="shared" si="9"/>
        <v>COMPLETE</v>
      </c>
    </row>
    <row r="59" spans="1:7">
      <c r="A59" s="12" t="s">
        <v>62</v>
      </c>
      <c r="B59" s="10"/>
      <c r="C59" s="10" t="s">
        <v>19</v>
      </c>
      <c r="D59" s="10"/>
      <c r="E59" s="9"/>
      <c r="F59" s="10">
        <f t="shared" si="8"/>
        <v>0</v>
      </c>
      <c r="G59" s="10" t="str">
        <f t="shared" si="9"/>
        <v>COMPLETE</v>
      </c>
    </row>
    <row r="60" spans="1:7">
      <c r="A60" s="12" t="s">
        <v>63</v>
      </c>
      <c r="B60" s="10" t="s">
        <v>19</v>
      </c>
      <c r="C60" s="10"/>
      <c r="D60" s="10"/>
      <c r="E60" s="9"/>
      <c r="F60" s="10">
        <f t="shared" si="8"/>
        <v>1</v>
      </c>
      <c r="G60" s="10" t="str">
        <f t="shared" si="9"/>
        <v>COMPLETE</v>
      </c>
    </row>
    <row r="61" spans="1:7">
      <c r="A61" s="12" t="s">
        <v>64</v>
      </c>
      <c r="B61" s="10" t="s">
        <v>19</v>
      </c>
      <c r="C61" s="10"/>
      <c r="D61" s="10"/>
      <c r="E61" s="9"/>
      <c r="F61" s="10">
        <f t="shared" si="8"/>
        <v>1</v>
      </c>
      <c r="G61" s="10" t="str">
        <f t="shared" si="9"/>
        <v>COMPLETE</v>
      </c>
    </row>
    <row r="62" spans="1:7">
      <c r="A62" s="12" t="s">
        <v>65</v>
      </c>
      <c r="B62" s="10" t="s">
        <v>19</v>
      </c>
      <c r="C62" s="10"/>
      <c r="D62" s="10"/>
      <c r="E62" s="9"/>
      <c r="F62" s="10">
        <f t="shared" si="8"/>
        <v>1</v>
      </c>
      <c r="G62" s="10" t="str">
        <f t="shared" si="9"/>
        <v>COMPLETE</v>
      </c>
    </row>
    <row r="63" spans="1:7" ht="29.25">
      <c r="A63" s="12" t="s">
        <v>66</v>
      </c>
      <c r="B63" s="10" t="s">
        <v>19</v>
      </c>
      <c r="C63" s="10"/>
      <c r="D63" s="10"/>
      <c r="E63" s="9"/>
      <c r="F63" s="10">
        <f t="shared" si="8"/>
        <v>1</v>
      </c>
      <c r="G63" s="10" t="str">
        <f t="shared" si="9"/>
        <v>COMPLETE</v>
      </c>
    </row>
    <row r="64" spans="1:7">
      <c r="A64" s="11"/>
      <c r="B64" s="11"/>
      <c r="C64" s="11"/>
      <c r="D64" s="11"/>
      <c r="E64" s="11"/>
      <c r="F64" s="11"/>
      <c r="G64" s="11"/>
    </row>
    <row r="65" spans="1:7" ht="20.100000000000001" customHeight="1">
      <c r="A65" s="37" t="s">
        <v>67</v>
      </c>
      <c r="B65" s="38"/>
      <c r="C65" s="38"/>
      <c r="D65" s="38"/>
      <c r="E65" s="38"/>
      <c r="F65" s="38"/>
      <c r="G65" s="39"/>
    </row>
    <row r="66" spans="1:7">
      <c r="A66" s="9" t="s">
        <v>68</v>
      </c>
      <c r="B66" s="10" t="s">
        <v>19</v>
      </c>
      <c r="C66" s="10"/>
      <c r="D66" s="10"/>
      <c r="E66" s="9"/>
      <c r="F66" s="10">
        <f t="shared" ref="F66:F73" si="10">IF(AND(B66="X",C66="X"), "", IF(B66="X",1,IF(C66="X",0,IF(D66="X","",""))))</f>
        <v>1</v>
      </c>
      <c r="G66" s="10" t="str">
        <f t="shared" ref="G66:G73" si="11">IF(COUNTIF(B66:C66,"X")=0,"INCOMPLETE",IF(COUNTIF(B66:D66,"X")&gt;1,"MULTI","COMPLETE"))</f>
        <v>COMPLETE</v>
      </c>
    </row>
    <row r="67" spans="1:7">
      <c r="A67" s="9" t="s">
        <v>69</v>
      </c>
      <c r="B67" s="10" t="s">
        <v>19</v>
      </c>
      <c r="C67" s="10"/>
      <c r="D67" s="10"/>
      <c r="E67" s="9"/>
      <c r="F67" s="10">
        <f t="shared" si="10"/>
        <v>1</v>
      </c>
      <c r="G67" s="10" t="str">
        <f t="shared" si="11"/>
        <v>COMPLETE</v>
      </c>
    </row>
    <row r="68" spans="1:7">
      <c r="A68" s="9" t="s">
        <v>70</v>
      </c>
      <c r="B68" s="10" t="s">
        <v>19</v>
      </c>
      <c r="C68" s="10"/>
      <c r="D68" s="10"/>
      <c r="E68" s="9"/>
      <c r="F68" s="10">
        <f t="shared" si="10"/>
        <v>1</v>
      </c>
      <c r="G68" s="10" t="str">
        <f t="shared" si="11"/>
        <v>COMPLETE</v>
      </c>
    </row>
    <row r="69" spans="1:7">
      <c r="A69" s="9" t="s">
        <v>71</v>
      </c>
      <c r="B69" s="10" t="s">
        <v>19</v>
      </c>
      <c r="C69" s="10"/>
      <c r="D69" s="10"/>
      <c r="E69" s="9"/>
      <c r="F69" s="10">
        <f t="shared" si="10"/>
        <v>1</v>
      </c>
      <c r="G69" s="10" t="str">
        <f t="shared" si="11"/>
        <v>COMPLETE</v>
      </c>
    </row>
    <row r="70" spans="1:7">
      <c r="A70" s="9" t="s">
        <v>72</v>
      </c>
      <c r="B70" s="10" t="s">
        <v>19</v>
      </c>
      <c r="C70" s="10"/>
      <c r="D70" s="10"/>
      <c r="E70" s="9"/>
      <c r="F70" s="10">
        <f t="shared" si="10"/>
        <v>1</v>
      </c>
      <c r="G70" s="10" t="str">
        <f t="shared" si="11"/>
        <v>COMPLETE</v>
      </c>
    </row>
    <row r="71" spans="1:7">
      <c r="A71" s="9" t="s">
        <v>73</v>
      </c>
      <c r="B71" s="10" t="s">
        <v>19</v>
      </c>
      <c r="C71" s="10"/>
      <c r="D71" s="10"/>
      <c r="E71" s="9"/>
      <c r="F71" s="10">
        <f t="shared" si="10"/>
        <v>1</v>
      </c>
      <c r="G71" s="10" t="str">
        <f t="shared" si="11"/>
        <v>COMPLETE</v>
      </c>
    </row>
    <row r="72" spans="1:7">
      <c r="A72" s="9" t="s">
        <v>74</v>
      </c>
      <c r="B72" s="10" t="s">
        <v>19</v>
      </c>
      <c r="C72" s="10"/>
      <c r="D72" s="10"/>
      <c r="E72" s="9"/>
      <c r="F72" s="10">
        <f t="shared" si="10"/>
        <v>1</v>
      </c>
      <c r="G72" s="10" t="str">
        <f t="shared" si="11"/>
        <v>COMPLETE</v>
      </c>
    </row>
    <row r="73" spans="1:7">
      <c r="A73" s="9" t="s">
        <v>75</v>
      </c>
      <c r="B73" s="10" t="s">
        <v>19</v>
      </c>
      <c r="C73" s="10"/>
      <c r="D73" s="10"/>
      <c r="E73" s="9"/>
      <c r="F73" s="10">
        <f t="shared" si="10"/>
        <v>1</v>
      </c>
      <c r="G73" s="10" t="str">
        <f t="shared" si="11"/>
        <v>COMPLETE</v>
      </c>
    </row>
    <row r="74" spans="1:7">
      <c r="A74" s="11"/>
      <c r="B74" s="11"/>
      <c r="C74" s="11"/>
      <c r="D74" s="11"/>
      <c r="E74" s="11"/>
      <c r="F74" s="11"/>
      <c r="G74" s="11"/>
    </row>
    <row r="75" spans="1:7" ht="20.100000000000001" customHeight="1">
      <c r="A75" s="37" t="s">
        <v>76</v>
      </c>
      <c r="B75" s="38"/>
      <c r="C75" s="38"/>
      <c r="D75" s="38"/>
      <c r="E75" s="38"/>
      <c r="F75" s="38"/>
      <c r="G75" s="39"/>
    </row>
    <row r="76" spans="1:7">
      <c r="A76" s="9" t="s">
        <v>77</v>
      </c>
      <c r="B76" s="10" t="s">
        <v>19</v>
      </c>
      <c r="C76" s="10"/>
      <c r="D76" s="10"/>
      <c r="E76" s="9"/>
      <c r="F76" s="10">
        <f t="shared" ref="F76:F81" si="12">IF(AND(B76="X",C76="X"), "", IF(B76="X",1,IF(C76="X",0,IF(D76="X","",""))))</f>
        <v>1</v>
      </c>
      <c r="G76" s="10" t="str">
        <f t="shared" ref="G76:G81" si="13">IF(COUNTIF(B76:C76,"X")=0,"INCOMPLETE",IF(COUNTIF(B76:D76,"X")&gt;1,"MULTI","COMPLETE"))</f>
        <v>COMPLETE</v>
      </c>
    </row>
    <row r="77" spans="1:7">
      <c r="A77" s="9" t="s">
        <v>78</v>
      </c>
      <c r="B77" s="10" t="s">
        <v>19</v>
      </c>
      <c r="C77" s="10"/>
      <c r="D77" s="10"/>
      <c r="E77" s="9"/>
      <c r="F77" s="10">
        <f t="shared" si="12"/>
        <v>1</v>
      </c>
      <c r="G77" s="10" t="str">
        <f t="shared" si="13"/>
        <v>COMPLETE</v>
      </c>
    </row>
    <row r="78" spans="1:7">
      <c r="A78" s="9" t="s">
        <v>79</v>
      </c>
      <c r="B78" s="10" t="s">
        <v>19</v>
      </c>
      <c r="C78" s="10"/>
      <c r="D78" s="10"/>
      <c r="E78" s="9"/>
      <c r="F78" s="10">
        <f t="shared" si="12"/>
        <v>1</v>
      </c>
      <c r="G78" s="10" t="str">
        <f t="shared" si="13"/>
        <v>COMPLETE</v>
      </c>
    </row>
    <row r="79" spans="1:7">
      <c r="A79" s="9" t="s">
        <v>80</v>
      </c>
      <c r="B79" s="10" t="s">
        <v>19</v>
      </c>
      <c r="C79" s="10"/>
      <c r="D79" s="10"/>
      <c r="E79" s="9"/>
      <c r="F79" s="10">
        <f t="shared" si="12"/>
        <v>1</v>
      </c>
      <c r="G79" s="10" t="str">
        <f t="shared" si="13"/>
        <v>COMPLETE</v>
      </c>
    </row>
    <row r="80" spans="1:7">
      <c r="A80" s="9" t="s">
        <v>81</v>
      </c>
      <c r="B80" s="10" t="s">
        <v>19</v>
      </c>
      <c r="C80" s="10"/>
      <c r="D80" s="10"/>
      <c r="E80" s="9"/>
      <c r="F80" s="10">
        <f t="shared" si="12"/>
        <v>1</v>
      </c>
      <c r="G80" s="10" t="str">
        <f t="shared" si="13"/>
        <v>COMPLETE</v>
      </c>
    </row>
    <row r="81" spans="1:7">
      <c r="A81" s="9" t="s">
        <v>82</v>
      </c>
      <c r="B81" s="10" t="s">
        <v>19</v>
      </c>
      <c r="C81" s="10"/>
      <c r="D81" s="10"/>
      <c r="E81" s="9"/>
      <c r="F81" s="10">
        <f t="shared" si="12"/>
        <v>1</v>
      </c>
      <c r="G81" s="10" t="str">
        <f t="shared" si="13"/>
        <v>COMPLETE</v>
      </c>
    </row>
    <row r="82" spans="1:7">
      <c r="A82" s="11"/>
      <c r="B82" s="11"/>
      <c r="C82" s="11"/>
      <c r="D82" s="11"/>
      <c r="E82" s="11"/>
      <c r="F82" s="11"/>
      <c r="G82" s="11"/>
    </row>
    <row r="83" spans="1:7" ht="20.100000000000001" customHeight="1">
      <c r="A83" s="37" t="s">
        <v>83</v>
      </c>
      <c r="B83" s="38"/>
      <c r="C83" s="38"/>
      <c r="D83" s="38"/>
      <c r="E83" s="38"/>
      <c r="F83" s="38"/>
      <c r="G83" s="39"/>
    </row>
    <row r="84" spans="1:7">
      <c r="A84" s="9" t="s">
        <v>84</v>
      </c>
      <c r="B84" s="10" t="s">
        <v>19</v>
      </c>
      <c r="C84" s="10"/>
      <c r="D84" s="10"/>
      <c r="E84" s="9"/>
      <c r="F84" s="10">
        <f t="shared" ref="F84:F89" si="14">IF(AND(B84="X",C84="X"), "", IF(B84="X",1,IF(C84="X",0,IF(D84="X","",""))))</f>
        <v>1</v>
      </c>
      <c r="G84" s="10" t="str">
        <f t="shared" ref="G84:G89" si="15">IF(COUNTIF(B84:C84,"X")=0,"INCOMPLETE",IF(COUNTIF(B84:D84,"X")&gt;1,"MULTI","COMPLETE"))</f>
        <v>COMPLETE</v>
      </c>
    </row>
    <row r="85" spans="1:7">
      <c r="A85" s="9" t="s">
        <v>85</v>
      </c>
      <c r="B85" s="10" t="s">
        <v>19</v>
      </c>
      <c r="C85" s="10"/>
      <c r="D85" s="10"/>
      <c r="E85" s="9"/>
      <c r="F85" s="10">
        <f t="shared" si="14"/>
        <v>1</v>
      </c>
      <c r="G85" s="10" t="str">
        <f t="shared" si="15"/>
        <v>COMPLETE</v>
      </c>
    </row>
    <row r="86" spans="1:7">
      <c r="A86" s="9" t="s">
        <v>86</v>
      </c>
      <c r="B86" s="10" t="s">
        <v>19</v>
      </c>
      <c r="C86" s="10"/>
      <c r="D86" s="10"/>
      <c r="E86" s="9"/>
      <c r="F86" s="10">
        <f t="shared" si="14"/>
        <v>1</v>
      </c>
      <c r="G86" s="10" t="str">
        <f t="shared" si="15"/>
        <v>COMPLETE</v>
      </c>
    </row>
    <row r="87" spans="1:7">
      <c r="A87" s="9" t="s">
        <v>87</v>
      </c>
      <c r="B87" s="10" t="s">
        <v>19</v>
      </c>
      <c r="C87" s="10"/>
      <c r="D87" s="10"/>
      <c r="E87" s="9"/>
      <c r="F87" s="10">
        <f t="shared" si="14"/>
        <v>1</v>
      </c>
      <c r="G87" s="10" t="str">
        <f t="shared" si="15"/>
        <v>COMPLETE</v>
      </c>
    </row>
    <row r="88" spans="1:7">
      <c r="A88" s="9" t="s">
        <v>88</v>
      </c>
      <c r="B88" s="10" t="s">
        <v>19</v>
      </c>
      <c r="C88" s="10"/>
      <c r="D88" s="10"/>
      <c r="E88" s="9"/>
      <c r="F88" s="10">
        <f t="shared" si="14"/>
        <v>1</v>
      </c>
      <c r="G88" s="10" t="str">
        <f t="shared" si="15"/>
        <v>COMPLETE</v>
      </c>
    </row>
    <row r="89" spans="1:7">
      <c r="A89" s="9" t="s">
        <v>89</v>
      </c>
      <c r="B89" s="10" t="s">
        <v>19</v>
      </c>
      <c r="C89" s="10"/>
      <c r="D89" s="10"/>
      <c r="E89" s="9"/>
      <c r="F89" s="10">
        <f t="shared" si="14"/>
        <v>1</v>
      </c>
      <c r="G89" s="10" t="str">
        <f t="shared" si="15"/>
        <v>COMPLETE</v>
      </c>
    </row>
    <row r="90" spans="1:7">
      <c r="A90" s="11"/>
      <c r="B90" s="11"/>
      <c r="C90" s="11"/>
      <c r="D90" s="11"/>
      <c r="E90" s="11"/>
      <c r="F90" s="11"/>
      <c r="G90" s="11"/>
    </row>
    <row r="91" spans="1:7" ht="20.100000000000001" customHeight="1">
      <c r="A91" s="37" t="s">
        <v>90</v>
      </c>
      <c r="B91" s="38"/>
      <c r="C91" s="38"/>
      <c r="D91" s="38"/>
      <c r="E91" s="38"/>
      <c r="F91" s="38"/>
      <c r="G91" s="39"/>
    </row>
    <row r="92" spans="1:7">
      <c r="A92" s="9" t="s">
        <v>91</v>
      </c>
      <c r="B92" s="10" t="s">
        <v>19</v>
      </c>
      <c r="C92" s="10"/>
      <c r="D92" s="10"/>
      <c r="E92" s="9"/>
      <c r="F92" s="10">
        <f t="shared" ref="F92:F100" si="16">IF(AND(B92="X",C92="X"), "", IF(B92="X",1,IF(C92="X",0,IF(D92="X","",""))))</f>
        <v>1</v>
      </c>
      <c r="G92" s="10" t="str">
        <f t="shared" ref="G92:G100" si="17">IF(COUNTIF(B92:C92,"X")=0,"INCOMPLETE",IF(COUNTIF(B92:D92,"X")&gt;1,"MULTI","COMPLETE"))</f>
        <v>COMPLETE</v>
      </c>
    </row>
    <row r="93" spans="1:7">
      <c r="A93" s="9" t="s">
        <v>92</v>
      </c>
      <c r="B93" s="10" t="s">
        <v>19</v>
      </c>
      <c r="C93" s="10"/>
      <c r="D93" s="10"/>
      <c r="E93" s="9"/>
      <c r="F93" s="10">
        <f t="shared" si="16"/>
        <v>1</v>
      </c>
      <c r="G93" s="10" t="str">
        <f t="shared" si="17"/>
        <v>COMPLETE</v>
      </c>
    </row>
    <row r="94" spans="1:7">
      <c r="A94" s="9" t="s">
        <v>93</v>
      </c>
      <c r="B94" s="10" t="s">
        <v>19</v>
      </c>
      <c r="C94" s="10"/>
      <c r="D94" s="10"/>
      <c r="E94" s="9"/>
      <c r="F94" s="10">
        <f t="shared" si="16"/>
        <v>1</v>
      </c>
      <c r="G94" s="10" t="str">
        <f t="shared" si="17"/>
        <v>COMPLETE</v>
      </c>
    </row>
    <row r="95" spans="1:7">
      <c r="A95" s="9" t="s">
        <v>94</v>
      </c>
      <c r="B95" s="10" t="s">
        <v>19</v>
      </c>
      <c r="C95" s="10"/>
      <c r="D95" s="10"/>
      <c r="E95" s="9"/>
      <c r="F95" s="10">
        <f t="shared" si="16"/>
        <v>1</v>
      </c>
      <c r="G95" s="10" t="str">
        <f t="shared" si="17"/>
        <v>COMPLETE</v>
      </c>
    </row>
    <row r="96" spans="1:7">
      <c r="A96" s="9" t="s">
        <v>95</v>
      </c>
      <c r="B96" s="10" t="s">
        <v>19</v>
      </c>
      <c r="C96" s="10"/>
      <c r="D96" s="10"/>
      <c r="E96" s="9"/>
      <c r="F96" s="10">
        <f t="shared" si="16"/>
        <v>1</v>
      </c>
      <c r="G96" s="10" t="str">
        <f t="shared" si="17"/>
        <v>COMPLETE</v>
      </c>
    </row>
    <row r="97" spans="1:9">
      <c r="A97" s="9" t="s">
        <v>96</v>
      </c>
      <c r="B97" s="10" t="s">
        <v>19</v>
      </c>
      <c r="C97" s="10"/>
      <c r="D97" s="10"/>
      <c r="E97" s="9"/>
      <c r="F97" s="10">
        <f t="shared" si="16"/>
        <v>1</v>
      </c>
      <c r="G97" s="10" t="str">
        <f t="shared" si="17"/>
        <v>COMPLETE</v>
      </c>
      <c r="I97" s="8"/>
    </row>
    <row r="98" spans="1:9">
      <c r="A98" s="9" t="s">
        <v>97</v>
      </c>
      <c r="B98" s="10" t="s">
        <v>19</v>
      </c>
      <c r="C98" s="10"/>
      <c r="D98" s="10"/>
      <c r="E98" s="9"/>
      <c r="F98" s="10">
        <f t="shared" si="16"/>
        <v>1</v>
      </c>
      <c r="G98" s="10" t="str">
        <f t="shared" si="17"/>
        <v>COMPLETE</v>
      </c>
      <c r="I98" s="8"/>
    </row>
    <row r="99" spans="1:9">
      <c r="A99" s="13" t="s">
        <v>98</v>
      </c>
      <c r="B99" s="10" t="s">
        <v>19</v>
      </c>
      <c r="C99" s="10"/>
      <c r="D99" s="10"/>
      <c r="E99" s="9"/>
      <c r="F99" s="10">
        <f t="shared" si="16"/>
        <v>1</v>
      </c>
      <c r="G99" s="10" t="str">
        <f t="shared" si="17"/>
        <v>COMPLETE</v>
      </c>
    </row>
    <row r="100" spans="1:9">
      <c r="A100" s="13" t="s">
        <v>99</v>
      </c>
      <c r="B100" s="10" t="s">
        <v>19</v>
      </c>
      <c r="C100" s="10"/>
      <c r="D100" s="10"/>
      <c r="E100" s="9"/>
      <c r="F100" s="10">
        <f t="shared" si="16"/>
        <v>1</v>
      </c>
      <c r="G100" s="10" t="str">
        <f t="shared" si="17"/>
        <v>COMPLETE</v>
      </c>
    </row>
    <row r="101" spans="1:9">
      <c r="A101" s="13"/>
      <c r="B101" s="10"/>
      <c r="C101" s="10"/>
      <c r="D101" s="10"/>
      <c r="E101" s="9"/>
      <c r="F101" s="10"/>
      <c r="G101" s="10"/>
    </row>
    <row r="102" spans="1:9" ht="20.100000000000001" customHeight="1">
      <c r="A102" s="37" t="s">
        <v>100</v>
      </c>
      <c r="B102" s="38"/>
      <c r="C102" s="38"/>
      <c r="D102" s="38"/>
      <c r="E102" s="38"/>
      <c r="F102" s="38"/>
      <c r="G102" s="39"/>
    </row>
    <row r="103" spans="1:9">
      <c r="A103" s="9" t="s">
        <v>101</v>
      </c>
      <c r="B103" s="10" t="s">
        <v>19</v>
      </c>
      <c r="C103" s="10"/>
      <c r="D103" s="10"/>
      <c r="E103" s="9"/>
      <c r="F103" s="10">
        <f t="shared" ref="F103:F108" si="18">IF(AND(B103="X",C103="X"), "", IF(B103="X",1,IF(C103="X",0,IF(D103="X","",""))))</f>
        <v>1</v>
      </c>
      <c r="G103" s="10" t="str">
        <f t="shared" ref="G103:G108" si="19">IF(COUNTIF(B103:C103,"X")=0,"INCOMPLETE",IF(COUNTIF(B103:D103,"X")&gt;1,"MULTI","COMPLETE"))</f>
        <v>COMPLETE</v>
      </c>
    </row>
    <row r="104" spans="1:9">
      <c r="A104" s="9" t="s">
        <v>102</v>
      </c>
      <c r="B104" s="10" t="s">
        <v>19</v>
      </c>
      <c r="C104" s="10"/>
      <c r="D104" s="10"/>
      <c r="E104" s="9"/>
      <c r="F104" s="10">
        <f t="shared" si="18"/>
        <v>1</v>
      </c>
      <c r="G104" s="10" t="str">
        <f t="shared" si="19"/>
        <v>COMPLETE</v>
      </c>
    </row>
    <row r="105" spans="1:9">
      <c r="A105" s="9" t="s">
        <v>103</v>
      </c>
      <c r="B105" s="10" t="s">
        <v>19</v>
      </c>
      <c r="C105" s="10"/>
      <c r="D105" s="10"/>
      <c r="E105" s="9"/>
      <c r="F105" s="10">
        <f t="shared" si="18"/>
        <v>1</v>
      </c>
      <c r="G105" s="10" t="str">
        <f t="shared" si="19"/>
        <v>COMPLETE</v>
      </c>
    </row>
    <row r="106" spans="1:9">
      <c r="A106" s="9" t="s">
        <v>104</v>
      </c>
      <c r="B106" s="10" t="s">
        <v>19</v>
      </c>
      <c r="C106" s="10"/>
      <c r="D106" s="10"/>
      <c r="E106" s="9"/>
      <c r="F106" s="10">
        <f t="shared" si="18"/>
        <v>1</v>
      </c>
      <c r="G106" s="10" t="str">
        <f t="shared" si="19"/>
        <v>COMPLETE</v>
      </c>
    </row>
    <row r="107" spans="1:9">
      <c r="A107" s="9" t="s">
        <v>105</v>
      </c>
      <c r="B107" s="10" t="s">
        <v>19</v>
      </c>
      <c r="C107" s="10"/>
      <c r="D107" s="10"/>
      <c r="E107" s="9"/>
      <c r="F107" s="10">
        <f t="shared" si="18"/>
        <v>1</v>
      </c>
      <c r="G107" s="10" t="str">
        <f t="shared" si="19"/>
        <v>COMPLETE</v>
      </c>
    </row>
    <row r="108" spans="1:9">
      <c r="A108" s="9" t="s">
        <v>106</v>
      </c>
      <c r="B108" s="10" t="s">
        <v>19</v>
      </c>
      <c r="C108" s="10"/>
      <c r="D108" s="10"/>
      <c r="E108" s="9"/>
      <c r="F108" s="10">
        <f t="shared" si="18"/>
        <v>1</v>
      </c>
      <c r="G108" s="10" t="str">
        <f t="shared" si="19"/>
        <v>COMPLETE</v>
      </c>
    </row>
    <row r="109" spans="1:9">
      <c r="A109" s="11"/>
      <c r="B109" s="11"/>
      <c r="C109" s="11"/>
      <c r="D109" s="11"/>
      <c r="E109" s="11"/>
      <c r="F109" s="11"/>
      <c r="G109" s="11"/>
    </row>
    <row r="110" spans="1:9" ht="20.100000000000001" customHeight="1">
      <c r="A110" s="40" t="s">
        <v>107</v>
      </c>
      <c r="B110" s="40"/>
      <c r="C110" s="40"/>
      <c r="D110" s="40"/>
      <c r="E110" s="40"/>
      <c r="F110" s="40"/>
      <c r="G110" s="40"/>
    </row>
    <row r="111" spans="1:9">
      <c r="A111" s="9" t="s">
        <v>108</v>
      </c>
      <c r="B111" s="10" t="s">
        <v>19</v>
      </c>
      <c r="C111" s="10"/>
      <c r="D111" s="10"/>
      <c r="E111" s="9"/>
      <c r="F111" s="10">
        <f t="shared" ref="F111:F117" si="20">IF(AND(B111="X",C111="X"), "", IF(B111="X",1,IF(C111="X",0,IF(D111="X","",""))))</f>
        <v>1</v>
      </c>
      <c r="G111" s="10" t="str">
        <f t="shared" ref="G111:G117" si="21">IF(COUNTIF(B111:C111,"X")=0,"INCOMPLETE",IF(COUNTIF(B111:D111,"X")&gt;1,"MULTI","COMPLETE"))</f>
        <v>COMPLETE</v>
      </c>
    </row>
    <row r="112" spans="1:9">
      <c r="A112" s="9" t="s">
        <v>109</v>
      </c>
      <c r="B112" s="10" t="s">
        <v>19</v>
      </c>
      <c r="C112" s="10"/>
      <c r="D112" s="10"/>
      <c r="E112" s="9"/>
      <c r="F112" s="10">
        <f t="shared" si="20"/>
        <v>1</v>
      </c>
      <c r="G112" s="10" t="str">
        <f t="shared" si="21"/>
        <v>COMPLETE</v>
      </c>
    </row>
    <row r="113" spans="1:7">
      <c r="A113" s="9" t="s">
        <v>110</v>
      </c>
      <c r="B113" s="10" t="s">
        <v>19</v>
      </c>
      <c r="C113" s="10"/>
      <c r="D113" s="10"/>
      <c r="E113" s="9"/>
      <c r="F113" s="10">
        <f t="shared" si="20"/>
        <v>1</v>
      </c>
      <c r="G113" s="10" t="str">
        <f t="shared" si="21"/>
        <v>COMPLETE</v>
      </c>
    </row>
    <row r="114" spans="1:7">
      <c r="A114" s="9" t="s">
        <v>111</v>
      </c>
      <c r="B114" s="10" t="s">
        <v>19</v>
      </c>
      <c r="C114" s="10"/>
      <c r="D114" s="10"/>
      <c r="E114" s="9"/>
      <c r="F114" s="10">
        <f t="shared" si="20"/>
        <v>1</v>
      </c>
      <c r="G114" s="10" t="str">
        <f t="shared" si="21"/>
        <v>COMPLETE</v>
      </c>
    </row>
    <row r="115" spans="1:7">
      <c r="A115" s="9" t="s">
        <v>112</v>
      </c>
      <c r="B115" s="10" t="s">
        <v>19</v>
      </c>
      <c r="C115" s="10"/>
      <c r="D115" s="10"/>
      <c r="E115" s="9"/>
      <c r="F115" s="10">
        <f t="shared" si="20"/>
        <v>1</v>
      </c>
      <c r="G115" s="10" t="str">
        <f t="shared" si="21"/>
        <v>COMPLETE</v>
      </c>
    </row>
    <row r="116" spans="1:7">
      <c r="A116" s="9" t="s">
        <v>113</v>
      </c>
      <c r="B116" s="10" t="s">
        <v>19</v>
      </c>
      <c r="C116" s="10"/>
      <c r="D116" s="10"/>
      <c r="E116" s="9"/>
      <c r="F116" s="10">
        <f t="shared" si="20"/>
        <v>1</v>
      </c>
      <c r="G116" s="10" t="str">
        <f t="shared" si="21"/>
        <v>COMPLETE</v>
      </c>
    </row>
    <row r="117" spans="1:7">
      <c r="A117" s="9" t="s">
        <v>114</v>
      </c>
      <c r="B117" s="10" t="s">
        <v>19</v>
      </c>
      <c r="C117" s="10"/>
      <c r="D117" s="10"/>
      <c r="E117" s="9"/>
      <c r="F117" s="10">
        <f t="shared" si="20"/>
        <v>1</v>
      </c>
      <c r="G117" s="10" t="str">
        <f t="shared" si="21"/>
        <v>COMPLETE</v>
      </c>
    </row>
    <row r="118" spans="1:7">
      <c r="A118" s="11"/>
      <c r="B118" s="11"/>
      <c r="C118" s="11"/>
      <c r="D118" s="11"/>
      <c r="E118" s="11"/>
      <c r="F118" s="11"/>
      <c r="G118" s="11"/>
    </row>
    <row r="119" spans="1:7" ht="20.100000000000001" customHeight="1">
      <c r="A119" s="40" t="s">
        <v>115</v>
      </c>
      <c r="B119" s="40"/>
      <c r="C119" s="40"/>
      <c r="D119" s="40"/>
      <c r="E119" s="40"/>
      <c r="F119" s="40"/>
      <c r="G119" s="40"/>
    </row>
    <row r="120" spans="1:7" ht="29.25">
      <c r="A120" s="9" t="s">
        <v>116</v>
      </c>
      <c r="B120" s="10" t="s">
        <v>19</v>
      </c>
      <c r="C120" s="10"/>
      <c r="D120" s="10"/>
      <c r="E120" s="9"/>
      <c r="F120" s="10">
        <f t="shared" ref="F120:F124" si="22">IF(AND(B120="X",C120="X"), "", IF(B120="X",1,IF(C120="X",0,IF(D120="X","",""))))</f>
        <v>1</v>
      </c>
      <c r="G120" s="10" t="str">
        <f t="shared" ref="G120:G124" si="23">IF(COUNTIF(B120:C120,"X")=0,"INCOMPLETE",IF(COUNTIF(B120:D120,"X")&gt;1,"MULTI","COMPLETE"))</f>
        <v>COMPLETE</v>
      </c>
    </row>
    <row r="121" spans="1:7">
      <c r="A121" s="9" t="s">
        <v>117</v>
      </c>
      <c r="B121" s="10" t="s">
        <v>19</v>
      </c>
      <c r="C121" s="10"/>
      <c r="D121" s="10"/>
      <c r="E121" s="9"/>
      <c r="F121" s="10">
        <f t="shared" si="22"/>
        <v>1</v>
      </c>
      <c r="G121" s="10" t="str">
        <f t="shared" si="23"/>
        <v>COMPLETE</v>
      </c>
    </row>
    <row r="122" spans="1:7">
      <c r="A122" s="9" t="s">
        <v>118</v>
      </c>
      <c r="B122" s="10" t="s">
        <v>19</v>
      </c>
      <c r="C122" s="10"/>
      <c r="D122" s="10"/>
      <c r="E122" s="9"/>
      <c r="F122" s="10">
        <f t="shared" si="22"/>
        <v>1</v>
      </c>
      <c r="G122" s="10" t="str">
        <f t="shared" si="23"/>
        <v>COMPLETE</v>
      </c>
    </row>
    <row r="123" spans="1:7">
      <c r="A123" s="9" t="s">
        <v>119</v>
      </c>
      <c r="B123" s="10" t="s">
        <v>19</v>
      </c>
      <c r="C123" s="10"/>
      <c r="D123" s="10"/>
      <c r="E123" s="9"/>
      <c r="F123" s="10">
        <f t="shared" si="22"/>
        <v>1</v>
      </c>
      <c r="G123" s="10" t="str">
        <f t="shared" si="23"/>
        <v>COMPLETE</v>
      </c>
    </row>
    <row r="124" spans="1:7">
      <c r="A124" s="9" t="s">
        <v>120</v>
      </c>
      <c r="B124" s="10" t="s">
        <v>19</v>
      </c>
      <c r="C124" s="10"/>
      <c r="D124" s="10"/>
      <c r="E124" s="9"/>
      <c r="F124" s="10">
        <f t="shared" si="22"/>
        <v>1</v>
      </c>
      <c r="G124" s="10" t="str">
        <f t="shared" si="23"/>
        <v>COMPLETE</v>
      </c>
    </row>
    <row r="125" spans="1:7">
      <c r="A125" s="11"/>
      <c r="B125" s="11"/>
      <c r="C125" s="11"/>
      <c r="D125" s="11"/>
      <c r="E125" s="11"/>
      <c r="F125" s="11"/>
      <c r="G125" s="11"/>
    </row>
    <row r="126" spans="1:7">
      <c r="A126" s="11"/>
      <c r="B126" s="11"/>
      <c r="C126" s="11"/>
      <c r="D126" s="11"/>
      <c r="E126" s="11"/>
      <c r="F126" s="11"/>
      <c r="G126" s="11"/>
    </row>
    <row r="127" spans="1:7">
      <c r="A127" s="36" t="s">
        <v>121</v>
      </c>
      <c r="B127" s="36"/>
      <c r="C127" s="36"/>
      <c r="D127" s="36"/>
      <c r="E127" s="36"/>
      <c r="F127" s="36"/>
      <c r="G127" s="36"/>
    </row>
    <row r="128" spans="1:7" ht="20.100000000000001" customHeight="1">
      <c r="A128" s="14" t="s">
        <v>122</v>
      </c>
      <c r="B128" s="14" t="s">
        <v>10</v>
      </c>
      <c r="C128" s="14" t="s">
        <v>11</v>
      </c>
      <c r="D128" s="14" t="s">
        <v>12</v>
      </c>
      <c r="E128" s="14" t="s">
        <v>123</v>
      </c>
      <c r="F128" s="27" t="s">
        <v>124</v>
      </c>
      <c r="G128" s="28"/>
    </row>
    <row r="129" spans="1:7">
      <c r="A129" s="5" t="s">
        <v>16</v>
      </c>
      <c r="B129" s="6">
        <f>COUNTIFS(B11:B19,"X",$G11:$G19,"COMPLETE")</f>
        <v>3</v>
      </c>
      <c r="C129" s="6">
        <f t="shared" ref="C129:D129" si="24">COUNTIFS(C11:C19,"X",$G11:$G19,"COMPLETE")</f>
        <v>3</v>
      </c>
      <c r="D129" s="6">
        <f t="shared" si="24"/>
        <v>1</v>
      </c>
      <c r="E129" s="7">
        <f t="shared" ref="E129:E140" si="25">IF((B129+C129)=0,"",B129/(B129+C129))</f>
        <v>0.5</v>
      </c>
      <c r="F129" s="25" t="str">
        <f>IF(COUNTIF(G11:G20,"INCOMPLETE")+COUNTIF(G11:G20,"MULTI")=0, "", COUNTIF(G11:G20,"INCOMPLETE")+COUNTIF(G11:G20,"MULTI") &amp; " incomplete inspection items")</f>
        <v>2 incomplete inspection items</v>
      </c>
      <c r="G129" s="26"/>
    </row>
    <row r="130" spans="1:7">
      <c r="A130" s="5" t="s">
        <v>28</v>
      </c>
      <c r="B130" s="6">
        <f>COUNTIFS(B23:B27,"X",$G23:$G27,"COMPLETE")</f>
        <v>3</v>
      </c>
      <c r="C130" s="6">
        <f t="shared" ref="C130:D130" si="26">COUNTIFS(C23:C27,"X",$G23:$G27,"COMPLETE")</f>
        <v>2</v>
      </c>
      <c r="D130" s="6">
        <f t="shared" si="26"/>
        <v>0</v>
      </c>
      <c r="E130" s="7">
        <f t="shared" si="25"/>
        <v>0.6</v>
      </c>
      <c r="F130" s="25" t="str">
        <f>IF(COUNTIF(G23:G27,"INCOMPLETE")+COUNTIF(G23:G27,"MULTI")=0, "", COUNTIF(G23:G27,"INCOMPLETE")+COUNTIF(G23:G27,"MULTI") &amp; " incomplete inspection items")</f>
        <v/>
      </c>
      <c r="G130" s="26"/>
    </row>
    <row r="131" spans="1:7">
      <c r="A131" s="5" t="s">
        <v>34</v>
      </c>
      <c r="B131" s="6">
        <f>COUNTIFS(B30:B36,"X",$G30:$G36,"COMPLETE")</f>
        <v>4</v>
      </c>
      <c r="C131" s="6">
        <f t="shared" ref="C131:D131" si="27">COUNTIFS(C30:C36,"X",$G30:$G36,"COMPLETE")</f>
        <v>3</v>
      </c>
      <c r="D131" s="6">
        <f t="shared" si="27"/>
        <v>0</v>
      </c>
      <c r="E131" s="7">
        <f t="shared" si="25"/>
        <v>0.5714285714285714</v>
      </c>
      <c r="F131" s="25" t="str">
        <f>IF(COUNTIF(G30:G37,"INCOMPLETE")+COUNTIF(G30:G37,"MULTI")=0, "", COUNTIF(G30:G37,"INCOMPLETE")+COUNTIF(G30:G37,"MULTI") &amp; " incomplete inspection items")</f>
        <v/>
      </c>
      <c r="G131" s="26"/>
    </row>
    <row r="132" spans="1:7">
      <c r="A132" s="5" t="s">
        <v>43</v>
      </c>
      <c r="B132" s="6">
        <f>COUNTIFS(B40:B49,"X",$G40:$G49,"COMPLETE")</f>
        <v>7</v>
      </c>
      <c r="C132" s="6">
        <f t="shared" ref="C132:D132" si="28">COUNTIFS(C40:C49,"X",$G40:$G49,"COMPLETE")</f>
        <v>2</v>
      </c>
      <c r="D132" s="6">
        <f t="shared" si="28"/>
        <v>0</v>
      </c>
      <c r="E132" s="7">
        <f t="shared" si="25"/>
        <v>0.77777777777777779</v>
      </c>
      <c r="F132" s="25" t="str">
        <f>IF(COUNTIF(G40:G49,"INCOMPLETE")+COUNTIF(G40:G49,"MULTI")=0, "", COUNTIF(G40:G49,"INCOMPLETE")+COUNTIF(G40:G49,"MULTI") &amp; " incomplete inspection items")</f>
        <v>1 incomplete inspection items</v>
      </c>
      <c r="G132" s="26"/>
    </row>
    <row r="133" spans="1:7">
      <c r="A133" s="5" t="s">
        <v>54</v>
      </c>
      <c r="B133" s="6">
        <f>COUNTIFS(B52:B61,"X",$G52:$G61,"COMPLETE")</f>
        <v>7</v>
      </c>
      <c r="C133" s="6">
        <f t="shared" ref="C133:D133" si="29">COUNTIFS(C52:C61,"X",$G52:$G61,"COMPLETE")</f>
        <v>3</v>
      </c>
      <c r="D133" s="6">
        <f t="shared" si="29"/>
        <v>0</v>
      </c>
      <c r="E133" s="7">
        <f t="shared" si="25"/>
        <v>0.7</v>
      </c>
      <c r="F133" s="25" t="str">
        <f>IF(COUNTIF(G52:G63,"INCOMPLETE")+COUNTIF(G52:G63,"MULTI")=0, "", COUNTIF(G52:G63,"INCOMPLETE")+COUNTIF(G52:G63,"MULTI") &amp; " incomplete inspection items")</f>
        <v/>
      </c>
      <c r="G133" s="26"/>
    </row>
    <row r="134" spans="1:7">
      <c r="A134" s="5" t="s">
        <v>67</v>
      </c>
      <c r="B134" s="6">
        <f>COUNTIFS(B66:B73,"X",$G66:$G73,"COMPLETE")</f>
        <v>8</v>
      </c>
      <c r="C134" s="6">
        <f t="shared" ref="C134:D134" si="30">COUNTIFS(C66:C73,"X",$G66:$G73,"COMPLETE")</f>
        <v>0</v>
      </c>
      <c r="D134" s="6">
        <f t="shared" si="30"/>
        <v>0</v>
      </c>
      <c r="E134" s="7">
        <f t="shared" si="25"/>
        <v>1</v>
      </c>
      <c r="F134" s="25" t="str">
        <f>IF(COUNTIF(G66:G73,"INCOMPLETE")+COUNTIF(G66:G73,"MULTI")=0, "", COUNTIF(G66:G73,"INCOMPLETE")+COUNTIF(G66:G73,"MULTI") &amp; " incomplete inspection items")</f>
        <v/>
      </c>
      <c r="G134" s="26"/>
    </row>
    <row r="135" spans="1:7">
      <c r="A135" s="5" t="s">
        <v>76</v>
      </c>
      <c r="B135" s="6">
        <f>COUNTIFS(B76:B81,"X",$G76:$G81,"COMPLETE")</f>
        <v>6</v>
      </c>
      <c r="C135" s="6">
        <f t="shared" ref="C135:D135" si="31">COUNTIFS(C76:C81,"X",$G76:$G81,"COMPLETE")</f>
        <v>0</v>
      </c>
      <c r="D135" s="6">
        <f t="shared" si="31"/>
        <v>0</v>
      </c>
      <c r="E135" s="7">
        <f t="shared" si="25"/>
        <v>1</v>
      </c>
      <c r="F135" s="25" t="str">
        <f>IF(COUNTIF(G76:G81,"INCOMPLETE")+COUNTIF(G76:G81,"MULTI")=0, "", COUNTIF(G76:G81,"INCOMPLETE")+COUNTIF(G76:G81,"MULTI") &amp; " incomplete inspection items")</f>
        <v/>
      </c>
      <c r="G135" s="26"/>
    </row>
    <row r="136" spans="1:7">
      <c r="A136" s="5" t="s">
        <v>83</v>
      </c>
      <c r="B136" s="6">
        <f>COUNTIFS(B84:B89,"X",$G84:$G89,"COMPLETE")</f>
        <v>6</v>
      </c>
      <c r="C136" s="6">
        <f t="shared" ref="C136:D136" si="32">COUNTIFS(C84:C89,"X",$G84:$G89,"COMPLETE")</f>
        <v>0</v>
      </c>
      <c r="D136" s="6">
        <f t="shared" si="32"/>
        <v>0</v>
      </c>
      <c r="E136" s="7">
        <f t="shared" si="25"/>
        <v>1</v>
      </c>
      <c r="F136" s="25" t="str">
        <f>IF(COUNTIF(G84:G89,"INCOMPLETE")+COUNTIF(G84:G89,"MULTI")=0, "", COUNTIF(G84:G89,"INCOMPLETE")+COUNTIF(G84:G89,"MULTI") &amp; " incomplete inspection items")</f>
        <v/>
      </c>
      <c r="G136" s="26"/>
    </row>
    <row r="137" spans="1:7">
      <c r="A137" s="5" t="s">
        <v>90</v>
      </c>
      <c r="B137" s="6">
        <f>COUNTIFS(B92:B98,"X",$G92:$G98,"COMPLETE")</f>
        <v>7</v>
      </c>
      <c r="C137" s="6">
        <f t="shared" ref="C137:D137" si="33">COUNTIFS(C92:C98,"X",$G92:$G98,"COMPLETE")</f>
        <v>0</v>
      </c>
      <c r="D137" s="6">
        <f t="shared" si="33"/>
        <v>0</v>
      </c>
      <c r="E137" s="7">
        <f t="shared" si="25"/>
        <v>1</v>
      </c>
      <c r="F137" s="25" t="str">
        <f>IF(COUNTIF(G92:G100,"INCOMPLETE")+COUNTIF(G92:G100,"MULTI")=0, "", COUNTIF(G92:G100,"INCOMPLETE")+COUNTIF(G92:G100,"MULTI") &amp; " incomplete inspection items")</f>
        <v/>
      </c>
      <c r="G137" s="26"/>
    </row>
    <row r="138" spans="1:7">
      <c r="A138" s="5" t="s">
        <v>100</v>
      </c>
      <c r="B138" s="6">
        <f>COUNTIFS(B103:B108,"X",$G103:$G108,"COMPLETE")</f>
        <v>6</v>
      </c>
      <c r="C138" s="6">
        <f t="shared" ref="C138:D138" si="34">COUNTIFS(C103:C108,"X",$G103:$G108,"COMPLETE")</f>
        <v>0</v>
      </c>
      <c r="D138" s="6">
        <f t="shared" si="34"/>
        <v>0</v>
      </c>
      <c r="E138" s="7">
        <f t="shared" si="25"/>
        <v>1</v>
      </c>
      <c r="F138" s="25" t="str">
        <f>IF(COUNTIF(G103:G108,"INCOMPLETE")+COUNTIF(G103:G108,"MULTI")=0, "", COUNTIF(G103:G108,"INCOMPLETE")+COUNTIF(G103:G108,"MULTI") &amp; " incomplete inspection items")</f>
        <v/>
      </c>
      <c r="G138" s="26"/>
    </row>
    <row r="139" spans="1:7">
      <c r="A139" s="5" t="s">
        <v>107</v>
      </c>
      <c r="B139" s="6">
        <f>COUNTIFS(B111:B117,"X",$G111:$G117,"COMPLETE")</f>
        <v>7</v>
      </c>
      <c r="C139" s="6">
        <f t="shared" ref="C139:D139" si="35">COUNTIFS(C111:C117,"X",$G111:$G117,"COMPLETE")</f>
        <v>0</v>
      </c>
      <c r="D139" s="6">
        <f t="shared" si="35"/>
        <v>0</v>
      </c>
      <c r="E139" s="7">
        <f t="shared" si="25"/>
        <v>1</v>
      </c>
      <c r="F139" s="25" t="str">
        <f>IF(COUNTIF(G111:G117,"INCOMPLETE")+COUNTIF(G111:G117,"MULTI")=0, "", COUNTIF(G111:G117,"INCOMPLETE")+COUNTIF(G111:G117,"MULTI") &amp; " incomplete inspection items")</f>
        <v/>
      </c>
      <c r="G139" s="26"/>
    </row>
    <row r="140" spans="1:7">
      <c r="A140" s="5" t="s">
        <v>115</v>
      </c>
      <c r="B140" s="6">
        <f>COUNTIFS(B120:B124,"X",$G120:$G124,"COMPLETE")</f>
        <v>5</v>
      </c>
      <c r="C140" s="6">
        <f t="shared" ref="C140:D140" si="36">COUNTIFS(C120:C124,"X",$G120:$G124,"COMPLETE")</f>
        <v>0</v>
      </c>
      <c r="D140" s="6">
        <f t="shared" si="36"/>
        <v>0</v>
      </c>
      <c r="E140" s="7">
        <f t="shared" si="25"/>
        <v>1</v>
      </c>
      <c r="F140" s="25" t="str">
        <f>IF(COUNTIF(G120:G124,"INCOMPLETE")+COUNTIF(G120:G124,"MULTI")=0, "", COUNTIF(G120:G124,"INCOMPLETE")+COUNTIF(G120:G124,"MULTI") &amp; " incomplete inspection items")</f>
        <v/>
      </c>
      <c r="G140" s="26"/>
    </row>
    <row r="142" spans="1:7">
      <c r="A142" s="44" t="s">
        <v>125</v>
      </c>
      <c r="B142" s="45"/>
      <c r="C142" s="45"/>
      <c r="D142" s="45"/>
      <c r="E142" s="45"/>
      <c r="F142" s="45"/>
      <c r="G142" s="46"/>
    </row>
    <row r="143" spans="1:7" ht="30" customHeight="1">
      <c r="A143" s="41"/>
      <c r="B143" s="42"/>
      <c r="C143" s="42"/>
      <c r="D143" s="42"/>
      <c r="E143" s="42"/>
      <c r="F143" s="42"/>
      <c r="G143" s="43"/>
    </row>
    <row r="144" spans="1:7" ht="30" customHeight="1">
      <c r="A144" s="41"/>
      <c r="B144" s="42"/>
      <c r="C144" s="42"/>
      <c r="D144" s="42"/>
      <c r="E144" s="42"/>
      <c r="F144" s="42"/>
      <c r="G144" s="43"/>
    </row>
    <row r="145" spans="1:7" ht="30" customHeight="1">
      <c r="A145" s="41"/>
      <c r="B145" s="42"/>
      <c r="C145" s="42"/>
      <c r="D145" s="42"/>
      <c r="E145" s="42"/>
      <c r="F145" s="42"/>
      <c r="G145" s="43"/>
    </row>
    <row r="146" spans="1:7" ht="30" customHeight="1">
      <c r="A146" s="41"/>
      <c r="B146" s="42"/>
      <c r="C146" s="42"/>
      <c r="D146" s="42"/>
      <c r="E146" s="42"/>
      <c r="F146" s="42"/>
      <c r="G146" s="43"/>
    </row>
    <row r="147" spans="1:7" ht="30" customHeight="1">
      <c r="A147" s="41"/>
      <c r="B147" s="42"/>
      <c r="C147" s="42"/>
      <c r="D147" s="42"/>
      <c r="E147" s="42"/>
      <c r="F147" s="42"/>
      <c r="G147" s="43"/>
    </row>
    <row r="148" spans="1:7" ht="30" customHeight="1">
      <c r="A148" s="41"/>
      <c r="B148" s="42"/>
      <c r="C148" s="42"/>
      <c r="D148" s="42"/>
      <c r="E148" s="42"/>
      <c r="F148" s="42"/>
      <c r="G148" s="43"/>
    </row>
  </sheetData>
  <mergeCells count="38">
    <mergeCell ref="A148:G148"/>
    <mergeCell ref="A142:G142"/>
    <mergeCell ref="A143:G143"/>
    <mergeCell ref="A144:G144"/>
    <mergeCell ref="A145:G145"/>
    <mergeCell ref="A146:G146"/>
    <mergeCell ref="A147:G147"/>
    <mergeCell ref="A127:G127"/>
    <mergeCell ref="A22:G22"/>
    <mergeCell ref="A29:G29"/>
    <mergeCell ref="A39:G39"/>
    <mergeCell ref="A51:G51"/>
    <mergeCell ref="A65:G65"/>
    <mergeCell ref="A75:G75"/>
    <mergeCell ref="A83:G83"/>
    <mergeCell ref="A91:G91"/>
    <mergeCell ref="A102:G102"/>
    <mergeCell ref="A110:G110"/>
    <mergeCell ref="A119:G119"/>
    <mergeCell ref="A10:G10"/>
    <mergeCell ref="A1:G1"/>
    <mergeCell ref="B3:C3"/>
    <mergeCell ref="F3:G3"/>
    <mergeCell ref="B4:C4"/>
    <mergeCell ref="B5:C5"/>
    <mergeCell ref="F139:G139"/>
    <mergeCell ref="F140:G140"/>
    <mergeCell ref="F128:G128"/>
    <mergeCell ref="F134:G134"/>
    <mergeCell ref="F135:G135"/>
    <mergeCell ref="F136:G136"/>
    <mergeCell ref="F137:G137"/>
    <mergeCell ref="F138:G138"/>
    <mergeCell ref="F129:G129"/>
    <mergeCell ref="F130:G130"/>
    <mergeCell ref="F131:G131"/>
    <mergeCell ref="F132:G132"/>
    <mergeCell ref="F133:G133"/>
  </mergeCells>
  <conditionalFormatting sqref="A56">
    <cfRule type="expression" dxfId="164" priority="275">
      <formula>$G57="MULTI"</formula>
    </cfRule>
  </conditionalFormatting>
  <conditionalFormatting sqref="B21:D21 A57:A63 A103:A108 D20 A52:A55 D11:E19 A11:A20 F23:G27 D52:G63 C103:G108 F11:G21">
    <cfRule type="expression" dxfId="163" priority="227">
      <formula>$G11="MULTI"</formula>
    </cfRule>
  </conditionalFormatting>
  <conditionalFormatting sqref="B21:D21 A103:A104 A108 A58:A63 D20 A52:A55 D11:G16 D17:F19 A11:A20 D52:G63 C103:G108 F12:G21">
    <cfRule type="expression" dxfId="162" priority="224">
      <formula>$C11="X"</formula>
    </cfRule>
  </conditionalFormatting>
  <conditionalFormatting sqref="A23:A27 C23:E23 C26:E27 D24:E25">
    <cfRule type="expression" dxfId="161" priority="231">
      <formula>$G23="MULTI"</formula>
    </cfRule>
  </conditionalFormatting>
  <conditionalFormatting sqref="D53:D63 A57 A105:A107 A23:A27 C23:G23 C26:G27 D24:G25">
    <cfRule type="expression" dxfId="160" priority="228">
      <formula>$C23="X"</formula>
    </cfRule>
  </conditionalFormatting>
  <conditionalFormatting sqref="B21">
    <cfRule type="expression" dxfId="159" priority="225">
      <formula>$B21="X"</formula>
    </cfRule>
  </conditionalFormatting>
  <conditionalFormatting sqref="B30:B32 B36:B37">
    <cfRule type="expression" dxfId="158" priority="233">
      <formula>$B30="X"</formula>
    </cfRule>
  </conditionalFormatting>
  <conditionalFormatting sqref="B101">
    <cfRule type="expression" dxfId="157" priority="257">
      <formula>$B101="X"</formula>
    </cfRule>
  </conditionalFormatting>
  <conditionalFormatting sqref="A56">
    <cfRule type="expression" dxfId="156" priority="274">
      <formula>$C57="X"</formula>
    </cfRule>
  </conditionalFormatting>
  <conditionalFormatting sqref="D11:D21">
    <cfRule type="expression" dxfId="155" priority="226">
      <formula>$D11="X"</formula>
    </cfRule>
  </conditionalFormatting>
  <conditionalFormatting sqref="D23:D27">
    <cfRule type="expression" dxfId="154" priority="230">
      <formula>$D23="X"</formula>
    </cfRule>
  </conditionalFormatting>
  <conditionalFormatting sqref="D30:D37">
    <cfRule type="expression" dxfId="153" priority="234">
      <formula>$D30="X"</formula>
    </cfRule>
  </conditionalFormatting>
  <conditionalFormatting sqref="D40:D49">
    <cfRule type="expression" dxfId="152" priority="238">
      <formula>$D40="X"</formula>
    </cfRule>
  </conditionalFormatting>
  <conditionalFormatting sqref="D52:D63">
    <cfRule type="expression" dxfId="151" priority="242">
      <formula>$D52="X"</formula>
    </cfRule>
  </conditionalFormatting>
  <conditionalFormatting sqref="D66:D73">
    <cfRule type="expression" dxfId="150" priority="246">
      <formula>$D66="X"</formula>
    </cfRule>
  </conditionalFormatting>
  <conditionalFormatting sqref="D76:D81">
    <cfRule type="expression" dxfId="149" priority="250">
      <formula>$D76="X"</formula>
    </cfRule>
  </conditionalFormatting>
  <conditionalFormatting sqref="D84:D89">
    <cfRule type="expression" dxfId="148" priority="254">
      <formula>$D84="X"</formula>
    </cfRule>
  </conditionalFormatting>
  <conditionalFormatting sqref="D92:D101">
    <cfRule type="expression" dxfId="147" priority="258">
      <formula>$D92="X"</formula>
    </cfRule>
  </conditionalFormatting>
  <conditionalFormatting sqref="D103:D108">
    <cfRule type="expression" dxfId="146" priority="262">
      <formula>$D103="X"</formula>
    </cfRule>
  </conditionalFormatting>
  <conditionalFormatting sqref="D111:D117">
    <cfRule type="expression" dxfId="145" priority="266">
      <formula>$D111="X"</formula>
    </cfRule>
  </conditionalFormatting>
  <conditionalFormatting sqref="D120:D124">
    <cfRule type="expression" dxfId="144" priority="270">
      <formula>$D120="X"</formula>
    </cfRule>
  </conditionalFormatting>
  <conditionalFormatting sqref="B101:G101 A36:B37 A40:A49 A66:A73 A84:A89 A92:A98 A111:A117 A120:A124 A30:B32 A33:A35 C34:E35 D36:E37 C40:E46 C66:E73 A76:A81 D77:E78 C79:E81 C76:E76 C84:E89 C92:E100 C111:E117 C120:E124 D30:E33 C31:C33 D47:E49">
    <cfRule type="expression" dxfId="143" priority="303">
      <formula>$C30="X"</formula>
    </cfRule>
    <cfRule type="expression" dxfId="142" priority="304">
      <formula>$G30="MULTI"</formula>
    </cfRule>
  </conditionalFormatting>
  <conditionalFormatting sqref="B23:B27">
    <cfRule type="expression" dxfId="141" priority="216">
      <formula>$G23="MULTI"</formula>
    </cfRule>
  </conditionalFormatting>
  <conditionalFormatting sqref="B23:B27">
    <cfRule type="expression" dxfId="140" priority="214">
      <formula>$C23="X"</formula>
    </cfRule>
  </conditionalFormatting>
  <conditionalFormatting sqref="B23:B27">
    <cfRule type="expression" dxfId="139" priority="215">
      <formula>$B23="X"</formula>
    </cfRule>
  </conditionalFormatting>
  <conditionalFormatting sqref="C30">
    <cfRule type="expression" dxfId="138" priority="213">
      <formula>$G30="MULTI"</formula>
    </cfRule>
  </conditionalFormatting>
  <conditionalFormatting sqref="C30">
    <cfRule type="expression" dxfId="137" priority="211">
      <formula>$C30="X"</formula>
    </cfRule>
  </conditionalFormatting>
  <conditionalFormatting sqref="C30">
    <cfRule type="expression" dxfId="136" priority="212">
      <formula>$B30="X"</formula>
    </cfRule>
  </conditionalFormatting>
  <conditionalFormatting sqref="B30:B37">
    <cfRule type="expression" dxfId="135" priority="210">
      <formula>$G30="MULTI"</formula>
    </cfRule>
  </conditionalFormatting>
  <conditionalFormatting sqref="B30:B37">
    <cfRule type="expression" dxfId="134" priority="208">
      <formula>$C30="X"</formula>
    </cfRule>
  </conditionalFormatting>
  <conditionalFormatting sqref="B30:B37">
    <cfRule type="expression" dxfId="133" priority="209">
      <formula>$B30="X"</formula>
    </cfRule>
  </conditionalFormatting>
  <conditionalFormatting sqref="C36:C37">
    <cfRule type="expression" dxfId="132" priority="207">
      <formula>$G36="MULTI"</formula>
    </cfRule>
  </conditionalFormatting>
  <conditionalFormatting sqref="C36:C37">
    <cfRule type="expression" dxfId="131" priority="205">
      <formula>$C36="X"</formula>
    </cfRule>
  </conditionalFormatting>
  <conditionalFormatting sqref="C36:C37">
    <cfRule type="expression" dxfId="130" priority="206">
      <formula>$B36="X"</formula>
    </cfRule>
  </conditionalFormatting>
  <conditionalFormatting sqref="B40:B49">
    <cfRule type="expression" dxfId="129" priority="204">
      <formula>$G40="MULTI"</formula>
    </cfRule>
  </conditionalFormatting>
  <conditionalFormatting sqref="B40:B49">
    <cfRule type="expression" dxfId="128" priority="202">
      <formula>$C40="X"</formula>
    </cfRule>
  </conditionalFormatting>
  <conditionalFormatting sqref="B40:B49">
    <cfRule type="expression" dxfId="127" priority="203">
      <formula>$B40="X"</formula>
    </cfRule>
  </conditionalFormatting>
  <conditionalFormatting sqref="C52 C54:C56 C58 C60:C63">
    <cfRule type="expression" dxfId="126" priority="201">
      <formula>$G52="MULTI"</formula>
    </cfRule>
  </conditionalFormatting>
  <conditionalFormatting sqref="C52 C54:C56 C58 C60:C63">
    <cfRule type="expression" dxfId="125" priority="199">
      <formula>$C52="X"</formula>
    </cfRule>
  </conditionalFormatting>
  <conditionalFormatting sqref="C52 C54:C56 C58 C60:C63">
    <cfRule type="expression" dxfId="124" priority="200">
      <formula>$B52="X"</formula>
    </cfRule>
  </conditionalFormatting>
  <conditionalFormatting sqref="B66:B73">
    <cfRule type="expression" dxfId="123" priority="198">
      <formula>$G66="MULTI"</formula>
    </cfRule>
  </conditionalFormatting>
  <conditionalFormatting sqref="B66:B73">
    <cfRule type="expression" dxfId="122" priority="196">
      <formula>$C66="X"</formula>
    </cfRule>
  </conditionalFormatting>
  <conditionalFormatting sqref="B66:B73">
    <cfRule type="expression" dxfId="121" priority="197">
      <formula>$B66="X"</formula>
    </cfRule>
  </conditionalFormatting>
  <conditionalFormatting sqref="C77:C78">
    <cfRule type="expression" dxfId="120" priority="195">
      <formula>$G77="MULTI"</formula>
    </cfRule>
  </conditionalFormatting>
  <conditionalFormatting sqref="C77:C78">
    <cfRule type="expression" dxfId="119" priority="193">
      <formula>$C77="X"</formula>
    </cfRule>
  </conditionalFormatting>
  <conditionalFormatting sqref="C77:C78">
    <cfRule type="expression" dxfId="118" priority="194">
      <formula>$B77="X"</formula>
    </cfRule>
  </conditionalFormatting>
  <conditionalFormatting sqref="B76:B81">
    <cfRule type="expression" dxfId="117" priority="192">
      <formula>$G76="MULTI"</formula>
    </cfRule>
  </conditionalFormatting>
  <conditionalFormatting sqref="B76:B81">
    <cfRule type="expression" dxfId="116" priority="190">
      <formula>$C76="X"</formula>
    </cfRule>
  </conditionalFormatting>
  <conditionalFormatting sqref="B76:B81">
    <cfRule type="expression" dxfId="115" priority="191">
      <formula>$B76="X"</formula>
    </cfRule>
  </conditionalFormatting>
  <conditionalFormatting sqref="B52:B63">
    <cfRule type="expression" dxfId="114" priority="186">
      <formula>$G52="MULTI"</formula>
    </cfRule>
  </conditionalFormatting>
  <conditionalFormatting sqref="B52:B63">
    <cfRule type="expression" dxfId="113" priority="184">
      <formula>$C52="X"</formula>
    </cfRule>
  </conditionalFormatting>
  <conditionalFormatting sqref="B52:B63">
    <cfRule type="expression" dxfId="112" priority="185">
      <formula>$B52="X"</formula>
    </cfRule>
  </conditionalFormatting>
  <conditionalFormatting sqref="B84:B89">
    <cfRule type="expression" dxfId="111" priority="180">
      <formula>$G84="MULTI"</formula>
    </cfRule>
  </conditionalFormatting>
  <conditionalFormatting sqref="B84:B89">
    <cfRule type="expression" dxfId="110" priority="178">
      <formula>$C84="X"</formula>
    </cfRule>
  </conditionalFormatting>
  <conditionalFormatting sqref="B84:B89">
    <cfRule type="expression" dxfId="109" priority="179">
      <formula>$B84="X"</formula>
    </cfRule>
  </conditionalFormatting>
  <conditionalFormatting sqref="B92:B100">
    <cfRule type="expression" dxfId="108" priority="177">
      <formula>$G92="MULTI"</formula>
    </cfRule>
  </conditionalFormatting>
  <conditionalFormatting sqref="B92:B100">
    <cfRule type="expression" dxfId="107" priority="175">
      <formula>$C92="X"</formula>
    </cfRule>
  </conditionalFormatting>
  <conditionalFormatting sqref="B92:B100">
    <cfRule type="expression" dxfId="106" priority="176">
      <formula>$B92="X"</formula>
    </cfRule>
  </conditionalFormatting>
  <conditionalFormatting sqref="B103:B108">
    <cfRule type="expression" dxfId="105" priority="174">
      <formula>$G103="MULTI"</formula>
    </cfRule>
  </conditionalFormatting>
  <conditionalFormatting sqref="B103:B108">
    <cfRule type="expression" dxfId="104" priority="172">
      <formula>$C103="X"</formula>
    </cfRule>
  </conditionalFormatting>
  <conditionalFormatting sqref="B103:B108">
    <cfRule type="expression" dxfId="103" priority="173">
      <formula>$B103="X"</formula>
    </cfRule>
  </conditionalFormatting>
  <conditionalFormatting sqref="B111:B117">
    <cfRule type="expression" dxfId="102" priority="171">
      <formula>$G111="MULTI"</formula>
    </cfRule>
  </conditionalFormatting>
  <conditionalFormatting sqref="B111:B117">
    <cfRule type="expression" dxfId="101" priority="169">
      <formula>$C111="X"</formula>
    </cfRule>
  </conditionalFormatting>
  <conditionalFormatting sqref="B111:B117">
    <cfRule type="expression" dxfId="100" priority="170">
      <formula>$B111="X"</formula>
    </cfRule>
  </conditionalFormatting>
  <conditionalFormatting sqref="B120:B124">
    <cfRule type="expression" dxfId="99" priority="162">
      <formula>$G120="MULTI"</formula>
    </cfRule>
  </conditionalFormatting>
  <conditionalFormatting sqref="B120:B124">
    <cfRule type="expression" dxfId="98" priority="160">
      <formula>$C120="X"</formula>
    </cfRule>
  </conditionalFormatting>
  <conditionalFormatting sqref="B120:B124">
    <cfRule type="expression" dxfId="97" priority="161">
      <formula>$B120="X"</formula>
    </cfRule>
  </conditionalFormatting>
  <conditionalFormatting sqref="C11 C15:C20">
    <cfRule type="expression" dxfId="96" priority="156">
      <formula>$G11="MULTI"</formula>
    </cfRule>
  </conditionalFormatting>
  <conditionalFormatting sqref="C11 C15:C20">
    <cfRule type="expression" dxfId="95" priority="155">
      <formula>$C11="X"</formula>
    </cfRule>
  </conditionalFormatting>
  <conditionalFormatting sqref="C11 C15:C20">
    <cfRule type="expression" dxfId="94" priority="305">
      <formula>$B11="X"</formula>
    </cfRule>
  </conditionalFormatting>
  <conditionalFormatting sqref="B11:B20">
    <cfRule type="expression" dxfId="93" priority="153">
      <formula>$G11="MULTI"</formula>
    </cfRule>
  </conditionalFormatting>
  <conditionalFormatting sqref="B11:B20">
    <cfRule type="expression" dxfId="92" priority="152">
      <formula>$C11="X"</formula>
    </cfRule>
  </conditionalFormatting>
  <conditionalFormatting sqref="C12:C14">
    <cfRule type="expression" dxfId="91" priority="149">
      <formula>$G12="MULTI"</formula>
    </cfRule>
  </conditionalFormatting>
  <conditionalFormatting sqref="C12:C14">
    <cfRule type="expression" dxfId="90" priority="148">
      <formula>$C12="X"</formula>
    </cfRule>
  </conditionalFormatting>
  <conditionalFormatting sqref="C12:C14">
    <cfRule type="expression" dxfId="89" priority="306">
      <formula>$B12="X"</formula>
    </cfRule>
  </conditionalFormatting>
  <conditionalFormatting sqref="C24:C25">
    <cfRule type="expression" dxfId="88" priority="147">
      <formula>$G24="MULTI"</formula>
    </cfRule>
  </conditionalFormatting>
  <conditionalFormatting sqref="C24:C25">
    <cfRule type="expression" dxfId="87" priority="145">
      <formula>$C24="X"</formula>
    </cfRule>
  </conditionalFormatting>
  <conditionalFormatting sqref="C24:C25">
    <cfRule type="expression" dxfId="86" priority="146">
      <formula>$B24="X"</formula>
    </cfRule>
  </conditionalFormatting>
  <conditionalFormatting sqref="C31:C33">
    <cfRule type="expression" dxfId="85" priority="144">
      <formula>$B31="X"</formula>
    </cfRule>
  </conditionalFormatting>
  <conditionalFormatting sqref="C31:C33">
    <cfRule type="expression" dxfId="84" priority="143">
      <formula>$G31="MULTI"</formula>
    </cfRule>
  </conditionalFormatting>
  <conditionalFormatting sqref="C31:C33">
    <cfRule type="expression" dxfId="83" priority="141">
      <formula>$C31="X"</formula>
    </cfRule>
  </conditionalFormatting>
  <conditionalFormatting sqref="C31:C33">
    <cfRule type="expression" dxfId="82" priority="142">
      <formula>$B31="X"</formula>
    </cfRule>
  </conditionalFormatting>
  <conditionalFormatting sqref="C47:C49">
    <cfRule type="expression" dxfId="81" priority="140">
      <formula>$G47="MULTI"</formula>
    </cfRule>
  </conditionalFormatting>
  <conditionalFormatting sqref="C47:C49">
    <cfRule type="expression" dxfId="80" priority="138">
      <formula>$C47="X"</formula>
    </cfRule>
  </conditionalFormatting>
  <conditionalFormatting sqref="C47:C49">
    <cfRule type="expression" dxfId="79" priority="139">
      <formula>$B47="X"</formula>
    </cfRule>
  </conditionalFormatting>
  <conditionalFormatting sqref="C53">
    <cfRule type="expression" dxfId="78" priority="137">
      <formula>$G53="MULTI"</formula>
    </cfRule>
  </conditionalFormatting>
  <conditionalFormatting sqref="C53">
    <cfRule type="expression" dxfId="77" priority="135">
      <formula>$C53="X"</formula>
    </cfRule>
  </conditionalFormatting>
  <conditionalFormatting sqref="C53">
    <cfRule type="expression" dxfId="76" priority="136">
      <formula>$B53="X"</formula>
    </cfRule>
  </conditionalFormatting>
  <conditionalFormatting sqref="C57">
    <cfRule type="expression" dxfId="75" priority="134">
      <formula>$G57="MULTI"</formula>
    </cfRule>
  </conditionalFormatting>
  <conditionalFormatting sqref="C57">
    <cfRule type="expression" dxfId="74" priority="132">
      <formula>$C57="X"</formula>
    </cfRule>
  </conditionalFormatting>
  <conditionalFormatting sqref="C57">
    <cfRule type="expression" dxfId="73" priority="133">
      <formula>$B57="X"</formula>
    </cfRule>
  </conditionalFormatting>
  <conditionalFormatting sqref="C59">
    <cfRule type="expression" dxfId="72" priority="131">
      <formula>$G59="MULTI"</formula>
    </cfRule>
  </conditionalFormatting>
  <conditionalFormatting sqref="C59">
    <cfRule type="expression" dxfId="71" priority="129">
      <formula>$C59="X"</formula>
    </cfRule>
  </conditionalFormatting>
  <conditionalFormatting sqref="C59">
    <cfRule type="expression" dxfId="70" priority="130">
      <formula>$B59="X"</formula>
    </cfRule>
  </conditionalFormatting>
  <conditionalFormatting sqref="G23:G27">
    <cfRule type="expression" dxfId="69" priority="128">
      <formula>$C23="X"</formula>
    </cfRule>
  </conditionalFormatting>
  <conditionalFormatting sqref="G11:G20">
    <cfRule type="expression" dxfId="68" priority="107">
      <formula>$G11="Incomplete"</formula>
    </cfRule>
  </conditionalFormatting>
  <conditionalFormatting sqref="G11:G20">
    <cfRule type="expression" dxfId="67" priority="106">
      <formula>$G11="COMPLETE"</formula>
    </cfRule>
  </conditionalFormatting>
  <conditionalFormatting sqref="G11:G20">
    <cfRule type="expression" dxfId="66" priority="105">
      <formula>$G11="MULTI"</formula>
    </cfRule>
  </conditionalFormatting>
  <conditionalFormatting sqref="G23:G27">
    <cfRule type="expression" dxfId="65" priority="104">
      <formula>$C23="X"</formula>
    </cfRule>
  </conditionalFormatting>
  <conditionalFormatting sqref="G23:G27">
    <cfRule type="expression" dxfId="64" priority="103">
      <formula>$G23="Incomplete"</formula>
    </cfRule>
  </conditionalFormatting>
  <conditionalFormatting sqref="G23:G27">
    <cfRule type="expression" dxfId="63" priority="102">
      <formula>$G23="COMPLETE"</formula>
    </cfRule>
  </conditionalFormatting>
  <conditionalFormatting sqref="G23:G27">
    <cfRule type="expression" dxfId="62" priority="101">
      <formula>$G23="MULTI"</formula>
    </cfRule>
  </conditionalFormatting>
  <conditionalFormatting sqref="F23:G27">
    <cfRule type="expression" dxfId="61" priority="50">
      <formula>$C23="X"</formula>
    </cfRule>
  </conditionalFormatting>
  <conditionalFormatting sqref="G23:G27">
    <cfRule type="expression" dxfId="60" priority="49">
      <formula>$G23="Incomplete"</formula>
    </cfRule>
  </conditionalFormatting>
  <conditionalFormatting sqref="G23:G27">
    <cfRule type="expression" dxfId="59" priority="48">
      <formula>$G23="COMPLETE"</formula>
    </cfRule>
  </conditionalFormatting>
  <conditionalFormatting sqref="G23:G27">
    <cfRule type="expression" dxfId="58" priority="47">
      <formula>$G23="MULTI"</formula>
    </cfRule>
  </conditionalFormatting>
  <conditionalFormatting sqref="F30:G37">
    <cfRule type="expression" dxfId="57" priority="46">
      <formula>$G30="MULTI"</formula>
    </cfRule>
  </conditionalFormatting>
  <conditionalFormatting sqref="F30:G37">
    <cfRule type="expression" dxfId="56" priority="45">
      <formula>$C30="X"</formula>
    </cfRule>
  </conditionalFormatting>
  <conditionalFormatting sqref="G30:G37">
    <cfRule type="expression" dxfId="55" priority="44">
      <formula>$G30="Incomplete"</formula>
    </cfRule>
  </conditionalFormatting>
  <conditionalFormatting sqref="G30:G37">
    <cfRule type="expression" dxfId="54" priority="43">
      <formula>$G30="COMPLETE"</formula>
    </cfRule>
  </conditionalFormatting>
  <conditionalFormatting sqref="G30:G37">
    <cfRule type="expression" dxfId="53" priority="42">
      <formula>$G30="MULTI"</formula>
    </cfRule>
  </conditionalFormatting>
  <conditionalFormatting sqref="F40:G49">
    <cfRule type="expression" dxfId="52" priority="41">
      <formula>$G40="MULTI"</formula>
    </cfRule>
  </conditionalFormatting>
  <conditionalFormatting sqref="F40:G49">
    <cfRule type="expression" dxfId="51" priority="40">
      <formula>$C40="X"</formula>
    </cfRule>
  </conditionalFormatting>
  <conditionalFormatting sqref="G40:G49">
    <cfRule type="expression" dxfId="50" priority="39">
      <formula>$G40="Incomplete"</formula>
    </cfRule>
  </conditionalFormatting>
  <conditionalFormatting sqref="G40:G49">
    <cfRule type="expression" dxfId="49" priority="38">
      <formula>$G40="COMPLETE"</formula>
    </cfRule>
  </conditionalFormatting>
  <conditionalFormatting sqref="G40:G49">
    <cfRule type="expression" dxfId="48" priority="37">
      <formula>$G40="MULTI"</formula>
    </cfRule>
  </conditionalFormatting>
  <conditionalFormatting sqref="G52:G63">
    <cfRule type="expression" dxfId="47" priority="36">
      <formula>$G52="Incomplete"</formula>
    </cfRule>
  </conditionalFormatting>
  <conditionalFormatting sqref="G52:G63">
    <cfRule type="expression" dxfId="46" priority="35">
      <formula>$G52="COMPLETE"</formula>
    </cfRule>
  </conditionalFormatting>
  <conditionalFormatting sqref="G52:G63">
    <cfRule type="expression" dxfId="45" priority="34">
      <formula>$G52="MULTI"</formula>
    </cfRule>
  </conditionalFormatting>
  <conditionalFormatting sqref="F66:G73">
    <cfRule type="expression" dxfId="44" priority="33">
      <formula>$G66="MULTI"</formula>
    </cfRule>
  </conditionalFormatting>
  <conditionalFormatting sqref="F66:G73">
    <cfRule type="expression" dxfId="43" priority="32">
      <formula>$C66="X"</formula>
    </cfRule>
  </conditionalFormatting>
  <conditionalFormatting sqref="G66:G73">
    <cfRule type="expression" dxfId="42" priority="31">
      <formula>$G66="Incomplete"</formula>
    </cfRule>
  </conditionalFormatting>
  <conditionalFormatting sqref="G66:G73">
    <cfRule type="expression" dxfId="41" priority="30">
      <formula>$G66="COMPLETE"</formula>
    </cfRule>
  </conditionalFormatting>
  <conditionalFormatting sqref="G66:G73">
    <cfRule type="expression" dxfId="40" priority="29">
      <formula>$G66="MULTI"</formula>
    </cfRule>
  </conditionalFormatting>
  <conditionalFormatting sqref="F76:G81">
    <cfRule type="expression" dxfId="39" priority="28">
      <formula>$G76="MULTI"</formula>
    </cfRule>
  </conditionalFormatting>
  <conditionalFormatting sqref="F76:G81">
    <cfRule type="expression" dxfId="38" priority="27">
      <formula>$C76="X"</formula>
    </cfRule>
  </conditionalFormatting>
  <conditionalFormatting sqref="G76:G81">
    <cfRule type="expression" dxfId="37" priority="26">
      <formula>$G76="Incomplete"</formula>
    </cfRule>
  </conditionalFormatting>
  <conditionalFormatting sqref="G76:G81">
    <cfRule type="expression" dxfId="36" priority="25">
      <formula>$G76="COMPLETE"</formula>
    </cfRule>
  </conditionalFormatting>
  <conditionalFormatting sqref="G76:G81">
    <cfRule type="expression" dxfId="35" priority="24">
      <formula>$G76="MULTI"</formula>
    </cfRule>
  </conditionalFormatting>
  <conditionalFormatting sqref="F84:G89">
    <cfRule type="expression" dxfId="34" priority="23">
      <formula>$G84="MULTI"</formula>
    </cfRule>
  </conditionalFormatting>
  <conditionalFormatting sqref="F84:G89">
    <cfRule type="expression" dxfId="33" priority="22">
      <formula>$C84="X"</formula>
    </cfRule>
  </conditionalFormatting>
  <conditionalFormatting sqref="G84:G89">
    <cfRule type="expression" dxfId="32" priority="21">
      <formula>$G84="Incomplete"</formula>
    </cfRule>
  </conditionalFormatting>
  <conditionalFormatting sqref="G84:G89">
    <cfRule type="expression" dxfId="31" priority="20">
      <formula>$G84="COMPLETE"</formula>
    </cfRule>
  </conditionalFormatting>
  <conditionalFormatting sqref="G84:G89">
    <cfRule type="expression" dxfId="30" priority="19">
      <formula>$G84="MULTI"</formula>
    </cfRule>
  </conditionalFormatting>
  <conditionalFormatting sqref="F92:G100">
    <cfRule type="expression" dxfId="29" priority="18">
      <formula>$G92="MULTI"</formula>
    </cfRule>
  </conditionalFormatting>
  <conditionalFormatting sqref="F92:G100">
    <cfRule type="expression" dxfId="28" priority="17">
      <formula>$C92="X"</formula>
    </cfRule>
  </conditionalFormatting>
  <conditionalFormatting sqref="G92:G100">
    <cfRule type="expression" dxfId="27" priority="16">
      <formula>$G92="Incomplete"</formula>
    </cfRule>
  </conditionalFormatting>
  <conditionalFormatting sqref="G92:G100">
    <cfRule type="expression" dxfId="26" priority="15">
      <formula>$G92="COMPLETE"</formula>
    </cfRule>
  </conditionalFormatting>
  <conditionalFormatting sqref="G92:G100">
    <cfRule type="expression" dxfId="25" priority="14">
      <formula>$G92="MULTI"</formula>
    </cfRule>
  </conditionalFormatting>
  <conditionalFormatting sqref="G103:G108">
    <cfRule type="expression" dxfId="24" priority="13">
      <formula>$G103="Incomplete"</formula>
    </cfRule>
  </conditionalFormatting>
  <conditionalFormatting sqref="G103:G108">
    <cfRule type="expression" dxfId="23" priority="12">
      <formula>$G103="COMPLETE"</formula>
    </cfRule>
  </conditionalFormatting>
  <conditionalFormatting sqref="G103:G108">
    <cfRule type="expression" dxfId="22" priority="11">
      <formula>$G103="MULTI"</formula>
    </cfRule>
  </conditionalFormatting>
  <conditionalFormatting sqref="F111:G117">
    <cfRule type="expression" dxfId="21" priority="10">
      <formula>$G111="MULTI"</formula>
    </cfRule>
  </conditionalFormatting>
  <conditionalFormatting sqref="F111:G117">
    <cfRule type="expression" dxfId="20" priority="9">
      <formula>$C111="X"</formula>
    </cfRule>
  </conditionalFormatting>
  <conditionalFormatting sqref="G111:G117">
    <cfRule type="expression" dxfId="19" priority="8">
      <formula>$G111="Incomplete"</formula>
    </cfRule>
  </conditionalFormatting>
  <conditionalFormatting sqref="G111:G117">
    <cfRule type="expression" dxfId="18" priority="7">
      <formula>$G111="COMPLETE"</formula>
    </cfRule>
  </conditionalFormatting>
  <conditionalFormatting sqref="G111:G117">
    <cfRule type="expression" dxfId="17" priority="6">
      <formula>$G111="MULTI"</formula>
    </cfRule>
  </conditionalFormatting>
  <conditionalFormatting sqref="F120:G124">
    <cfRule type="expression" dxfId="16" priority="5">
      <formula>$G120="MULTI"</formula>
    </cfRule>
  </conditionalFormatting>
  <conditionalFormatting sqref="F120:G124">
    <cfRule type="expression" dxfId="15" priority="4">
      <formula>$C120="X"</formula>
    </cfRule>
  </conditionalFormatting>
  <conditionalFormatting sqref="G120:G124">
    <cfRule type="expression" dxfId="14" priority="3">
      <formula>$G120="Incomplete"</formula>
    </cfRule>
  </conditionalFormatting>
  <conditionalFormatting sqref="G120:G124">
    <cfRule type="expression" dxfId="13" priority="2">
      <formula>$G120="COMPLETE"</formula>
    </cfRule>
  </conditionalFormatting>
  <conditionalFormatting sqref="G120:G124">
    <cfRule type="expression" dxfId="12" priority="1">
      <formula>$G120="MULTI"</formula>
    </cfRule>
  </conditionalFormatting>
  <dataValidations count="1">
    <dataValidation type="list" allowBlank="1" sqref="B92:D101 B23:D27 B111:D117 B40:D49 B11:D21 B76:D81 B66:D73 B120:D124 B84:D89 B103:D108 B30:D37 B52:D63" xr:uid="{86737741-0F17-4FC2-B5FC-6A3A5385C2EC}">
      <formula1>" ,X"</formula1>
    </dataValidation>
  </dataValidations>
  <pageMargins left="0.25" right="0.25" top="0.75" bottom="0.75" header="0.3" footer="0.3"/>
  <pageSetup scale="7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0783-A7D5-4D0E-BEFD-8C60B53DDE83}">
  <dimension ref="A1:D14"/>
  <sheetViews>
    <sheetView topLeftCell="B1" workbookViewId="0">
      <selection activeCell="D21" sqref="D21"/>
    </sheetView>
  </sheetViews>
  <sheetFormatPr defaultColWidth="23.85546875" defaultRowHeight="15"/>
  <cols>
    <col min="1" max="1" width="7.85546875" bestFit="1" customWidth="1"/>
    <col min="2" max="2" width="34.5703125" customWidth="1"/>
    <col min="3" max="3" width="19" customWidth="1"/>
    <col min="4" max="4" width="45" customWidth="1"/>
  </cols>
  <sheetData>
    <row r="1" spans="1:4" s="20" customFormat="1">
      <c r="A1" s="18" t="s">
        <v>126</v>
      </c>
      <c r="B1" s="18" t="s">
        <v>122</v>
      </c>
      <c r="C1" s="18" t="s">
        <v>127</v>
      </c>
      <c r="D1" s="19" t="s">
        <v>128</v>
      </c>
    </row>
    <row r="2" spans="1:4">
      <c r="A2" s="21">
        <v>1</v>
      </c>
      <c r="B2" s="21" t="s">
        <v>16</v>
      </c>
      <c r="C2" s="22">
        <v>0.03</v>
      </c>
      <c r="D2" s="21" t="s">
        <v>129</v>
      </c>
    </row>
    <row r="3" spans="1:4">
      <c r="A3" s="21">
        <v>2</v>
      </c>
      <c r="B3" s="21" t="s">
        <v>28</v>
      </c>
      <c r="C3" s="22">
        <v>0.03</v>
      </c>
      <c r="D3" s="21" t="s">
        <v>130</v>
      </c>
    </row>
    <row r="4" spans="1:4">
      <c r="A4" s="21">
        <v>3</v>
      </c>
      <c r="B4" s="21" t="s">
        <v>34</v>
      </c>
      <c r="C4" s="22">
        <v>0.08</v>
      </c>
      <c r="D4" s="21" t="s">
        <v>131</v>
      </c>
    </row>
    <row r="5" spans="1:4">
      <c r="A5" s="21">
        <v>4</v>
      </c>
      <c r="B5" s="21" t="s">
        <v>43</v>
      </c>
      <c r="C5" s="22">
        <v>0.18</v>
      </c>
      <c r="D5" s="21" t="s">
        <v>132</v>
      </c>
    </row>
    <row r="6" spans="1:4">
      <c r="A6" s="21">
        <v>5</v>
      </c>
      <c r="B6" s="21" t="s">
        <v>54</v>
      </c>
      <c r="C6" s="22">
        <v>0.14000000000000001</v>
      </c>
      <c r="D6" s="21" t="s">
        <v>133</v>
      </c>
    </row>
    <row r="7" spans="1:4">
      <c r="A7" s="21">
        <v>6</v>
      </c>
      <c r="B7" s="21" t="s">
        <v>67</v>
      </c>
      <c r="C7" s="22">
        <v>0.1</v>
      </c>
      <c r="D7" s="21" t="s">
        <v>134</v>
      </c>
    </row>
    <row r="8" spans="1:4">
      <c r="A8" s="21">
        <v>7</v>
      </c>
      <c r="B8" s="21" t="s">
        <v>76</v>
      </c>
      <c r="C8" s="22">
        <v>7.0000000000000007E-2</v>
      </c>
      <c r="D8" s="21" t="s">
        <v>135</v>
      </c>
    </row>
    <row r="9" spans="1:4">
      <c r="A9" s="21">
        <v>8</v>
      </c>
      <c r="B9" s="21" t="s">
        <v>83</v>
      </c>
      <c r="C9" s="22">
        <v>0.04</v>
      </c>
      <c r="D9" s="21" t="s">
        <v>136</v>
      </c>
    </row>
    <row r="10" spans="1:4">
      <c r="A10" s="21">
        <v>9</v>
      </c>
      <c r="B10" s="21" t="s">
        <v>90</v>
      </c>
      <c r="C10" s="22">
        <v>0.12</v>
      </c>
      <c r="D10" s="21" t="s">
        <v>137</v>
      </c>
    </row>
    <row r="11" spans="1:4">
      <c r="A11" s="21">
        <v>10</v>
      </c>
      <c r="B11" s="21" t="s">
        <v>100</v>
      </c>
      <c r="C11" s="22">
        <v>0.12</v>
      </c>
      <c r="D11" s="21" t="s">
        <v>138</v>
      </c>
    </row>
    <row r="12" spans="1:4">
      <c r="A12" s="21">
        <v>11</v>
      </c>
      <c r="B12" s="21" t="s">
        <v>107</v>
      </c>
      <c r="C12" s="22">
        <v>0.02</v>
      </c>
      <c r="D12" s="21" t="s">
        <v>139</v>
      </c>
    </row>
    <row r="13" spans="1:4">
      <c r="A13" s="21">
        <v>12</v>
      </c>
      <c r="B13" s="21" t="s">
        <v>115</v>
      </c>
      <c r="C13" s="22">
        <v>7.0000000000000007E-2</v>
      </c>
      <c r="D13" s="21" t="s">
        <v>140</v>
      </c>
    </row>
    <row r="14" spans="1:4">
      <c r="A14" s="21"/>
      <c r="B14" s="24" t="s">
        <v>141</v>
      </c>
      <c r="C14" s="22">
        <f>SUM(tblWeights[Weight])</f>
        <v>1.0000000000000002</v>
      </c>
      <c r="D14" s="23" t="str">
        <f>IF(ABS(1-SUM(tblWeights[Weight]))&lt;=0.000001,"",IF(1-SUM(tblWeights[Weight])&gt;0,"Add "&amp;TEXT(1-SUM(tblWeights[Weight]),"0%")&amp;" to the category weights","Deduct "&amp;TEXT(ABS(1-SUM(tblWeights[Weight])),"0%")&amp;" from the category weights"))</f>
        <v/>
      </c>
    </row>
  </sheetData>
  <conditionalFormatting sqref="C14">
    <cfRule type="cellIs" dxfId="11" priority="2" operator="equal">
      <formula>1</formula>
    </cfRule>
  </conditionalFormatting>
  <conditionalFormatting sqref="C14">
    <cfRule type="expression" dxfId="10" priority="1">
      <formula>$C$14&lt;&gt;1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Shligton Estime</dc:creator>
  <cp:keywords/>
  <dc:description/>
  <cp:lastModifiedBy/>
  <cp:revision/>
  <dcterms:created xsi:type="dcterms:W3CDTF">2026-01-28T18:18:48Z</dcterms:created>
  <dcterms:modified xsi:type="dcterms:W3CDTF">2026-02-26T18:28:00Z</dcterms:modified>
  <cp:category/>
  <cp:contentStatus/>
</cp:coreProperties>
</file>