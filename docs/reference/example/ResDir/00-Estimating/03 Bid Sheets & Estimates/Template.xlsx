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https://hedrickbrotherscom.sharepoint.com/sites/2025Projects/Shared Documents/.RESIDENTIAL TEMPLATE (MAKE SURE TO COPY NOT CUT)/00-Estimating/03 Bid Sheets &amp; Estimates/"/>
    </mc:Choice>
  </mc:AlternateContent>
  <xr:revisionPtr revIDLastSave="1437" documentId="8_{338B57DA-0D00-428B-9C07-C790DF09AE66}" xr6:coauthVersionLast="47" xr6:coauthVersionMax="47" xr10:uidLastSave="{F48468C2-21B5-45CF-B13F-CAF6E1B6D202}"/>
  <bookViews>
    <workbookView xWindow="-120" yWindow="-120" windowWidth="29040" windowHeight="15720" firstSheet="14" activeTab="19" xr2:uid="{00000000-000D-0000-FFFF-FFFF00000000}"/>
  </bookViews>
  <sheets>
    <sheet name="Qualifications and Assumptions" sheetId="3" r:id="rId1"/>
    <sheet name="RFIs" sheetId="4" r:id="rId2"/>
    <sheet name="Key" sheetId="60" state="hidden" r:id="rId3"/>
    <sheet name="Bid Tracking" sheetId="21" r:id="rId4"/>
    <sheet name="01 - Testing &amp; Surveying" sheetId="89" r:id="rId5"/>
    <sheet name="02 - Demolition" sheetId="90" r:id="rId6"/>
    <sheet name="02 - Sitework" sheetId="65" r:id="rId7"/>
    <sheet name="02 - Landscaping" sheetId="64" r:id="rId8"/>
    <sheet name="03 - Shell" sheetId="91" r:id="rId9"/>
    <sheet name="04 - Vertical Stone" sheetId="102" r:id="rId10"/>
    <sheet name="04 - Horizontal Stone" sheetId="103" r:id="rId11"/>
    <sheet name="05 - Metal Railings" sheetId="78" r:id="rId12"/>
    <sheet name="06 - Interior Trim" sheetId="84" r:id="rId13"/>
    <sheet name="06 - Interior Doors " sheetId="83" r:id="rId14"/>
    <sheet name="06 - Plastics" sheetId="93" r:id="rId15"/>
    <sheet name="07 Roofing" sheetId="105" r:id="rId16"/>
    <sheet name="07 - Insulation" sheetId="82" r:id="rId17"/>
    <sheet name="07 - Waterproofing" sheetId="88" r:id="rId18"/>
    <sheet name="08 - Glass &amp; Mirrors" sheetId="76" r:id="rId19"/>
    <sheet name="08 Windows and Doors" sheetId="77" r:id="rId20"/>
    <sheet name="08 - Garage Doors" sheetId="100" r:id="rId21"/>
    <sheet name="09 - Drywall &amp; Metal Framing " sheetId="63" r:id="rId22"/>
    <sheet name="09 - Interior Stone &amp; Tile" sheetId="62" r:id="rId23"/>
    <sheet name="09 - Wood Flooring" sheetId="66" r:id="rId24"/>
    <sheet name="09 - Stucco" sheetId="81" r:id="rId25"/>
    <sheet name="09 - Painting" sheetId="86" r:id="rId26"/>
    <sheet name="09 - Carpet" sheetId="99" r:id="rId27"/>
    <sheet name="10 - Shutters" sheetId="95" r:id="rId28"/>
    <sheet name="13 - Swimming Pools" sheetId="94" r:id="rId29"/>
    <sheet name="14 - Elevators" sheetId="104" r:id="rId30"/>
    <sheet name="15 - Plumbing" sheetId="79" r:id="rId31"/>
    <sheet name="15 HVAC" sheetId="80" r:id="rId32"/>
    <sheet name="16 - Electrical " sheetId="75" r:id="rId33"/>
  </sheets>
  <definedNames>
    <definedName name="_xlnm.Print_Area" localSheetId="17">'07 - Waterproofing'!$A$1:$C$84</definedName>
    <definedName name="_xlnm.Print_Area" localSheetId="15">'07 Roofing'!$A$1:$C$98</definedName>
    <definedName name="_xlnm.Print_Area" localSheetId="19">'08 Windows and Doors'!$A$1:$C$90</definedName>
    <definedName name="_xlnm.Print_Area" localSheetId="22">'09 - Interior Stone &amp; Tile'!$A$1:$C$99</definedName>
    <definedName name="_xlnm.Print_Area" localSheetId="31">'15 HVAC'!$A$1:$D$79</definedName>
    <definedName name="_xlnm.Print_Area" localSheetId="3">'Bid Tracking'!$A$1:$K$100</definedName>
    <definedName name="_xlnm.Print_Area" localSheetId="2">Key!$A$1:$C$39</definedName>
    <definedName name="_xlnm.Print_Area" localSheetId="0">'Qualifications and Assumptions'!$A$1:$C$55</definedName>
    <definedName name="_xlnm.Print_Area" localSheetId="1">RFIs!$A$1:$J$56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95" l="1"/>
  <c r="A35" i="95"/>
  <c r="A36" i="95"/>
  <c r="A37" i="95"/>
  <c r="A38" i="95"/>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24" i="82"/>
  <c r="A26" i="82"/>
  <c r="A27" i="82"/>
  <c r="A29" i="82"/>
  <c r="A30" i="82"/>
  <c r="A32" i="82"/>
  <c r="A33" i="82"/>
  <c r="A35" i="82"/>
  <c r="A20" i="82"/>
  <c r="A21" i="82" s="1"/>
  <c r="A19" i="78"/>
  <c r="A20" i="78"/>
  <c r="A23" i="78"/>
  <c r="A24" i="78"/>
  <c r="A27" i="78"/>
  <c r="A28" i="78"/>
  <c r="A31" i="78"/>
  <c r="A32" i="78"/>
  <c r="A35" i="78"/>
  <c r="A36" i="78"/>
  <c r="A39" i="78"/>
  <c r="A40" i="78"/>
  <c r="A43" i="78"/>
  <c r="A44" i="78"/>
  <c r="A47" i="78"/>
  <c r="A48" i="78"/>
  <c r="A51" i="78"/>
  <c r="A10" i="104"/>
  <c r="A11" i="104" s="1"/>
  <c r="A12" i="104" s="1"/>
  <c r="A13" i="104" s="1"/>
  <c r="A14" i="104" s="1"/>
  <c r="A15" i="104" s="1"/>
  <c r="A16" i="104" s="1"/>
  <c r="A17" i="104" s="1"/>
  <c r="A18" i="104" s="1"/>
  <c r="A19" i="104" s="1"/>
  <c r="A20" i="104" s="1"/>
  <c r="A21" i="104" s="1"/>
  <c r="A22" i="104" s="1"/>
  <c r="A23" i="104" s="1"/>
  <c r="A24" i="104" s="1"/>
  <c r="A25" i="104" s="1"/>
  <c r="A26" i="104" s="1"/>
  <c r="A27" i="104" s="1"/>
  <c r="A28" i="104" s="1"/>
  <c r="A29" i="104" s="1"/>
  <c r="A30" i="104" s="1"/>
  <c r="A31" i="104" s="1"/>
  <c r="A32" i="104" s="1"/>
  <c r="A33" i="104" s="1"/>
  <c r="A34" i="104" s="1"/>
  <c r="A35" i="104" s="1"/>
  <c r="A36" i="104" s="1"/>
  <c r="A37" i="104" s="1"/>
  <c r="A38" i="104" s="1"/>
  <c r="A39" i="104" s="1"/>
  <c r="A40" i="104" s="1"/>
  <c r="A41" i="104" s="1"/>
  <c r="A42" i="104" s="1"/>
  <c r="A43" i="104" s="1"/>
  <c r="A44" i="104" s="1"/>
  <c r="C44" i="104"/>
  <c r="A8" i="95"/>
  <c r="A9" i="95" s="1"/>
  <c r="A10" i="95" s="1"/>
  <c r="A11" i="95" s="1"/>
  <c r="A12" i="95" s="1"/>
  <c r="A13" i="95" s="1"/>
  <c r="A14" i="95" s="1"/>
  <c r="A15" i="95" s="1"/>
  <c r="A16" i="95" s="1"/>
  <c r="A17" i="95" s="1"/>
  <c r="A18" i="95" s="1"/>
  <c r="A19" i="95" s="1"/>
  <c r="A20" i="95" s="1"/>
  <c r="A21" i="95" s="1"/>
  <c r="A22" i="95" s="1"/>
  <c r="A23" i="95" s="1"/>
  <c r="A24" i="95" s="1"/>
  <c r="A25" i="95" s="1"/>
  <c r="A26" i="95" s="1"/>
  <c r="A27" i="95" s="1"/>
  <c r="A28" i="95" s="1"/>
  <c r="A29" i="95" s="1"/>
  <c r="A30" i="95" s="1"/>
  <c r="A31" i="95" s="1"/>
  <c r="A32" i="95" s="1"/>
  <c r="A33" i="95" s="1"/>
  <c r="C54" i="94"/>
  <c r="C114" i="91"/>
  <c r="A41" i="76"/>
  <c r="A39" i="76"/>
  <c r="A35" i="76"/>
  <c r="A9" i="82"/>
  <c r="A10" i="82"/>
  <c r="A11" i="82"/>
  <c r="A12" i="82"/>
  <c r="A13" i="82"/>
  <c r="A14" i="82"/>
  <c r="A15" i="82"/>
  <c r="A16" i="82"/>
  <c r="A17" i="82"/>
  <c r="A18" i="82"/>
  <c r="D77" i="80"/>
  <c r="C48" i="78"/>
  <c r="A8" i="78"/>
  <c r="A9" i="78" s="1"/>
  <c r="A10" i="78" s="1"/>
  <c r="A11" i="78" s="1"/>
  <c r="A12" i="78" s="1"/>
  <c r="A13" i="78" s="1"/>
  <c r="A14" i="78" s="1"/>
  <c r="A15" i="78" s="1"/>
  <c r="A16" i="78" s="1"/>
  <c r="C86" i="77"/>
  <c r="A8" i="76"/>
  <c r="A9" i="76" s="1"/>
  <c r="A10" i="76" s="1"/>
  <c r="A11" i="76" s="1"/>
  <c r="A12" i="76" s="1"/>
  <c r="A13" i="76" s="1"/>
  <c r="A14" i="76" s="1"/>
  <c r="A15" i="76" s="1"/>
  <c r="A16" i="76" s="1"/>
  <c r="A17" i="76" s="1"/>
  <c r="A18" i="76" s="1"/>
  <c r="A19" i="76" s="1"/>
  <c r="A20" i="76" s="1"/>
  <c r="A21" i="76" s="1"/>
  <c r="A22" i="76" s="1"/>
  <c r="A23" i="76" s="1"/>
  <c r="A24" i="76" s="1"/>
  <c r="A25" i="76" s="1"/>
  <c r="A26" i="76" s="1"/>
  <c r="A27" i="76" s="1"/>
  <c r="A28" i="76" s="1"/>
  <c r="A29" i="76" s="1"/>
  <c r="A30" i="76" s="1"/>
  <c r="A31" i="76" s="1"/>
  <c r="A32" i="76" s="1"/>
  <c r="A33" i="76" s="1"/>
  <c r="C72" i="66"/>
  <c r="A10" i="66"/>
  <c r="A11" i="66" s="1"/>
  <c r="A12" i="66" s="1"/>
  <c r="A13" i="66" s="1"/>
  <c r="A14" i="66" s="1"/>
  <c r="A15" i="66" s="1"/>
  <c r="A16" i="66" s="1"/>
  <c r="A17" i="66" s="1"/>
  <c r="A18" i="66" s="1"/>
  <c r="A19" i="66" s="1"/>
  <c r="C75" i="65"/>
  <c r="C88" i="65" s="1"/>
  <c r="C85" i="63"/>
  <c r="C32" i="60" l="1"/>
  <c r="C29" i="60"/>
  <c r="A7" i="60"/>
  <c r="A8" i="60" s="1"/>
  <c r="A9" i="60" s="1"/>
  <c r="A10" i="60" s="1"/>
  <c r="A11" i="60" s="1"/>
  <c r="A12" i="60" s="1"/>
  <c r="A13" i="60" s="1"/>
  <c r="A14" i="60" s="1"/>
  <c r="A15" i="60" s="1"/>
  <c r="A16" i="60" s="1"/>
  <c r="A17" i="60" s="1"/>
  <c r="C34" i="6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tc={E0774219-88EF-43B9-8825-84992240F92D}</author>
    <author>tc={1B392BB8-27F7-4159-85F4-8FEC9EC27E25}</author>
  </authors>
  <commentList>
    <comment ref="F193" authorId="0" shapeId="0" xr:uid="{E0774219-88EF-43B9-8825-84992240F92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@Ethan Root Try this number. Looks like the last one had a typo. </t>
      </text>
    </comment>
    <comment ref="D299" authorId="1" shapeId="0" xr:uid="{1B392BB8-27F7-4159-85F4-8FEC9EC27E2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@Ethan Root Add new sub to bidders please. TY! 
Reply:
    yessir</t>
      </text>
    </comment>
  </commentList>
</comments>
</file>

<file path=xl/sharedStrings.xml><?xml version="1.0" encoding="utf-8"?>
<sst xmlns="http://schemas.openxmlformats.org/spreadsheetml/2006/main" count="10985" uniqueCount="1288">
  <si>
    <t>PROJECT NAME
Job #
DATE</t>
  </si>
  <si>
    <t>#</t>
  </si>
  <si>
    <t>CSI</t>
  </si>
  <si>
    <t>Qualifications and Assumptions</t>
  </si>
  <si>
    <t>Topic</t>
  </si>
  <si>
    <t>Question</t>
  </si>
  <si>
    <t>Asking</t>
  </si>
  <si>
    <t>Sent</t>
  </si>
  <si>
    <t>To</t>
  </si>
  <si>
    <t xml:space="preserve">Answer </t>
  </si>
  <si>
    <t>Response Received</t>
  </si>
  <si>
    <t>Forwarded</t>
  </si>
  <si>
    <t>RFI SET 1</t>
  </si>
  <si>
    <t>Hedrick Brothers</t>
  </si>
  <si>
    <t>SUBCONTRACTOR BID SUMMARY MATRIX</t>
  </si>
  <si>
    <t>{Name}</t>
  </si>
  <si>
    <t>SAMPLE</t>
  </si>
  <si>
    <t>{Company Name}</t>
  </si>
  <si>
    <t>{Phone}</t>
  </si>
  <si>
    <t>{Bid Date}</t>
  </si>
  <si>
    <t>Description</t>
  </si>
  <si>
    <t>All work and material for this scope required by the plans, and specifications.</t>
  </si>
  <si>
    <t>All necessary permits, if required by your scope of work.</t>
  </si>
  <si>
    <t>All necessary licenses.</t>
  </si>
  <si>
    <t xml:space="preserve">All necessary insurance requirements.   </t>
  </si>
  <si>
    <t>Provide all Warranty's as required per the contract documents.</t>
  </si>
  <si>
    <t>All material, equipment, tools, and manpower for a complete scope of work.</t>
  </si>
  <si>
    <t>All required shop drawings, submittals, and samples.</t>
  </si>
  <si>
    <t>Coordination of your work with other sub-contractors as required.</t>
  </si>
  <si>
    <t>Include tax in the lump sum price.</t>
  </si>
  <si>
    <t>Daily clean up of generated debris.</t>
  </si>
  <si>
    <t>Per _____ Drawing Set Dated _____</t>
  </si>
  <si>
    <t>Price By Sub</t>
  </si>
  <si>
    <t>Black Font</t>
  </si>
  <si>
    <t>Allowance/Budget # By Sub</t>
  </si>
  <si>
    <t>Italic Purple Font</t>
  </si>
  <si>
    <t>Allowance/Budget # By HB</t>
  </si>
  <si>
    <t>Blue Italic Font</t>
  </si>
  <si>
    <t>Unvetted #</t>
  </si>
  <si>
    <t>Red Font</t>
  </si>
  <si>
    <t>Exclusion</t>
  </si>
  <si>
    <t>Excluded</t>
  </si>
  <si>
    <t>SUBTOTAL</t>
  </si>
  <si>
    <t>ALTERNATES</t>
  </si>
  <si>
    <t xml:space="preserve"> </t>
  </si>
  <si>
    <t xml:space="preserve">HB RECOMMENDS: </t>
  </si>
  <si>
    <t>EXCLUSIONS/QUALIFICATIONS</t>
  </si>
  <si>
    <t>Bessemer Trust 
JOB #</t>
  </si>
  <si>
    <t>Bid Tracking</t>
  </si>
  <si>
    <t>Scope</t>
  </si>
  <si>
    <t>Company</t>
  </si>
  <si>
    <t>Contact</t>
  </si>
  <si>
    <t>Cell</t>
  </si>
  <si>
    <t>Office</t>
  </si>
  <si>
    <t>Email</t>
  </si>
  <si>
    <t>Status</t>
  </si>
  <si>
    <t>Last Correspondence</t>
  </si>
  <si>
    <t>Notes</t>
  </si>
  <si>
    <t>Feedback</t>
  </si>
  <si>
    <t>Structural Steel</t>
  </si>
  <si>
    <t>Insulation</t>
  </si>
  <si>
    <t>Interior Doors</t>
  </si>
  <si>
    <t>Stucco</t>
  </si>
  <si>
    <t>Division 02 - Earthwork &amp; Site Drainage</t>
  </si>
  <si>
    <t>{Enter Company Name Here}</t>
  </si>
  <si>
    <t>{Contact Name}</t>
  </si>
  <si>
    <t>{Phone number}</t>
  </si>
  <si>
    <t>Indicate with
Included/Excluded
Below</t>
  </si>
  <si>
    <t>Warranty's as specified in the contract documents</t>
  </si>
  <si>
    <t>Daily cleanup of generated debris.</t>
  </si>
  <si>
    <t>All quotes should include any applicable travel costs for off-site parking as there will be limited parking on site.</t>
  </si>
  <si>
    <r>
      <t>Civil drawings:</t>
    </r>
    <r>
      <rPr>
        <b/>
        <sz val="10"/>
        <color rgb="FFFF0000"/>
        <rFont val="Calibri"/>
        <family val="2"/>
        <scheme val="minor"/>
      </rPr>
      <t xml:space="preserve"> INSERT PAGE #</t>
    </r>
    <r>
      <rPr>
        <sz val="10"/>
        <rFont val="Calibri"/>
        <family val="2"/>
        <scheme val="minor"/>
      </rPr>
      <t xml:space="preserve"> dated </t>
    </r>
    <r>
      <rPr>
        <b/>
        <sz val="10"/>
        <color rgb="FFFF0000"/>
        <rFont val="Calibri"/>
        <family val="2"/>
        <scheme val="minor"/>
      </rPr>
      <t>INSERT DATE</t>
    </r>
  </si>
  <si>
    <r>
      <t xml:space="preserve">Architectural Drawings dated </t>
    </r>
    <r>
      <rPr>
        <b/>
        <sz val="10"/>
        <color rgb="FFFF0000"/>
        <rFont val="Calibri"/>
        <family val="2"/>
        <scheme val="minor"/>
      </rPr>
      <t>INSERT DATE</t>
    </r>
  </si>
  <si>
    <r>
      <t xml:space="preserve">Structural Drawings Dated </t>
    </r>
    <r>
      <rPr>
        <b/>
        <sz val="10"/>
        <color rgb="FFFF0000"/>
        <rFont val="Calibri"/>
        <family val="2"/>
        <scheme val="minor"/>
      </rPr>
      <t>INSERT DATE</t>
    </r>
  </si>
  <si>
    <r>
      <t xml:space="preserve">Topographical Survey dated </t>
    </r>
    <r>
      <rPr>
        <b/>
        <sz val="10"/>
        <color rgb="FFFF0000"/>
        <rFont val="Calibri"/>
        <family val="2"/>
        <scheme val="minor"/>
      </rPr>
      <t>INSERT DATE</t>
    </r>
  </si>
  <si>
    <t>Permit Fees by Owner</t>
  </si>
  <si>
    <t>Earthwork</t>
  </si>
  <si>
    <t>Mobilizations</t>
  </si>
  <si>
    <t>Erosion Control</t>
  </si>
  <si>
    <t>Silt Fence</t>
  </si>
  <si>
    <t xml:space="preserve">Maintenance of Silt Fence Throughout Project </t>
  </si>
  <si>
    <t>Layout and Surveying</t>
  </si>
  <si>
    <t>Demolition of Existing Site Drainage, Manholes and Piping</t>
  </si>
  <si>
    <t>MOT &amp; Permitting</t>
  </si>
  <si>
    <t>Construction Entrance</t>
  </si>
  <si>
    <t xml:space="preserve">Construction Entrance Maintenance </t>
  </si>
  <si>
    <t>Maintenance of parking area for duration of job</t>
  </si>
  <si>
    <t>Aggregate for Auxiliary construction entrance</t>
  </si>
  <si>
    <t>Asphalt first 25' of main construction entrance</t>
  </si>
  <si>
    <t>Asphalt first 25' of auxiliary construction entrance</t>
  </si>
  <si>
    <t>Inlet Protection</t>
  </si>
  <si>
    <t>Tree Protection</t>
  </si>
  <si>
    <t>Grass Stripping</t>
  </si>
  <si>
    <t>Sand Excavation</t>
  </si>
  <si>
    <t>Hard Rock Excavation in Building Footprint</t>
  </si>
  <si>
    <t>Hard Rock Excavation Outside Building Footprint</t>
  </si>
  <si>
    <t>Hard Rock Excavation Outside Sitewalls</t>
  </si>
  <si>
    <t>Removal of Spoils and Replacement with #1 Clean Fill</t>
  </si>
  <si>
    <r>
      <rPr>
        <sz val="10"/>
        <color rgb="FF000000"/>
        <rFont val="Calibri"/>
        <family val="2"/>
        <scheme val="minor"/>
      </rPr>
      <t xml:space="preserve">Import fill, and grade to stucco grade - </t>
    </r>
    <r>
      <rPr>
        <sz val="10"/>
        <color rgb="FFFF0000"/>
        <rFont val="Calibri"/>
        <family val="2"/>
        <scheme val="minor"/>
      </rPr>
      <t xml:space="preserve"> </t>
    </r>
    <r>
      <rPr>
        <b/>
        <sz val="10"/>
        <color rgb="FFFF0000"/>
        <rFont val="Calibri"/>
        <family val="2"/>
        <scheme val="minor"/>
      </rPr>
      <t xml:space="preserve">Actual import quantity to be tracked and billed per truckload. </t>
    </r>
  </si>
  <si>
    <r>
      <rPr>
        <sz val="10"/>
        <color rgb="FF000000"/>
        <rFont val="Calibri"/>
        <family val="2"/>
        <scheme val="minor"/>
      </rPr>
      <t xml:space="preserve">Import DEP approved fill -  </t>
    </r>
    <r>
      <rPr>
        <b/>
        <sz val="10"/>
        <color rgb="FFFF0000"/>
        <rFont val="Calibri"/>
        <family val="2"/>
        <scheme val="minor"/>
      </rPr>
      <t xml:space="preserve">Actual import quantity to be tracked and billed per truckload. </t>
    </r>
  </si>
  <si>
    <t>Site Grade Rough</t>
  </si>
  <si>
    <t>Site Grade Final</t>
  </si>
  <si>
    <t xml:space="preserve">Finish Grade +/- .2' machine finish grade - 2 times only </t>
  </si>
  <si>
    <t>Removal &amp; disposal of rock and fabric at end of job</t>
  </si>
  <si>
    <t xml:space="preserve">Downtime or delays due to archeological discoveries not included. Assuming materials can be stockpiled for sifting by archaeologist as needed. Handing digging of archaeological discoveries not included. </t>
  </si>
  <si>
    <t>Storm Drainage</t>
  </si>
  <si>
    <t>Nyoplast Drains</t>
  </si>
  <si>
    <t>Pipe and Fittings</t>
  </si>
  <si>
    <t>Area Drains</t>
  </si>
  <si>
    <t>Trench Drains</t>
  </si>
  <si>
    <r>
      <rPr>
        <sz val="10"/>
        <color rgb="FF000000"/>
        <rFont val="Calibri"/>
        <family val="2"/>
        <scheme val="minor"/>
      </rPr>
      <t xml:space="preserve">Deck Drains Allowance - </t>
    </r>
    <r>
      <rPr>
        <b/>
        <sz val="10"/>
        <color rgb="FFFF0000"/>
        <rFont val="Calibri"/>
        <family val="2"/>
        <scheme val="minor"/>
      </rPr>
      <t xml:space="preserve">Style TBD </t>
    </r>
  </si>
  <si>
    <t>Stainless Steel driveway drain</t>
  </si>
  <si>
    <t>Exfiltration Area with Perf Pipe</t>
  </si>
  <si>
    <t>Clean and Final Storm Drainage</t>
  </si>
  <si>
    <r>
      <rPr>
        <sz val="10"/>
        <color rgb="FF000000"/>
        <rFont val="Calibri"/>
        <family val="2"/>
        <scheme val="minor"/>
      </rPr>
      <t xml:space="preserve">Roof Leader Tie-in per plan 5' from outside building- </t>
    </r>
    <r>
      <rPr>
        <sz val="10"/>
        <color rgb="FFFF0000"/>
        <rFont val="Calibri"/>
        <family val="2"/>
        <scheme val="minor"/>
      </rPr>
      <t>No Specialty Transition shown/included currently</t>
    </r>
  </si>
  <si>
    <t xml:space="preserve">Condensate Lines Tie-In 5' from outside building </t>
  </si>
  <si>
    <t>Deck Drain Tie in</t>
  </si>
  <si>
    <t>Planter Drain Tie in Allowance</t>
  </si>
  <si>
    <t>Planter Drainage and Fill- In Landscaping Package</t>
  </si>
  <si>
    <t>Pool overflow stub up</t>
  </si>
  <si>
    <t xml:space="preserve">Dewatering </t>
  </si>
  <si>
    <t>All piping, fittings, and mud work</t>
  </si>
  <si>
    <t xml:space="preserve">SUBTOTAL </t>
  </si>
  <si>
    <t xml:space="preserve">Allowances to be Included in this or other Scopes of Work </t>
  </si>
  <si>
    <r>
      <rPr>
        <sz val="10"/>
        <color rgb="FF000000"/>
        <rFont val="Calibri"/>
        <family val="2"/>
        <scheme val="minor"/>
      </rPr>
      <t xml:space="preserve">12" Compacted Subgrade at </t>
    </r>
    <r>
      <rPr>
        <b/>
        <sz val="10"/>
        <color rgb="FFFF0000"/>
        <rFont val="Calibri"/>
        <family val="2"/>
        <scheme val="minor"/>
      </rPr>
      <t>DRIVEWAYS</t>
    </r>
  </si>
  <si>
    <t xml:space="preserve">Grass Pave </t>
  </si>
  <si>
    <t>Walkways and Unsupported Hardscape Subgrade Allowance</t>
  </si>
  <si>
    <t xml:space="preserve">Domestic Water Connection </t>
  </si>
  <si>
    <t>Fire Main Connection and Service to Building</t>
  </si>
  <si>
    <t>Open Cut Trench Repair</t>
  </si>
  <si>
    <t xml:space="preserve">1" Mill and Overlay Existing Roadway if New Sewer Lateral or Main is required (50' each side/direction of the lane) </t>
  </si>
  <si>
    <t>Planter Fill Allowance</t>
  </si>
  <si>
    <t xml:space="preserve">Sub-surface Injection Wells </t>
  </si>
  <si>
    <t xml:space="preserve">Misc Site Trenching @ $35/lf Allowance </t>
  </si>
  <si>
    <t xml:space="preserve">TOTAL BID </t>
  </si>
  <si>
    <t>HB RECOMMENDS</t>
  </si>
  <si>
    <t>Division 02 - Landscaping</t>
  </si>
  <si>
    <t> </t>
  </si>
  <si>
    <t>All quotes should include any applicable travel costs for off-site parking as there will be no parking on site.</t>
  </si>
  <si>
    <t>Furnish &amp; installation all trees ground cover &amp; sod per specifications</t>
  </si>
  <si>
    <t>Furnish &amp; install soil amendments per specifications</t>
  </si>
  <si>
    <t>Final grade and soil preparation will be by landscape contractor</t>
  </si>
  <si>
    <t>Furnish &amp; Install of a Design build irrigation system to be included</t>
  </si>
  <si>
    <t>Pump system for irrigation to be included. Well has already been drilled.</t>
  </si>
  <si>
    <t xml:space="preserve">All areas to receive sod are to be laser graded </t>
  </si>
  <si>
    <t>Responsible for all machinery and cranes required for installation of material</t>
  </si>
  <si>
    <t>Responsible for all trucking and transportation of materials to site and any DOT and MOT permits</t>
  </si>
  <si>
    <r>
      <t>Install all tree bracing as per plans:</t>
    </r>
    <r>
      <rPr>
        <b/>
        <sz val="10"/>
        <color rgb="FFFF0000"/>
        <rFont val="Calibri"/>
        <family val="2"/>
        <scheme val="minor"/>
      </rPr>
      <t xml:space="preserve"> LIST DETAIL</t>
    </r>
  </si>
  <si>
    <t>PLANT LIST</t>
  </si>
  <si>
    <t>TREES &amp; PALMS RELOCATED FROM ON SITE</t>
  </si>
  <si>
    <t xml:space="preserve">QTY         </t>
  </si>
  <si>
    <t>SYM</t>
  </si>
  <si>
    <t>Botanical Name</t>
  </si>
  <si>
    <t>Common Name</t>
  </si>
  <si>
    <t>Specification</t>
  </si>
  <si>
    <t>Unit Cost</t>
  </si>
  <si>
    <t>Total Cost</t>
  </si>
  <si>
    <t xml:space="preserve"> $                      -  </t>
  </si>
  <si>
    <t>EXISTING TREES/PALMS TO REMAIN</t>
  </si>
  <si>
    <t xml:space="preserve">QTY </t>
  </si>
  <si>
    <t xml:space="preserve">SYM </t>
  </si>
  <si>
    <t>CANOPY</t>
  </si>
  <si>
    <t>QTY</t>
  </si>
  <si>
    <t>PALMS</t>
  </si>
  <si>
    <t>UNDERSTORY TREES / LARGE SHRUBS</t>
  </si>
  <si>
    <t>ACCENTS</t>
  </si>
  <si>
    <t>VINES</t>
  </si>
  <si>
    <t>GROUNDCOVERS</t>
  </si>
  <si>
    <t>TURF/SOD</t>
  </si>
  <si>
    <t>Pre-treat all sod areas with Roundup 10 days prior to sod install</t>
  </si>
  <si>
    <t>Laser grading</t>
  </si>
  <si>
    <t>Treatment of sod with a pre-emergent and fertilizer</t>
  </si>
  <si>
    <t>Compaction of Soil prior to sod install</t>
  </si>
  <si>
    <t>1/4" Ortona sand top dress sod &amp; water in</t>
  </si>
  <si>
    <t>Treatment of sod with insecticide &amp; fertilizer 30 days after sod install</t>
  </si>
  <si>
    <t>Artificial turf and / or putting greens</t>
  </si>
  <si>
    <t>IRRIGATION</t>
  </si>
  <si>
    <t>Design-Build Irrigation System</t>
  </si>
  <si>
    <t>Irrigation well pump system - well has already been drilled by others</t>
  </si>
  <si>
    <t>Irrigation required for planters and pots</t>
  </si>
  <si>
    <t>Temporary Irrigation</t>
  </si>
  <si>
    <t>Irrigation Sleeves</t>
  </si>
  <si>
    <t>Irrigation in Trees "Whirly Birds"</t>
  </si>
  <si>
    <t>Irrigation Coordination with other Trades</t>
  </si>
  <si>
    <t>SOIL &amp; MULCH</t>
  </si>
  <si>
    <t>Planting Soil - 2" avg for entire landscape area</t>
  </si>
  <si>
    <t>Mulch - 3" on top of planting</t>
  </si>
  <si>
    <t>Site Prep</t>
  </si>
  <si>
    <t>Fertilizer</t>
  </si>
  <si>
    <t>Root Barrier</t>
  </si>
  <si>
    <t>All trees to be staked per specifications</t>
  </si>
  <si>
    <t>All equipment for placement of tress and other plant materials is by landscape contractor</t>
  </si>
  <si>
    <t>Crane Allowance</t>
  </si>
  <si>
    <t>GRAND TOTAL</t>
  </si>
  <si>
    <t>Division 03 - Shell</t>
  </si>
  <si>
    <t>Site &amp; Hardscape</t>
  </si>
  <si>
    <t xml:space="preserve">Concrete header curb per Civil drawings                                                     </t>
  </si>
  <si>
    <t xml:space="preserve">Site Walls </t>
  </si>
  <si>
    <t>equipment enclosure</t>
  </si>
  <si>
    <t xml:space="preserve">Concrete slab for pavers at entry                                       </t>
  </si>
  <si>
    <t xml:space="preserve">Lawn steps - footings only                                                     </t>
  </si>
  <si>
    <t xml:space="preserve">Pool Deck                                                                                  </t>
  </si>
  <si>
    <t>Driveway - EXCLUDED</t>
  </si>
  <si>
    <t xml:space="preserve">Survey &amp; Layout                                                                                                                                                 </t>
  </si>
  <si>
    <t>Entry Gate Piers and New Foundations</t>
  </si>
  <si>
    <t>Soil Poison Included for All Slabs on Grade Adjacent to buildings</t>
  </si>
  <si>
    <t xml:space="preserve">Concrete                                                                                                                                     </t>
  </si>
  <si>
    <t>Foundation formwork</t>
  </si>
  <si>
    <t xml:space="preserve">Pile supervision </t>
  </si>
  <si>
    <t xml:space="preserve">Pile Spoils clean up and disposal </t>
  </si>
  <si>
    <t>Plumbing backfill</t>
  </si>
  <si>
    <t>Grade beam foundation typical</t>
  </si>
  <si>
    <t>Poured stem wall @ 1st level slab on grade</t>
  </si>
  <si>
    <r>
      <rPr>
        <b/>
        <sz val="10"/>
        <color rgb="FFFF0000"/>
        <rFont val="Calibri"/>
        <family val="2"/>
      </rPr>
      <t>6</t>
    </r>
    <r>
      <rPr>
        <sz val="10"/>
        <color rgb="FF000000"/>
        <rFont val="Calibri"/>
        <family val="2"/>
      </rPr>
      <t xml:space="preserve">” thick slab on </t>
    </r>
    <r>
      <rPr>
        <b/>
        <sz val="10"/>
        <color rgb="FFFF0000"/>
        <rFont val="Calibri"/>
        <family val="2"/>
      </rPr>
      <t>10</t>
    </r>
    <r>
      <rPr>
        <sz val="10"/>
        <color rgb="FF000000"/>
        <rFont val="Calibri"/>
        <family val="2"/>
      </rPr>
      <t xml:space="preserve"> mil visqueen with #</t>
    </r>
    <r>
      <rPr>
        <b/>
        <sz val="10"/>
        <color rgb="FFFF0000"/>
        <rFont val="Calibri"/>
        <family val="2"/>
      </rPr>
      <t xml:space="preserve">4 </t>
    </r>
    <r>
      <rPr>
        <sz val="10"/>
        <color rgb="FF000000"/>
        <rFont val="Calibri"/>
        <family val="2"/>
      </rPr>
      <t xml:space="preserve">rebar mat </t>
    </r>
  </si>
  <si>
    <t>Liquid membrane curing compound to be applied after finishing</t>
  </si>
  <si>
    <t>Replacement of concrete sidewalks at entrance drives &amp; infill at existing drive</t>
  </si>
  <si>
    <t>Termite treatment</t>
  </si>
  <si>
    <t xml:space="preserve">Concrete equipment pads - interior &amp; exterior </t>
  </si>
  <si>
    <t>Concrete stairs Exterior</t>
  </si>
  <si>
    <t>Concrete pathways / walkways incl. ramped steps (broom finish)</t>
  </si>
  <si>
    <t xml:space="preserve">Concrete sub-slab at paving </t>
  </si>
  <si>
    <r>
      <rPr>
        <sz val="10"/>
        <color rgb="FF000000"/>
        <rFont val="Calibri"/>
        <family val="2"/>
      </rPr>
      <t xml:space="preserve">Concrete sub-slab at </t>
    </r>
    <r>
      <rPr>
        <b/>
        <sz val="10"/>
        <color rgb="FFFF0000"/>
        <rFont val="Calibri"/>
        <family val="2"/>
      </rPr>
      <t>IPE</t>
    </r>
    <r>
      <rPr>
        <sz val="10"/>
        <color rgb="FF000000"/>
        <rFont val="Calibri"/>
        <family val="2"/>
      </rPr>
      <t xml:space="preserve"> deck to exterior shower </t>
    </r>
  </si>
  <si>
    <t>Concrete footings for exterior shower post's</t>
  </si>
  <si>
    <t xml:space="preserve">Low walls / planter walls </t>
  </si>
  <si>
    <t>CMU/Conc. Col./piers at site  walls</t>
  </si>
  <si>
    <t>Mechanical Yard CMU/Conc. Structure, including conc. Stairs &amp; equip. pads</t>
  </si>
  <si>
    <t>Curing compound and sealers , inclde add mixes and waterproofing mixes</t>
  </si>
  <si>
    <t xml:space="preserve">Beams </t>
  </si>
  <si>
    <t xml:space="preserve">Haunch beams </t>
  </si>
  <si>
    <t xml:space="preserve">Poured in place columns </t>
  </si>
  <si>
    <t>Filled cells</t>
  </si>
  <si>
    <t>Poured in place decks</t>
  </si>
  <si>
    <t>Poured in place concrete walls</t>
  </si>
  <si>
    <t xml:space="preserve">Poured Stairs </t>
  </si>
  <si>
    <t>Formwork / Termite Spray &amp; Compaction / Prep / Pump / Place / Finish</t>
  </si>
  <si>
    <t>Prep / Pump / Place / Finish</t>
  </si>
  <si>
    <t>Safety rails will be installed as required</t>
  </si>
  <si>
    <r>
      <rPr>
        <b/>
        <sz val="10"/>
        <color rgb="FFFF0000"/>
        <rFont val="Calibri"/>
        <family val="2"/>
      </rPr>
      <t>6,000</t>
    </r>
    <r>
      <rPr>
        <sz val="10"/>
        <color rgb="FF000000"/>
        <rFont val="Calibri"/>
        <family val="2"/>
      </rPr>
      <t xml:space="preserve"> PSI Concrete</t>
    </r>
  </si>
  <si>
    <t>Engineered Shoring drawings with inspection supplied</t>
  </si>
  <si>
    <t>Rebar per Structural Engineer Drawings specs</t>
  </si>
  <si>
    <t>Masonry</t>
  </si>
  <si>
    <t>Layout</t>
  </si>
  <si>
    <t>Contractor provides written MO on plans to corresponding location</t>
  </si>
  <si>
    <t>Include all block, lintels, hardware</t>
  </si>
  <si>
    <t>High Strength block Excluded</t>
  </si>
  <si>
    <t>Struck or tooled joints -Excluded</t>
  </si>
  <si>
    <t>Structural Steel - Supply and Install</t>
  </si>
  <si>
    <t>Supply and Install Red Iron</t>
  </si>
  <si>
    <r>
      <rPr>
        <sz val="10"/>
        <color rgb="FF000000"/>
        <rFont val="Calibri"/>
        <family val="2"/>
      </rPr>
      <t>Hot-Dipped Galvanized, Red-Primed or Stainless Steel</t>
    </r>
    <r>
      <rPr>
        <b/>
        <sz val="10"/>
        <color rgb="FFFF0000"/>
        <rFont val="Calibri"/>
        <family val="2"/>
      </rPr>
      <t xml:space="preserve"> </t>
    </r>
    <r>
      <rPr>
        <sz val="10"/>
        <color rgb="FF000000"/>
        <rFont val="Calibri"/>
        <family val="2"/>
      </rPr>
      <t>as required</t>
    </r>
  </si>
  <si>
    <t>Columns</t>
  </si>
  <si>
    <t>Embeds</t>
  </si>
  <si>
    <t>Buckets</t>
  </si>
  <si>
    <t xml:space="preserve">Provide Steel Plates at Door Headers &amp; Columns </t>
  </si>
  <si>
    <t xml:space="preserve">Provide Temporary Steel Bracing &amp; Shoring </t>
  </si>
  <si>
    <t>Rough Carpentry</t>
  </si>
  <si>
    <r>
      <rPr>
        <sz val="10"/>
        <color rgb="FF000000"/>
        <rFont val="Calibri"/>
        <family val="2"/>
      </rPr>
      <t xml:space="preserve">Pre Engineered Trusses     Furnish and install                                                                                                                          </t>
    </r>
    <r>
      <rPr>
        <b/>
        <sz val="10"/>
        <color rgb="FF000000"/>
        <rFont val="Calibri"/>
        <family val="2"/>
      </rPr>
      <t xml:space="preserve"> </t>
    </r>
  </si>
  <si>
    <t>Garage Door Bucks</t>
  </si>
  <si>
    <t>Installation of Truss Hardware and Engineering Lumber</t>
  </si>
  <si>
    <t xml:space="preserve">Fascia Board </t>
  </si>
  <si>
    <r>
      <rPr>
        <sz val="10"/>
        <color rgb="FF000000"/>
        <rFont val="Calibri"/>
        <family val="2"/>
      </rPr>
      <t xml:space="preserve">Roof Sheathing - </t>
    </r>
    <r>
      <rPr>
        <b/>
        <sz val="10"/>
        <color rgb="FFFF0000"/>
        <rFont val="Calibri"/>
        <family val="2"/>
      </rPr>
      <t>¾” CDX</t>
    </r>
  </si>
  <si>
    <t>Hand-Framed LVL beams and rafters</t>
  </si>
  <si>
    <t>Sheathing at Mech Attic Portals</t>
  </si>
  <si>
    <t xml:space="preserve"> floor wood floor truss 3"x8" stiffiners </t>
  </si>
  <si>
    <t>Wood Framed stairs</t>
  </si>
  <si>
    <t xml:space="preserve">Structual Outlookers , exposed beams, pergola. structural decking </t>
  </si>
  <si>
    <t xml:space="preserve">Survey                                                                                                                                                                 </t>
  </si>
  <si>
    <t xml:space="preserve">Soils Testing                                                                                                                                                      </t>
  </si>
  <si>
    <t xml:space="preserve">Concrete testing                                                                                                                                                </t>
  </si>
  <si>
    <t xml:space="preserve">HB Layout &amp; Coordination                                                                                                                               </t>
  </si>
  <si>
    <r>
      <rPr>
        <sz val="10"/>
        <color rgb="FF000000"/>
        <rFont val="Calibri"/>
        <family val="2"/>
      </rPr>
      <t xml:space="preserve">Concrete Floor protection                                                                      </t>
    </r>
    <r>
      <rPr>
        <b/>
        <sz val="10"/>
        <color rgb="FF000000"/>
        <rFont val="Calibri"/>
        <family val="2"/>
      </rPr>
      <t xml:space="preserve">  </t>
    </r>
  </si>
  <si>
    <t>Division 04 - Vertical Stone</t>
  </si>
  <si>
    <t>Labor &amp; equipment for unloading and handling materials.</t>
  </si>
  <si>
    <t>Finish Samples &amp; Mock Ups.</t>
  </si>
  <si>
    <t>Stainless steel reinforcing &amp; fasteners.</t>
  </si>
  <si>
    <t>Paving material &amp; install.</t>
  </si>
  <si>
    <t>Equipment and Hardware (Custom Fastening Hardware, Equipment Rental, Flagmen).</t>
  </si>
  <si>
    <t>Engineering.</t>
  </si>
  <si>
    <t>Installation.</t>
  </si>
  <si>
    <t>Weather Protection; Protection of Installed Materials.</t>
  </si>
  <si>
    <t>Paint Prep allowance.</t>
  </si>
  <si>
    <t>Scaffolding.</t>
  </si>
  <si>
    <t>Cleaning of Stone.</t>
  </si>
  <si>
    <t>Delivery.</t>
  </si>
  <si>
    <t>Import Duties + Sales Tax.</t>
  </si>
  <si>
    <t>Sealer; Seal all stone with Drytreat 40SK (all sides).</t>
  </si>
  <si>
    <t>1/4" plastic Weeps 24" on center.</t>
  </si>
  <si>
    <t>No vertical seams on columns.</t>
  </si>
  <si>
    <t>Labor, shoring, additional welding for stainless steel columns inside of stone columns.</t>
  </si>
  <si>
    <t>High strength, non-shrink, non-corrosive Pre-mixed Grout.</t>
  </si>
  <si>
    <t>Veneer ties, stone dowels, structural lintels, and other attachments as needed.</t>
  </si>
  <si>
    <t>Warranty on cast stone materials.</t>
  </si>
  <si>
    <t>1-year warranty on labor.</t>
  </si>
  <si>
    <t>Stone work to be sealed on all six sides prior to installation.</t>
  </si>
  <si>
    <t>Column seams to be made ready for paint.</t>
  </si>
  <si>
    <r>
      <rPr>
        <b/>
        <sz val="10"/>
        <color rgb="FF000000"/>
        <rFont val="Calibri"/>
        <family val="2"/>
        <scheme val="minor"/>
      </rPr>
      <t xml:space="preserve">VERTICAL WORK - </t>
    </r>
    <r>
      <rPr>
        <b/>
        <sz val="10"/>
        <color rgb="FFFF0000"/>
        <rFont val="Calibri"/>
        <family val="2"/>
        <scheme val="minor"/>
      </rPr>
      <t>CAST / NATURAL</t>
    </r>
  </si>
  <si>
    <t>COLUMNS</t>
  </si>
  <si>
    <r>
      <rPr>
        <b/>
        <sz val="10"/>
        <color rgb="FF000000"/>
        <rFont val="Calibri"/>
        <family val="2"/>
        <scheme val="minor"/>
      </rPr>
      <t xml:space="preserve">Finish: </t>
    </r>
    <r>
      <rPr>
        <b/>
        <sz val="10"/>
        <color rgb="FFFF0000"/>
        <rFont val="Calibri"/>
        <family val="2"/>
        <scheme val="minor"/>
      </rPr>
      <t xml:space="preserve">Smooth White / Soda Finish </t>
    </r>
    <r>
      <rPr>
        <b/>
        <sz val="10"/>
        <color rgb="FF000000"/>
        <rFont val="Calibri"/>
        <family val="2"/>
        <scheme val="minor"/>
      </rPr>
      <t xml:space="preserve">- paint grade </t>
    </r>
  </si>
  <si>
    <r>
      <rPr>
        <b/>
        <sz val="10"/>
        <color rgb="FFFF0000"/>
        <rFont val="Calibri"/>
        <family val="2"/>
        <scheme val="minor"/>
      </rPr>
      <t>(X#) Round</t>
    </r>
    <r>
      <rPr>
        <sz val="10"/>
        <color rgb="FF000000"/>
        <rFont val="Calibri"/>
        <family val="2"/>
        <scheme val="minor"/>
      </rPr>
      <t xml:space="preserve"> </t>
    </r>
    <r>
      <rPr>
        <b/>
        <sz val="10"/>
        <color rgb="FFFF0000"/>
        <rFont val="Calibri"/>
        <family val="2"/>
        <scheme val="minor"/>
      </rPr>
      <t xml:space="preserve">/ Straight / Square (X" </t>
    </r>
    <r>
      <rPr>
        <b/>
        <sz val="10"/>
        <color rgb="FF000000"/>
        <rFont val="Calibri"/>
        <family val="2"/>
        <scheme val="minor"/>
      </rPr>
      <t>X</t>
    </r>
    <r>
      <rPr>
        <b/>
        <sz val="10"/>
        <color rgb="FFFF0000"/>
        <rFont val="Calibri"/>
        <family val="2"/>
        <scheme val="minor"/>
      </rPr>
      <t xml:space="preserve"> X"); Corner / Engaged</t>
    </r>
  </si>
  <si>
    <r>
      <rPr>
        <b/>
        <sz val="10"/>
        <color rgb="FF000000"/>
        <rFont val="Calibri"/>
        <family val="2"/>
        <scheme val="minor"/>
      </rPr>
      <t>Design:</t>
    </r>
    <r>
      <rPr>
        <b/>
        <sz val="10"/>
        <color rgb="FFFF0000"/>
        <rFont val="Calibri"/>
        <family val="2"/>
        <scheme val="minor"/>
      </rPr>
      <t xml:space="preserve"> Tuscan, W/ Entasis</t>
    </r>
  </si>
  <si>
    <r>
      <rPr>
        <b/>
        <sz val="10"/>
        <color rgb="FFFF0000"/>
        <rFont val="Calibri"/>
        <family val="2"/>
        <scheme val="minor"/>
      </rPr>
      <t>(X#)</t>
    </r>
    <r>
      <rPr>
        <b/>
        <sz val="10"/>
        <color rgb="FF000000"/>
        <rFont val="Calibri"/>
        <family val="2"/>
        <scheme val="minor"/>
      </rPr>
      <t>-piece(s)</t>
    </r>
  </si>
  <si>
    <r>
      <rPr>
        <b/>
        <sz val="10"/>
        <color rgb="FFFF0000"/>
        <rFont val="Calibri"/>
        <family val="2"/>
        <scheme val="minor"/>
      </rPr>
      <t xml:space="preserve">Profiled </t>
    </r>
    <r>
      <rPr>
        <b/>
        <sz val="10"/>
        <color rgb="FF000000"/>
        <rFont val="Calibri"/>
        <family val="2"/>
        <scheme val="minor"/>
      </rPr>
      <t>trim to match column capitals</t>
    </r>
  </si>
  <si>
    <r>
      <rPr>
        <b/>
        <sz val="10"/>
        <color rgb="FFFF0000"/>
        <rFont val="Calibri"/>
        <family val="2"/>
        <scheme val="minor"/>
      </rPr>
      <t xml:space="preserve">(X#) Custom </t>
    </r>
    <r>
      <rPr>
        <b/>
        <sz val="10"/>
        <color rgb="FF000000"/>
        <rFont val="Calibri"/>
        <family val="2"/>
        <scheme val="minor"/>
      </rPr>
      <t>Pilasters</t>
    </r>
  </si>
  <si>
    <t>Patching and Sanding - Preparation for Paint</t>
  </si>
  <si>
    <t>Stone Plinths @ Piers and Pilasters</t>
  </si>
  <si>
    <t>Cladding at plinths under columns (with Butt Joints)</t>
  </si>
  <si>
    <t>Round columns to have stainless steel structural columns inside of them</t>
  </si>
  <si>
    <t>BALCONY</t>
  </si>
  <si>
    <r>
      <rPr>
        <b/>
        <sz val="10"/>
        <color rgb="FFFF0000"/>
        <rFont val="Calibri"/>
        <family val="2"/>
        <scheme val="minor"/>
      </rPr>
      <t>4 O.A</t>
    </r>
    <r>
      <rPr>
        <b/>
        <sz val="10"/>
        <color rgb="FF000000"/>
        <rFont val="Calibri"/>
        <family val="2"/>
        <scheme val="minor"/>
      </rPr>
      <t xml:space="preserve"> piers with base, cladding, and caps with profile and pitch</t>
    </r>
  </si>
  <si>
    <r>
      <rPr>
        <b/>
        <sz val="10"/>
        <color rgb="FFFF0000"/>
        <rFont val="Calibri"/>
        <family val="2"/>
        <scheme val="minor"/>
      </rPr>
      <t>2 O.A</t>
    </r>
    <r>
      <rPr>
        <b/>
        <sz val="10"/>
        <color rgb="FF000000"/>
        <rFont val="Calibri"/>
        <family val="2"/>
        <scheme val="minor"/>
      </rPr>
      <t xml:space="preserve"> piers with base, cladding, and caps with profile and pitch.</t>
    </r>
  </si>
  <si>
    <r>
      <rPr>
        <b/>
        <sz val="10"/>
        <color rgb="FFFF0000"/>
        <rFont val="Calibri"/>
        <family val="2"/>
        <scheme val="minor"/>
      </rPr>
      <t>Profiled,</t>
    </r>
    <r>
      <rPr>
        <b/>
        <sz val="10"/>
        <color rgb="FF000000"/>
        <rFont val="Calibri"/>
        <family val="2"/>
        <scheme val="minor"/>
      </rPr>
      <t xml:space="preserve"> </t>
    </r>
    <r>
      <rPr>
        <b/>
        <sz val="10"/>
        <color rgb="FFFF0000"/>
        <rFont val="Calibri"/>
        <family val="2"/>
        <scheme val="minor"/>
      </rPr>
      <t xml:space="preserve">2 </t>
    </r>
    <r>
      <rPr>
        <b/>
        <sz val="10"/>
        <color rgb="FF000000"/>
        <rFont val="Calibri"/>
        <family val="2"/>
        <scheme val="minor"/>
      </rPr>
      <t>-</t>
    </r>
    <r>
      <rPr>
        <b/>
        <sz val="10"/>
        <color rgb="FFFF0000"/>
        <rFont val="Calibri"/>
        <family val="2"/>
        <scheme val="minor"/>
      </rPr>
      <t xml:space="preserve"> </t>
    </r>
    <r>
      <rPr>
        <b/>
        <sz val="10"/>
        <color rgb="FF000000"/>
        <rFont val="Calibri"/>
        <family val="2"/>
        <scheme val="minor"/>
      </rPr>
      <t>piece</t>
    </r>
    <r>
      <rPr>
        <sz val="10"/>
        <color rgb="FF000000"/>
        <rFont val="Calibri"/>
        <family val="2"/>
        <scheme val="minor"/>
      </rPr>
      <t xml:space="preserve"> </t>
    </r>
    <r>
      <rPr>
        <b/>
        <sz val="10"/>
        <color rgb="FF000000"/>
        <rFont val="Calibri"/>
        <family val="2"/>
        <scheme val="minor"/>
      </rPr>
      <t xml:space="preserve">border </t>
    </r>
  </si>
  <si>
    <r>
      <rPr>
        <b/>
        <sz val="10"/>
        <color rgb="FFFF0000"/>
        <rFont val="Calibri"/>
        <family val="2"/>
        <scheme val="minor"/>
      </rPr>
      <t>Profiled</t>
    </r>
    <r>
      <rPr>
        <b/>
        <sz val="10"/>
        <color rgb="FF000000"/>
        <rFont val="Calibri"/>
        <family val="2"/>
        <scheme val="minor"/>
      </rPr>
      <t xml:space="preserve"> Corbels </t>
    </r>
  </si>
  <si>
    <t>BALCONY BRACKETS</t>
  </si>
  <si>
    <r>
      <rPr>
        <b/>
        <sz val="10"/>
        <color rgb="FFFF0000"/>
        <rFont val="Calibri"/>
        <family val="2"/>
        <scheme val="minor"/>
      </rPr>
      <t xml:space="preserve">X# </t>
    </r>
    <r>
      <rPr>
        <b/>
        <sz val="10"/>
        <color rgb="FF000000"/>
        <rFont val="Calibri"/>
        <family val="2"/>
        <scheme val="minor"/>
      </rPr>
      <t>each</t>
    </r>
  </si>
  <si>
    <r>
      <rPr>
        <b/>
        <sz val="10"/>
        <color rgb="FFFF0000"/>
        <rFont val="Calibri"/>
        <family val="2"/>
        <scheme val="minor"/>
      </rPr>
      <t xml:space="preserve">X" </t>
    </r>
    <r>
      <rPr>
        <b/>
        <sz val="10"/>
        <color rgb="FF000000"/>
        <rFont val="Calibri"/>
        <family val="2"/>
        <scheme val="minor"/>
      </rPr>
      <t>Thick</t>
    </r>
  </si>
  <si>
    <t>VENEER</t>
  </si>
  <si>
    <r>
      <rPr>
        <b/>
        <sz val="10"/>
        <color rgb="FF000000"/>
        <rFont val="Calibri"/>
        <family val="2"/>
        <scheme val="minor"/>
      </rPr>
      <t xml:space="preserve">Type: </t>
    </r>
    <r>
      <rPr>
        <b/>
        <sz val="10"/>
        <color rgb="FFFF0000"/>
        <rFont val="Calibri"/>
        <family val="2"/>
        <scheme val="minor"/>
      </rPr>
      <t>Full Bed / Thin Stone</t>
    </r>
  </si>
  <si>
    <t>All hardware, stainless steel hardware, engineering</t>
  </si>
  <si>
    <r>
      <rPr>
        <b/>
        <sz val="10"/>
        <color rgb="FFFF0000"/>
        <rFont val="Calibri"/>
        <family val="2"/>
        <scheme val="minor"/>
      </rPr>
      <t xml:space="preserve">X" </t>
    </r>
    <r>
      <rPr>
        <b/>
        <sz val="10"/>
        <color rgb="FF000000"/>
        <rFont val="Calibri"/>
        <family val="2"/>
        <scheme val="minor"/>
      </rPr>
      <t>X</t>
    </r>
    <r>
      <rPr>
        <b/>
        <sz val="10"/>
        <color rgb="FFFF0000"/>
        <rFont val="Calibri"/>
        <family val="2"/>
        <scheme val="minor"/>
      </rPr>
      <t xml:space="preserve"> X" </t>
    </r>
    <r>
      <rPr>
        <b/>
        <sz val="10"/>
        <color rgb="FF000000"/>
        <rFont val="Calibri"/>
        <family val="2"/>
        <scheme val="minor"/>
      </rPr>
      <t>X</t>
    </r>
    <r>
      <rPr>
        <b/>
        <sz val="10"/>
        <color rgb="FFFF0000"/>
        <rFont val="Calibri"/>
        <family val="2"/>
        <scheme val="minor"/>
      </rPr>
      <t xml:space="preserve"> X" </t>
    </r>
    <r>
      <rPr>
        <b/>
        <sz val="10"/>
        <color rgb="FF000000"/>
        <rFont val="Calibri"/>
        <family val="2"/>
        <scheme val="minor"/>
      </rPr>
      <t>pieces</t>
    </r>
  </si>
  <si>
    <r>
      <rPr>
        <b/>
        <sz val="10"/>
        <color rgb="FF000000"/>
        <rFont val="Calibri"/>
        <family val="2"/>
        <scheme val="minor"/>
      </rPr>
      <t>Pattern:</t>
    </r>
    <r>
      <rPr>
        <b/>
        <sz val="10"/>
        <color rgb="FFFF0000"/>
        <rFont val="Calibri"/>
        <family val="2"/>
        <scheme val="minor"/>
      </rPr>
      <t xml:space="preserve"> Mosaic / Rough Square &amp; Rectangle / Strip / Ledgestone / Ashlar / Round</t>
    </r>
  </si>
  <si>
    <t>PORTICO</t>
  </si>
  <si>
    <r>
      <rPr>
        <b/>
        <sz val="10"/>
        <color rgb="FFFF0000"/>
        <rFont val="Calibri"/>
        <family val="2"/>
        <scheme val="minor"/>
      </rPr>
      <t xml:space="preserve">Straight </t>
    </r>
    <r>
      <rPr>
        <b/>
        <sz val="10"/>
        <color rgb="FF000000"/>
        <rFont val="Calibri"/>
        <family val="2"/>
        <scheme val="minor"/>
      </rPr>
      <t>profiled surrounds</t>
    </r>
  </si>
  <si>
    <r>
      <rPr>
        <b/>
        <sz val="10"/>
        <color rgb="FFFF0000"/>
        <rFont val="Calibri"/>
        <family val="2"/>
        <scheme val="minor"/>
      </rPr>
      <t>Arched</t>
    </r>
    <r>
      <rPr>
        <b/>
        <sz val="10"/>
        <color rgb="FF000000"/>
        <rFont val="Calibri"/>
        <family val="2"/>
        <scheme val="minor"/>
      </rPr>
      <t xml:space="preserve"> profiled surrounds</t>
    </r>
  </si>
  <si>
    <r>
      <rPr>
        <b/>
        <sz val="10"/>
        <color rgb="FFFF0000"/>
        <rFont val="Calibri"/>
        <family val="2"/>
        <scheme val="minor"/>
      </rPr>
      <t>Flat</t>
    </r>
    <r>
      <rPr>
        <b/>
        <sz val="10"/>
        <color rgb="FF000000"/>
        <rFont val="Calibri"/>
        <family val="2"/>
        <scheme val="minor"/>
      </rPr>
      <t xml:space="preserve"> panels at entry portico jambs</t>
    </r>
  </si>
  <si>
    <r>
      <rPr>
        <b/>
        <sz val="10"/>
        <color rgb="FFFF0000"/>
        <rFont val="Calibri"/>
        <family val="2"/>
        <scheme val="minor"/>
      </rPr>
      <t>Flat</t>
    </r>
    <r>
      <rPr>
        <b/>
        <sz val="10"/>
        <color rgb="FF000000"/>
        <rFont val="Calibri"/>
        <family val="2"/>
        <scheme val="minor"/>
      </rPr>
      <t xml:space="preserve"> panels at entry portico Arch liners</t>
    </r>
  </si>
  <si>
    <r>
      <rPr>
        <b/>
        <sz val="10"/>
        <color rgb="FF000000"/>
        <rFont val="Calibri"/>
        <family val="2"/>
        <scheme val="minor"/>
      </rPr>
      <t>(</t>
    </r>
    <r>
      <rPr>
        <b/>
        <sz val="10"/>
        <color rgb="FFFF0000"/>
        <rFont val="Calibri"/>
        <family val="2"/>
        <scheme val="minor"/>
      </rPr>
      <t>X</t>
    </r>
    <r>
      <rPr>
        <b/>
        <sz val="10"/>
        <color rgb="FF000000"/>
        <rFont val="Calibri"/>
        <family val="2"/>
        <scheme val="minor"/>
      </rPr>
      <t>#) Plinths ( 3 Pcs wach with butt joints )</t>
    </r>
  </si>
  <si>
    <r>
      <rPr>
        <b/>
        <sz val="10"/>
        <color rgb="FF000000"/>
        <rFont val="Calibri"/>
        <family val="2"/>
        <scheme val="minor"/>
      </rPr>
      <t>(</t>
    </r>
    <r>
      <rPr>
        <b/>
        <sz val="10"/>
        <color rgb="FFFF0000"/>
        <rFont val="Calibri"/>
        <family val="2"/>
        <scheme val="minor"/>
      </rPr>
      <t>X</t>
    </r>
    <r>
      <rPr>
        <b/>
        <sz val="10"/>
        <color rgb="FF000000"/>
        <rFont val="Calibri"/>
        <family val="2"/>
        <scheme val="minor"/>
      </rPr>
      <t>#) Profiled keystones at entry portico</t>
    </r>
  </si>
  <si>
    <r>
      <rPr>
        <b/>
        <sz val="10"/>
        <color rgb="FFFF0000"/>
        <rFont val="Calibri"/>
        <family val="2"/>
        <scheme val="minor"/>
      </rPr>
      <t>Profiled</t>
    </r>
    <r>
      <rPr>
        <b/>
        <sz val="10"/>
        <color rgb="FF000000"/>
        <rFont val="Calibri"/>
        <family val="2"/>
        <scheme val="minor"/>
      </rPr>
      <t xml:space="preserve"> sills</t>
    </r>
  </si>
  <si>
    <t>LOGGIA</t>
  </si>
  <si>
    <r>
      <rPr>
        <b/>
        <sz val="10"/>
        <color rgb="FFFF0000"/>
        <rFont val="Calibri"/>
        <family val="2"/>
        <scheme val="minor"/>
      </rPr>
      <t>Typical paving, Profiled</t>
    </r>
    <r>
      <rPr>
        <sz val="10"/>
        <color rgb="FF000000"/>
        <rFont val="Calibri"/>
        <family val="2"/>
        <scheme val="minor"/>
      </rPr>
      <t xml:space="preserve"> </t>
    </r>
    <r>
      <rPr>
        <b/>
        <sz val="10"/>
        <color rgb="FF000000"/>
        <rFont val="Calibri"/>
        <family val="2"/>
        <scheme val="minor"/>
      </rPr>
      <t>trim at both sides</t>
    </r>
  </si>
  <si>
    <t>Beam bottoms</t>
  </si>
  <si>
    <r>
      <rPr>
        <b/>
        <sz val="10"/>
        <color rgb="FFFF0000"/>
        <rFont val="Calibri"/>
        <family val="2"/>
        <scheme val="minor"/>
      </rPr>
      <t>Three</t>
    </r>
    <r>
      <rPr>
        <sz val="10"/>
        <color rgb="FF000000"/>
        <rFont val="Calibri"/>
        <family val="2"/>
        <scheme val="minor"/>
      </rPr>
      <t xml:space="preserve"> - </t>
    </r>
    <r>
      <rPr>
        <b/>
        <sz val="10"/>
        <color rgb="FF000000"/>
        <rFont val="Calibri"/>
        <family val="2"/>
        <scheme val="minor"/>
      </rPr>
      <t>piece, profiled cornice, frieze and Architrave</t>
    </r>
  </si>
  <si>
    <r>
      <rPr>
        <b/>
        <sz val="10"/>
        <color rgb="FF000000"/>
        <rFont val="Calibri"/>
        <family val="2"/>
        <scheme val="minor"/>
      </rPr>
      <t xml:space="preserve">Border with </t>
    </r>
    <r>
      <rPr>
        <b/>
        <sz val="10"/>
        <color rgb="FFFF0000"/>
        <rFont val="Calibri"/>
        <family val="2"/>
        <scheme val="minor"/>
      </rPr>
      <t>eased</t>
    </r>
    <r>
      <rPr>
        <b/>
        <sz val="10"/>
        <color rgb="FF000000"/>
        <rFont val="Calibri"/>
        <family val="2"/>
        <scheme val="minor"/>
      </rPr>
      <t xml:space="preserve"> edges and risers</t>
    </r>
  </si>
  <si>
    <t xml:space="preserve">CHIMNEY </t>
  </si>
  <si>
    <r>
      <rPr>
        <b/>
        <sz val="10"/>
        <color rgb="FFFF0000"/>
        <rFont val="Calibri"/>
        <family val="2"/>
        <scheme val="minor"/>
      </rPr>
      <t>Flat</t>
    </r>
    <r>
      <rPr>
        <b/>
        <sz val="10"/>
        <color rgb="FF000000"/>
        <rFont val="Calibri"/>
        <family val="2"/>
        <scheme val="minor"/>
      </rPr>
      <t xml:space="preserve"> cap</t>
    </r>
  </si>
  <si>
    <t>NICHES</t>
  </si>
  <si>
    <r>
      <rPr>
        <b/>
        <sz val="10"/>
        <color rgb="FFFF0000"/>
        <rFont val="Calibri"/>
        <family val="2"/>
        <scheme val="minor"/>
      </rPr>
      <t>L-shaped, Profiled</t>
    </r>
    <r>
      <rPr>
        <sz val="10"/>
        <color rgb="FF000000"/>
        <rFont val="Calibri"/>
        <family val="2"/>
        <scheme val="minor"/>
      </rPr>
      <t xml:space="preserve"> </t>
    </r>
    <r>
      <rPr>
        <b/>
        <sz val="10"/>
        <color rgb="FF000000"/>
        <rFont val="Calibri"/>
        <family val="2"/>
        <scheme val="minor"/>
      </rPr>
      <t>sills</t>
    </r>
  </si>
  <si>
    <t>WINDOWS</t>
  </si>
  <si>
    <r>
      <rPr>
        <b/>
        <sz val="10"/>
        <color rgb="FFFF0000"/>
        <rFont val="Calibri"/>
        <family val="2"/>
        <scheme val="minor"/>
      </rPr>
      <t>Profiled, L-shaped</t>
    </r>
    <r>
      <rPr>
        <sz val="10"/>
        <color rgb="FF000000"/>
        <rFont val="Calibri"/>
        <family val="2"/>
        <scheme val="minor"/>
      </rPr>
      <t xml:space="preserve"> </t>
    </r>
    <r>
      <rPr>
        <b/>
        <sz val="10"/>
        <color rgb="FF000000"/>
        <rFont val="Calibri"/>
        <family val="2"/>
        <scheme val="minor"/>
      </rPr>
      <t>surrounds.</t>
    </r>
  </si>
  <si>
    <r>
      <rPr>
        <b/>
        <sz val="10"/>
        <color rgb="FFFF0000"/>
        <rFont val="Calibri"/>
        <family val="2"/>
        <scheme val="minor"/>
      </rPr>
      <t>Profiled, L-shaped</t>
    </r>
    <r>
      <rPr>
        <sz val="10"/>
        <color rgb="FF000000"/>
        <rFont val="Calibri"/>
        <family val="2"/>
        <scheme val="minor"/>
      </rPr>
      <t xml:space="preserve"> s</t>
    </r>
    <r>
      <rPr>
        <b/>
        <sz val="10"/>
        <color rgb="FF000000"/>
        <rFont val="Calibri"/>
        <family val="2"/>
        <scheme val="minor"/>
      </rPr>
      <t>ills (as shown).</t>
    </r>
  </si>
  <si>
    <r>
      <rPr>
        <b/>
        <sz val="10"/>
        <color rgb="FFFF0000"/>
        <rFont val="Calibri"/>
        <family val="2"/>
        <scheme val="minor"/>
      </rPr>
      <t>Profiled</t>
    </r>
    <r>
      <rPr>
        <sz val="10"/>
        <color rgb="FF000000"/>
        <rFont val="Calibri"/>
        <family val="2"/>
        <scheme val="minor"/>
      </rPr>
      <t xml:space="preserve"> </t>
    </r>
    <r>
      <rPr>
        <b/>
        <sz val="10"/>
        <color rgb="FF000000"/>
        <rFont val="Calibri"/>
        <family val="2"/>
        <scheme val="minor"/>
      </rPr>
      <t>Corbels.</t>
    </r>
  </si>
  <si>
    <r>
      <rPr>
        <b/>
        <sz val="10"/>
        <color rgb="FF000000"/>
        <rFont val="Calibri"/>
        <family val="2"/>
        <scheme val="minor"/>
      </rPr>
      <t xml:space="preserve">Stone Base @ </t>
    </r>
    <r>
      <rPr>
        <b/>
        <sz val="10"/>
        <color rgb="FFFF0000"/>
        <rFont val="Calibri"/>
        <family val="2"/>
        <scheme val="minor"/>
      </rPr>
      <t>W</t>
    </r>
    <r>
      <rPr>
        <b/>
        <sz val="10"/>
        <color rgb="FF000000"/>
        <rFont val="Calibri"/>
        <family val="2"/>
        <scheme val="minor"/>
      </rPr>
      <t xml:space="preserve"> (#</t>
    </r>
    <r>
      <rPr>
        <b/>
        <sz val="10"/>
        <color rgb="FFFF0000"/>
        <rFont val="Calibri"/>
        <family val="2"/>
        <scheme val="minor"/>
      </rPr>
      <t>X</t>
    </r>
    <r>
      <rPr>
        <b/>
        <sz val="10"/>
        <color rgb="FF000000"/>
        <rFont val="Calibri"/>
        <family val="2"/>
        <scheme val="minor"/>
      </rPr>
      <t>). Sizes/Exposures per drawings (IS THIS REPETITIVE TO SILLS?)</t>
    </r>
  </si>
  <si>
    <r>
      <rPr>
        <b/>
        <sz val="10"/>
        <color rgb="FF000000"/>
        <rFont val="Calibri"/>
        <family val="2"/>
        <scheme val="minor"/>
      </rPr>
      <t xml:space="preserve">Stone Lintels above </t>
    </r>
    <r>
      <rPr>
        <b/>
        <sz val="10"/>
        <color rgb="FFFF0000"/>
        <rFont val="Calibri"/>
        <family val="2"/>
        <scheme val="minor"/>
      </rPr>
      <t xml:space="preserve">Windows </t>
    </r>
    <r>
      <rPr>
        <b/>
        <sz val="10"/>
        <color rgb="FF000000"/>
        <rFont val="Calibri"/>
        <family val="2"/>
        <scheme val="minor"/>
      </rPr>
      <t>(#</t>
    </r>
    <r>
      <rPr>
        <b/>
        <sz val="10"/>
        <color rgb="FFFF0000"/>
        <rFont val="Calibri"/>
        <family val="2"/>
        <scheme val="minor"/>
      </rPr>
      <t>X</t>
    </r>
    <r>
      <rPr>
        <b/>
        <sz val="10"/>
        <color rgb="FF000000"/>
        <rFont val="Calibri"/>
        <family val="2"/>
        <scheme val="minor"/>
      </rPr>
      <t xml:space="preserve">). </t>
    </r>
    <r>
      <rPr>
        <b/>
        <sz val="10"/>
        <color rgb="FFFF0000"/>
        <rFont val="Calibri"/>
        <family val="2"/>
        <scheme val="minor"/>
      </rPr>
      <t>Single cont. piece as shown.</t>
    </r>
  </si>
  <si>
    <r>
      <rPr>
        <b/>
        <sz val="10"/>
        <color rgb="FF000000"/>
        <rFont val="Calibri"/>
        <family val="2"/>
        <scheme val="minor"/>
      </rPr>
      <t xml:space="preserve">Stone </t>
    </r>
    <r>
      <rPr>
        <b/>
        <sz val="10"/>
        <color rgb="FFFF0000"/>
        <rFont val="Calibri"/>
        <family val="2"/>
        <scheme val="minor"/>
      </rPr>
      <t>Trim</t>
    </r>
    <r>
      <rPr>
        <b/>
        <sz val="10"/>
        <color rgb="FF000000"/>
        <rFont val="Calibri"/>
        <family val="2"/>
        <scheme val="minor"/>
      </rPr>
      <t xml:space="preserve"> Molding @ </t>
    </r>
    <r>
      <rPr>
        <b/>
        <sz val="10"/>
        <color rgb="FFFF0000"/>
        <rFont val="Calibri"/>
        <family val="2"/>
        <scheme val="minor"/>
      </rPr>
      <t>W</t>
    </r>
    <r>
      <rPr>
        <b/>
        <sz val="10"/>
        <color rgb="FF000000"/>
        <rFont val="Calibri"/>
        <family val="2"/>
        <scheme val="minor"/>
      </rPr>
      <t xml:space="preserve"> (#</t>
    </r>
    <r>
      <rPr>
        <b/>
        <sz val="10"/>
        <color rgb="FFFF0000"/>
        <rFont val="Calibri"/>
        <family val="2"/>
        <scheme val="minor"/>
      </rPr>
      <t>X</t>
    </r>
    <r>
      <rPr>
        <b/>
        <sz val="10"/>
        <color rgb="FF000000"/>
        <rFont val="Calibri"/>
        <family val="2"/>
        <scheme val="minor"/>
      </rPr>
      <t>)</t>
    </r>
  </si>
  <si>
    <r>
      <rPr>
        <b/>
        <sz val="10"/>
        <color rgb="FF000000"/>
        <rFont val="Calibri"/>
        <family val="2"/>
        <scheme val="minor"/>
      </rPr>
      <t xml:space="preserve">Stone Borders @ </t>
    </r>
    <r>
      <rPr>
        <b/>
        <sz val="10"/>
        <color rgb="FFFF0000"/>
        <rFont val="Calibri"/>
        <family val="2"/>
        <scheme val="minor"/>
      </rPr>
      <t>W (</t>
    </r>
    <r>
      <rPr>
        <b/>
        <sz val="10"/>
        <color rgb="FF000000"/>
        <rFont val="Calibri"/>
        <family val="2"/>
        <scheme val="minor"/>
      </rPr>
      <t>#</t>
    </r>
    <r>
      <rPr>
        <b/>
        <sz val="10"/>
        <color rgb="FFFF0000"/>
        <rFont val="Calibri"/>
        <family val="2"/>
        <scheme val="minor"/>
      </rPr>
      <t xml:space="preserve">X) </t>
    </r>
    <r>
      <rPr>
        <b/>
        <sz val="10"/>
        <color rgb="FF000000"/>
        <rFont val="Calibri"/>
        <family val="2"/>
        <scheme val="minor"/>
      </rPr>
      <t>(IS THIS REPETITIVE TO MOLDING?)</t>
    </r>
  </si>
  <si>
    <t>L-Shaped/Hooker Stones @ Corners.</t>
  </si>
  <si>
    <t>DOORS</t>
  </si>
  <si>
    <r>
      <rPr>
        <b/>
        <sz val="10"/>
        <color rgb="FFFF0000"/>
        <rFont val="Calibri"/>
        <family val="2"/>
        <scheme val="minor"/>
      </rPr>
      <t xml:space="preserve">Two </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piece profiled cornice above doors.</t>
    </r>
  </si>
  <si>
    <r>
      <rPr>
        <b/>
        <sz val="10"/>
        <color rgb="FFFF0000"/>
        <rFont val="Calibri"/>
        <family val="2"/>
        <scheme val="minor"/>
      </rPr>
      <t>L-Shaped</t>
    </r>
    <r>
      <rPr>
        <sz val="10"/>
        <color rgb="FF000000"/>
        <rFont val="Calibri"/>
        <family val="2"/>
        <scheme val="minor"/>
      </rPr>
      <t xml:space="preserve">, </t>
    </r>
    <r>
      <rPr>
        <b/>
        <sz val="10"/>
        <color rgb="FF000000"/>
        <rFont val="Calibri"/>
        <family val="2"/>
        <scheme val="minor"/>
      </rPr>
      <t>Profiled Frieze above doors.</t>
    </r>
  </si>
  <si>
    <r>
      <rPr>
        <b/>
        <sz val="10"/>
        <color rgb="FFFF0000"/>
        <rFont val="Calibri"/>
        <family val="2"/>
        <scheme val="minor"/>
      </rPr>
      <t>Profiled</t>
    </r>
    <r>
      <rPr>
        <sz val="10"/>
        <color rgb="FF000000"/>
        <rFont val="Calibri"/>
        <family val="2"/>
        <scheme val="minor"/>
      </rPr>
      <t xml:space="preserve">, </t>
    </r>
    <r>
      <rPr>
        <b/>
        <sz val="10"/>
        <color rgb="FF000000"/>
        <rFont val="Calibri"/>
        <family val="2"/>
        <scheme val="minor"/>
      </rPr>
      <t>surrounds with separate jamb returns.</t>
    </r>
  </si>
  <si>
    <r>
      <rPr>
        <b/>
        <sz val="10"/>
        <color rgb="FF000000"/>
        <rFont val="Calibri"/>
        <family val="2"/>
        <scheme val="minor"/>
      </rPr>
      <t>Sills with</t>
    </r>
    <r>
      <rPr>
        <sz val="10"/>
        <color rgb="FF000000"/>
        <rFont val="Calibri"/>
        <family val="2"/>
        <scheme val="minor"/>
      </rPr>
      <t xml:space="preserve"> </t>
    </r>
    <r>
      <rPr>
        <b/>
        <sz val="10"/>
        <color rgb="FFFF0000"/>
        <rFont val="Calibri"/>
        <family val="2"/>
        <scheme val="minor"/>
      </rPr>
      <t>eased</t>
    </r>
    <r>
      <rPr>
        <sz val="10"/>
        <color rgb="FF000000"/>
        <rFont val="Calibri"/>
        <family val="2"/>
        <scheme val="minor"/>
      </rPr>
      <t xml:space="preserve"> </t>
    </r>
    <r>
      <rPr>
        <b/>
        <sz val="10"/>
        <color rgb="FF000000"/>
        <rFont val="Calibri"/>
        <family val="2"/>
        <scheme val="minor"/>
      </rPr>
      <t>edges amd risers.</t>
    </r>
  </si>
  <si>
    <r>
      <rPr>
        <b/>
        <sz val="10"/>
        <color rgb="FF000000"/>
        <rFont val="Calibri"/>
        <family val="2"/>
        <scheme val="minor"/>
      </rPr>
      <t xml:space="preserve">Sills @ Doorways - </t>
    </r>
    <r>
      <rPr>
        <b/>
        <sz val="10"/>
        <color rgb="FFFF0000"/>
        <rFont val="Calibri"/>
        <family val="2"/>
        <scheme val="minor"/>
      </rPr>
      <t>Single cont. piece as shown.</t>
    </r>
  </si>
  <si>
    <r>
      <rPr>
        <b/>
        <sz val="10"/>
        <color rgb="FF000000"/>
        <rFont val="Calibri"/>
        <family val="2"/>
        <scheme val="minor"/>
      </rPr>
      <t xml:space="preserve">Stone Base @ </t>
    </r>
    <r>
      <rPr>
        <b/>
        <sz val="10"/>
        <color rgb="FFFF0000"/>
        <rFont val="Calibri"/>
        <family val="2"/>
        <scheme val="minor"/>
      </rPr>
      <t>D</t>
    </r>
    <r>
      <rPr>
        <b/>
        <sz val="10"/>
        <color rgb="FF000000"/>
        <rFont val="Calibri"/>
        <family val="2"/>
        <scheme val="minor"/>
      </rPr>
      <t xml:space="preserve"> (#</t>
    </r>
    <r>
      <rPr>
        <b/>
        <sz val="10"/>
        <color rgb="FFFF0000"/>
        <rFont val="Calibri"/>
        <family val="2"/>
        <scheme val="minor"/>
      </rPr>
      <t>X</t>
    </r>
    <r>
      <rPr>
        <b/>
        <sz val="10"/>
        <color rgb="FF000000"/>
        <rFont val="Calibri"/>
        <family val="2"/>
        <scheme val="minor"/>
      </rPr>
      <t>). Sizes/Exposures per drawings (IS THIS REPETITIVE TO SILLS?)</t>
    </r>
  </si>
  <si>
    <r>
      <rPr>
        <b/>
        <sz val="10"/>
        <color rgb="FF000000"/>
        <rFont val="Calibri"/>
        <family val="2"/>
        <scheme val="minor"/>
      </rPr>
      <t xml:space="preserve">Stone Lintels above </t>
    </r>
    <r>
      <rPr>
        <b/>
        <sz val="10"/>
        <color rgb="FFFF0000"/>
        <rFont val="Calibri"/>
        <family val="2"/>
        <scheme val="minor"/>
      </rPr>
      <t xml:space="preserve">D's </t>
    </r>
    <r>
      <rPr>
        <b/>
        <sz val="10"/>
        <color rgb="FF000000"/>
        <rFont val="Calibri"/>
        <family val="2"/>
        <scheme val="minor"/>
      </rPr>
      <t>(#</t>
    </r>
    <r>
      <rPr>
        <b/>
        <sz val="10"/>
        <color rgb="FFFF0000"/>
        <rFont val="Calibri"/>
        <family val="2"/>
        <scheme val="minor"/>
      </rPr>
      <t>X</t>
    </r>
    <r>
      <rPr>
        <b/>
        <sz val="10"/>
        <color rgb="FF000000"/>
        <rFont val="Calibri"/>
        <family val="2"/>
        <scheme val="minor"/>
      </rPr>
      <t xml:space="preserve">). </t>
    </r>
    <r>
      <rPr>
        <b/>
        <sz val="10"/>
        <color rgb="FFFF0000"/>
        <rFont val="Calibri"/>
        <family val="2"/>
        <scheme val="minor"/>
      </rPr>
      <t>Single cont. piece as shown.</t>
    </r>
  </si>
  <si>
    <r>
      <rPr>
        <b/>
        <sz val="10"/>
        <color rgb="FF000000"/>
        <rFont val="Calibri"/>
        <family val="2"/>
        <scheme val="minor"/>
      </rPr>
      <t xml:space="preserve">Stone </t>
    </r>
    <r>
      <rPr>
        <b/>
        <sz val="10"/>
        <color rgb="FFFF0000"/>
        <rFont val="Calibri"/>
        <family val="2"/>
        <scheme val="minor"/>
      </rPr>
      <t>Trim</t>
    </r>
    <r>
      <rPr>
        <b/>
        <sz val="10"/>
        <color rgb="FF000000"/>
        <rFont val="Calibri"/>
        <family val="2"/>
        <scheme val="minor"/>
      </rPr>
      <t xml:space="preserve"> Molding @ </t>
    </r>
    <r>
      <rPr>
        <b/>
        <sz val="10"/>
        <color rgb="FFFF0000"/>
        <rFont val="Calibri"/>
        <family val="2"/>
        <scheme val="minor"/>
      </rPr>
      <t>D</t>
    </r>
    <r>
      <rPr>
        <b/>
        <sz val="10"/>
        <color rgb="FF000000"/>
        <rFont val="Calibri"/>
        <family val="2"/>
        <scheme val="minor"/>
      </rPr>
      <t xml:space="preserve"> (#</t>
    </r>
    <r>
      <rPr>
        <b/>
        <sz val="10"/>
        <color rgb="FFFF0000"/>
        <rFont val="Calibri"/>
        <family val="2"/>
        <scheme val="minor"/>
      </rPr>
      <t>X</t>
    </r>
    <r>
      <rPr>
        <b/>
        <sz val="10"/>
        <color rgb="FF000000"/>
        <rFont val="Calibri"/>
        <family val="2"/>
        <scheme val="minor"/>
      </rPr>
      <t>).</t>
    </r>
  </si>
  <si>
    <r>
      <rPr>
        <b/>
        <sz val="10"/>
        <color rgb="FF000000"/>
        <rFont val="Calibri"/>
        <family val="2"/>
        <scheme val="minor"/>
      </rPr>
      <t xml:space="preserve">Stone Landing @ </t>
    </r>
    <r>
      <rPr>
        <b/>
        <sz val="10"/>
        <color rgb="FFFF0000"/>
        <rFont val="Calibri"/>
        <family val="2"/>
        <scheme val="minor"/>
      </rPr>
      <t>D (</t>
    </r>
    <r>
      <rPr>
        <b/>
        <sz val="10"/>
        <color rgb="FF000000"/>
        <rFont val="Calibri"/>
        <family val="2"/>
        <scheme val="minor"/>
      </rPr>
      <t>#</t>
    </r>
    <r>
      <rPr>
        <b/>
        <sz val="10"/>
        <color rgb="FFFF0000"/>
        <rFont val="Calibri"/>
        <family val="2"/>
        <scheme val="minor"/>
      </rPr>
      <t>X).</t>
    </r>
  </si>
  <si>
    <r>
      <rPr>
        <b/>
        <sz val="10"/>
        <color rgb="FF000000"/>
        <rFont val="Calibri"/>
        <family val="2"/>
        <scheme val="minor"/>
      </rPr>
      <t xml:space="preserve">Stone Borders @ </t>
    </r>
    <r>
      <rPr>
        <b/>
        <sz val="10"/>
        <color rgb="FFFF0000"/>
        <rFont val="Calibri"/>
        <family val="2"/>
        <scheme val="minor"/>
      </rPr>
      <t>D (</t>
    </r>
    <r>
      <rPr>
        <b/>
        <sz val="10"/>
        <color rgb="FF000000"/>
        <rFont val="Calibri"/>
        <family val="2"/>
        <scheme val="minor"/>
      </rPr>
      <t>#</t>
    </r>
    <r>
      <rPr>
        <b/>
        <sz val="10"/>
        <color rgb="FFFF0000"/>
        <rFont val="Calibri"/>
        <family val="2"/>
        <scheme val="minor"/>
      </rPr>
      <t xml:space="preserve">X). </t>
    </r>
    <r>
      <rPr>
        <b/>
        <sz val="10"/>
        <color rgb="FF000000"/>
        <rFont val="Calibri"/>
        <family val="2"/>
        <scheme val="minor"/>
      </rPr>
      <t>(IS THS REPETITIVE TO MOLDING?)</t>
    </r>
  </si>
  <si>
    <t>Division 04 - Horizontal Stone</t>
  </si>
  <si>
    <r>
      <rPr>
        <b/>
        <sz val="10"/>
        <color rgb="FF000000"/>
        <rFont val="Calibri"/>
        <scheme val="minor"/>
      </rPr>
      <t>HORIZONTAL WORK -</t>
    </r>
    <r>
      <rPr>
        <b/>
        <sz val="10"/>
        <color rgb="FFFF0000"/>
        <rFont val="Calibri"/>
        <scheme val="minor"/>
      </rPr>
      <t xml:space="preserve"> CAST / NATURAL</t>
    </r>
  </si>
  <si>
    <r>
      <rPr>
        <b/>
        <sz val="10"/>
        <color rgb="FFFF0000"/>
        <rFont val="Calibri"/>
        <scheme val="minor"/>
      </rPr>
      <t>X</t>
    </r>
    <r>
      <rPr>
        <sz val="10"/>
        <color rgb="FF000000"/>
        <rFont val="Calibri"/>
        <scheme val="minor"/>
      </rPr>
      <t xml:space="preserve">" X </t>
    </r>
    <r>
      <rPr>
        <b/>
        <sz val="10"/>
        <color rgb="FFFF0000"/>
        <rFont val="Calibri"/>
        <scheme val="minor"/>
      </rPr>
      <t>X</t>
    </r>
    <r>
      <rPr>
        <sz val="10"/>
        <color rgb="FF000000"/>
        <rFont val="Calibri"/>
        <scheme val="minor"/>
      </rPr>
      <t xml:space="preserve">" X </t>
    </r>
    <r>
      <rPr>
        <b/>
        <sz val="10"/>
        <color rgb="FFFF0000"/>
        <rFont val="Calibri"/>
        <scheme val="minor"/>
      </rPr>
      <t>X</t>
    </r>
    <r>
      <rPr>
        <sz val="10"/>
        <color rgb="FF000000"/>
        <rFont val="Calibri"/>
        <scheme val="minor"/>
      </rPr>
      <t>"</t>
    </r>
    <r>
      <rPr>
        <sz val="10"/>
        <color rgb="FFFF0000"/>
        <rFont val="Calibri"/>
        <scheme val="minor"/>
      </rPr>
      <t xml:space="preserve"> </t>
    </r>
    <r>
      <rPr>
        <sz val="10"/>
        <color rgb="FF000000"/>
        <rFont val="Calibri"/>
        <scheme val="minor"/>
      </rPr>
      <t>treads with</t>
    </r>
    <r>
      <rPr>
        <b/>
        <sz val="10"/>
        <color rgb="FF000000"/>
        <rFont val="Calibri"/>
        <scheme val="minor"/>
      </rPr>
      <t xml:space="preserve"> </t>
    </r>
    <r>
      <rPr>
        <b/>
        <sz val="10"/>
        <color rgb="FFFF0000"/>
        <rFont val="Calibri"/>
        <scheme val="minor"/>
      </rPr>
      <t>eased</t>
    </r>
    <r>
      <rPr>
        <sz val="10"/>
        <color rgb="FF000000"/>
        <rFont val="Calibri"/>
        <scheme val="minor"/>
      </rPr>
      <t xml:space="preserve"> edge and </t>
    </r>
    <r>
      <rPr>
        <b/>
        <sz val="10"/>
        <color rgb="FFFF0000"/>
        <rFont val="Calibri"/>
        <scheme val="minor"/>
      </rPr>
      <t>X</t>
    </r>
    <r>
      <rPr>
        <sz val="10"/>
        <color rgb="FF000000"/>
        <rFont val="Calibri"/>
        <scheme val="minor"/>
      </rPr>
      <t>'' risers (</t>
    </r>
    <r>
      <rPr>
        <b/>
        <sz val="10"/>
        <color rgb="FFFF0000"/>
        <rFont val="Calibri"/>
        <scheme val="minor"/>
      </rPr>
      <t>First, Second, Third Tread</t>
    </r>
    <r>
      <rPr>
        <sz val="10"/>
        <color rgb="FF000000"/>
        <rFont val="Calibri"/>
        <scheme val="minor"/>
      </rPr>
      <t>)</t>
    </r>
  </si>
  <si>
    <r>
      <rPr>
        <b/>
        <sz val="10"/>
        <color rgb="FFFF0000"/>
        <rFont val="Calibri"/>
        <scheme val="minor"/>
      </rPr>
      <t>X</t>
    </r>
    <r>
      <rPr>
        <sz val="10"/>
        <color rgb="FF000000"/>
        <rFont val="Calibri"/>
        <scheme val="minor"/>
      </rPr>
      <t xml:space="preserve">" X </t>
    </r>
    <r>
      <rPr>
        <b/>
        <sz val="10"/>
        <color rgb="FFFF0000"/>
        <rFont val="Calibri"/>
        <scheme val="minor"/>
      </rPr>
      <t>X</t>
    </r>
    <r>
      <rPr>
        <sz val="10"/>
        <color rgb="FF000000"/>
        <rFont val="Calibri"/>
        <scheme val="minor"/>
      </rPr>
      <t xml:space="preserve">" X </t>
    </r>
    <r>
      <rPr>
        <b/>
        <sz val="10"/>
        <color rgb="FFFF0000"/>
        <rFont val="Calibri"/>
        <scheme val="minor"/>
      </rPr>
      <t>X</t>
    </r>
    <r>
      <rPr>
        <sz val="10"/>
        <color rgb="FF000000"/>
        <rFont val="Calibri"/>
        <scheme val="minor"/>
      </rPr>
      <t>" border</t>
    </r>
    <r>
      <rPr>
        <sz val="10"/>
        <color rgb="FFFF0000"/>
        <rFont val="Calibri"/>
        <scheme val="minor"/>
      </rPr>
      <t xml:space="preserve"> </t>
    </r>
    <r>
      <rPr>
        <sz val="10"/>
        <color rgb="FF000000"/>
        <rFont val="Calibri"/>
        <scheme val="minor"/>
      </rPr>
      <t xml:space="preserve">with </t>
    </r>
    <r>
      <rPr>
        <b/>
        <sz val="10"/>
        <color rgb="FFFF0000"/>
        <rFont val="Calibri"/>
        <scheme val="minor"/>
      </rPr>
      <t>eased</t>
    </r>
    <r>
      <rPr>
        <sz val="10"/>
        <color rgb="FF000000"/>
        <rFont val="Calibri"/>
        <scheme val="minor"/>
      </rPr>
      <t xml:space="preserve"> edge and </t>
    </r>
    <r>
      <rPr>
        <b/>
        <sz val="10"/>
        <color rgb="FFFF0000"/>
        <rFont val="Calibri"/>
        <scheme val="minor"/>
      </rPr>
      <t>X</t>
    </r>
    <r>
      <rPr>
        <sz val="10"/>
        <color rgb="FF000000"/>
        <rFont val="Calibri"/>
        <scheme val="minor"/>
      </rPr>
      <t>'' risers (</t>
    </r>
    <r>
      <rPr>
        <b/>
        <sz val="10"/>
        <color rgb="FFFF0000"/>
        <rFont val="Calibri"/>
        <scheme val="minor"/>
      </rPr>
      <t>Location</t>
    </r>
    <r>
      <rPr>
        <sz val="10"/>
        <color rgb="FF000000"/>
        <rFont val="Calibri"/>
        <scheme val="minor"/>
      </rPr>
      <t>)</t>
    </r>
  </si>
  <si>
    <r>
      <rPr>
        <b/>
        <sz val="10"/>
        <color rgb="FFFF0000"/>
        <rFont val="Calibri"/>
        <scheme val="minor"/>
      </rPr>
      <t>X</t>
    </r>
    <r>
      <rPr>
        <sz val="10"/>
        <color rgb="FF000000"/>
        <rFont val="Calibri"/>
        <scheme val="minor"/>
      </rPr>
      <t xml:space="preserve">" X </t>
    </r>
    <r>
      <rPr>
        <b/>
        <sz val="10"/>
        <color rgb="FFFF0000"/>
        <rFont val="Calibri"/>
        <scheme val="minor"/>
      </rPr>
      <t>X</t>
    </r>
    <r>
      <rPr>
        <sz val="10"/>
        <color rgb="FF000000"/>
        <rFont val="Calibri"/>
        <scheme val="minor"/>
      </rPr>
      <t xml:space="preserve">" X </t>
    </r>
    <r>
      <rPr>
        <b/>
        <sz val="10"/>
        <color rgb="FFFF0000"/>
        <rFont val="Calibri"/>
        <scheme val="minor"/>
      </rPr>
      <t>X</t>
    </r>
    <r>
      <rPr>
        <sz val="10"/>
        <color rgb="FF000000"/>
        <rFont val="Calibri"/>
        <scheme val="minor"/>
      </rPr>
      <t xml:space="preserve">" </t>
    </r>
    <r>
      <rPr>
        <b/>
        <sz val="10"/>
        <color rgb="FFFF0000"/>
        <rFont val="Calibri"/>
        <scheme val="minor"/>
      </rPr>
      <t>running / stacked bond</t>
    </r>
    <r>
      <rPr>
        <sz val="10"/>
        <color rgb="FFFF0000"/>
        <rFont val="Calibri"/>
        <scheme val="minor"/>
      </rPr>
      <t xml:space="preserve"> </t>
    </r>
    <r>
      <rPr>
        <sz val="10"/>
        <color rgb="FF000000"/>
        <rFont val="Calibri"/>
        <scheme val="minor"/>
      </rPr>
      <t>pavers</t>
    </r>
  </si>
  <si>
    <r>
      <rPr>
        <b/>
        <sz val="10"/>
        <color rgb="FFFF0000"/>
        <rFont val="Calibri"/>
        <scheme val="minor"/>
      </rPr>
      <t>X</t>
    </r>
    <r>
      <rPr>
        <sz val="10"/>
        <color rgb="FF000000"/>
        <rFont val="Calibri"/>
        <scheme val="minor"/>
      </rPr>
      <t xml:space="preserve">" X </t>
    </r>
    <r>
      <rPr>
        <b/>
        <sz val="10"/>
        <color rgb="FFFF0000"/>
        <rFont val="Calibri"/>
        <scheme val="minor"/>
      </rPr>
      <t>X</t>
    </r>
    <r>
      <rPr>
        <sz val="10"/>
        <color rgb="FF000000"/>
        <rFont val="Calibri"/>
        <scheme val="minor"/>
      </rPr>
      <t xml:space="preserve">" X </t>
    </r>
    <r>
      <rPr>
        <b/>
        <sz val="10"/>
        <color rgb="FFFF0000"/>
        <rFont val="Calibri"/>
        <scheme val="minor"/>
      </rPr>
      <t>X</t>
    </r>
    <r>
      <rPr>
        <sz val="10"/>
        <color rgb="FF000000"/>
        <rFont val="Calibri"/>
        <scheme val="minor"/>
      </rPr>
      <t>" wall cap (</t>
    </r>
    <r>
      <rPr>
        <b/>
        <sz val="10"/>
        <color rgb="FFFF0000"/>
        <rFont val="Calibri"/>
        <scheme val="minor"/>
      </rPr>
      <t>Location</t>
    </r>
    <r>
      <rPr>
        <sz val="10"/>
        <color rgb="FF000000"/>
        <rFont val="Calibri"/>
        <scheme val="minor"/>
      </rPr>
      <t>)</t>
    </r>
  </si>
  <si>
    <r>
      <rPr>
        <b/>
        <sz val="10"/>
        <color rgb="FFFF0000"/>
        <rFont val="Calibri"/>
        <scheme val="minor"/>
      </rPr>
      <t>X</t>
    </r>
    <r>
      <rPr>
        <sz val="10"/>
        <color rgb="FF000000"/>
        <rFont val="Calibri"/>
        <scheme val="minor"/>
      </rPr>
      <t xml:space="preserve">" X </t>
    </r>
    <r>
      <rPr>
        <b/>
        <sz val="10"/>
        <color rgb="FFFF0000"/>
        <rFont val="Calibri"/>
        <scheme val="minor"/>
      </rPr>
      <t>X</t>
    </r>
    <r>
      <rPr>
        <sz val="10"/>
        <color rgb="FF000000"/>
        <rFont val="Calibri"/>
        <scheme val="minor"/>
      </rPr>
      <t xml:space="preserve">" X </t>
    </r>
    <r>
      <rPr>
        <b/>
        <sz val="10"/>
        <color rgb="FFFF0000"/>
        <rFont val="Calibri"/>
        <scheme val="minor"/>
      </rPr>
      <t>X</t>
    </r>
    <r>
      <rPr>
        <sz val="10"/>
        <color rgb="FF000000"/>
        <rFont val="Calibri"/>
        <scheme val="minor"/>
      </rPr>
      <t>"</t>
    </r>
    <r>
      <rPr>
        <sz val="10"/>
        <color rgb="FFFF0000"/>
        <rFont val="Calibri"/>
        <scheme val="minor"/>
      </rPr>
      <t xml:space="preserve"> </t>
    </r>
    <r>
      <rPr>
        <sz val="10"/>
        <color rgb="FF000000"/>
        <rFont val="Calibri"/>
        <scheme val="minor"/>
      </rPr>
      <t>planter caps (</t>
    </r>
    <r>
      <rPr>
        <b/>
        <sz val="10"/>
        <color rgb="FFFF0000"/>
        <rFont val="Calibri"/>
        <scheme val="minor"/>
      </rPr>
      <t>Location</t>
    </r>
    <r>
      <rPr>
        <sz val="10"/>
        <color rgb="FF000000"/>
        <rFont val="Calibri"/>
        <scheme val="minor"/>
      </rPr>
      <t>)</t>
    </r>
  </si>
  <si>
    <r>
      <rPr>
        <b/>
        <sz val="10"/>
        <color rgb="FFFF0000"/>
        <rFont val="Calibri"/>
        <scheme val="minor"/>
      </rPr>
      <t>X</t>
    </r>
    <r>
      <rPr>
        <sz val="10"/>
        <color rgb="FF000000"/>
        <rFont val="Calibri"/>
        <scheme val="minor"/>
      </rPr>
      <t xml:space="preserve">" X </t>
    </r>
    <r>
      <rPr>
        <b/>
        <sz val="10"/>
        <color rgb="FFFF0000"/>
        <rFont val="Calibri"/>
        <scheme val="minor"/>
      </rPr>
      <t>X</t>
    </r>
    <r>
      <rPr>
        <sz val="10"/>
        <color rgb="FF000000"/>
        <rFont val="Calibri"/>
        <scheme val="minor"/>
      </rPr>
      <t xml:space="preserve">" X </t>
    </r>
    <r>
      <rPr>
        <b/>
        <sz val="10"/>
        <color rgb="FFFF0000"/>
        <rFont val="Calibri"/>
        <scheme val="minor"/>
      </rPr>
      <t>X</t>
    </r>
    <r>
      <rPr>
        <sz val="10"/>
        <color rgb="FF000000"/>
        <rFont val="Calibri"/>
        <scheme val="minor"/>
      </rPr>
      <t>"</t>
    </r>
    <r>
      <rPr>
        <sz val="10"/>
        <color rgb="FFFF0000"/>
        <rFont val="Calibri"/>
        <scheme val="minor"/>
      </rPr>
      <t xml:space="preserve"> </t>
    </r>
    <r>
      <rPr>
        <sz val="10"/>
        <color rgb="FF000000"/>
        <rFont val="Calibri"/>
        <scheme val="minor"/>
      </rPr>
      <t>spa and pool coping</t>
    </r>
    <r>
      <rPr>
        <sz val="10"/>
        <color rgb="FFFF0000"/>
        <rFont val="Calibri"/>
        <scheme val="minor"/>
      </rPr>
      <t xml:space="preserve"> </t>
    </r>
    <r>
      <rPr>
        <b/>
        <sz val="10"/>
        <color rgb="FFFF0000"/>
        <rFont val="Calibri"/>
        <scheme val="minor"/>
      </rPr>
      <t>with eased edge</t>
    </r>
    <r>
      <rPr>
        <sz val="10"/>
        <color rgb="FF000000"/>
        <rFont val="Calibri"/>
        <scheme val="minor"/>
      </rPr>
      <t xml:space="preserve"> (</t>
    </r>
    <r>
      <rPr>
        <b/>
        <sz val="10"/>
        <color rgb="FFFF0000"/>
        <rFont val="Calibri"/>
        <scheme val="minor"/>
      </rPr>
      <t>Location</t>
    </r>
    <r>
      <rPr>
        <sz val="10"/>
        <color rgb="FF000000"/>
        <rFont val="Calibri"/>
        <scheme val="minor"/>
      </rPr>
      <t>)</t>
    </r>
  </si>
  <si>
    <t>Ditra uncoupling membrane</t>
  </si>
  <si>
    <t>Company Name</t>
  </si>
  <si>
    <t>Division 05 - Metal Railings</t>
  </si>
  <si>
    <t>Contact Info</t>
  </si>
  <si>
    <t>Date</t>
  </si>
  <si>
    <t>Indicate with
Included/Excluded 
Lines 1 - 11 Below</t>
  </si>
  <si>
    <t>E.S.P. Thermo-setting powder coat finish.</t>
  </si>
  <si>
    <t>All railings to meet current code.</t>
  </si>
  <si>
    <r>
      <rPr>
        <b/>
        <sz val="10"/>
        <color rgb="FF000000"/>
        <rFont val="Calibri"/>
        <scheme val="minor"/>
      </rPr>
      <t xml:space="preserve">RAILING(S) - </t>
    </r>
    <r>
      <rPr>
        <b/>
        <sz val="10"/>
        <color rgb="FFFF0000"/>
        <rFont val="Calibri"/>
        <scheme val="minor"/>
      </rPr>
      <t>LOCATION</t>
    </r>
    <r>
      <rPr>
        <b/>
        <sz val="10"/>
        <color rgb="FF000000"/>
        <rFont val="Calibri"/>
        <scheme val="minor"/>
      </rPr>
      <t xml:space="preserve"> </t>
    </r>
    <r>
      <rPr>
        <b/>
        <sz val="10"/>
        <color rgb="FFFF0000"/>
        <rFont val="Calibri"/>
        <scheme val="minor"/>
      </rPr>
      <t xml:space="preserve">- </t>
    </r>
    <r>
      <rPr>
        <b/>
        <sz val="10"/>
        <color rgb="FF000000"/>
        <rFont val="Calibri"/>
        <scheme val="minor"/>
      </rPr>
      <t>TYPE &amp; MATERIAL</t>
    </r>
  </si>
  <si>
    <r>
      <rPr>
        <b/>
        <sz val="10"/>
        <color rgb="FFFF0000"/>
        <rFont val="Calibri"/>
        <scheme val="minor"/>
      </rPr>
      <t>Usage type @ LOCATION</t>
    </r>
    <r>
      <rPr>
        <b/>
        <sz val="10"/>
        <color rgb="FF000000"/>
        <rFont val="Calibri"/>
        <scheme val="minor"/>
      </rPr>
      <t>: Handrail, Staircase, Ramp, Fence, Gate (Pergola), Deck</t>
    </r>
  </si>
  <si>
    <r>
      <rPr>
        <b/>
        <sz val="10"/>
        <color rgb="FF000000"/>
        <rFont val="Calibri"/>
        <scheme val="minor"/>
      </rPr>
      <t>Material (</t>
    </r>
    <r>
      <rPr>
        <b/>
        <sz val="10"/>
        <color rgb="FFFF0000"/>
        <rFont val="Calibri"/>
        <scheme val="minor"/>
      </rPr>
      <t>Steel, Brass, Aluminum, Wrought Iron, Copper, Bronze</t>
    </r>
    <r>
      <rPr>
        <b/>
        <sz val="10"/>
        <color rgb="FF000000"/>
        <rFont val="Calibri"/>
        <scheme val="minor"/>
      </rPr>
      <t>)</t>
    </r>
  </si>
  <si>
    <r>
      <rPr>
        <b/>
        <sz val="10"/>
        <color rgb="FF000000"/>
        <rFont val="Calibri"/>
        <scheme val="minor"/>
      </rPr>
      <t>Shop Drawings &amp; Engineering (</t>
    </r>
    <r>
      <rPr>
        <b/>
        <sz val="10"/>
        <color rgb="FFFF0000"/>
        <rFont val="Calibri"/>
        <scheme val="minor"/>
      </rPr>
      <t>Pre-fabricated</t>
    </r>
    <r>
      <rPr>
        <b/>
        <sz val="10"/>
        <color rgb="FF000000"/>
        <rFont val="Calibri"/>
        <scheme val="minor"/>
      </rPr>
      <t>)</t>
    </r>
  </si>
  <si>
    <t>RAILING(S) - DIMENSIONS</t>
  </si>
  <si>
    <r>
      <rPr>
        <b/>
        <sz val="10"/>
        <color rgb="FF000000"/>
        <rFont val="Calibri"/>
        <scheme val="minor"/>
      </rPr>
      <t>Linear Feet of Railing - (</t>
    </r>
    <r>
      <rPr>
        <b/>
        <sz val="10"/>
        <color rgb="FFFF0000"/>
        <rFont val="Calibri"/>
        <scheme val="minor"/>
      </rPr>
      <t xml:space="preserve">X </t>
    </r>
    <r>
      <rPr>
        <b/>
        <sz val="10"/>
        <color rgb="FF000000"/>
        <rFont val="Calibri"/>
        <scheme val="minor"/>
      </rPr>
      <t xml:space="preserve">ft, </t>
    </r>
    <r>
      <rPr>
        <b/>
        <sz val="10"/>
        <color rgb="FFFF0000"/>
        <rFont val="Calibri"/>
        <scheme val="minor"/>
      </rPr>
      <t>X</t>
    </r>
    <r>
      <rPr>
        <b/>
        <sz val="10"/>
        <color rgb="FF000000"/>
        <rFont val="Calibri"/>
        <scheme val="minor"/>
      </rPr>
      <t xml:space="preserve"> in)</t>
    </r>
  </si>
  <si>
    <r>
      <rPr>
        <b/>
        <sz val="10"/>
        <color rgb="FF000000"/>
        <rFont val="Calibri"/>
        <scheme val="minor"/>
      </rPr>
      <t xml:space="preserve">Height of Railing - </t>
    </r>
    <r>
      <rPr>
        <b/>
        <sz val="10"/>
        <color rgb="FFFF0000"/>
        <rFont val="Calibri"/>
        <scheme val="minor"/>
      </rPr>
      <t xml:space="preserve">Guard Rail </t>
    </r>
    <r>
      <rPr>
        <b/>
        <sz val="10"/>
        <color rgb="FF000000"/>
        <rFont val="Calibri"/>
        <scheme val="minor"/>
      </rPr>
      <t>(</t>
    </r>
    <r>
      <rPr>
        <b/>
        <sz val="10"/>
        <color rgb="FFFF0000"/>
        <rFont val="Calibri"/>
        <scheme val="minor"/>
      </rPr>
      <t>X</t>
    </r>
    <r>
      <rPr>
        <b/>
        <sz val="10"/>
        <color rgb="FF000000"/>
        <rFont val="Calibri"/>
        <scheme val="minor"/>
      </rPr>
      <t xml:space="preserve"> ft, </t>
    </r>
    <r>
      <rPr>
        <b/>
        <sz val="10"/>
        <color rgb="FFFF0000"/>
        <rFont val="Calibri"/>
        <scheme val="minor"/>
      </rPr>
      <t>X</t>
    </r>
    <r>
      <rPr>
        <b/>
        <sz val="10"/>
        <color rgb="FF000000"/>
        <rFont val="Calibri"/>
        <scheme val="minor"/>
      </rPr>
      <t xml:space="preserve"> in)</t>
    </r>
  </si>
  <si>
    <t>RAILING(S) - DESIGN</t>
  </si>
  <si>
    <t>Approved Railing Specification</t>
  </si>
  <si>
    <r>
      <rPr>
        <b/>
        <sz val="10"/>
        <color rgb="FF000000"/>
        <rFont val="Calibri"/>
        <scheme val="minor"/>
      </rPr>
      <t>Baluster Design (</t>
    </r>
    <r>
      <rPr>
        <b/>
        <sz val="10"/>
        <color rgb="FFFF0000"/>
        <rFont val="Calibri"/>
        <scheme val="minor"/>
      </rPr>
      <t>Vertical / Horizontal, Square, Decorative</t>
    </r>
    <r>
      <rPr>
        <b/>
        <sz val="10"/>
        <color rgb="FF000000"/>
        <rFont val="Calibri"/>
        <scheme val="minor"/>
      </rPr>
      <t>)</t>
    </r>
  </si>
  <si>
    <r>
      <rPr>
        <b/>
        <sz val="10"/>
        <color rgb="FF000000"/>
        <rFont val="Calibri"/>
        <scheme val="minor"/>
      </rPr>
      <t>Baluster / Spindle Spacing (</t>
    </r>
    <r>
      <rPr>
        <b/>
        <sz val="10"/>
        <color rgb="FFFF0000"/>
        <rFont val="Calibri"/>
        <scheme val="minor"/>
      </rPr>
      <t>X"</t>
    </r>
    <r>
      <rPr>
        <b/>
        <sz val="10"/>
        <color rgb="FF000000"/>
        <rFont val="Calibri"/>
        <scheme val="minor"/>
      </rPr>
      <t>)</t>
    </r>
  </si>
  <si>
    <r>
      <rPr>
        <b/>
        <sz val="10"/>
        <color rgb="FF000000"/>
        <rFont val="Calibri"/>
        <scheme val="minor"/>
      </rPr>
      <t>Handrail End Design (</t>
    </r>
    <r>
      <rPr>
        <b/>
        <sz val="10"/>
        <color rgb="FFFF0000"/>
        <rFont val="Calibri"/>
        <scheme val="minor"/>
      </rPr>
      <t>Lamb Tongue, Scroll End</t>
    </r>
    <r>
      <rPr>
        <b/>
        <sz val="10"/>
        <color rgb="FF000000"/>
        <rFont val="Calibri"/>
        <scheme val="minor"/>
      </rPr>
      <t>)</t>
    </r>
  </si>
  <si>
    <r>
      <rPr>
        <b/>
        <sz val="10"/>
        <color rgb="FF000000"/>
        <rFont val="Calibri"/>
        <scheme val="minor"/>
      </rPr>
      <t>Post Design (</t>
    </r>
    <r>
      <rPr>
        <b/>
        <sz val="10"/>
        <color rgb="FFFF0000"/>
        <rFont val="Calibri"/>
        <scheme val="minor"/>
      </rPr>
      <t>Ball Cap, Standard Cap, Picket, Skirt Above Base Plate</t>
    </r>
    <r>
      <rPr>
        <b/>
        <sz val="10"/>
        <color rgb="FF000000"/>
        <rFont val="Calibri"/>
        <scheme val="minor"/>
      </rPr>
      <t>)</t>
    </r>
  </si>
  <si>
    <t>E.S.P. Thermo-setting powder coat finish / painted (Kynar Option)</t>
  </si>
  <si>
    <t>Glass Panels</t>
  </si>
  <si>
    <r>
      <rPr>
        <b/>
        <sz val="10"/>
        <color rgb="FF000000"/>
        <rFont val="Calibri"/>
        <scheme val="minor"/>
      </rPr>
      <t>RAILING(S) -</t>
    </r>
    <r>
      <rPr>
        <b/>
        <sz val="10"/>
        <color rgb="FFFF0000"/>
        <rFont val="Calibri"/>
        <scheme val="minor"/>
      </rPr>
      <t xml:space="preserve"> </t>
    </r>
    <r>
      <rPr>
        <b/>
        <sz val="10"/>
        <color rgb="FF000000"/>
        <rFont val="Calibri"/>
        <scheme val="minor"/>
      </rPr>
      <t>INSTALLATION</t>
    </r>
  </si>
  <si>
    <r>
      <rPr>
        <b/>
        <sz val="10"/>
        <color rgb="FF000000"/>
        <rFont val="Calibri"/>
        <scheme val="minor"/>
      </rPr>
      <t>Attachment Method (</t>
    </r>
    <r>
      <rPr>
        <b/>
        <sz val="10"/>
        <color rgb="FFFF0000"/>
        <rFont val="Calibri"/>
        <scheme val="minor"/>
      </rPr>
      <t>Core Drill Install, Wall-mounted, Landed, Fastened w/ Stainless Steel Lag Bolt</t>
    </r>
    <r>
      <rPr>
        <b/>
        <sz val="10"/>
        <color rgb="FF000000"/>
        <rFont val="Calibri"/>
        <scheme val="minor"/>
      </rPr>
      <t>)</t>
    </r>
  </si>
  <si>
    <t>Concealed installation method</t>
  </si>
  <si>
    <t>Measuring Visit &amp; Installation Of All Architectural Pieces</t>
  </si>
  <si>
    <t>Protection of Entire Railing after Installation</t>
  </si>
  <si>
    <t>Custom "cups" for waterproofing tie-in (Exterior Applications Only)</t>
  </si>
  <si>
    <r>
      <rPr>
        <b/>
        <sz val="10"/>
        <color rgb="FF000000"/>
        <rFont val="Calibri"/>
        <scheme val="minor"/>
      </rPr>
      <t>Lead Time (</t>
    </r>
    <r>
      <rPr>
        <b/>
        <sz val="10"/>
        <color rgb="FFFF0000"/>
        <rFont val="Calibri"/>
        <scheme val="minor"/>
      </rPr>
      <t>X Weeks</t>
    </r>
    <r>
      <rPr>
        <b/>
        <sz val="10"/>
        <color rgb="FF000000"/>
        <rFont val="Calibri"/>
        <scheme val="minor"/>
      </rPr>
      <t>)</t>
    </r>
  </si>
  <si>
    <t>TOTAL BID:</t>
  </si>
  <si>
    <t>HB RECOMMENDS:</t>
  </si>
  <si>
    <t>Division 06 - Interior Trim</t>
  </si>
  <si>
    <r>
      <t xml:space="preserve">All work and material for this scope required by the </t>
    </r>
    <r>
      <rPr>
        <b/>
        <sz val="10"/>
        <color rgb="FFFF0000"/>
        <rFont val="Calibri"/>
        <family val="2"/>
      </rPr>
      <t>ARCH/INTERIOR DESIGNER</t>
    </r>
    <r>
      <rPr>
        <sz val="10"/>
        <rFont val="Calibri"/>
        <family val="2"/>
      </rPr>
      <t xml:space="preserve"> plans dated through </t>
    </r>
    <r>
      <rPr>
        <b/>
        <u/>
        <sz val="10"/>
        <color rgb="FFFF0000"/>
        <rFont val="Calibri"/>
        <family val="2"/>
      </rPr>
      <t>INSERT DATE</t>
    </r>
    <r>
      <rPr>
        <sz val="10"/>
        <rFont val="Calibri"/>
        <family val="2"/>
      </rPr>
      <t xml:space="preserve"> and specifications dated through </t>
    </r>
    <r>
      <rPr>
        <b/>
        <u/>
        <sz val="10"/>
        <color rgb="FFFF0000"/>
        <rFont val="Calibri"/>
        <family val="2"/>
      </rPr>
      <t>INSERT DATE</t>
    </r>
  </si>
  <si>
    <t>All work shall conform to AWI Premium Grade or better</t>
  </si>
  <si>
    <t>Natural finish and painting wood work as specified in the finish schedule.</t>
  </si>
  <si>
    <t>Complete shop drawings including initial drawing and up to 3 revisions</t>
  </si>
  <si>
    <t xml:space="preserve">Finish samples of all materials scheduled to have a transparent finish to be submitted for approval. </t>
  </si>
  <si>
    <t>Full size samples of all trim profiles to be submitted for approval</t>
  </si>
  <si>
    <t>Wood Species</t>
  </si>
  <si>
    <t>Window sills are to be included as part of this scope of work.</t>
  </si>
  <si>
    <t>Extension jambs to be included as part of this scope of work</t>
  </si>
  <si>
    <t>Cased openings to be included as a part of this scope of work</t>
  </si>
  <si>
    <t xml:space="preserve">Interior Mull Caps to be included as a part of this scope of work </t>
  </si>
  <si>
    <t>All painted trim and doors are to be furnished prime sand prime, ready for paint. Second prime coat is to be tinted to a shade close to that of the final color</t>
  </si>
  <si>
    <t>Standing &amp; Running Trim</t>
  </si>
  <si>
    <t>Casework</t>
  </si>
  <si>
    <t>Stair railing</t>
  </si>
  <si>
    <t>Rooms</t>
  </si>
  <si>
    <t>Door jambs &amp; slabs</t>
  </si>
  <si>
    <t>Standing and running trim (base to be incld in all rooms)</t>
  </si>
  <si>
    <t xml:space="preserve">Laundry </t>
  </si>
  <si>
    <t>Standing and running trim</t>
  </si>
  <si>
    <t xml:space="preserve">Elevator </t>
  </si>
  <si>
    <t>Elevator interior finishes</t>
  </si>
  <si>
    <t>Base, casing, wall paneling, column wraps (incld. underside of stair)</t>
  </si>
  <si>
    <t>Cornice, T&amp;G ceilings</t>
  </si>
  <si>
    <t xml:space="preserve"> Office</t>
  </si>
  <si>
    <t>Base, casing, wall paneling, cornice, plinth block</t>
  </si>
  <si>
    <t>Beams, T&amp;G ceilings</t>
  </si>
  <si>
    <t>Shop visits during fabrication/finishing</t>
  </si>
  <si>
    <t>Field Layout</t>
  </si>
  <si>
    <t>Premium time for fabrication to meet project schedule</t>
  </si>
  <si>
    <t>Premium time for installation to meet project schedule</t>
  </si>
  <si>
    <t>Finish Protection</t>
  </si>
  <si>
    <t xml:space="preserve">Field Touch-up </t>
  </si>
  <si>
    <t>TOTAL BID</t>
  </si>
  <si>
    <t>TOTAL</t>
  </si>
  <si>
    <t xml:space="preserve">TOTAL </t>
  </si>
  <si>
    <t>Division 06 - Interior Doors</t>
  </si>
  <si>
    <t xml:space="preserve">Proposal includes any required freight. Site access and delivery vehicle sizing has been reviewed and included per site requirements. </t>
  </si>
  <si>
    <t>Onsite Parking plan has been discussed and any time associated with offsite parking is included</t>
  </si>
  <si>
    <t>Project RFIs and addendums(if any) have been reviewed</t>
  </si>
  <si>
    <t>Proposal mentions current plans and specifications</t>
  </si>
  <si>
    <t>All information presented on this scope sheet was reviewed and approved. (Please Initial)</t>
  </si>
  <si>
    <r>
      <t xml:space="preserve">Base Bid: </t>
    </r>
    <r>
      <rPr>
        <sz val="10"/>
        <rFont val="Calibri"/>
        <family val="2"/>
      </rPr>
      <t>Supply the Following Interior Wood Doors:</t>
    </r>
  </si>
  <si>
    <t>See Below</t>
  </si>
  <si>
    <t>Door No.</t>
  </si>
  <si>
    <t>Location</t>
  </si>
  <si>
    <t>Door Type</t>
  </si>
  <si>
    <t>Size</t>
  </si>
  <si>
    <t>Thickness</t>
  </si>
  <si>
    <t xml:space="preserve">Material </t>
  </si>
  <si>
    <t>Finish</t>
  </si>
  <si>
    <t xml:space="preserve">Frame Material </t>
  </si>
  <si>
    <t>Frame Finish</t>
  </si>
  <si>
    <t>Hardware Set</t>
  </si>
  <si>
    <t>Remarks /Notes</t>
  </si>
  <si>
    <t xml:space="preserve">New Interior Doors </t>
  </si>
  <si>
    <r>
      <rPr>
        <i/>
        <sz val="10"/>
        <color rgb="FF000000"/>
        <rFont val="Calibri"/>
        <family val="2"/>
      </rPr>
      <t xml:space="preserve">Wood Doors: Solid Core Doors w/ </t>
    </r>
    <r>
      <rPr>
        <b/>
        <i/>
        <sz val="10"/>
        <color rgb="FFFF0000"/>
        <rFont val="Calibri"/>
        <family val="2"/>
      </rPr>
      <t xml:space="preserve">Stain Finish to Match Existing </t>
    </r>
  </si>
  <si>
    <t>Door Installation</t>
  </si>
  <si>
    <t>Installation of all doors in the door schedule above</t>
  </si>
  <si>
    <t xml:space="preserve">Finish: Doors to be Painted TBD Interior Designer </t>
  </si>
  <si>
    <t>Pre-Hung or Pre-Machined</t>
  </si>
  <si>
    <t>Hardware</t>
  </si>
  <si>
    <t xml:space="preserve">Supply and Install of Hardware per plans </t>
  </si>
  <si>
    <r>
      <rPr>
        <sz val="10"/>
        <color rgb="FF000000"/>
        <rFont val="Calibri"/>
        <family val="2"/>
      </rPr>
      <t xml:space="preserve">Door Lever 1 Handle </t>
    </r>
    <r>
      <rPr>
        <b/>
        <sz val="10"/>
        <color rgb="FFFF0000"/>
        <rFont val="Calibri"/>
        <family val="2"/>
      </rPr>
      <t xml:space="preserve">:TYPE &amp; FINISH </t>
    </r>
  </si>
  <si>
    <r>
      <rPr>
        <sz val="10"/>
        <color rgb="FF000000"/>
        <rFont val="Calibri"/>
        <family val="2"/>
      </rPr>
      <t xml:space="preserve">Door Closers - Concealed Closer </t>
    </r>
    <r>
      <rPr>
        <b/>
        <sz val="10"/>
        <color rgb="FFFF0000"/>
        <rFont val="Calibri"/>
        <family val="2"/>
      </rPr>
      <t xml:space="preserve">TYPE &amp; FINISH </t>
    </r>
  </si>
  <si>
    <r>
      <rPr>
        <sz val="10"/>
        <color rgb="FF000000"/>
        <rFont val="Calibri"/>
        <family val="2"/>
      </rPr>
      <t xml:space="preserve">Kick Plates : </t>
    </r>
    <r>
      <rPr>
        <b/>
        <sz val="10"/>
        <color rgb="FFFF0000"/>
        <rFont val="Calibri"/>
        <family val="2"/>
      </rPr>
      <t xml:space="preserve">TYPE &amp; FINISH </t>
    </r>
  </si>
  <si>
    <r>
      <rPr>
        <sz val="10"/>
        <color rgb="FF000000"/>
        <rFont val="Calibri"/>
        <family val="2"/>
      </rPr>
      <t>Door Pull Plate:</t>
    </r>
    <r>
      <rPr>
        <b/>
        <sz val="10"/>
        <color rgb="FFFF0000"/>
        <rFont val="Calibri"/>
        <family val="2"/>
      </rPr>
      <t xml:space="preserve"> TYPE &amp; FINISH </t>
    </r>
  </si>
  <si>
    <r>
      <rPr>
        <sz val="10"/>
        <color rgb="FF000000"/>
        <rFont val="Calibri"/>
        <family val="2"/>
      </rPr>
      <t xml:space="preserve">Door Stop : </t>
    </r>
    <r>
      <rPr>
        <b/>
        <sz val="10"/>
        <color rgb="FFFF0000"/>
        <rFont val="Calibri"/>
        <family val="2"/>
      </rPr>
      <t>EMTEK Cylinder Floor Bumper 2257, 1-1/2" Oil Rubbed Bronze Finish</t>
    </r>
  </si>
  <si>
    <r>
      <rPr>
        <sz val="10"/>
        <color rgb="FF000000"/>
        <rFont val="Calibri"/>
        <family val="2"/>
      </rPr>
      <t xml:space="preserve">Deadbolt Lock 1 :  </t>
    </r>
    <r>
      <rPr>
        <b/>
        <sz val="10"/>
        <color rgb="FFFF0000"/>
        <rFont val="Calibri"/>
        <family val="2"/>
      </rPr>
      <t xml:space="preserve">TYPE &amp; FINISH </t>
    </r>
  </si>
  <si>
    <r>
      <rPr>
        <sz val="10"/>
        <color rgb="FF000000"/>
        <rFont val="Calibri"/>
        <family val="2"/>
      </rPr>
      <t xml:space="preserve">Occupancy Indicator - </t>
    </r>
    <r>
      <rPr>
        <b/>
        <sz val="10"/>
        <color rgb="FFFF0000"/>
        <rFont val="Calibri"/>
        <family val="2"/>
      </rPr>
      <t xml:space="preserve"> TYPE &amp; FINISH </t>
    </r>
  </si>
  <si>
    <r>
      <rPr>
        <sz val="10"/>
        <color rgb="FF000000"/>
        <rFont val="Calibri"/>
        <family val="2"/>
      </rPr>
      <t xml:space="preserve">Hinges: </t>
    </r>
    <r>
      <rPr>
        <b/>
        <sz val="10"/>
        <color rgb="FFFF0000"/>
        <rFont val="Calibri"/>
        <family val="2"/>
      </rPr>
      <t xml:space="preserve">  TYPE &amp; FINISH </t>
    </r>
  </si>
  <si>
    <t xml:space="preserve">Hinges Shall be Supplied for Each Leaf in the Following Numbers: </t>
  </si>
  <si>
    <t xml:space="preserve">Doors Less than 60" - 2 Hinges </t>
  </si>
  <si>
    <t xml:space="preserve">Doors 60"-90" - 3 Hinges </t>
  </si>
  <si>
    <t xml:space="preserve">Doors 90"-120" - 4 Hinges </t>
  </si>
  <si>
    <t>Delivery/Shipping</t>
  </si>
  <si>
    <t>Sales Tax</t>
  </si>
  <si>
    <t>Company Contact</t>
  </si>
  <si>
    <t>Phone Number</t>
  </si>
  <si>
    <t>All fasteners to be included; stainless steel.</t>
  </si>
  <si>
    <t>All materials assumed to natural finish unless stated otherwise.</t>
  </si>
  <si>
    <t>Premium time for fabrication to meet project schedule.</t>
  </si>
  <si>
    <t>Premium time for installation to meet project schedule.</t>
  </si>
  <si>
    <t>Shop visits during fabrication/finishing.</t>
  </si>
  <si>
    <t>Field Layout Included.</t>
  </si>
  <si>
    <t>All priming is exterior prime, sanded, and reprimed. All surfaces to be completely sanded upon installation.</t>
  </si>
  <si>
    <r>
      <rPr>
        <sz val="10"/>
        <color rgb="FF000000"/>
        <rFont val="Calibri"/>
        <family val="2"/>
        <scheme val="minor"/>
      </rPr>
      <t>Shutter to be (</t>
    </r>
    <r>
      <rPr>
        <sz val="10"/>
        <color rgb="FFFF0000"/>
        <rFont val="Calibri"/>
        <family val="2"/>
        <scheme val="minor"/>
      </rPr>
      <t>X</t>
    </r>
    <r>
      <rPr>
        <sz val="10"/>
        <color rgb="FF000000"/>
        <rFont val="Calibri"/>
        <family val="2"/>
        <scheme val="minor"/>
      </rPr>
      <t>) x (</t>
    </r>
    <r>
      <rPr>
        <sz val="10"/>
        <color rgb="FFFF0000"/>
        <rFont val="Calibri"/>
        <family val="2"/>
        <scheme val="minor"/>
      </rPr>
      <t>X</t>
    </r>
    <r>
      <rPr>
        <sz val="10"/>
        <color rgb="FF000000"/>
        <rFont val="Calibri"/>
        <family val="2"/>
        <scheme val="minor"/>
      </rPr>
      <t>)"; Finish Material (</t>
    </r>
    <r>
      <rPr>
        <sz val="10"/>
        <color rgb="FFFF0000"/>
        <rFont val="Calibri"/>
        <family val="2"/>
        <scheme val="minor"/>
      </rPr>
      <t>X</t>
    </r>
    <r>
      <rPr>
        <sz val="10"/>
        <color rgb="FF000000"/>
        <rFont val="Calibri"/>
        <family val="2"/>
        <scheme val="minor"/>
      </rPr>
      <t>).</t>
    </r>
  </si>
  <si>
    <r>
      <rPr>
        <sz val="10"/>
        <color rgb="FF000000"/>
        <rFont val="Calibri"/>
        <family val="2"/>
        <scheme val="minor"/>
      </rPr>
      <t>Hardware to be (</t>
    </r>
    <r>
      <rPr>
        <sz val="10"/>
        <color rgb="FFFF0000"/>
        <rFont val="Calibri"/>
        <family val="2"/>
        <scheme val="minor"/>
      </rPr>
      <t>X Material</t>
    </r>
    <r>
      <rPr>
        <sz val="10"/>
        <color rgb="FF000000"/>
        <rFont val="Calibri"/>
        <family val="2"/>
        <scheme val="minor"/>
      </rPr>
      <t>) or approved equal; installation included.</t>
    </r>
  </si>
  <si>
    <t>Operable; non-operable.</t>
  </si>
  <si>
    <t>TOTAL BID INCLUDING USE TAX:</t>
  </si>
  <si>
    <t>Option(s)</t>
  </si>
  <si>
    <t>HB Recommends</t>
  </si>
  <si>
    <t>Division 07 - Roofing</t>
  </si>
  <si>
    <t>Shop drawings, material submittals, NOA's / FPA's</t>
  </si>
  <si>
    <t>Metal flashings to be 20 oz. copper</t>
  </si>
  <si>
    <t>Flash all MEP penetrations, mechanical curbs, dcut/pipe supports, stair/ladder supports, guard railing supports, skylights, lightning protection, etc.</t>
  </si>
  <si>
    <t>Scaffolding/equipment as required to complete scope of work</t>
  </si>
  <si>
    <t>Flashing at all MEP penetrations including Lightning Protection</t>
  </si>
  <si>
    <t>All fasteners to be stainless steel</t>
  </si>
  <si>
    <t>Clay Tile Roof</t>
  </si>
  <si>
    <t>Dry-in one (1) layer of 30# felt tin tagged per code</t>
  </si>
  <si>
    <t>Install one (1) layer of CertainTeed Fintlastic SA (Self-Adhered) cap sheet (granulated SA modified)</t>
  </si>
  <si>
    <t xml:space="preserve">Apply one layer of granule-surfaced modified tile underlayment applied with hot asphalt </t>
  </si>
  <si>
    <t>Install new 20 oz. copper stucco stops, drip edge, base flashing, valley metal</t>
  </si>
  <si>
    <r>
      <rPr>
        <sz val="10"/>
        <color rgb="FF000000"/>
        <rFont val="Arial"/>
        <family val="2"/>
      </rPr>
      <t xml:space="preserve">Clay barrel roof tile by </t>
    </r>
    <r>
      <rPr>
        <sz val="10"/>
        <color rgb="FFFF0000"/>
        <rFont val="Arial"/>
        <family val="2"/>
      </rPr>
      <t>INSERT MANUFACTURER AND PRODUCT</t>
    </r>
  </si>
  <si>
    <t>INSERT SIZE</t>
  </si>
  <si>
    <r>
      <rPr>
        <sz val="10"/>
        <color rgb="FF000000"/>
        <rFont val="Arial"/>
        <family val="2"/>
      </rPr>
      <t xml:space="preserve">Color - </t>
    </r>
    <r>
      <rPr>
        <sz val="10"/>
        <color rgb="FFFF0000"/>
        <rFont val="Arial"/>
        <family val="2"/>
      </rPr>
      <t>INSERT</t>
    </r>
  </si>
  <si>
    <r>
      <rPr>
        <sz val="10"/>
        <color rgb="FFFF0000"/>
        <rFont val="Calibri"/>
        <family val="2"/>
        <scheme val="minor"/>
      </rPr>
      <t xml:space="preserve">Foam set </t>
    </r>
    <r>
      <rPr>
        <sz val="10"/>
        <color rgb="FF000000"/>
        <rFont val="Calibri"/>
        <family val="2"/>
        <scheme val="minor"/>
      </rPr>
      <t xml:space="preserve">+ fasteners where required per NOA / </t>
    </r>
    <r>
      <rPr>
        <sz val="10"/>
        <color rgb="FFFF0000"/>
        <rFont val="Calibri"/>
        <family val="2"/>
        <scheme val="minor"/>
      </rPr>
      <t>MUD SET</t>
    </r>
  </si>
  <si>
    <t>Mud at hips / ridge / eaves w/ drain hole</t>
  </si>
  <si>
    <t>PT wood nailers at ridge, hip, &amp; rake tiles</t>
  </si>
  <si>
    <t>Tiles to be screwed as required by code</t>
  </si>
  <si>
    <t>Concrete Tile Roof</t>
  </si>
  <si>
    <t>Sub-roof to consist of one layer of  ASTM D226  #30 felt nailed and tagged per code</t>
  </si>
  <si>
    <t>Install (1) Ply of 170 modified hot mopped with Type IV asphalt and back nailed with 1" cap nails 12" O.C.</t>
  </si>
  <si>
    <t>Furnish &amp; Install all lock strips (stainless steel), drip edge, base flashing, valley metal w/ 20 oz. copper</t>
  </si>
  <si>
    <r>
      <rPr>
        <sz val="11"/>
        <color rgb="FF000000"/>
        <rFont val="Calibri"/>
        <family val="2"/>
      </rPr>
      <t>Install "</t>
    </r>
    <r>
      <rPr>
        <sz val="11"/>
        <color rgb="FFFF0000"/>
        <rFont val="Calibri"/>
        <family val="2"/>
      </rPr>
      <t>MANUFACTURER AND PRODUCT</t>
    </r>
    <r>
      <rPr>
        <sz val="11"/>
        <color rgb="FF000000"/>
        <rFont val="Calibri"/>
        <family val="2"/>
      </rPr>
      <t>" flat cement interlocking roof tile with mitered hips &amp; ridges</t>
    </r>
  </si>
  <si>
    <r>
      <rPr>
        <sz val="10"/>
        <color rgb="FF000000"/>
        <rFont val="Calibri"/>
        <family val="2"/>
        <scheme val="minor"/>
      </rPr>
      <t>Roof tile to be mud-set (</t>
    </r>
    <r>
      <rPr>
        <sz val="10"/>
        <color rgb="FFFF0000"/>
        <rFont val="Calibri"/>
        <family val="2"/>
        <scheme val="minor"/>
      </rPr>
      <t>if slurry coat - otherwise foam set</t>
    </r>
    <r>
      <rPr>
        <sz val="10"/>
        <color rgb="FF000000"/>
        <rFont val="Calibri"/>
        <family val="2"/>
        <scheme val="minor"/>
      </rPr>
      <t>)</t>
    </r>
  </si>
  <si>
    <r>
      <rPr>
        <sz val="10"/>
        <color rgb="FFFF0000"/>
        <rFont val="Calibri"/>
        <family val="2"/>
        <scheme val="minor"/>
      </rPr>
      <t xml:space="preserve">FINISH </t>
    </r>
    <r>
      <rPr>
        <sz val="10"/>
        <color rgb="FF000000"/>
        <rFont val="Calibri"/>
        <family val="2"/>
        <scheme val="minor"/>
      </rPr>
      <t>- (Slurry) Stucco Mud Over Slope Roof  and paint/ RAW</t>
    </r>
  </si>
  <si>
    <t>Ridge caps or mitered hips and ridges</t>
  </si>
  <si>
    <t>Copper Metal Roof</t>
  </si>
  <si>
    <t>Install cladding over a sub-roof consisting of one layer of #30 felt nailed and tagged per code</t>
  </si>
  <si>
    <t>Install one layer of high temperature self-adhering membrane.</t>
  </si>
  <si>
    <r>
      <rPr>
        <sz val="10"/>
        <color rgb="FF000000"/>
        <rFont val="Calibri"/>
        <family val="2"/>
        <scheme val="minor"/>
      </rPr>
      <t xml:space="preserve">Fabricate and install </t>
    </r>
    <r>
      <rPr>
        <sz val="10"/>
        <color rgb="FFFF0000"/>
        <rFont val="Calibri"/>
        <family val="2"/>
        <scheme val="minor"/>
      </rPr>
      <t xml:space="preserve">16 </t>
    </r>
    <r>
      <rPr>
        <sz val="10"/>
        <color rgb="FF000000"/>
        <rFont val="Calibri"/>
        <family val="2"/>
        <scheme val="minor"/>
      </rPr>
      <t>oz. mill-finish copper-standing seam roofs</t>
    </r>
  </si>
  <si>
    <t>Installation clips to be stainless steel and as required by NOAs</t>
  </si>
  <si>
    <t>Furnish and install flashing as necessary to tie into adjacent roof/wall</t>
  </si>
  <si>
    <t>Install all matching valley, hip and ridge metal panels</t>
  </si>
  <si>
    <t>Roof Gutters</t>
  </si>
  <si>
    <t xml:space="preserve">__ oz Copper Gutters __inches </t>
  </si>
  <si>
    <t>Gutter Profile to be ___</t>
  </si>
  <si>
    <r>
      <rPr>
        <sz val="10"/>
        <color rgb="FF000000"/>
        <rFont val="Calibri"/>
        <family val="2"/>
        <scheme val="minor"/>
      </rPr>
      <t xml:space="preserve">Gutter Boxes and Downspouts; </t>
    </r>
    <r>
      <rPr>
        <sz val="10"/>
        <color rgb="FFFF0000"/>
        <rFont val="Calibri"/>
        <family val="2"/>
        <scheme val="minor"/>
      </rPr>
      <t>Round or Square; ___ Inch</t>
    </r>
  </si>
  <si>
    <t>Leader boxes</t>
  </si>
  <si>
    <t>Downspout straps and hanger type</t>
  </si>
  <si>
    <t>Downspout connect to plumbers storm drain</t>
  </si>
  <si>
    <t>Seams to be locked &amp; soldered. To include copper wire strainer baskets, and expansion joints as necessary.</t>
  </si>
  <si>
    <t>Flat Roof</t>
  </si>
  <si>
    <r>
      <rPr>
        <sz val="10"/>
        <color rgb="FF000000"/>
        <rFont val="Calibri"/>
        <family val="2"/>
        <scheme val="minor"/>
      </rPr>
      <t xml:space="preserve">Install new </t>
    </r>
    <r>
      <rPr>
        <sz val="10"/>
        <color rgb="FFFF0000"/>
        <rFont val="Calibri"/>
        <family val="2"/>
        <scheme val="minor"/>
      </rPr>
      <t>20</t>
    </r>
    <r>
      <rPr>
        <sz val="10"/>
        <color rgb="FF000000"/>
        <rFont val="Calibri"/>
        <family val="2"/>
        <scheme val="minor"/>
      </rPr>
      <t xml:space="preserve"> oz. copper stucco stops, drip edge, base flashing, overflow scuppers, etc.</t>
    </r>
  </si>
  <si>
    <t>Adhere 1/2" per foot tapered insulation board as required for proper drainage and one (1) layer of 1/2" securock with adhesive</t>
  </si>
  <si>
    <t>Asphalt primer over the securerock</t>
  </si>
  <si>
    <t>Install one (1) layer of SA midply non-granulated modified membrane and one (1) layer of SA (self-adhering) granulated modified cap sheet membrane</t>
  </si>
  <si>
    <t>Flash walls with one (1) layer of SA midply membrane and one (1) layer of SA granulated modified cap sheet membrane</t>
  </si>
  <si>
    <t>Roof deck area #3 to receive one (1) layer of ISO board</t>
  </si>
  <si>
    <t>Install roof walkway protection pads</t>
  </si>
  <si>
    <t>Cedar Shake Roof</t>
  </si>
  <si>
    <r>
      <rPr>
        <sz val="10"/>
        <color rgb="FF000000"/>
        <rFont val="Calibri"/>
        <family val="2"/>
      </rPr>
      <t>Furnish &amp; Install Cedar Shake Roof:</t>
    </r>
    <r>
      <rPr>
        <sz val="10"/>
        <color rgb="FFFF0000"/>
        <rFont val="Calibri"/>
        <family val="2"/>
      </rPr>
      <t xml:space="preserve"> SIZE AND TYPE </t>
    </r>
    <r>
      <rPr>
        <sz val="10"/>
        <color rgb="FF000000"/>
        <rFont val="Calibri"/>
        <family val="2"/>
      </rPr>
      <t xml:space="preserve">treated installed over #30 felt. Shakes installed w/ stainless steel ring shanked nails. Shake exposure to be </t>
    </r>
    <r>
      <rPr>
        <sz val="10"/>
        <color rgb="FFFF0000"/>
        <rFont val="Calibri"/>
        <family val="2"/>
      </rPr>
      <t>X</t>
    </r>
    <r>
      <rPr>
        <sz val="10"/>
        <color rgb="FF000000"/>
        <rFont val="Calibri"/>
        <family val="2"/>
      </rPr>
      <t>".  An additional 18" wide strip of 30# to be installed between each shake course.</t>
    </r>
  </si>
  <si>
    <t>Install self adhered waterproofing sheet over 30#</t>
  </si>
  <si>
    <t>Install cedar shakes over a breathable underlayment such as Cedar Breather by Benjamin Obdyke, or equal</t>
  </si>
  <si>
    <t>Furnish &amp; Install copper drip edges, step flashings, valley flashings, stucco stops, counter flashing, etc. for roofing installation</t>
  </si>
  <si>
    <t>Sheet Metal Fabrications</t>
  </si>
  <si>
    <t>Furnish copper door &amp; window pans</t>
  </si>
  <si>
    <t xml:space="preserve">Furnish copper caps for wood members - pergolas, gates, shutters, trellis, etc. </t>
  </si>
  <si>
    <t>Furnish  &amp; Install copper chimney cap</t>
  </si>
  <si>
    <t>Misc. Items</t>
  </si>
  <si>
    <t>Material owner attic stock one (1) square</t>
  </si>
  <si>
    <t>Secondary water resistance tape at plywood joints</t>
  </si>
  <si>
    <t>Division 07 - Insulation</t>
  </si>
  <si>
    <t>Insulation certification.</t>
  </si>
  <si>
    <t>Protection of Insulated Areas Before AND After Installation.</t>
  </si>
  <si>
    <t>LOCATION</t>
  </si>
  <si>
    <t>Exterior Walls, Roof, Ceiling With Conditioned Space Below</t>
  </si>
  <si>
    <t>Exterior Walls = Closed Cell</t>
  </si>
  <si>
    <t>Roof = Open Cell</t>
  </si>
  <si>
    <t>MATERIAL</t>
  </si>
  <si>
    <t>Batt, Roll, Fiberglass, Spray-Foam, 1-1/2" Foam Board (Flexible / Rigid), Cellulose, Havelock / Mineral Wool, Natural Fibers, Denim, Hemp</t>
  </si>
  <si>
    <r>
      <rPr>
        <b/>
        <sz val="10"/>
        <color rgb="FF000000"/>
        <rFont val="Calibri"/>
        <scheme val="minor"/>
      </rPr>
      <t>R-Value - (R-</t>
    </r>
    <r>
      <rPr>
        <b/>
        <sz val="10"/>
        <color rgb="FFFF0000"/>
        <rFont val="Calibri"/>
        <scheme val="minor"/>
      </rPr>
      <t>X</t>
    </r>
    <r>
      <rPr>
        <b/>
        <sz val="10"/>
        <color rgb="FF000000"/>
        <rFont val="Calibri"/>
        <scheme val="minor"/>
      </rPr>
      <t>)</t>
    </r>
  </si>
  <si>
    <t>APPLICATION METHOD</t>
  </si>
  <si>
    <t>Spray Application</t>
  </si>
  <si>
    <t>OPTIONS</t>
  </si>
  <si>
    <t>Thermal barrier at Attic.</t>
  </si>
  <si>
    <t>No burn XD plus ignition barrier applied to all open cell foam over A/C roof decks.</t>
  </si>
  <si>
    <t>HB Recommends:</t>
  </si>
  <si>
    <t>Division 07 - Waterproofing and Caulking</t>
  </si>
  <si>
    <t>Protection of Adjacent Areas Before AND After Installation.</t>
  </si>
  <si>
    <t>Include all required preparation, grinding and pressure washing of surfaces as required (all areas)</t>
  </si>
  <si>
    <t>Include site visits and installation assemblies approval by manufacturer to comply with warranties</t>
  </si>
  <si>
    <t>Provide patching of delaminated concrete with Sika 1000 mortar</t>
  </si>
  <si>
    <t>Site Walls / Retaining Walls</t>
  </si>
  <si>
    <r>
      <t>Apply</t>
    </r>
    <r>
      <rPr>
        <sz val="10"/>
        <color rgb="FFFF0000"/>
        <rFont val="Calibri"/>
        <family val="2"/>
      </rPr>
      <t xml:space="preserve"> Tremco 250GC</t>
    </r>
    <r>
      <rPr>
        <sz val="10"/>
        <rFont val="Calibri"/>
        <family val="2"/>
      </rPr>
      <t xml:space="preserve"> cold applied waterproofing membrane to all the site walls and embed protection board into the wet membrane</t>
    </r>
  </si>
  <si>
    <t>Supply and install Root Barrier</t>
  </si>
  <si>
    <t>Basement Under-Slab</t>
  </si>
  <si>
    <r>
      <t>Synkoflex</t>
    </r>
    <r>
      <rPr>
        <sz val="10"/>
        <rFont val="Calibri"/>
        <family val="2"/>
      </rPr>
      <t xml:space="preserve"> keyway waterstop</t>
    </r>
  </si>
  <si>
    <r>
      <t>Grace 300R Preprufe</t>
    </r>
    <r>
      <rPr>
        <sz val="10"/>
        <rFont val="Calibri"/>
        <family val="2"/>
      </rPr>
      <t xml:space="preserve"> under the  basement floor inlcuding MEP penetrations</t>
    </r>
  </si>
  <si>
    <t xml:space="preserve">   Grout rings for slab penetrations per WR Grace detail</t>
  </si>
  <si>
    <t>Below Grade Walls</t>
  </si>
  <si>
    <r>
      <rPr>
        <sz val="10"/>
        <color rgb="FFFF0000"/>
        <rFont val="Calibri"/>
        <family val="2"/>
      </rPr>
      <t xml:space="preserve">Grace B2 </t>
    </r>
    <r>
      <rPr>
        <sz val="10"/>
        <color rgb="FF000000"/>
        <rFont val="Calibri"/>
        <family val="2"/>
      </rPr>
      <t>primer</t>
    </r>
  </si>
  <si>
    <r>
      <t xml:space="preserve">Grace 3000/4000 </t>
    </r>
    <r>
      <rPr>
        <sz val="10"/>
        <rFont val="Calibri"/>
        <family val="2"/>
      </rPr>
      <t>bituthene</t>
    </r>
  </si>
  <si>
    <r>
      <t xml:space="preserve">Grace 220 </t>
    </r>
    <r>
      <rPr>
        <sz val="10"/>
        <rFont val="Calibri"/>
        <family val="2"/>
      </rPr>
      <t>Hydoduct drain board with manufacturer approved tape</t>
    </r>
  </si>
  <si>
    <t>Termination bar &amp; seal</t>
  </si>
  <si>
    <t>Above Grade Walls (check is scope is covered under Stucco)</t>
  </si>
  <si>
    <r>
      <t xml:space="preserve">Apply </t>
    </r>
    <r>
      <rPr>
        <sz val="10"/>
        <color rgb="FFFF0000"/>
        <rFont val="Calibri"/>
        <family val="2"/>
      </rPr>
      <t xml:space="preserve">Masterseal / STO </t>
    </r>
    <r>
      <rPr>
        <sz val="10"/>
        <rFont val="Calibri"/>
        <family val="2"/>
      </rPr>
      <t>cementitious waterproofing membrane on all above grade walls.</t>
    </r>
  </si>
  <si>
    <t xml:space="preserve">   Caulk joint at exterior horizontal surfaces to building</t>
  </si>
  <si>
    <r>
      <rPr>
        <sz val="10"/>
        <color rgb="FF000000"/>
        <rFont val="Calibri"/>
        <family val="2"/>
      </rPr>
      <t xml:space="preserve">   Chimney - </t>
    </r>
    <r>
      <rPr>
        <sz val="10"/>
        <color rgb="FFFF0000"/>
        <rFont val="Calibri"/>
        <family val="2"/>
      </rPr>
      <t xml:space="preserve">Masterseal (masonry) / Roof Pro (wood framed) </t>
    </r>
    <r>
      <rPr>
        <sz val="10"/>
        <color rgb="FF000000"/>
        <rFont val="Calibri"/>
        <family val="2"/>
      </rPr>
      <t xml:space="preserve">outside of chimney, underneath stucco, from the roof up. </t>
    </r>
  </si>
  <si>
    <r>
      <rPr>
        <sz val="10"/>
        <color rgb="FF000000"/>
        <rFont val="Calibri"/>
        <family val="2"/>
      </rPr>
      <t xml:space="preserve">   Cupolas - </t>
    </r>
    <r>
      <rPr>
        <sz val="10"/>
        <color rgb="FFFF0000"/>
        <rFont val="Calibri"/>
        <family val="2"/>
      </rPr>
      <t xml:space="preserve">Masterseal (masonry) / Roof Pro (wood framed) </t>
    </r>
    <r>
      <rPr>
        <sz val="10"/>
        <color rgb="FF000000"/>
        <rFont val="Calibri"/>
        <family val="2"/>
      </rPr>
      <t>inside and outside of the cupolas from the roof up</t>
    </r>
  </si>
  <si>
    <r>
      <t xml:space="preserve">   Caulk top &amp; bottom of </t>
    </r>
    <r>
      <rPr>
        <sz val="10"/>
        <color rgb="FFFF0000"/>
        <rFont val="Calibri"/>
        <family val="2"/>
      </rPr>
      <t>stone</t>
    </r>
    <r>
      <rPr>
        <sz val="10"/>
        <rFont val="Calibri"/>
        <family val="2"/>
      </rPr>
      <t xml:space="preserve"> molding</t>
    </r>
  </si>
  <si>
    <r>
      <t xml:space="preserve">   Caulk stone base to </t>
    </r>
    <r>
      <rPr>
        <sz val="10"/>
        <color rgb="FFFF0000"/>
        <rFont val="Calibri"/>
        <family val="2"/>
      </rPr>
      <t>stucco</t>
    </r>
    <r>
      <rPr>
        <sz val="10"/>
        <rFont val="Calibri"/>
        <family val="2"/>
      </rPr>
      <t xml:space="preserve"> joint</t>
    </r>
  </si>
  <si>
    <t>Doors and Windows (check is scope is covered under window and door sheet)</t>
  </si>
  <si>
    <r>
      <t xml:space="preserve">Detail wood bucks w/ </t>
    </r>
    <r>
      <rPr>
        <sz val="10"/>
        <color rgb="FFFF0000"/>
        <rFont val="Calibri"/>
        <family val="2"/>
      </rPr>
      <t>Prosoco</t>
    </r>
    <r>
      <rPr>
        <sz val="10"/>
        <rFont val="Calibri"/>
        <family val="2"/>
      </rPr>
      <t xml:space="preserve"> Joint &amp; seam</t>
    </r>
  </si>
  <si>
    <r>
      <t>Prosoco Fast Flash</t>
    </r>
    <r>
      <rPr>
        <sz val="10"/>
        <rFont val="Calibri"/>
        <family val="2"/>
      </rPr>
      <t xml:space="preserve"> over wood bucks and onto face of surrounding block/concrete</t>
    </r>
  </si>
  <si>
    <t xml:space="preserve">Wood Framed Assemblies </t>
  </si>
  <si>
    <r>
      <t xml:space="preserve">Prosoco Cat5 </t>
    </r>
    <r>
      <rPr>
        <sz val="10"/>
        <rFont val="Calibri"/>
        <family val="2"/>
      </rPr>
      <t xml:space="preserve">waterproofing </t>
    </r>
  </si>
  <si>
    <t>Exterior Openings</t>
  </si>
  <si>
    <r>
      <t xml:space="preserve">Apply </t>
    </r>
    <r>
      <rPr>
        <sz val="10"/>
        <color rgb="FFFF0000"/>
        <rFont val="Calibri"/>
        <family val="2"/>
      </rPr>
      <t>Sonneborn's</t>
    </r>
    <r>
      <rPr>
        <sz val="10"/>
        <rFont val="Calibri"/>
        <family val="2"/>
      </rPr>
      <t xml:space="preserve"> NP 1 Urethane sealant fmish bead to the exterior side of all exterior openings.</t>
    </r>
  </si>
  <si>
    <t>Planters</t>
  </si>
  <si>
    <r>
      <t>Apply</t>
    </r>
    <r>
      <rPr>
        <sz val="10"/>
        <color rgb="FFFF0000"/>
        <rFont val="Calibri"/>
        <family val="2"/>
      </rPr>
      <t xml:space="preserve"> Tremco 250 Gc </t>
    </r>
    <r>
      <rPr>
        <sz val="10"/>
        <rFont val="Calibri"/>
        <family val="2"/>
      </rPr>
      <t>cold applied waterproofing membrane in the planter with protection board embed into the membrane</t>
    </r>
  </si>
  <si>
    <t>Balconies and Decks</t>
  </si>
  <si>
    <r>
      <rPr>
        <sz val="10"/>
        <color rgb="FFFF0000"/>
        <rFont val="Calibri"/>
        <family val="2"/>
      </rPr>
      <t>Sikalastic Roof-pro 624 / 710</t>
    </r>
    <r>
      <rPr>
        <sz val="10"/>
        <color rgb="FF000000"/>
        <rFont val="Calibri"/>
        <family val="2"/>
      </rPr>
      <t xml:space="preserve"> cold applied urethene, with fiberglass embed</t>
    </r>
  </si>
  <si>
    <t>Broadcast sand on top coat for adhesion of stone flooring</t>
  </si>
  <si>
    <t>Include drainboard for portion of slab that will finish below grade</t>
  </si>
  <si>
    <t>Integral Gutter</t>
  </si>
  <si>
    <r>
      <t>Sikaplastic Roof - Pro 621</t>
    </r>
    <r>
      <rPr>
        <sz val="10"/>
        <rFont val="Calibri"/>
        <family val="2"/>
      </rPr>
      <t xml:space="preserve"> cold applied urethane waterproofing membranes with fiberglass embed</t>
    </r>
  </si>
  <si>
    <t>Exterior wood / stone cladding over Metal Assemblies</t>
  </si>
  <si>
    <r>
      <t>Prosoco Fast Flash</t>
    </r>
    <r>
      <rPr>
        <sz val="10"/>
        <rFont val="Calibri"/>
        <family val="2"/>
      </rPr>
      <t xml:space="preserve"> over Metal members</t>
    </r>
  </si>
  <si>
    <t>Parking Deck above occupied space</t>
  </si>
  <si>
    <r>
      <t>Neogard Autogard FCT</t>
    </r>
    <r>
      <rPr>
        <sz val="10"/>
        <rFont val="Calibri"/>
        <family val="2"/>
      </rPr>
      <t xml:space="preserve"> (Pre-textured)</t>
    </r>
  </si>
  <si>
    <t>Elevator Pits</t>
  </si>
  <si>
    <t xml:space="preserve"> Xypex Crystalline / Tremco Paraseal</t>
  </si>
  <si>
    <t>Water features</t>
  </si>
  <si>
    <r>
      <rPr>
        <sz val="10"/>
        <color rgb="FFFF0000"/>
        <rFont val="Calibri"/>
        <family val="2"/>
      </rPr>
      <t xml:space="preserve">Sikalastic Roof-pro 624 </t>
    </r>
    <r>
      <rPr>
        <sz val="10"/>
        <color rgb="FF000000"/>
        <rFont val="Calibri"/>
        <family val="2"/>
      </rPr>
      <t>cold applied urethene, with fiberglass embed</t>
    </r>
  </si>
  <si>
    <t>Division 08 - Glass &amp; Mirrors</t>
  </si>
  <si>
    <r>
      <rPr>
        <b/>
        <sz val="10"/>
        <color rgb="FF000000"/>
        <rFont val="Calibri"/>
        <scheme val="minor"/>
      </rPr>
      <t>GLASS DOOR(S) -</t>
    </r>
    <r>
      <rPr>
        <b/>
        <sz val="10"/>
        <color rgb="FFFF0000"/>
        <rFont val="Calibri"/>
        <scheme val="minor"/>
      </rPr>
      <t xml:space="preserve"> #</t>
    </r>
  </si>
  <si>
    <r>
      <rPr>
        <sz val="10"/>
        <color rgb="FF000000"/>
        <rFont val="Calibri"/>
        <family val="2"/>
        <scheme val="minor"/>
      </rPr>
      <t>Width (</t>
    </r>
    <r>
      <rPr>
        <sz val="10"/>
        <color rgb="FFFF0000"/>
        <rFont val="Calibri"/>
        <family val="2"/>
        <scheme val="minor"/>
      </rPr>
      <t>X</t>
    </r>
    <r>
      <rPr>
        <sz val="10"/>
        <color rgb="FF000000"/>
        <rFont val="Calibri"/>
        <family val="2"/>
        <scheme val="minor"/>
      </rPr>
      <t>)</t>
    </r>
  </si>
  <si>
    <r>
      <rPr>
        <sz val="10"/>
        <color rgb="FF000000"/>
        <rFont val="Calibri"/>
        <family val="2"/>
        <scheme val="minor"/>
      </rPr>
      <t>Length (</t>
    </r>
    <r>
      <rPr>
        <sz val="10"/>
        <color rgb="FFFF0000"/>
        <rFont val="Calibri"/>
        <family val="2"/>
        <scheme val="minor"/>
      </rPr>
      <t>X</t>
    </r>
    <r>
      <rPr>
        <sz val="10"/>
        <color rgb="FF000000"/>
        <rFont val="Calibri"/>
        <family val="2"/>
        <scheme val="minor"/>
      </rPr>
      <t>)</t>
    </r>
  </si>
  <si>
    <t>Thickness (1/2")</t>
  </si>
  <si>
    <t>Glaze Type</t>
  </si>
  <si>
    <t>Hardware Model &amp; Finish - (Hinges &amp; Handle Type)</t>
  </si>
  <si>
    <t>Sidelites - (#) - fixed - installation clip mounted or recessed channel</t>
  </si>
  <si>
    <t>Clear Water Deflection Bottoms</t>
  </si>
  <si>
    <r>
      <rPr>
        <b/>
        <sz val="10"/>
        <color rgb="FF000000"/>
        <rFont val="Calibri"/>
        <scheme val="minor"/>
      </rPr>
      <t xml:space="preserve">GLASS MIRROR(S) - </t>
    </r>
    <r>
      <rPr>
        <b/>
        <sz val="10"/>
        <color rgb="FFFF0000"/>
        <rFont val="Calibri"/>
        <scheme val="minor"/>
      </rPr>
      <t>#</t>
    </r>
  </si>
  <si>
    <r>
      <rPr>
        <sz val="10"/>
        <color rgb="FF000000"/>
        <rFont val="Calibri"/>
        <family val="2"/>
        <scheme val="minor"/>
      </rPr>
      <t>Sconces (</t>
    </r>
    <r>
      <rPr>
        <sz val="10"/>
        <color rgb="FFFF0000"/>
        <rFont val="Calibri"/>
        <family val="2"/>
        <scheme val="minor"/>
      </rPr>
      <t>#</t>
    </r>
    <r>
      <rPr>
        <sz val="10"/>
        <color rgb="FF000000"/>
        <rFont val="Calibri"/>
        <family val="2"/>
        <scheme val="minor"/>
      </rPr>
      <t>)</t>
    </r>
  </si>
  <si>
    <t>Flush with tile</t>
  </si>
  <si>
    <t>Safety Backing on all mirrors</t>
  </si>
  <si>
    <r>
      <rPr>
        <b/>
        <sz val="10"/>
        <color rgb="FF000000"/>
        <rFont val="Calibri"/>
        <scheme val="minor"/>
      </rPr>
      <t xml:space="preserve">GLASS SHELVES - </t>
    </r>
    <r>
      <rPr>
        <b/>
        <sz val="10"/>
        <color rgb="FFFF0000"/>
        <rFont val="Calibri"/>
        <scheme val="minor"/>
      </rPr>
      <t>#</t>
    </r>
  </si>
  <si>
    <r>
      <rPr>
        <sz val="10"/>
        <color rgb="FF000000"/>
        <rFont val="Calibri"/>
        <family val="2"/>
        <scheme val="minor"/>
      </rPr>
      <t>Thickness (</t>
    </r>
    <r>
      <rPr>
        <sz val="10"/>
        <color rgb="FFFF0000"/>
        <rFont val="Calibri"/>
        <family val="2"/>
        <scheme val="minor"/>
      </rPr>
      <t>X</t>
    </r>
    <r>
      <rPr>
        <sz val="10"/>
        <color rgb="FF000000"/>
        <rFont val="Calibri"/>
        <family val="2"/>
        <scheme val="minor"/>
      </rPr>
      <t>)</t>
    </r>
  </si>
  <si>
    <t>Bracket Location Spacing (X)</t>
  </si>
  <si>
    <t>Shelf Material / Finish</t>
  </si>
  <si>
    <t>Division 08 - Windows and Doors</t>
  </si>
  <si>
    <t>Delivery by box trucks or similar as required by project logistics</t>
  </si>
  <si>
    <r>
      <t xml:space="preserve">Architectural Drawings dated </t>
    </r>
    <r>
      <rPr>
        <b/>
        <sz val="10"/>
        <color rgb="FFFF0000"/>
        <rFont val="Calibri"/>
        <scheme val="minor"/>
      </rPr>
      <t>INSERT DATE</t>
    </r>
  </si>
  <si>
    <r>
      <t xml:space="preserve">Structural Drawings Dated </t>
    </r>
    <r>
      <rPr>
        <b/>
        <sz val="10"/>
        <color rgb="FFFF0000"/>
        <rFont val="Calibri"/>
        <scheme val="minor"/>
      </rPr>
      <t>INSERT DATE</t>
    </r>
  </si>
  <si>
    <t>Window and Door Schedule has been reviewed</t>
  </si>
  <si>
    <t>Shop Drawings Timeline ----Weeks</t>
  </si>
  <si>
    <t>Color samples will be provided as requested</t>
  </si>
  <si>
    <t>Glass samples will be provided as requested</t>
  </si>
  <si>
    <t>Hardware samples will be provided as requested</t>
  </si>
  <si>
    <t>All units are FBC or Miami Dade approved with NOAs</t>
  </si>
  <si>
    <t>None of the units require field engineering</t>
  </si>
  <si>
    <t>Production Timeline ---- Weeks</t>
  </si>
  <si>
    <t>Installation Scope includes - Delivery, receiving delivery, unloading and staging, all necessary hoisting and safety equipment</t>
  </si>
  <si>
    <t>Scaffolding as needed for completion of scope</t>
  </si>
  <si>
    <t>Final Adjustment of install units</t>
  </si>
  <si>
    <t>Required repairs if third party water testing results are unfavorable</t>
  </si>
  <si>
    <t>Shims to be composite material</t>
  </si>
  <si>
    <t>Water testing of installed units by HB</t>
  </si>
  <si>
    <t>Windows</t>
  </si>
  <si>
    <t>Material of new units ----</t>
  </si>
  <si>
    <t>Field measurement of openings</t>
  </si>
  <si>
    <t>Removal of existing windows</t>
  </si>
  <si>
    <t>Temporary plywood and caulk at demolished openings</t>
  </si>
  <si>
    <t>Supply of new windows including taxes if applicable</t>
  </si>
  <si>
    <t>Glass to be - U Value ---- R Value ---- SHGC ----</t>
  </si>
  <si>
    <t>Interior Finish ------ Exterior Finish -----</t>
  </si>
  <si>
    <t>Bucking - including double bucks where required - treated lumber</t>
  </si>
  <si>
    <t>Segmented bucking for arch top units</t>
  </si>
  <si>
    <t>Prosoco waterproofing - before and after bucks</t>
  </si>
  <si>
    <r>
      <rPr>
        <sz val="10"/>
        <color rgb="FF000000"/>
        <rFont val="Calibri"/>
        <family val="2"/>
        <scheme val="minor"/>
      </rPr>
      <t xml:space="preserve">Copper pans with mesh - assuming </t>
    </r>
    <r>
      <rPr>
        <sz val="10"/>
        <color rgb="FFFF0000"/>
        <rFont val="Calibri"/>
        <family val="2"/>
        <scheme val="minor"/>
      </rPr>
      <t xml:space="preserve">3 </t>
    </r>
    <r>
      <rPr>
        <sz val="10"/>
        <color rgb="FF000000"/>
        <rFont val="Calibri"/>
        <family val="2"/>
        <scheme val="minor"/>
      </rPr>
      <t>bends</t>
    </r>
  </si>
  <si>
    <t>Roll Down screens Supply and Install - Remove during construction, and reinstall after final inspections</t>
  </si>
  <si>
    <t>Installation of windows</t>
  </si>
  <si>
    <t>All fasteners to be Stainless Steel</t>
  </si>
  <si>
    <t>Brickmold supply and install</t>
  </si>
  <si>
    <r>
      <rPr>
        <sz val="10"/>
        <color rgb="FFFF0000"/>
        <rFont val="Calibri"/>
        <family val="2"/>
        <scheme val="minor"/>
      </rPr>
      <t>Interior</t>
    </r>
    <r>
      <rPr>
        <sz val="10"/>
        <color rgb="FF000000"/>
        <rFont val="Calibri"/>
        <family val="2"/>
        <scheme val="minor"/>
      </rPr>
      <t xml:space="preserve"> and exterior mull caps</t>
    </r>
  </si>
  <si>
    <t>Alarm contacts supply and install - connection by others</t>
  </si>
  <si>
    <t>Temporary construction hardware</t>
  </si>
  <si>
    <t>Supply of Final Finish hardware</t>
  </si>
  <si>
    <t>Hold Open hardware</t>
  </si>
  <si>
    <t>Installation of final hardware</t>
  </si>
  <si>
    <t>Exterior caulk</t>
  </si>
  <si>
    <t>All operational hardware and mechanism to be stainless steel</t>
  </si>
  <si>
    <t>Warranty Information - Sash, Glass, Finish</t>
  </si>
  <si>
    <t>Doors</t>
  </si>
  <si>
    <t>Removal of existing doors</t>
  </si>
  <si>
    <t>Supply of new doors including taxes if applicable</t>
  </si>
  <si>
    <t>Bucking - including double bucks where required</t>
  </si>
  <si>
    <t>Copper pans with mesh - assuming 3 bends</t>
  </si>
  <si>
    <t>Hold open hardware</t>
  </si>
  <si>
    <t>Installation of doors</t>
  </si>
  <si>
    <t xml:space="preserve">Door threshold material - </t>
  </si>
  <si>
    <t>Exterior mull caps</t>
  </si>
  <si>
    <t>All operational hardware to be stainless steel</t>
  </si>
  <si>
    <t>Recessed threshold w/drainage tubes @ lift &amp; slide doors</t>
  </si>
  <si>
    <t>Division 09 - Drywall &amp; Metal Framing</t>
  </si>
  <si>
    <t>Wall draft stops as required per local &amp; state code</t>
  </si>
  <si>
    <t>Stainless steel fasteners when in contact with treated lumber</t>
  </si>
  <si>
    <t>Use of non-corrosive fasteners &amp; accessories</t>
  </si>
  <si>
    <t>Drywall &amp; Metal Framing</t>
  </si>
  <si>
    <t>Metal Framing</t>
  </si>
  <si>
    <t>Frame interior partitions w/ 20ga G60 studs, standard widths as required.</t>
  </si>
  <si>
    <t>All exterior walls to receive min. 1-5/8" chase walls, w/ bracing as required.</t>
  </si>
  <si>
    <t>Doors framed w/ double 18ga studs and (2) layers 3/4" plywood ripped to stud width.</t>
  </si>
  <si>
    <t>Pocket door headers to be framed w/ 18ga studs.</t>
  </si>
  <si>
    <t>Pocket door frames to be furnished &amp; installed by others.</t>
  </si>
  <si>
    <t>Top &amp; bottom tracks to be isolated from concrete w/ a peel &amp; stick type material.</t>
  </si>
  <si>
    <t>Top track to be slip track under wood trusses</t>
  </si>
  <si>
    <t xml:space="preserve">At wood truss ceilings - sister trusses w/ 3-5/8" studs &amp; 7/8" hat channel run perpendicular @ 16" o.c. or USG Drywall Ceiling Grid </t>
  </si>
  <si>
    <t>18ga studs to be used at all wall with shower benches, floating vanities and walls receiving floor to ceiling stone slabs.</t>
  </si>
  <si>
    <t>Additional furring at shower walls as required to accommodate tile layouts.</t>
  </si>
  <si>
    <t>Framing track to be attached to concrete using tap cons or shot pins</t>
  </si>
  <si>
    <t xml:space="preserve">Framing of tray ceilings, light coves, drapery pockets, medicine cabinets, shower niches, tub decks, etc., per the drawings. </t>
  </si>
  <si>
    <t>Framing of soffits above cabinets &amp; built-ins</t>
  </si>
  <si>
    <t>Scaffolding/platform as required to complete work at staircases.</t>
  </si>
  <si>
    <t>Frame for access panels where shown.</t>
  </si>
  <si>
    <t>Framing for linear diffusers per drawings.</t>
  </si>
  <si>
    <r>
      <rPr>
        <sz val="10"/>
        <color rgb="FF000000"/>
        <rFont val="Calibri"/>
        <family val="2"/>
      </rPr>
      <t xml:space="preserve">Include framing at exterior ceilings &amp; soffits: </t>
    </r>
    <r>
      <rPr>
        <b/>
        <sz val="10"/>
        <color rgb="FFFF0000"/>
        <rFont val="Calibri"/>
        <family val="2"/>
      </rPr>
      <t>LIST EXTERIOR ROOMS</t>
    </r>
  </si>
  <si>
    <t>Framing, Electrical, Plumbing, HVAC Layout &amp; Coordination</t>
  </si>
  <si>
    <t xml:space="preserve">Firestopping as required by code </t>
  </si>
  <si>
    <t>Backing for Cabinets</t>
  </si>
  <si>
    <t>Hanging &amp; Finishing</t>
  </si>
  <si>
    <r>
      <t xml:space="preserve">Typical drywall finish walls to receive  (1) </t>
    </r>
    <r>
      <rPr>
        <b/>
        <sz val="10"/>
        <color rgb="FFFF0000"/>
        <rFont val="Calibri"/>
        <family val="2"/>
      </rPr>
      <t>layer 5/8" Fiberrock .</t>
    </r>
  </si>
  <si>
    <t>Typical plank walls or millwork walls to receive (1) layer 5/8" BC plywood.</t>
  </si>
  <si>
    <t>Typical drywall finish ceilings to receive (1) later 5/8" Fiberrock.</t>
  </si>
  <si>
    <r>
      <t xml:space="preserve">Hanging &amp; finishing as required for stepped ceiling details - </t>
    </r>
    <r>
      <rPr>
        <b/>
        <sz val="10"/>
        <color rgb="FFFF0000"/>
        <rFont val="Calibri"/>
        <family val="2"/>
      </rPr>
      <t>List Rooms</t>
    </r>
  </si>
  <si>
    <t>All drywall to be finished to a Level 5 finish. All board to be fully encapsulated with drywall mud.</t>
  </si>
  <si>
    <t>Stone &amp; tile walls to receive (1) layer 5/8" Durrock.</t>
  </si>
  <si>
    <t>Bathroom Walls to receive (1) layer 5/8" BC Plywood + (1) layer 5/8 Fiberrock</t>
  </si>
  <si>
    <t>Additional furring at bathroom walls for flush tile conditions</t>
  </si>
  <si>
    <t>Densglass and finishing at garage door bucks</t>
  </si>
  <si>
    <r>
      <rPr>
        <sz val="10"/>
        <color rgb="FF000000"/>
        <rFont val="Calibri"/>
        <family val="2"/>
      </rPr>
      <t xml:space="preserve">Finishing of mud-in diffusers where shown. All diffusers and grilles to be </t>
    </r>
    <r>
      <rPr>
        <b/>
        <sz val="10"/>
        <color rgb="FFFF0000"/>
        <rFont val="Calibri"/>
        <family val="2"/>
      </rPr>
      <t>LIST GRILLE SPEC</t>
    </r>
  </si>
  <si>
    <t>Finishing of mud-in recessed lights. All recessed lights to be mud-in type</t>
  </si>
  <si>
    <t>Finishing of invisible speakers</t>
  </si>
  <si>
    <t>Venetian or specialty plaster is by others.</t>
  </si>
  <si>
    <r>
      <t xml:space="preserve">Include plywood and/or </t>
    </r>
    <r>
      <rPr>
        <b/>
        <sz val="10"/>
        <color rgb="FFFF0000"/>
        <rFont val="Calibri"/>
        <family val="2"/>
      </rPr>
      <t>Densglass Gold</t>
    </r>
    <r>
      <rPr>
        <sz val="10"/>
        <rFont val="Calibri"/>
        <family val="2"/>
      </rPr>
      <t xml:space="preserve"> @ Exterior ceilings &amp; soffits</t>
    </r>
  </si>
  <si>
    <t>Finishing @ flush tile and stone conditions in bathrooms ( figure as out of sequence )</t>
  </si>
  <si>
    <t>Finishing for hi-gloss or specialty finishes</t>
  </si>
  <si>
    <t>Final Trade Coordination</t>
  </si>
  <si>
    <t>Acoustical Requirements</t>
  </si>
  <si>
    <t>Furnish &amp; install acoustic putty pads at all receptacles &amp; switches on interior partitions</t>
  </si>
  <si>
    <t>Provide acoustic caulking at top &amp; bottom of all interior partitions.</t>
  </si>
  <si>
    <r>
      <t>Furnish &amp; Install</t>
    </r>
    <r>
      <rPr>
        <b/>
        <sz val="10"/>
        <color rgb="FFFF0000"/>
        <rFont val="Calibri"/>
        <family val="2"/>
      </rPr>
      <t xml:space="preserve"> MLV</t>
    </r>
    <r>
      <rPr>
        <sz val="10"/>
        <color rgb="FFFF0000"/>
        <rFont val="Calibri"/>
        <family val="2"/>
      </rPr>
      <t xml:space="preserve"> at walls and ceilings of Master Bedroom</t>
    </r>
  </si>
  <si>
    <t>Furnish and install 3" mineral wool at all interior wall partitions.</t>
  </si>
  <si>
    <t>Furnish and install 3" mineral wool at all ceilings</t>
  </si>
  <si>
    <t>All exterior walls to be spray foam, by others</t>
  </si>
  <si>
    <t>Install Thermafiber insulation to all interior walls for sound</t>
  </si>
  <si>
    <t>Install Thermafiber insulation to all interior ceilings for sound</t>
  </si>
  <si>
    <t>Specialty Items</t>
  </si>
  <si>
    <t>Wrap drain lines in ceiling with Acoustiblock.</t>
  </si>
  <si>
    <t>Firestop penetrations with mineral wool &amp; sealants (by HB)</t>
  </si>
  <si>
    <t>Finish mud-in ceiling access panels, supplied by others</t>
  </si>
  <si>
    <t>Sound Insulation (Accoustical isolators)</t>
  </si>
  <si>
    <t>Fry Riglet</t>
  </si>
  <si>
    <t>Fire rated elevator shaft interiors</t>
  </si>
  <si>
    <t>Drywall Returns To Windows and Doors</t>
  </si>
  <si>
    <t>Range Hoods</t>
  </si>
  <si>
    <t xml:space="preserve">HB Recommends: </t>
  </si>
  <si>
    <t>Division 9 - Stone and Tile</t>
  </si>
  <si>
    <t>Site delivery</t>
  </si>
  <si>
    <t>Wall and ceiling waterproofing for be provided in all showers. Tile contractor is resposible for treating the cement board joints prior to waterproofing.</t>
  </si>
  <si>
    <t xml:space="preserve">Laticrete shower pan to be included in all showers. </t>
  </si>
  <si>
    <t>Schluter Ditra waterproofing/anti-fracture membrane to be used under all floor tile</t>
  </si>
  <si>
    <t>Tile/stone/grout sealer to be included</t>
  </si>
  <si>
    <t>All shower walls are to be floated prior to the installation of tile</t>
  </si>
  <si>
    <t>Stone slab thicknesses to be provided per the Stone &amp; Tile Schedule</t>
  </si>
  <si>
    <t>Mock-up for Countertop Edge Details</t>
  </si>
  <si>
    <t>Reviewed Install Details</t>
  </si>
  <si>
    <t>Base Bid: Furnish and Install the Following Stone and Tile - Rooms Detailed Below</t>
  </si>
  <si>
    <t xml:space="preserve">Waterproofing at Shower Floors, Walls, and Ceiling to be Laticrete  </t>
  </si>
  <si>
    <t>All floors need Schluter anti fracture membrane</t>
  </si>
  <si>
    <t xml:space="preserve">All stone and tile to have premium setting materials and grout </t>
  </si>
  <si>
    <t>Stone countertop / backsplash cut outs</t>
  </si>
  <si>
    <t xml:space="preserve"> Floors Throughout </t>
  </si>
  <si>
    <t>Furnish and Install</t>
  </si>
  <si>
    <t>Material</t>
  </si>
  <si>
    <t>Labor</t>
  </si>
  <si>
    <t xml:space="preserve">Kitchen - Countertop &amp; Splash </t>
  </si>
  <si>
    <r>
      <rPr>
        <b/>
        <sz val="10"/>
        <color rgb="FF000000"/>
        <rFont val="Calibri"/>
        <family val="2"/>
      </rPr>
      <t xml:space="preserve">Tops: </t>
    </r>
    <r>
      <rPr>
        <sz val="10"/>
        <color rgb="FF000000"/>
        <rFont val="Calibri"/>
        <family val="2"/>
      </rPr>
      <t xml:space="preserve">Furnish and Install </t>
    </r>
    <r>
      <rPr>
        <b/>
        <sz val="10"/>
        <color rgb="FFFF0000"/>
        <rFont val="Calibri"/>
        <family val="2"/>
      </rPr>
      <t>2cm</t>
    </r>
    <r>
      <rPr>
        <b/>
        <sz val="10"/>
        <color rgb="FF000000"/>
        <rFont val="Calibri"/>
        <family val="2"/>
      </rPr>
      <t xml:space="preserve"> </t>
    </r>
    <r>
      <rPr>
        <sz val="10"/>
        <color rgb="FF000000"/>
        <rFont val="Calibri"/>
        <family val="2"/>
      </rPr>
      <t xml:space="preserve">Stone slab with </t>
    </r>
    <r>
      <rPr>
        <sz val="10"/>
        <color rgb="FFFF0000"/>
        <rFont val="Calibri"/>
        <family val="2"/>
      </rPr>
      <t>mitered edges</t>
    </r>
  </si>
  <si>
    <t xml:space="preserve">Backsplash: Furnish and Install Backsplash </t>
  </si>
  <si>
    <t>Laundry Room - Countertop &amp; Splash</t>
  </si>
  <si>
    <t xml:space="preserve">Powder Room - Countertop &amp; Splash </t>
  </si>
  <si>
    <r>
      <t>Floors</t>
    </r>
    <r>
      <rPr>
        <sz val="10"/>
        <color rgb="FF000000"/>
        <rFont val="Calibri"/>
        <family val="2"/>
      </rPr>
      <t>: Furnish and Install  - Budget Large format Porcelain</t>
    </r>
  </si>
  <si>
    <r>
      <t>Walls</t>
    </r>
    <r>
      <rPr>
        <sz val="10"/>
        <color rgb="FF000000"/>
        <rFont val="Calibri"/>
        <family val="2"/>
      </rPr>
      <t>: Furnish and Install  - Budget Large format Porcelain</t>
    </r>
  </si>
  <si>
    <t>Bath 1</t>
  </si>
  <si>
    <t xml:space="preserve">Walls: Not Included </t>
  </si>
  <si>
    <r>
      <t>Floors</t>
    </r>
    <r>
      <rPr>
        <sz val="10"/>
        <color rgb="FF000000"/>
        <rFont val="Calibri"/>
        <family val="2"/>
      </rPr>
      <t xml:space="preserve">: Furnish and Install  - </t>
    </r>
    <r>
      <rPr>
        <b/>
        <sz val="10"/>
        <color rgb="FFFF0000"/>
        <rFont val="Calibri"/>
        <family val="2"/>
      </rPr>
      <t>Budget Large format Porcelain</t>
    </r>
  </si>
  <si>
    <r>
      <t xml:space="preserve">Tops: </t>
    </r>
    <r>
      <rPr>
        <sz val="10"/>
        <color rgb="FF000000"/>
        <rFont val="Calibri"/>
        <family val="2"/>
      </rPr>
      <t>Furnish and Install</t>
    </r>
    <r>
      <rPr>
        <b/>
        <sz val="10"/>
        <color rgb="FFFF0000"/>
        <rFont val="Calibri"/>
        <family val="2"/>
      </rPr>
      <t xml:space="preserve"> 2cm </t>
    </r>
    <r>
      <rPr>
        <sz val="10"/>
        <color rgb="FF000000"/>
        <rFont val="Calibri"/>
        <family val="2"/>
      </rPr>
      <t xml:space="preserve">Stone slab with </t>
    </r>
    <r>
      <rPr>
        <b/>
        <sz val="10"/>
        <color rgb="FFFF0000"/>
        <rFont val="Calibri"/>
        <family val="2"/>
      </rPr>
      <t>mitered edges</t>
    </r>
  </si>
  <si>
    <r>
      <t>Shower Walls</t>
    </r>
    <r>
      <rPr>
        <sz val="10"/>
        <color rgb="FF000000"/>
        <rFont val="Calibri"/>
        <family val="2"/>
      </rPr>
      <t>: Furnish and Install  -</t>
    </r>
    <r>
      <rPr>
        <b/>
        <sz val="10"/>
        <color rgb="FFFF0000"/>
        <rFont val="Calibri"/>
        <family val="2"/>
      </rPr>
      <t xml:space="preserve"> Budget Large format Porcelain</t>
    </r>
  </si>
  <si>
    <r>
      <t>Shower Floors</t>
    </r>
    <r>
      <rPr>
        <sz val="10"/>
        <color rgb="FF000000"/>
        <rFont val="Calibri"/>
        <family val="2"/>
      </rPr>
      <t xml:space="preserve">: Furnish and Install Stone Shower Floor </t>
    </r>
  </si>
  <si>
    <t>6" Curb</t>
  </si>
  <si>
    <r>
      <rPr>
        <b/>
        <sz val="10"/>
        <color rgb="FF000000"/>
        <rFont val="Calibri"/>
        <family val="2"/>
      </rPr>
      <t>Walls</t>
    </r>
    <r>
      <rPr>
        <sz val="10"/>
        <color rgb="FF000000"/>
        <rFont val="Calibri"/>
        <family val="2"/>
      </rPr>
      <t>:</t>
    </r>
    <r>
      <rPr>
        <sz val="10"/>
        <color rgb="FFFF0000"/>
        <rFont val="Calibri"/>
        <family val="2"/>
      </rPr>
      <t xml:space="preserve"> </t>
    </r>
    <r>
      <rPr>
        <sz val="10"/>
        <color rgb="FF000000"/>
        <rFont val="Calibri"/>
        <family val="2"/>
      </rPr>
      <t>Furnish and Install  -</t>
    </r>
    <r>
      <rPr>
        <sz val="10"/>
        <color rgb="FFFF0000"/>
        <rFont val="Calibri"/>
        <family val="2"/>
      </rPr>
      <t xml:space="preserve"> Budget Large format Porcelain</t>
    </r>
  </si>
  <si>
    <r>
      <rPr>
        <b/>
        <sz val="10"/>
        <color rgb="FF000000"/>
        <rFont val="Calibri"/>
      </rPr>
      <t xml:space="preserve">Shower Ceilings: </t>
    </r>
    <r>
      <rPr>
        <sz val="10"/>
        <color rgb="FF000000"/>
        <rFont val="Calibri"/>
      </rPr>
      <t xml:space="preserve">Furnish and Install  - </t>
    </r>
    <r>
      <rPr>
        <sz val="10"/>
        <color rgb="FFFF0000"/>
        <rFont val="Calibri"/>
      </rPr>
      <t>Budget Large format Porcelain</t>
    </r>
  </si>
  <si>
    <t>Shower Soap Niche</t>
  </si>
  <si>
    <t xml:space="preserve">Bench </t>
  </si>
  <si>
    <t>Stone Jamb &amp; Threshold</t>
  </si>
  <si>
    <t>Stone Baseboard</t>
  </si>
  <si>
    <t>Window Sills &amp; Jambs</t>
  </si>
  <si>
    <t>DIVISION 09 - Hardwood Flooring</t>
  </si>
  <si>
    <t>Indicate with 
Included / Excluded 
Below</t>
  </si>
  <si>
    <t>Provide all materials, equipment, tools, and manpower for a complete scope of work.</t>
  </si>
  <si>
    <t>All required shop drawings, submittals, mockups and samples.</t>
  </si>
  <si>
    <t>MATERIAL - FLOOR</t>
  </si>
  <si>
    <t>Approved Wood Specs (With Price); Engineered or Solid</t>
  </si>
  <si>
    <r>
      <rPr>
        <sz val="10"/>
        <color rgb="FF000000"/>
        <rFont val="Calibri"/>
        <family val="2"/>
        <scheme val="minor"/>
      </rPr>
      <t>Widths (</t>
    </r>
    <r>
      <rPr>
        <sz val="10"/>
        <color rgb="FFFF0000"/>
        <rFont val="Calibri"/>
        <family val="2"/>
        <scheme val="minor"/>
      </rPr>
      <t>X</t>
    </r>
    <r>
      <rPr>
        <sz val="10"/>
        <color rgb="FF000000"/>
        <rFont val="Calibri"/>
        <family val="2"/>
        <scheme val="minor"/>
      </rPr>
      <t>)</t>
    </r>
  </si>
  <si>
    <r>
      <rPr>
        <sz val="10"/>
        <color rgb="FF000000"/>
        <rFont val="Calibri"/>
        <family val="2"/>
        <scheme val="minor"/>
      </rPr>
      <t>Lengths (</t>
    </r>
    <r>
      <rPr>
        <sz val="10"/>
        <color rgb="FFFF0000"/>
        <rFont val="Calibri"/>
        <family val="2"/>
        <scheme val="minor"/>
      </rPr>
      <t>X</t>
    </r>
    <r>
      <rPr>
        <sz val="10"/>
        <color rgb="FF000000"/>
        <rFont val="Calibri"/>
        <family val="2"/>
        <scheme val="minor"/>
      </rPr>
      <t>)</t>
    </r>
  </si>
  <si>
    <t>Lead Times</t>
  </si>
  <si>
    <r>
      <t>All F.W.S. Shown on Plans (</t>
    </r>
    <r>
      <rPr>
        <b/>
        <sz val="10"/>
        <color rgb="FF000000"/>
        <rFont val="Calibri"/>
        <family val="2"/>
        <scheme val="minor"/>
      </rPr>
      <t>Finished Wood Saddle/Flush Wood Saddle</t>
    </r>
    <r>
      <rPr>
        <sz val="10"/>
        <color rgb="FF000000"/>
        <rFont val="Calibri"/>
        <family val="2"/>
        <scheme val="minor"/>
      </rPr>
      <t>)</t>
    </r>
  </si>
  <si>
    <t>FINISHING METHOD - FLOOR</t>
  </si>
  <si>
    <t>Sand and Finish In Place</t>
  </si>
  <si>
    <t>Prefinished</t>
  </si>
  <si>
    <t>Stain to Match Approved Sample</t>
  </si>
  <si>
    <t>INSTALLATION - FLOOR</t>
  </si>
  <si>
    <r>
      <rPr>
        <sz val="10"/>
        <color rgb="FF000000"/>
        <rFont val="Calibri"/>
        <family val="2"/>
        <scheme val="minor"/>
      </rPr>
      <t>Attachment Method: (</t>
    </r>
    <r>
      <rPr>
        <sz val="10"/>
        <color rgb="FFFF0000"/>
        <rFont val="Calibri"/>
        <family val="2"/>
        <scheme val="minor"/>
      </rPr>
      <t>Planks to Subfloor / Blind Nail / Adhesive</t>
    </r>
    <r>
      <rPr>
        <sz val="10"/>
        <color rgb="FF000000"/>
        <rFont val="Calibri"/>
        <family val="2"/>
        <scheme val="minor"/>
      </rPr>
      <t>)</t>
    </r>
  </si>
  <si>
    <t>Board Perimeter Detail In Rooms That Show</t>
  </si>
  <si>
    <t>In Lays In Rooms That Show</t>
  </si>
  <si>
    <r>
      <rPr>
        <sz val="10"/>
        <color rgb="FF000000"/>
        <rFont val="Calibri"/>
        <family val="2"/>
        <scheme val="minor"/>
      </rPr>
      <t>Electrical Outlet Cutouts (</t>
    </r>
    <r>
      <rPr>
        <sz val="10"/>
        <color rgb="FFFF0000"/>
        <rFont val="Calibri"/>
        <family val="2"/>
        <scheme val="minor"/>
      </rPr>
      <t>X?</t>
    </r>
    <r>
      <rPr>
        <sz val="10"/>
        <color rgb="FF000000"/>
        <rFont val="Calibri"/>
        <family val="2"/>
        <scheme val="minor"/>
      </rPr>
      <t>) Current Electrical Plan Show (</t>
    </r>
    <r>
      <rPr>
        <sz val="10"/>
        <color rgb="FFFF0000"/>
        <rFont val="Calibri"/>
        <family val="2"/>
        <scheme val="minor"/>
      </rPr>
      <t>X?</t>
    </r>
    <r>
      <rPr>
        <sz val="10"/>
        <color rgb="FF000000"/>
        <rFont val="Calibri"/>
        <family val="2"/>
        <scheme val="minor"/>
      </rPr>
      <t>)</t>
    </r>
  </si>
  <si>
    <t>Deliver, Receive, and Stage Product To Site</t>
  </si>
  <si>
    <r>
      <rPr>
        <sz val="10"/>
        <color rgb="FF000000"/>
        <rFont val="Calibri"/>
        <family val="2"/>
        <scheme val="minor"/>
      </rPr>
      <t>Protection (</t>
    </r>
    <r>
      <rPr>
        <sz val="10"/>
        <color rgb="FFFF0000"/>
        <rFont val="Calibri"/>
        <family val="2"/>
        <scheme val="minor"/>
      </rPr>
      <t>SF X?</t>
    </r>
    <r>
      <rPr>
        <sz val="10"/>
        <color rgb="FF000000"/>
        <rFont val="Calibri"/>
        <family val="2"/>
        <scheme val="minor"/>
      </rPr>
      <t>)</t>
    </r>
  </si>
  <si>
    <t>MATERIAL - SUBFLOOR</t>
  </si>
  <si>
    <t>Self-Leveling Material &amp; Application</t>
  </si>
  <si>
    <t>Vapor Barrier; Layer Of Mastic And 6mm" Polyethylene Layer</t>
  </si>
  <si>
    <t>Self-adhered Sound Membrane</t>
  </si>
  <si>
    <t>3/4" Plywood Material</t>
  </si>
  <si>
    <t>2x sleepers planed &amp; shimmed to elevation and 3/4" t&amp;g plywood, screwed &amp; glued</t>
  </si>
  <si>
    <t>Sound Insulation Membrane</t>
  </si>
  <si>
    <t>Wood Sleepers</t>
  </si>
  <si>
    <t xml:space="preserve">Installation Of All Subfloor Material </t>
  </si>
  <si>
    <t>MATERIAL - STAIRS</t>
  </si>
  <si>
    <r>
      <rPr>
        <sz val="10"/>
        <color rgb="FF000000"/>
        <rFont val="Calibri"/>
        <family val="2"/>
        <scheme val="minor"/>
      </rPr>
      <t>Furnish &amp; Install Custom Wood Treads To Match Flooring (</t>
    </r>
    <r>
      <rPr>
        <sz val="10"/>
        <color rgb="FFFF0000"/>
        <rFont val="Calibri"/>
        <family val="2"/>
        <scheme val="minor"/>
      </rPr>
      <t>X Starter, X right hand mitered, X right hand mitered return, X tapered treads at radius</t>
    </r>
    <r>
      <rPr>
        <sz val="10"/>
        <color rgb="FF000000"/>
        <rFont val="Calibri"/>
        <family val="2"/>
        <scheme val="minor"/>
      </rPr>
      <t xml:space="preserve">) </t>
    </r>
  </si>
  <si>
    <t>Furnish &amp; Install Risers, Nosing, Stringers To Match Flooring (Paint Grade / Stain Grade)</t>
  </si>
  <si>
    <r>
      <rPr>
        <sz val="10"/>
        <color rgb="FF000000"/>
        <rFont val="Calibri"/>
        <family val="2"/>
        <scheme val="minor"/>
      </rPr>
      <t xml:space="preserve">Furnish &amp; Install Cove Mouldings </t>
    </r>
    <r>
      <rPr>
        <sz val="10"/>
        <color rgb="FFFF0000"/>
        <rFont val="Calibri"/>
        <family val="2"/>
        <scheme val="minor"/>
      </rPr>
      <t>@ (Room X)</t>
    </r>
  </si>
  <si>
    <t>FINISHING METHOD - STAIRS</t>
  </si>
  <si>
    <t>Final Finishing of Stairs (Hardwax Oil)</t>
  </si>
  <si>
    <t>INSTALLATION - STAIRS</t>
  </si>
  <si>
    <t>Attachment Method: Planks to Subfloor / Blind Nail / Adhesive</t>
  </si>
  <si>
    <t>Receiving Product To Site</t>
  </si>
  <si>
    <t>LABOR - OVERALL</t>
  </si>
  <si>
    <t>Airfare, Travel Time, Mileage, Rental Cars, Lodging, Parking</t>
  </si>
  <si>
    <t xml:space="preserve"> GRAND TOTAL</t>
  </si>
  <si>
    <t xml:space="preserve">HB Recommends:  </t>
  </si>
  <si>
    <t>Division 09 - Stucco</t>
  </si>
  <si>
    <t>Indicate with Included/Excluded Below</t>
  </si>
  <si>
    <t>Scaffolding as required to complete scope of work</t>
  </si>
  <si>
    <t>Sto Extraseal / MasterSeal waterproofing installed per manufacturers instructions</t>
  </si>
  <si>
    <t>Thoroseal waterproofing</t>
  </si>
  <si>
    <t>3/4" stucco over CMU, concrete, plywood, etc.</t>
  </si>
  <si>
    <t>Any required expanded metal lathe to be stainless steel</t>
  </si>
  <si>
    <t>All stucco greater than 3/4" think to be reinforced with stainless steel lathe - Allowance</t>
  </si>
  <si>
    <t>Protection of exterior doors, windows, garage doors, cut stone, wood soffit and wood outlookers</t>
  </si>
  <si>
    <t>Protection of working surfaces from excessive heat from direct sunlight</t>
  </si>
  <si>
    <t>Stucco contractor responsible for ensuring surface is free of salt, dust, dirt and other contaminants prior to beginning install of waterproofing and/or stucco</t>
  </si>
  <si>
    <t>Stucco application to be wet-cured</t>
  </si>
  <si>
    <t xml:space="preserve">All profiles, corners, trims, etc are to be run stucco. Plastic or metal beads will not be accepted. </t>
  </si>
  <si>
    <t>Stucco scratch coat to include Acryl 60 admix</t>
  </si>
  <si>
    <t xml:space="preserve">Base price to include (1) scratch coat, (1) base coat, and (1) smooth troweled stucco finish coat. </t>
  </si>
  <si>
    <t>Site Wall Components</t>
  </si>
  <si>
    <t>$$</t>
  </si>
  <si>
    <t>Typical walls with smooth sand float finish</t>
  </si>
  <si>
    <t>Both sides of perimeter walls to be stucco</t>
  </si>
  <si>
    <t>Walls at mechanical area</t>
  </si>
  <si>
    <t>Planters and site walls around the pool</t>
  </si>
  <si>
    <t xml:space="preserve"> Main House/Building Components</t>
  </si>
  <si>
    <r>
      <t xml:space="preserve">Stucco chimney with </t>
    </r>
    <r>
      <rPr>
        <b/>
        <sz val="10"/>
        <color rgb="FFFF0000"/>
        <rFont val="Calibri"/>
        <family val="2"/>
      </rPr>
      <t>clay</t>
    </r>
    <r>
      <rPr>
        <sz val="10"/>
        <rFont val="Calibri"/>
        <family val="2"/>
      </rPr>
      <t xml:space="preserve"> cap </t>
    </r>
  </si>
  <si>
    <t>Concrete cornice with stucco molding and integral gutter</t>
  </si>
  <si>
    <t xml:space="preserve">Run stucco cornice </t>
  </si>
  <si>
    <t>Run stucco cornice no gutter</t>
  </si>
  <si>
    <t>Painted stucco cornice</t>
  </si>
  <si>
    <t>Shaped stucco watertable and base</t>
  </si>
  <si>
    <t>Concrete cornice with stucco molding and no gutter</t>
  </si>
  <si>
    <t xml:space="preserve">Stucco parapet </t>
  </si>
  <si>
    <t xml:space="preserve">Painted stucco trim </t>
  </si>
  <si>
    <t xml:space="preserve">Painted stucco pier </t>
  </si>
  <si>
    <t xml:space="preserve">Decorative stucco panel </t>
  </si>
  <si>
    <t xml:space="preserve">Stone edge with stucco skirt </t>
  </si>
  <si>
    <t xml:space="preserve">Run Stucco/cement cornice </t>
  </si>
  <si>
    <t xml:space="preserve">Stucco recess with stone sill </t>
  </si>
  <si>
    <t xml:space="preserve">Stucco pilasters and frieze </t>
  </si>
  <si>
    <t xml:space="preserve">Stucco string course to match stone </t>
  </si>
  <si>
    <t>Stucco wall finish</t>
  </si>
  <si>
    <t>Stucco casing and sill where shown</t>
  </si>
  <si>
    <t xml:space="preserve">CMU wall with stucco finish </t>
  </si>
  <si>
    <t xml:space="preserve">Stucco picture rail </t>
  </si>
  <si>
    <t>Cont stucco picture mold</t>
  </si>
  <si>
    <t xml:space="preserve">Stucco panel and entablature on concrete haunch </t>
  </si>
  <si>
    <t xml:space="preserve">Cont run stucco molding </t>
  </si>
  <si>
    <t xml:space="preserve">Stucco crown molding </t>
  </si>
  <si>
    <t>Stucco base coats w/ smooth troweled stucco finish</t>
  </si>
  <si>
    <t>Stucco at basement window wells</t>
  </si>
  <si>
    <t>Division 09 - Painting</t>
  </si>
  <si>
    <t>Onsite Parking plan has been discussed and any time associated with offsite parking is included.</t>
  </si>
  <si>
    <t>Project RFIs and addendums(if any) have been reviewed.</t>
  </si>
  <si>
    <t>Proposal mentions current plans and specifications.</t>
  </si>
  <si>
    <t>Interior - South Building (1st Floor)</t>
  </si>
  <si>
    <t>Pass Room</t>
  </si>
  <si>
    <t>Drywall Walls and Ceilings</t>
  </si>
  <si>
    <t>Prep and paint drywall ceiling and Wall surfaces</t>
  </si>
  <si>
    <t>1 coat primer, 2 coats - Color and Finish TBD</t>
  </si>
  <si>
    <t>Caulking crown at ceiling</t>
  </si>
  <si>
    <t xml:space="preserve">Caulking baseboards at floors </t>
  </si>
  <si>
    <t>Stair Risers to be Painted to match walls</t>
  </si>
  <si>
    <t>Vestibule</t>
  </si>
  <si>
    <t>Staff Foyer</t>
  </si>
  <si>
    <t>STR</t>
  </si>
  <si>
    <t>Lift</t>
  </si>
  <si>
    <t>Dirty Drop Area</t>
  </si>
  <si>
    <t>Water Heater Room</t>
  </si>
  <si>
    <t>Support Area</t>
  </si>
  <si>
    <t>Walk In Box</t>
  </si>
  <si>
    <t>Prep Area</t>
  </si>
  <si>
    <t>Interior - South Building (2nd Floor)</t>
  </si>
  <si>
    <t>ADA WC &amp; Changing Rooms</t>
  </si>
  <si>
    <t>Mechanical Platform</t>
  </si>
  <si>
    <t>Not painted?</t>
  </si>
  <si>
    <t>Interior - North Building (1st Floor)</t>
  </si>
  <si>
    <t>Walk In Box 01 &amp; 02</t>
  </si>
  <si>
    <t>BoH Support Addition</t>
  </si>
  <si>
    <t>Lift Vestibule</t>
  </si>
  <si>
    <t>Hallway</t>
  </si>
  <si>
    <t>Dining Room #2</t>
  </si>
  <si>
    <t>Electric</t>
  </si>
  <si>
    <t>WC</t>
  </si>
  <si>
    <t>WC Hallway</t>
  </si>
  <si>
    <t>Storage</t>
  </si>
  <si>
    <t>Service Bar</t>
  </si>
  <si>
    <t>Guest House Entry</t>
  </si>
  <si>
    <t>Guest House Arrival Porch</t>
  </si>
  <si>
    <t>Guest House Arrival Lounge</t>
  </si>
  <si>
    <t>Interior - North Building (2nd Floor)</t>
  </si>
  <si>
    <t>STG Low Height Rooms (3)</t>
  </si>
  <si>
    <t>Dining Room #4</t>
  </si>
  <si>
    <t>Dining Room #3</t>
  </si>
  <si>
    <t>Dining Hallway</t>
  </si>
  <si>
    <t>2nd Floor Landing</t>
  </si>
  <si>
    <t>ADA WC</t>
  </si>
  <si>
    <t>Dining Room #5</t>
  </si>
  <si>
    <t>Bar Building (1st Floor)</t>
  </si>
  <si>
    <t>Bar Support</t>
  </si>
  <si>
    <t>Bar</t>
  </si>
  <si>
    <t>Bar Dining</t>
  </si>
  <si>
    <t>Patio Dining</t>
  </si>
  <si>
    <t>Paint all miscellaneous exposed structural steel flat black</t>
  </si>
  <si>
    <t>Painted Wood</t>
  </si>
  <si>
    <t>Crown molding, base boards, interior doors, jamb / casings, exterior door jambs / casings, and window jambs / casings and trim are to be prepared, primed, filled and finished with 2 coats of  TBD Paint Finish</t>
  </si>
  <si>
    <t>Prime -Sand-Prime all Interior Millwork</t>
  </si>
  <si>
    <t>Interior Doors to be painted TBD Paint Finish</t>
  </si>
  <si>
    <t>Leave either as is or painted (Ceiling Type Open)</t>
  </si>
  <si>
    <t>BoH Office, Mechanical Rooms, Support Spaces</t>
  </si>
  <si>
    <t>Paint all walls</t>
  </si>
  <si>
    <t>All Rooms</t>
  </si>
  <si>
    <t>Touchup/Punchout Work - 60mh</t>
  </si>
  <si>
    <t>Trade Damage Repairs</t>
  </si>
  <si>
    <t>Interior Subtotal</t>
  </si>
  <si>
    <t xml:space="preserve">Exterior of House </t>
  </si>
  <si>
    <t xml:space="preserve">1 coat primer, 2 coats - Exterior Paint Color and Finish to Match Existing </t>
  </si>
  <si>
    <t>Pressure clean and chemically treat exterior stucco surfaces</t>
  </si>
  <si>
    <t xml:space="preserve">Painted Stucco to be primed and painted with 2 finish coats of paint to match existing color and finish </t>
  </si>
  <si>
    <t>Stained Wood</t>
  </si>
  <si>
    <t>Wood Pergola Columns, Beams are to be sealed</t>
  </si>
  <si>
    <t>Sample Allowance</t>
  </si>
  <si>
    <t xml:space="preserve">Prime-Sand-Prime all interior casing, jambs, standing and running trim </t>
  </si>
  <si>
    <t>Touchup/Punchout Work - 30mh</t>
  </si>
  <si>
    <t xml:space="preserve">Scaffolding </t>
  </si>
  <si>
    <t>Exterior Subtotal</t>
  </si>
  <si>
    <t xml:space="preserve">Total </t>
  </si>
  <si>
    <t>ADD: Cabinetry and Vanities to be painted TBD Paint Finish</t>
  </si>
  <si>
    <t>Division 10 - Shutters</t>
  </si>
  <si>
    <r>
      <rPr>
        <b/>
        <sz val="10"/>
        <color rgb="FF000000"/>
        <rFont val="Calibri"/>
        <family val="2"/>
      </rPr>
      <t xml:space="preserve">SHUTTERS - </t>
    </r>
    <r>
      <rPr>
        <b/>
        <sz val="10"/>
        <color rgb="FFFF0000"/>
        <rFont val="Calibri"/>
        <family val="2"/>
      </rPr>
      <t>WOOD / METAL</t>
    </r>
  </si>
  <si>
    <r>
      <rPr>
        <sz val="10"/>
        <color rgb="FF000000"/>
        <rFont val="Calibri"/>
        <family val="2"/>
        <scheme val="minor"/>
      </rPr>
      <t>Furnish &amp; Install (</t>
    </r>
    <r>
      <rPr>
        <sz val="10"/>
        <color rgb="FFFF0000"/>
        <rFont val="Calibri"/>
        <family val="2"/>
        <scheme val="minor"/>
      </rPr>
      <t>X#</t>
    </r>
    <r>
      <rPr>
        <sz val="10"/>
        <color rgb="FF000000"/>
        <rFont val="Calibri"/>
        <family val="2"/>
        <scheme val="minor"/>
      </rPr>
      <t>) Shutters and hardware for windows on (</t>
    </r>
    <r>
      <rPr>
        <sz val="10"/>
        <color rgb="FFFF0000"/>
        <rFont val="Calibri"/>
        <family val="2"/>
        <scheme val="minor"/>
      </rPr>
      <t>X</t>
    </r>
    <r>
      <rPr>
        <sz val="10"/>
        <color rgb="FF000000"/>
        <rFont val="Calibri"/>
        <family val="2"/>
        <scheme val="minor"/>
      </rPr>
      <t>) elevation(s).</t>
    </r>
  </si>
  <si>
    <t>Color (X) - to match exterior doors &amp; windows.</t>
  </si>
  <si>
    <t>Removal of existing shutters; installation of new shutters.</t>
  </si>
  <si>
    <t>Total Bid</t>
  </si>
  <si>
    <t>Alternates</t>
  </si>
  <si>
    <t>Division 13 - Swimming Pool</t>
  </si>
  <si>
    <r>
      <rPr>
        <sz val="10"/>
        <color rgb="FF000000"/>
        <rFont val="Calibri"/>
        <family val="2"/>
        <scheme val="minor"/>
      </rPr>
      <t xml:space="preserve">Architectural Drawings by </t>
    </r>
    <r>
      <rPr>
        <b/>
        <sz val="10"/>
        <color rgb="FFFF0000"/>
        <rFont val="Calibri"/>
        <family val="2"/>
        <scheme val="minor"/>
      </rPr>
      <t xml:space="preserve">INSERT ARCH </t>
    </r>
    <r>
      <rPr>
        <sz val="10"/>
        <color rgb="FF000000"/>
        <rFont val="Calibri"/>
        <family val="2"/>
        <scheme val="minor"/>
      </rPr>
      <t xml:space="preserve">dated </t>
    </r>
    <r>
      <rPr>
        <b/>
        <sz val="10"/>
        <color rgb="FFFF0000"/>
        <rFont val="Calibri"/>
        <family val="2"/>
        <scheme val="minor"/>
      </rPr>
      <t>INSERT DATE</t>
    </r>
  </si>
  <si>
    <r>
      <rPr>
        <sz val="10"/>
        <color rgb="FF000000"/>
        <rFont val="Calibri"/>
        <family val="2"/>
        <scheme val="minor"/>
      </rPr>
      <t xml:space="preserve">Pool Engineering Drawings by </t>
    </r>
    <r>
      <rPr>
        <b/>
        <sz val="10"/>
        <color rgb="FFFF0000"/>
        <rFont val="Calibri"/>
        <family val="2"/>
        <scheme val="minor"/>
      </rPr>
      <t>INSERT ENG</t>
    </r>
    <r>
      <rPr>
        <sz val="10"/>
        <color rgb="FF000000"/>
        <rFont val="Calibri"/>
        <family val="2"/>
        <scheme val="minor"/>
      </rPr>
      <t xml:space="preserve"> dated </t>
    </r>
    <r>
      <rPr>
        <b/>
        <sz val="10"/>
        <color rgb="FFFF0000"/>
        <rFont val="Calibri"/>
        <family val="2"/>
        <scheme val="minor"/>
      </rPr>
      <t xml:space="preserve">INSERT DATE </t>
    </r>
  </si>
  <si>
    <t>Swimming Pool  &amp; Spa</t>
  </si>
  <si>
    <r>
      <rPr>
        <b/>
        <sz val="10"/>
        <color rgb="FF000000"/>
        <rFont val="Calibri"/>
        <family val="2"/>
      </rPr>
      <t xml:space="preserve">Pool: </t>
    </r>
    <r>
      <rPr>
        <b/>
        <sz val="10"/>
        <color rgb="FFFF0000"/>
        <rFont val="Calibri"/>
        <family val="2"/>
      </rPr>
      <t>DIMENSIONS</t>
    </r>
  </si>
  <si>
    <r>
      <rPr>
        <b/>
        <sz val="10"/>
        <color rgb="FF000000"/>
        <rFont val="Calibri"/>
        <family val="2"/>
      </rPr>
      <t xml:space="preserve">Spa: </t>
    </r>
    <r>
      <rPr>
        <b/>
        <sz val="10"/>
        <color rgb="FFFF0000"/>
        <rFont val="Calibri"/>
        <family val="2"/>
      </rPr>
      <t>DIMENSIONS</t>
    </r>
  </si>
  <si>
    <t>Excavation of pool &amp; spa shell - removal off site</t>
  </si>
  <si>
    <t xml:space="preserve">Backfill &amp; compaction of pool shell &amp; piping W/ clean fill </t>
  </si>
  <si>
    <t>Rebar &amp; Gunite</t>
  </si>
  <si>
    <t>Steps and benchesand swimouts , sunshelf w. bubblers etc</t>
  </si>
  <si>
    <t>Steel bonding by electrician</t>
  </si>
  <si>
    <t>Piping for Plumbing</t>
  </si>
  <si>
    <t xml:space="preserve">Step Railing </t>
  </si>
  <si>
    <t>Water line tile - MATERIAL ALLOWANCE (supply and install)</t>
  </si>
  <si>
    <t>Water line tile - install</t>
  </si>
  <si>
    <r>
      <rPr>
        <sz val="10"/>
        <color rgb="FF000000"/>
        <rFont val="Calibri"/>
        <family val="2"/>
      </rPr>
      <t xml:space="preserve">Pump Pool - </t>
    </r>
    <r>
      <rPr>
        <b/>
        <sz val="10"/>
        <color rgb="FFFF0000"/>
        <rFont val="Calibri"/>
        <family val="2"/>
      </rPr>
      <t xml:space="preserve">Qty &amp; Type </t>
    </r>
  </si>
  <si>
    <r>
      <rPr>
        <sz val="10"/>
        <color rgb="FF000000"/>
        <rFont val="Calibri"/>
        <family val="2"/>
      </rPr>
      <t>Filter -</t>
    </r>
    <r>
      <rPr>
        <b/>
        <sz val="10"/>
        <color rgb="FFFF0000"/>
        <rFont val="Calibri"/>
        <family val="2"/>
      </rPr>
      <t xml:space="preserve"> Qty &amp; Type </t>
    </r>
  </si>
  <si>
    <t>Drains and skimmers as indicated</t>
  </si>
  <si>
    <t>Dedicated vacuum line</t>
  </si>
  <si>
    <t>Auto-fill system. Connection to potable water by plumber</t>
  </si>
  <si>
    <r>
      <rPr>
        <sz val="10"/>
        <color rgb="FF000000"/>
        <rFont val="Calibri"/>
        <family val="2"/>
      </rPr>
      <t>(</t>
    </r>
    <r>
      <rPr>
        <b/>
        <sz val="10"/>
        <color rgb="FFFF0000"/>
        <rFont val="Calibri"/>
        <family val="2"/>
      </rPr>
      <t>QTY</t>
    </r>
    <r>
      <rPr>
        <sz val="10"/>
        <color rgb="FF000000"/>
        <rFont val="Calibri"/>
        <family val="2"/>
      </rPr>
      <t>) LED Pool Lights</t>
    </r>
  </si>
  <si>
    <r>
      <rPr>
        <sz val="10"/>
        <color rgb="FF000000"/>
        <rFont val="Calibri"/>
        <family val="2"/>
      </rPr>
      <t xml:space="preserve">Labor, setting material, epoxy grout to install pool coping. </t>
    </r>
    <r>
      <rPr>
        <b/>
        <sz val="10"/>
        <color rgb="FFFF0000"/>
        <rFont val="Calibri"/>
        <family val="2"/>
      </rPr>
      <t>Stone coping material provided by others.</t>
    </r>
  </si>
  <si>
    <r>
      <rPr>
        <sz val="10"/>
        <color rgb="FF000000"/>
        <rFont val="Calibri"/>
        <family val="2"/>
      </rPr>
      <t xml:space="preserve"> pool coping. </t>
    </r>
    <r>
      <rPr>
        <b/>
        <sz val="10"/>
        <color rgb="FFFF0000"/>
        <rFont val="Calibri"/>
        <family val="2"/>
      </rPr>
      <t>Stone coping materia.</t>
    </r>
  </si>
  <si>
    <r>
      <rPr>
        <sz val="10"/>
        <color rgb="FF000000"/>
        <rFont val="Calibri"/>
        <family val="2"/>
      </rPr>
      <t xml:space="preserve">Pool Finish - </t>
    </r>
    <r>
      <rPr>
        <b/>
        <sz val="10"/>
        <color rgb="FFFF0000"/>
        <rFont val="Calibri"/>
        <family val="2"/>
      </rPr>
      <t>PebbelFina/PebbleTek/ Tile</t>
    </r>
  </si>
  <si>
    <t xml:space="preserve">Heater and Chillers - Gas / Electric </t>
  </si>
  <si>
    <t>Venting and make-up air for propane heaters</t>
  </si>
  <si>
    <t xml:space="preserve">Gas hook-up by Plumbing Contractor </t>
  </si>
  <si>
    <t>Jandy Aqualink controls</t>
  </si>
  <si>
    <r>
      <rPr>
        <sz val="10"/>
        <color rgb="FF000000"/>
        <rFont val="Calibri"/>
        <family val="2"/>
      </rPr>
      <t xml:space="preserve">Jandy Aquapure </t>
    </r>
    <r>
      <rPr>
        <b/>
        <sz val="10"/>
        <color rgb="FFFF0000"/>
        <rFont val="Calibri"/>
        <family val="2"/>
      </rPr>
      <t xml:space="preserve">1400 </t>
    </r>
    <r>
      <rPr>
        <sz val="10"/>
        <color rgb="FF000000"/>
        <rFont val="Calibri"/>
        <family val="2"/>
      </rPr>
      <t>salt generators (</t>
    </r>
    <r>
      <rPr>
        <b/>
        <sz val="10"/>
        <color rgb="FFFF0000"/>
        <rFont val="Calibri"/>
        <family val="2"/>
      </rPr>
      <t>QTY</t>
    </r>
    <r>
      <rPr>
        <sz val="10"/>
        <color rgb="FF000000"/>
        <rFont val="Calibri"/>
        <family val="2"/>
      </rPr>
      <t>)</t>
    </r>
  </si>
  <si>
    <t>Lighting Transformers &amp; Pool Steel Bonding by others</t>
  </si>
  <si>
    <t>Initial startup and chemicals</t>
  </si>
  <si>
    <t>3 months of maintenance &amp; chemicals after initial startup</t>
  </si>
  <si>
    <t>Permit Fees by owner</t>
  </si>
  <si>
    <t>Signage for Commercial (Depth Markers, Lane Strips)</t>
  </si>
  <si>
    <t>ADA Chair Lift , Pool Fence , Safey Equipment for Commerical pools</t>
  </si>
  <si>
    <t>Division 14 - Elevators</t>
  </si>
  <si>
    <t>PB permit engineering, variance.</t>
  </si>
  <si>
    <r>
      <rPr>
        <sz val="10"/>
        <color rgb="FF000000"/>
        <rFont val="Calibri"/>
        <family val="2"/>
        <scheme val="minor"/>
      </rPr>
      <t xml:space="preserve">Elevator type - </t>
    </r>
    <r>
      <rPr>
        <b/>
        <sz val="10"/>
        <color rgb="FFFF0000"/>
        <rFont val="Calibri"/>
        <family val="2"/>
        <scheme val="minor"/>
      </rPr>
      <t>FED 1200 (per specifications).</t>
    </r>
  </si>
  <si>
    <r>
      <rPr>
        <sz val="10"/>
        <color rgb="FF000000"/>
        <rFont val="Calibri"/>
        <family val="2"/>
        <scheme val="minor"/>
      </rPr>
      <t xml:space="preserve">Operating speed - </t>
    </r>
    <r>
      <rPr>
        <b/>
        <sz val="10"/>
        <color rgb="FFFF0000"/>
        <rFont val="Calibri"/>
        <family val="2"/>
        <scheme val="minor"/>
      </rPr>
      <t>60</t>
    </r>
    <r>
      <rPr>
        <sz val="10"/>
        <color rgb="FF000000"/>
        <rFont val="Calibri"/>
        <family val="2"/>
        <scheme val="minor"/>
      </rPr>
      <t xml:space="preserve"> fpm with</t>
    </r>
    <r>
      <rPr>
        <b/>
        <sz val="10"/>
        <color rgb="FFFF0000"/>
        <rFont val="Calibri"/>
        <family val="2"/>
        <scheme val="minor"/>
      </rPr>
      <t xml:space="preserve"> 60</t>
    </r>
    <r>
      <rPr>
        <sz val="10"/>
        <color rgb="FF000000"/>
        <rFont val="Calibri"/>
        <family val="2"/>
        <scheme val="minor"/>
      </rPr>
      <t xml:space="preserve"> amp circuit </t>
    </r>
    <r>
      <rPr>
        <b/>
        <sz val="10"/>
        <color rgb="FFFF0000"/>
        <rFont val="Calibri"/>
        <family val="2"/>
        <scheme val="minor"/>
      </rPr>
      <t>10</t>
    </r>
    <r>
      <rPr>
        <sz val="10"/>
        <color rgb="FF000000"/>
        <rFont val="Calibri"/>
        <family val="2"/>
        <scheme val="minor"/>
      </rPr>
      <t xml:space="preserve"> hp.</t>
    </r>
  </si>
  <si>
    <r>
      <rPr>
        <sz val="10"/>
        <color rgb="FF000000"/>
        <rFont val="Calibri"/>
        <family val="2"/>
        <scheme val="minor"/>
      </rPr>
      <t xml:space="preserve">Carrying capacity - </t>
    </r>
    <r>
      <rPr>
        <b/>
        <sz val="10"/>
        <color rgb="FFFF0000"/>
        <rFont val="Calibri"/>
        <family val="2"/>
        <scheme val="minor"/>
      </rPr>
      <t xml:space="preserve">1200 </t>
    </r>
    <r>
      <rPr>
        <sz val="10"/>
        <color rgb="FF000000"/>
        <rFont val="Calibri"/>
        <family val="2"/>
        <scheme val="minor"/>
      </rPr>
      <t xml:space="preserve">lbs, distance approx </t>
    </r>
    <r>
      <rPr>
        <b/>
        <sz val="10"/>
        <color rgb="FFFF0000"/>
        <rFont val="Calibri"/>
        <family val="2"/>
        <scheme val="minor"/>
      </rPr>
      <t>12</t>
    </r>
    <r>
      <rPr>
        <sz val="10"/>
        <color rgb="FF000000"/>
        <rFont val="Calibri"/>
        <family val="2"/>
        <scheme val="minor"/>
      </rPr>
      <t>'.</t>
    </r>
  </si>
  <si>
    <r>
      <rPr>
        <b/>
        <sz val="10"/>
        <color rgb="FFFF0000"/>
        <rFont val="Calibri"/>
        <family val="2"/>
        <scheme val="minor"/>
      </rPr>
      <t>Ultima 2-speed</t>
    </r>
    <r>
      <rPr>
        <sz val="10"/>
        <color rgb="FF000000"/>
        <rFont val="Calibri"/>
        <family val="2"/>
        <scheme val="minor"/>
      </rPr>
      <t xml:space="preserve"> submersed motor hydraulic pump with multi speed leveling.</t>
    </r>
  </si>
  <si>
    <r>
      <rPr>
        <sz val="10"/>
        <color rgb="FF000000"/>
        <rFont val="Calibri"/>
        <family val="2"/>
        <scheme val="minor"/>
      </rPr>
      <t xml:space="preserve">Operation type - </t>
    </r>
    <r>
      <rPr>
        <b/>
        <sz val="10"/>
        <color rgb="FFFF0000"/>
        <rFont val="Calibri"/>
        <family val="2"/>
        <scheme val="minor"/>
      </rPr>
      <t>Automatic; 2:1 roped hydraulic; MRL.</t>
    </r>
  </si>
  <si>
    <r>
      <rPr>
        <sz val="10"/>
        <color rgb="FF000000"/>
        <rFont val="Calibri"/>
        <family val="2"/>
        <scheme val="minor"/>
      </rPr>
      <t xml:space="preserve">Power supply - </t>
    </r>
    <r>
      <rPr>
        <b/>
        <sz val="10"/>
        <color rgb="FFFF0000"/>
        <rFont val="Calibri"/>
        <family val="2"/>
        <scheme val="minor"/>
      </rPr>
      <t>220</t>
    </r>
    <r>
      <rPr>
        <sz val="10"/>
        <color rgb="FF000000"/>
        <rFont val="Calibri"/>
        <family val="2"/>
        <scheme val="minor"/>
      </rPr>
      <t xml:space="preserve"> V.A.C, </t>
    </r>
    <r>
      <rPr>
        <b/>
        <sz val="10"/>
        <color rgb="FFFF0000"/>
        <rFont val="Calibri"/>
        <family val="2"/>
        <scheme val="minor"/>
      </rPr>
      <t>60</t>
    </r>
    <r>
      <rPr>
        <sz val="10"/>
        <color rgb="FF000000"/>
        <rFont val="Calibri"/>
        <family val="2"/>
        <scheme val="minor"/>
      </rPr>
      <t xml:space="preserve"> amp,</t>
    </r>
    <r>
      <rPr>
        <b/>
        <sz val="10"/>
        <color rgb="FFFF0000"/>
        <rFont val="Calibri"/>
        <family val="2"/>
        <scheme val="minor"/>
      </rPr>
      <t xml:space="preserve"> single</t>
    </r>
    <r>
      <rPr>
        <sz val="10"/>
        <color rgb="FF000000"/>
        <rFont val="Calibri"/>
        <family val="2"/>
        <scheme val="minor"/>
      </rPr>
      <t xml:space="preserve"> phase w/neutral.</t>
    </r>
  </si>
  <si>
    <r>
      <rPr>
        <b/>
        <sz val="10"/>
        <color rgb="FFFF0000"/>
        <rFont val="Calibri"/>
        <family val="2"/>
        <scheme val="minor"/>
      </rPr>
      <t>3</t>
    </r>
    <r>
      <rPr>
        <sz val="10"/>
        <color rgb="FF000000"/>
        <rFont val="Calibri"/>
        <family val="2"/>
        <scheme val="minor"/>
      </rPr>
      <t xml:space="preserve"> Landings and </t>
    </r>
    <r>
      <rPr>
        <b/>
        <sz val="10"/>
        <color rgb="FFFF0000"/>
        <rFont val="Calibri"/>
        <family val="2"/>
        <scheme val="minor"/>
      </rPr>
      <t>3</t>
    </r>
    <r>
      <rPr>
        <sz val="10"/>
        <color rgb="FF000000"/>
        <rFont val="Calibri"/>
        <family val="2"/>
        <scheme val="minor"/>
      </rPr>
      <t xml:space="preserve"> Openings.</t>
    </r>
  </si>
  <si>
    <r>
      <rPr>
        <sz val="10"/>
        <color rgb="FF000000"/>
        <rFont val="Calibri"/>
        <family val="2"/>
        <scheme val="minor"/>
      </rPr>
      <t xml:space="preserve">Lighting supply - </t>
    </r>
    <r>
      <rPr>
        <b/>
        <sz val="10"/>
        <color rgb="FFFF0000"/>
        <rFont val="Calibri"/>
        <family val="2"/>
        <scheme val="minor"/>
      </rPr>
      <t>110</t>
    </r>
    <r>
      <rPr>
        <sz val="10"/>
        <color rgb="FF000000"/>
        <rFont val="Calibri"/>
        <family val="2"/>
        <scheme val="minor"/>
      </rPr>
      <t xml:space="preserve"> V.A.C, </t>
    </r>
    <r>
      <rPr>
        <b/>
        <sz val="10"/>
        <color rgb="FFFF0000"/>
        <rFont val="Calibri"/>
        <family val="2"/>
        <scheme val="minor"/>
      </rPr>
      <t>15</t>
    </r>
    <r>
      <rPr>
        <sz val="10"/>
        <color rgb="FF000000"/>
        <rFont val="Calibri"/>
        <family val="2"/>
        <scheme val="minor"/>
      </rPr>
      <t xml:space="preserve"> amp, </t>
    </r>
    <r>
      <rPr>
        <b/>
        <sz val="10"/>
        <color rgb="FFFF0000"/>
        <rFont val="Calibri"/>
        <family val="2"/>
        <scheme val="minor"/>
      </rPr>
      <t>single</t>
    </r>
    <r>
      <rPr>
        <sz val="10"/>
        <color rgb="FF000000"/>
        <rFont val="Calibri"/>
        <family val="2"/>
        <scheme val="minor"/>
      </rPr>
      <t xml:space="preserve"> phase.</t>
    </r>
  </si>
  <si>
    <r>
      <rPr>
        <sz val="10"/>
        <color rgb="FF000000"/>
        <rFont val="Calibri"/>
        <family val="2"/>
        <scheme val="minor"/>
      </rPr>
      <t xml:space="preserve">Cab Size - </t>
    </r>
    <r>
      <rPr>
        <b/>
        <sz val="10"/>
        <color rgb="FFFF0000"/>
        <rFont val="Calibri"/>
        <family val="2"/>
        <scheme val="minor"/>
      </rPr>
      <t>5</t>
    </r>
    <r>
      <rPr>
        <sz val="10"/>
        <color rgb="FF000000"/>
        <rFont val="Calibri"/>
        <family val="2"/>
        <scheme val="minor"/>
      </rPr>
      <t xml:space="preserve">'w x </t>
    </r>
    <r>
      <rPr>
        <b/>
        <sz val="10"/>
        <color rgb="FFFF0000"/>
        <rFont val="Calibri"/>
        <family val="2"/>
        <scheme val="minor"/>
      </rPr>
      <t>4'4'</t>
    </r>
    <r>
      <rPr>
        <sz val="10"/>
        <color rgb="FF000000"/>
        <rFont val="Calibri"/>
        <family val="2"/>
        <scheme val="minor"/>
      </rPr>
      <t xml:space="preserve">'d x </t>
    </r>
    <r>
      <rPr>
        <b/>
        <sz val="10"/>
        <color rgb="FFFF0000"/>
        <rFont val="Calibri"/>
        <family val="2"/>
        <scheme val="minor"/>
      </rPr>
      <t>8'</t>
    </r>
    <r>
      <rPr>
        <sz val="10"/>
        <color rgb="FF000000"/>
        <rFont val="Calibri"/>
        <family val="2"/>
        <scheme val="minor"/>
      </rPr>
      <t>h.</t>
    </r>
  </si>
  <si>
    <t>Counterweight supply and install.</t>
  </si>
  <si>
    <t>Relay Logic 24 VDC control wit battery backup.</t>
  </si>
  <si>
    <r>
      <rPr>
        <b/>
        <sz val="10"/>
        <color rgb="FFFF0000"/>
        <rFont val="Calibri"/>
        <family val="2"/>
        <scheme val="minor"/>
      </rPr>
      <t>Stainless steel</t>
    </r>
    <r>
      <rPr>
        <sz val="10"/>
        <color rgb="FF000000"/>
        <rFont val="Calibri"/>
        <family val="2"/>
        <scheme val="minor"/>
      </rPr>
      <t xml:space="preserve"> In cab control panel with </t>
    </r>
    <r>
      <rPr>
        <b/>
        <sz val="10"/>
        <color rgb="FFFF0000"/>
        <rFont val="Calibri"/>
        <family val="2"/>
        <scheme val="minor"/>
      </rPr>
      <t>integrated</t>
    </r>
    <r>
      <rPr>
        <sz val="10"/>
        <color rgb="FF000000"/>
        <rFont val="Calibri"/>
        <family val="2"/>
        <scheme val="minor"/>
      </rPr>
      <t xml:space="preserve"> phone and call buttons.</t>
    </r>
  </si>
  <si>
    <t>Photo electric leveling.</t>
  </si>
  <si>
    <t>In-cab light switch.</t>
  </si>
  <si>
    <t>Guide rails supply and install.</t>
  </si>
  <si>
    <r>
      <rPr>
        <b/>
        <sz val="10"/>
        <color rgb="FFFF0000"/>
        <rFont val="Calibri"/>
        <family val="2"/>
        <scheme val="minor"/>
      </rPr>
      <t>Power slide</t>
    </r>
    <r>
      <rPr>
        <sz val="10"/>
        <color rgb="FF000000"/>
        <rFont val="Calibri"/>
        <family val="2"/>
        <scheme val="minor"/>
      </rPr>
      <t xml:space="preserve"> type doors on </t>
    </r>
    <r>
      <rPr>
        <b/>
        <sz val="10"/>
        <color rgb="FFFF0000"/>
        <rFont val="Calibri"/>
        <family val="2"/>
        <scheme val="minor"/>
      </rPr>
      <t>cab &amp; landings.</t>
    </r>
  </si>
  <si>
    <r>
      <rPr>
        <b/>
        <sz val="10"/>
        <color rgb="FFFF0000"/>
        <rFont val="Calibri"/>
        <family val="2"/>
        <scheme val="minor"/>
      </rPr>
      <t>Satin stainless</t>
    </r>
    <r>
      <rPr>
        <sz val="10"/>
        <color rgb="FF000000"/>
        <rFont val="Calibri"/>
        <family val="2"/>
        <scheme val="minor"/>
      </rPr>
      <t xml:space="preserve"> doors.</t>
    </r>
  </si>
  <si>
    <t>Cab to be provided unfinished (interior floor, wall &amp; ceiling finishes to be priced separately).</t>
  </si>
  <si>
    <r>
      <rPr>
        <b/>
        <sz val="10"/>
        <color rgb="FFFF0000"/>
        <rFont val="Calibri"/>
        <family val="2"/>
        <scheme val="minor"/>
      </rPr>
      <t>4''</t>
    </r>
    <r>
      <rPr>
        <sz val="10"/>
        <color rgb="FF000000"/>
        <rFont val="Calibri"/>
        <family val="2"/>
        <scheme val="minor"/>
      </rPr>
      <t xml:space="preserve"> High hat down light,</t>
    </r>
    <r>
      <rPr>
        <b/>
        <sz val="10"/>
        <color rgb="FFFF0000"/>
        <rFont val="Calibri"/>
        <family val="2"/>
        <scheme val="minor"/>
      </rPr>
      <t xml:space="preserve"> black</t>
    </r>
    <r>
      <rPr>
        <sz val="10"/>
        <color rgb="FF000000"/>
        <rFont val="Calibri"/>
        <family val="2"/>
        <scheme val="minor"/>
      </rPr>
      <t xml:space="preserve"> baffle with</t>
    </r>
    <r>
      <rPr>
        <b/>
        <sz val="10"/>
        <color rgb="FFFF0000"/>
        <rFont val="Calibri"/>
        <family val="2"/>
        <scheme val="minor"/>
      </rPr>
      <t xml:space="preserve"> white</t>
    </r>
    <r>
      <rPr>
        <sz val="10"/>
        <color rgb="FF000000"/>
        <rFont val="Calibri"/>
        <family val="2"/>
        <scheme val="minor"/>
      </rPr>
      <t xml:space="preserve"> trim.</t>
    </r>
  </si>
  <si>
    <t>Emergency power battery system and controller unit.</t>
  </si>
  <si>
    <t>Interlock to lock shaftway passage doors.</t>
  </si>
  <si>
    <t>Machine room remotely located in X Room.</t>
  </si>
  <si>
    <t>Elevator hoist beam included during installation.</t>
  </si>
  <si>
    <t>Division 15 - Plumbing</t>
  </si>
  <si>
    <r>
      <t xml:space="preserve">Plumbing drawings dated : </t>
    </r>
    <r>
      <rPr>
        <b/>
        <sz val="10"/>
        <color rgb="FFFF0000"/>
        <rFont val="Calibri"/>
        <family val="2"/>
      </rPr>
      <t>(INSERT DATES)</t>
    </r>
  </si>
  <si>
    <t xml:space="preserve">All trenching, backfilling and compaction needed for scope of work </t>
  </si>
  <si>
    <t>Base Bid</t>
  </si>
  <si>
    <t xml:space="preserve">Provide Temp Water for Site </t>
  </si>
  <si>
    <t>Site Plumbing</t>
  </si>
  <si>
    <r>
      <t>(QTY) SIZE"</t>
    </r>
    <r>
      <rPr>
        <sz val="10"/>
        <rFont val="Calibri"/>
        <family val="2"/>
      </rPr>
      <t xml:space="preserve"> service line with backflow from the meter to the house</t>
    </r>
  </si>
  <si>
    <t>(QTY) SIZE" sewer line to existing connection on property/ New Sewer Line Tap</t>
  </si>
  <si>
    <t>Installation of Water Shut-Off Solenoid Valve to Building</t>
  </si>
  <si>
    <t>Camera Existing Sanitary</t>
  </si>
  <si>
    <t>Backflow for Irrigation (Lead-Free)</t>
  </si>
  <si>
    <t>Backflow &amp; DDC for Fire Sprinkler (Lead-Free)</t>
  </si>
  <si>
    <t>(QTY) Backflow for Pool and Spa Pool AutoFill</t>
  </si>
  <si>
    <r>
      <t xml:space="preserve">Supply and Install </t>
    </r>
    <r>
      <rPr>
        <b/>
        <sz val="10"/>
        <color rgb="FFFF0000"/>
        <rFont val="Calibri"/>
        <family val="2"/>
      </rPr>
      <t>(QTY) SIZE"</t>
    </r>
    <r>
      <rPr>
        <sz val="10"/>
        <rFont val="Calibri"/>
        <family val="2"/>
      </rPr>
      <t xml:space="preserve"> float valves for fountains</t>
    </r>
  </si>
  <si>
    <r>
      <rPr>
        <b/>
        <sz val="10"/>
        <color rgb="FFFF0000"/>
        <rFont val="Calibri"/>
        <family val="2"/>
      </rPr>
      <t>(QTY)</t>
    </r>
    <r>
      <rPr>
        <sz val="10"/>
        <color rgb="FF000000"/>
        <rFont val="Calibri"/>
        <family val="2"/>
      </rPr>
      <t xml:space="preserve"> Hose Bibs Loop</t>
    </r>
  </si>
  <si>
    <r>
      <t>(QTY)</t>
    </r>
    <r>
      <rPr>
        <sz val="10"/>
        <rFont val="Calibri"/>
        <family val="2"/>
      </rPr>
      <t xml:space="preserve"> Hose Bibs fed off of the house plumbing</t>
    </r>
  </si>
  <si>
    <r>
      <t xml:space="preserve">Supply and Install </t>
    </r>
    <r>
      <rPr>
        <b/>
        <sz val="10"/>
        <color rgb="FFFF0000"/>
        <rFont val="Calibri"/>
        <family val="2"/>
      </rPr>
      <t xml:space="preserve">(QTY) </t>
    </r>
    <r>
      <rPr>
        <sz val="10"/>
        <rFont val="Calibri"/>
        <family val="2"/>
      </rPr>
      <t>Planter Drains</t>
    </r>
  </si>
  <si>
    <t>Deck Drains at all Exterior Decks (custom design per HB)</t>
  </si>
  <si>
    <t>Plumbing in Building Footprint</t>
  </si>
  <si>
    <t>Underground Plumbing Coordination with the Sitework Contractor</t>
  </si>
  <si>
    <t>Water Piping Type L Copper; Exterior water piping in schedule 80 PVC</t>
  </si>
  <si>
    <t>All underground hangers to be SS</t>
  </si>
  <si>
    <t>Drain and Waste Vent in Schedule 40 PVC; No-hub cast iron above slab, venting and waste arms in Schedule 40 PVC</t>
  </si>
  <si>
    <t xml:space="preserve">Plumbing fixtures per plumbing sch. </t>
  </si>
  <si>
    <t>Hot water and hot water return piping insulation</t>
  </si>
  <si>
    <t xml:space="preserve">Exterior - Furnish and Install as Listed below: </t>
  </si>
  <si>
    <r>
      <t>(</t>
    </r>
    <r>
      <rPr>
        <b/>
        <sz val="10"/>
        <color rgb="FFFF0000"/>
        <rFont val="Calibri"/>
        <family val="2"/>
      </rPr>
      <t>QTY</t>
    </r>
    <r>
      <rPr>
        <sz val="10"/>
        <rFont val="Calibri"/>
        <family val="2"/>
      </rPr>
      <t>) Outdoor Shower Drain</t>
    </r>
  </si>
  <si>
    <r>
      <t>(</t>
    </r>
    <r>
      <rPr>
        <b/>
        <sz val="10"/>
        <color rgb="FFFF0000"/>
        <rFont val="Calibri"/>
        <family val="2"/>
      </rPr>
      <t>QTY</t>
    </r>
    <r>
      <rPr>
        <sz val="10"/>
        <rFont val="Calibri"/>
        <family val="2"/>
      </rPr>
      <t xml:space="preserve">)Outdoor Kitchen Water Hookup </t>
    </r>
  </si>
  <si>
    <r>
      <t>(</t>
    </r>
    <r>
      <rPr>
        <b/>
        <sz val="10"/>
        <color rgb="FFFF0000"/>
        <rFont val="Calibri"/>
        <family val="2"/>
      </rPr>
      <t>QTY</t>
    </r>
    <r>
      <rPr>
        <sz val="10"/>
        <rFont val="Calibri"/>
        <family val="2"/>
      </rPr>
      <t xml:space="preserve">)Outdoor Kitchen Drainage (sink, ice machine) </t>
    </r>
  </si>
  <si>
    <r>
      <rPr>
        <sz val="10"/>
        <color rgb="FF000000"/>
        <rFont val="Calibri"/>
        <family val="2"/>
      </rPr>
      <t>(</t>
    </r>
    <r>
      <rPr>
        <b/>
        <sz val="10"/>
        <color rgb="FFFF0000"/>
        <rFont val="Calibri"/>
        <family val="2"/>
      </rPr>
      <t>QTY</t>
    </r>
    <r>
      <rPr>
        <sz val="10"/>
        <color rgb="FF000000"/>
        <rFont val="Calibri"/>
        <family val="2"/>
      </rPr>
      <t>) Condensate Lines 5 feet from the Units</t>
    </r>
  </si>
  <si>
    <r>
      <rPr>
        <sz val="10"/>
        <color rgb="FF000000"/>
        <rFont val="Calibri"/>
        <family val="2"/>
      </rPr>
      <t>(</t>
    </r>
    <r>
      <rPr>
        <b/>
        <sz val="10"/>
        <color rgb="FFFF0000"/>
        <rFont val="Calibri"/>
        <family val="2"/>
      </rPr>
      <t>QTY</t>
    </r>
    <r>
      <rPr>
        <sz val="10"/>
        <color rgb="FF000000"/>
        <rFont val="Calibri"/>
        <family val="2"/>
      </rPr>
      <t>) Connection of the Condensate Lines to the Site Drainage or Wells</t>
    </r>
  </si>
  <si>
    <r>
      <t>(</t>
    </r>
    <r>
      <rPr>
        <b/>
        <sz val="10"/>
        <color rgb="FFFF0000"/>
        <rFont val="Calibri"/>
        <family val="2"/>
      </rPr>
      <t>QTY</t>
    </r>
    <r>
      <rPr>
        <sz val="10"/>
        <rFont val="Calibri"/>
        <family val="2"/>
      </rPr>
      <t xml:space="preserve">) Integral Gutter Transitions </t>
    </r>
  </si>
  <si>
    <r>
      <rPr>
        <sz val="10"/>
        <color rgb="FF000000"/>
        <rFont val="Calibri"/>
        <family val="2"/>
      </rPr>
      <t>(</t>
    </r>
    <r>
      <rPr>
        <b/>
        <sz val="10"/>
        <color rgb="FFFF0000"/>
        <rFont val="Calibri"/>
        <family val="2"/>
      </rPr>
      <t>QTY</t>
    </r>
    <r>
      <rPr>
        <sz val="10"/>
        <color rgb="FF000000"/>
        <rFont val="Calibri"/>
        <family val="2"/>
      </rPr>
      <t>) Roof Drain Connections to Site Drainage 5 feet from the Building</t>
    </r>
  </si>
  <si>
    <r>
      <t>(</t>
    </r>
    <r>
      <rPr>
        <b/>
        <sz val="10"/>
        <color rgb="FFFF0000"/>
        <rFont val="Calibri"/>
        <family val="2"/>
      </rPr>
      <t>QTY</t>
    </r>
    <r>
      <rPr>
        <sz val="10"/>
        <rFont val="Calibri"/>
        <family val="2"/>
      </rPr>
      <t xml:space="preserve">) Roof drain pipe soundproofing wrap </t>
    </r>
  </si>
  <si>
    <r>
      <t>(</t>
    </r>
    <r>
      <rPr>
        <b/>
        <sz val="10"/>
        <color rgb="FFFF0000"/>
        <rFont val="Calibri"/>
        <family val="2"/>
      </rPr>
      <t>QTY</t>
    </r>
    <r>
      <rPr>
        <sz val="10"/>
        <color rgb="FFFF0000"/>
        <rFont val="Calibri"/>
        <family val="2"/>
      </rPr>
      <t xml:space="preserve">) Hose Bibs on 1st Floor </t>
    </r>
  </si>
  <si>
    <r>
      <t>(</t>
    </r>
    <r>
      <rPr>
        <b/>
        <sz val="10"/>
        <color rgb="FFFF0000"/>
        <rFont val="Calibri"/>
        <family val="2"/>
      </rPr>
      <t>QTY</t>
    </r>
    <r>
      <rPr>
        <sz val="10"/>
        <color rgb="FFFF0000"/>
        <rFont val="Calibri"/>
        <family val="2"/>
      </rPr>
      <t xml:space="preserve">) Hose Bibs on 2nd Floor </t>
    </r>
  </si>
  <si>
    <t xml:space="preserve">Utility Rooms/Garage - Furnish and Install as listed below: </t>
  </si>
  <si>
    <r>
      <t>(</t>
    </r>
    <r>
      <rPr>
        <b/>
        <sz val="10"/>
        <color rgb="FFFF0000"/>
        <rFont val="Calibri"/>
        <family val="2"/>
      </rPr>
      <t>QTY</t>
    </r>
    <r>
      <rPr>
        <sz val="10"/>
        <rFont val="Calibri"/>
        <family val="2"/>
      </rPr>
      <t>) Floor Drains</t>
    </r>
  </si>
  <si>
    <r>
      <t>(</t>
    </r>
    <r>
      <rPr>
        <b/>
        <sz val="10"/>
        <color rgb="FFFF0000"/>
        <rFont val="Calibri"/>
        <family val="2"/>
      </rPr>
      <t>QTY</t>
    </r>
    <r>
      <rPr>
        <sz val="10"/>
        <rFont val="Calibri"/>
        <family val="2"/>
      </rPr>
      <t>) Drip Dry Drain</t>
    </r>
  </si>
  <si>
    <r>
      <t>(</t>
    </r>
    <r>
      <rPr>
        <b/>
        <sz val="10"/>
        <color rgb="FFFF0000"/>
        <rFont val="Calibri"/>
        <family val="2"/>
      </rPr>
      <t>QTY</t>
    </r>
    <r>
      <rPr>
        <sz val="10"/>
        <rFont val="Calibri"/>
        <family val="2"/>
      </rPr>
      <t xml:space="preserve">) Hub Drains </t>
    </r>
  </si>
  <si>
    <r>
      <rPr>
        <b/>
        <sz val="10"/>
        <color rgb="FFFF0000"/>
        <rFont val="Calibri"/>
        <family val="2"/>
      </rPr>
      <t xml:space="preserve">(QTY) </t>
    </r>
    <r>
      <rPr>
        <sz val="10"/>
        <color rgb="FF000000"/>
        <rFont val="Calibri"/>
        <family val="2"/>
      </rPr>
      <t>Linear/Square Shower Drains at all Showers</t>
    </r>
  </si>
  <si>
    <r>
      <t>(</t>
    </r>
    <r>
      <rPr>
        <b/>
        <sz val="10"/>
        <color rgb="FFFF0000"/>
        <rFont val="Calibri"/>
        <family val="2"/>
      </rPr>
      <t>QTY</t>
    </r>
    <r>
      <rPr>
        <sz val="10"/>
        <rFont val="Calibri"/>
        <family val="2"/>
      </rPr>
      <t>) Trap Primers are included as Trap Seals</t>
    </r>
  </si>
  <si>
    <r>
      <t>(</t>
    </r>
    <r>
      <rPr>
        <b/>
        <sz val="10"/>
        <color rgb="FFFF0000"/>
        <rFont val="Calibri"/>
        <family val="2"/>
      </rPr>
      <t>QTY</t>
    </r>
    <r>
      <rPr>
        <sz val="10"/>
        <rFont val="Calibri"/>
        <family val="2"/>
      </rPr>
      <t xml:space="preserve">) Steam Room Generator </t>
    </r>
  </si>
  <si>
    <r>
      <t>(</t>
    </r>
    <r>
      <rPr>
        <b/>
        <sz val="10"/>
        <color rgb="FFFF0000"/>
        <rFont val="Calibri"/>
        <family val="2"/>
      </rPr>
      <t>QTY</t>
    </r>
    <r>
      <rPr>
        <sz val="10"/>
        <rFont val="Calibri"/>
        <family val="2"/>
      </rPr>
      <t>) Sump Pump for the Elevator</t>
    </r>
  </si>
  <si>
    <r>
      <t>(</t>
    </r>
    <r>
      <rPr>
        <b/>
        <sz val="10"/>
        <color rgb="FFFF0000"/>
        <rFont val="Calibri"/>
        <family val="2"/>
      </rPr>
      <t>QTY</t>
    </r>
    <r>
      <rPr>
        <sz val="10"/>
        <rFont val="Calibri"/>
        <family val="2"/>
      </rPr>
      <t xml:space="preserve">) Sump Pump for Well  </t>
    </r>
  </si>
  <si>
    <r>
      <t>(</t>
    </r>
    <r>
      <rPr>
        <b/>
        <sz val="10"/>
        <color rgb="FFFF0000"/>
        <rFont val="Calibri"/>
        <family val="2"/>
      </rPr>
      <t>QTY</t>
    </r>
    <r>
      <rPr>
        <sz val="10"/>
        <rFont val="Calibri"/>
        <family val="2"/>
      </rPr>
      <t>) Downspouts in Schedule 40 PVC inside block wall</t>
    </r>
  </si>
  <si>
    <r>
      <rPr>
        <b/>
        <sz val="10"/>
        <color rgb="FFFF0000"/>
        <rFont val="Calibri"/>
        <family val="2"/>
      </rPr>
      <t xml:space="preserve">(QTY) </t>
    </r>
    <r>
      <rPr>
        <sz val="10"/>
        <color rgb="FF000000"/>
        <rFont val="Calibri"/>
        <family val="2"/>
      </rPr>
      <t>Floor Clean Out.</t>
    </r>
  </si>
  <si>
    <r>
      <rPr>
        <b/>
        <sz val="10"/>
        <color rgb="FFFF0000"/>
        <rFont val="Calibri"/>
        <family val="2"/>
      </rPr>
      <t xml:space="preserve">(QTY)  </t>
    </r>
    <r>
      <rPr>
        <sz val="10"/>
        <color rgb="FF000000"/>
        <rFont val="Calibri"/>
        <family val="2"/>
      </rPr>
      <t>Gas Water Heaters with Recirculating Pumps</t>
    </r>
  </si>
  <si>
    <t xml:space="preserve">Kitchen - Furnish and Install as listed below: </t>
  </si>
  <si>
    <r>
      <rPr>
        <b/>
        <sz val="10"/>
        <color rgb="FFFF0000"/>
        <rFont val="Calibri"/>
        <family val="2"/>
      </rPr>
      <t xml:space="preserve">(QTY) </t>
    </r>
    <r>
      <rPr>
        <sz val="10"/>
        <color rgb="FF000000"/>
        <rFont val="Calibri"/>
        <family val="2"/>
      </rPr>
      <t>Sinks w/ Faucets.</t>
    </r>
  </si>
  <si>
    <r>
      <rPr>
        <b/>
        <sz val="10"/>
        <color rgb="FFFF0000"/>
        <rFont val="Calibri"/>
        <family val="2"/>
      </rPr>
      <t xml:space="preserve">(QTY) </t>
    </r>
    <r>
      <rPr>
        <sz val="10"/>
        <color rgb="FF000000"/>
        <rFont val="Calibri"/>
        <family val="2"/>
      </rPr>
      <t>Dishwashers</t>
    </r>
    <r>
      <rPr>
        <b/>
        <sz val="10"/>
        <color rgb="FF000000"/>
        <rFont val="Calibri"/>
        <family val="2"/>
      </rPr>
      <t>.</t>
    </r>
  </si>
  <si>
    <r>
      <rPr>
        <b/>
        <sz val="10"/>
        <color rgb="FFFF0000"/>
        <rFont val="Calibri"/>
        <family val="2"/>
      </rPr>
      <t>(QTY)</t>
    </r>
    <r>
      <rPr>
        <sz val="10"/>
        <color rgb="FF000000"/>
        <rFont val="Calibri"/>
        <family val="2"/>
      </rPr>
      <t xml:space="preserve"> Icelines to Refrigerators.</t>
    </r>
  </si>
  <si>
    <r>
      <rPr>
        <b/>
        <sz val="10"/>
        <color rgb="FFFF0000"/>
        <rFont val="Calibri"/>
        <family val="2"/>
      </rPr>
      <t>(QTY)</t>
    </r>
    <r>
      <rPr>
        <sz val="10"/>
        <color rgb="FF000000"/>
        <rFont val="Calibri"/>
        <family val="2"/>
      </rPr>
      <t xml:space="preserve"> Pot Filler w/ Shut-off Valve.</t>
    </r>
  </si>
  <si>
    <r>
      <rPr>
        <b/>
        <sz val="10"/>
        <color rgb="FFFF0000"/>
        <rFont val="Calibri"/>
        <family val="2"/>
      </rPr>
      <t>(QTY)</t>
    </r>
    <r>
      <rPr>
        <b/>
        <sz val="10"/>
        <color rgb="FF000000"/>
        <rFont val="Calibri"/>
        <family val="2"/>
      </rPr>
      <t xml:space="preserve"> </t>
    </r>
    <r>
      <rPr>
        <sz val="10"/>
        <color rgb="FF000000"/>
        <rFont val="Calibri"/>
        <family val="2"/>
      </rPr>
      <t>Icemaker Connection Water and Drain to Sink.</t>
    </r>
  </si>
  <si>
    <r>
      <rPr>
        <b/>
        <sz val="10"/>
        <color rgb="FFFF0000"/>
        <rFont val="Calibri"/>
        <family val="2"/>
      </rPr>
      <t xml:space="preserve">(QTY) </t>
    </r>
    <r>
      <rPr>
        <sz val="10"/>
        <color rgb="FF000000"/>
        <rFont val="Calibri"/>
        <family val="2"/>
      </rPr>
      <t>Disposal and Air Switch</t>
    </r>
  </si>
  <si>
    <r>
      <rPr>
        <b/>
        <sz val="10"/>
        <color rgb="FFFF0000"/>
        <rFont val="Calibri"/>
        <family val="2"/>
      </rPr>
      <t xml:space="preserve">(QTY) </t>
    </r>
    <r>
      <rPr>
        <sz val="10"/>
        <color rgb="FF000000"/>
        <rFont val="Calibri"/>
        <family val="2"/>
      </rPr>
      <t>Soap Dispenser</t>
    </r>
  </si>
  <si>
    <t>REFER TO APPLIANCE SCH FOR ALL APPLIANCES.</t>
  </si>
  <si>
    <t xml:space="preserve">Laundry - Furnish and Install as listed below: </t>
  </si>
  <si>
    <r>
      <rPr>
        <b/>
        <sz val="10"/>
        <color rgb="FFFF0000"/>
        <rFont val="Calibri"/>
        <family val="2"/>
      </rPr>
      <t xml:space="preserve">(QTY) </t>
    </r>
    <r>
      <rPr>
        <sz val="10"/>
        <color rgb="FF000000"/>
        <rFont val="Calibri"/>
        <family val="2"/>
      </rPr>
      <t>Watts automatic shutoff washer boxes with connections.</t>
    </r>
  </si>
  <si>
    <r>
      <rPr>
        <b/>
        <sz val="10"/>
        <color rgb="FFFF0000"/>
        <rFont val="Calibri"/>
        <family val="2"/>
      </rPr>
      <t xml:space="preserve">(QTY) </t>
    </r>
    <r>
      <rPr>
        <sz val="10"/>
        <color rgb="FF000000"/>
        <rFont val="Calibri"/>
        <family val="2"/>
      </rPr>
      <t>Dip Dry Connection w/ Trap Seal.</t>
    </r>
  </si>
  <si>
    <r>
      <rPr>
        <b/>
        <sz val="10"/>
        <color rgb="FFFF0000"/>
        <rFont val="Calibri"/>
        <family val="2"/>
      </rPr>
      <t xml:space="preserve">(QTY) </t>
    </r>
    <r>
      <rPr>
        <sz val="10"/>
        <color rgb="FF000000"/>
        <rFont val="Calibri"/>
        <family val="2"/>
      </rPr>
      <t>Floor Drain w/ Trap Seal.</t>
    </r>
  </si>
  <si>
    <t xml:space="preserve">Powder Room - Furnish and Install as listed Below: </t>
  </si>
  <si>
    <r>
      <rPr>
        <sz val="10"/>
        <color rgb="FF000000"/>
        <rFont val="Calibri"/>
        <family val="2"/>
      </rPr>
      <t xml:space="preserve">    (</t>
    </r>
    <r>
      <rPr>
        <b/>
        <sz val="10"/>
        <color rgb="FFFF0000"/>
        <rFont val="Calibri"/>
        <family val="2"/>
      </rPr>
      <t>QTY</t>
    </r>
    <r>
      <rPr>
        <sz val="10"/>
        <color rgb="FF000000"/>
        <rFont val="Calibri"/>
        <family val="2"/>
      </rPr>
      <t>) Water Closet.</t>
    </r>
  </si>
  <si>
    <r>
      <rPr>
        <sz val="10"/>
        <color rgb="FF000000"/>
        <rFont val="Calibri"/>
        <family val="2"/>
      </rPr>
      <t xml:space="preserve">     (</t>
    </r>
    <r>
      <rPr>
        <b/>
        <sz val="10"/>
        <color rgb="FFFF0000"/>
        <rFont val="Calibri"/>
        <family val="2"/>
      </rPr>
      <t>QTY</t>
    </r>
    <r>
      <rPr>
        <sz val="10"/>
        <color rgb="FF000000"/>
        <rFont val="Calibri"/>
        <family val="2"/>
      </rPr>
      <t>) Lav w/ Faucet.</t>
    </r>
  </si>
  <si>
    <t xml:space="preserve">Bath - Furnish and Install as listed below: </t>
  </si>
  <si>
    <r>
      <rPr>
        <sz val="10"/>
        <color rgb="FF000000"/>
        <rFont val="Calibri"/>
        <family val="2"/>
      </rPr>
      <t>(</t>
    </r>
    <r>
      <rPr>
        <b/>
        <sz val="10"/>
        <color rgb="FFFF0000"/>
        <rFont val="Calibri"/>
        <family val="2"/>
      </rPr>
      <t>QTY</t>
    </r>
    <r>
      <rPr>
        <sz val="10"/>
        <color rgb="FF000000"/>
        <rFont val="Calibri"/>
        <family val="2"/>
      </rPr>
      <t>) Water Closet.</t>
    </r>
  </si>
  <si>
    <r>
      <rPr>
        <sz val="10"/>
        <color rgb="FF000000"/>
        <rFont val="Calibri"/>
        <family val="2"/>
      </rPr>
      <t>(</t>
    </r>
    <r>
      <rPr>
        <b/>
        <sz val="10"/>
        <color rgb="FFFF0000"/>
        <rFont val="Calibri"/>
        <family val="2"/>
      </rPr>
      <t>QTY</t>
    </r>
    <r>
      <rPr>
        <sz val="10"/>
        <color rgb="FF000000"/>
        <rFont val="Calibri"/>
        <family val="2"/>
      </rPr>
      <t>) Lav w/ Faucet.</t>
    </r>
  </si>
  <si>
    <r>
      <rPr>
        <sz val="10"/>
        <color rgb="FF000000"/>
        <rFont val="Calibri"/>
        <family val="2"/>
      </rPr>
      <t>(</t>
    </r>
    <r>
      <rPr>
        <b/>
        <sz val="10"/>
        <color rgb="FFFF0000"/>
        <rFont val="Calibri"/>
        <family val="2"/>
      </rPr>
      <t>QTY</t>
    </r>
    <r>
      <rPr>
        <sz val="10"/>
        <color rgb="FF000000"/>
        <rFont val="Calibri"/>
        <family val="2"/>
      </rPr>
      <t>) linear drain,(</t>
    </r>
    <r>
      <rPr>
        <b/>
        <sz val="10"/>
        <color rgb="FFFF0000"/>
        <rFont val="Calibri"/>
        <family val="2"/>
      </rPr>
      <t>QTY</t>
    </r>
    <r>
      <rPr>
        <sz val="10"/>
        <color rgb="FF000000"/>
        <rFont val="Calibri"/>
        <family val="2"/>
      </rPr>
      <t>) thermostatic valve,(</t>
    </r>
    <r>
      <rPr>
        <b/>
        <sz val="10"/>
        <color rgb="FFFF0000"/>
        <rFont val="Calibri"/>
        <family val="2"/>
      </rPr>
      <t>QTY</t>
    </r>
    <r>
      <rPr>
        <sz val="10"/>
        <color rgb="FF000000"/>
        <rFont val="Calibri"/>
        <family val="2"/>
      </rPr>
      <t>) volume controls,(</t>
    </r>
    <r>
      <rPr>
        <b/>
        <sz val="10"/>
        <color rgb="FFFF0000"/>
        <rFont val="Calibri"/>
        <family val="2"/>
      </rPr>
      <t>QTY</t>
    </r>
    <r>
      <rPr>
        <sz val="10"/>
        <color rgb="FF000000"/>
        <rFont val="Calibri"/>
        <family val="2"/>
      </rPr>
      <t>)  rain head, one head,(</t>
    </r>
    <r>
      <rPr>
        <b/>
        <sz val="10"/>
        <color rgb="FFFF0000"/>
        <rFont val="Calibri"/>
        <family val="2"/>
      </rPr>
      <t>QTY</t>
    </r>
    <r>
      <rPr>
        <sz val="10"/>
        <color rgb="FF000000"/>
        <rFont val="Calibri"/>
        <family val="2"/>
      </rPr>
      <t>)  handshower.</t>
    </r>
  </si>
  <si>
    <r>
      <rPr>
        <sz val="10"/>
        <color rgb="FF000000"/>
        <rFont val="Calibri"/>
        <family val="2"/>
      </rPr>
      <t>(</t>
    </r>
    <r>
      <rPr>
        <b/>
        <sz val="10"/>
        <color rgb="FFFF0000"/>
        <rFont val="Calibri"/>
        <family val="2"/>
      </rPr>
      <t>QTY</t>
    </r>
    <r>
      <rPr>
        <sz val="10"/>
        <color rgb="FF000000"/>
        <rFont val="Calibri"/>
        <family val="2"/>
      </rPr>
      <t>) (</t>
    </r>
    <r>
      <rPr>
        <b/>
        <sz val="10"/>
        <color rgb="FFFF0000"/>
        <rFont val="Calibri"/>
        <family val="2"/>
      </rPr>
      <t>FREE STANDING</t>
    </r>
    <r>
      <rPr>
        <sz val="10"/>
        <color rgb="FF000000"/>
        <rFont val="Calibri"/>
        <family val="2"/>
      </rPr>
      <t>) tub with deck mount faucet, mixing valve and remote shut-off valves.</t>
    </r>
  </si>
  <si>
    <t>Gas</t>
  </si>
  <si>
    <r>
      <rPr>
        <sz val="10"/>
        <color rgb="FF000000"/>
        <rFont val="Calibri"/>
        <family val="2"/>
      </rPr>
      <t>Gas Piping and Regulators from meter to house  (</t>
    </r>
    <r>
      <rPr>
        <b/>
        <sz val="10"/>
        <color rgb="FFFF0000"/>
        <rFont val="Calibri"/>
        <family val="2"/>
      </rPr>
      <t>Exterior</t>
    </r>
    <r>
      <rPr>
        <sz val="10"/>
        <color rgb="FF000000"/>
        <rFont val="Calibri"/>
        <family val="2"/>
      </rPr>
      <t>) to the Following</t>
    </r>
  </si>
  <si>
    <r>
      <t>(</t>
    </r>
    <r>
      <rPr>
        <b/>
        <sz val="10"/>
        <color rgb="FFFF0000"/>
        <rFont val="Calibri"/>
        <family val="2"/>
      </rPr>
      <t>QTY</t>
    </r>
    <r>
      <rPr>
        <sz val="10"/>
        <rFont val="Calibri"/>
        <family val="2"/>
      </rPr>
      <t>) Pool Heaters</t>
    </r>
  </si>
  <si>
    <r>
      <t>(</t>
    </r>
    <r>
      <rPr>
        <b/>
        <sz val="10"/>
        <color rgb="FFFF0000"/>
        <rFont val="Calibri"/>
        <family val="2"/>
      </rPr>
      <t>QTY</t>
    </r>
    <r>
      <rPr>
        <sz val="10"/>
        <rFont val="Calibri"/>
        <family val="2"/>
      </rPr>
      <t>) Spa Heater</t>
    </r>
  </si>
  <si>
    <t>Generator</t>
  </si>
  <si>
    <r>
      <rPr>
        <sz val="10"/>
        <color rgb="FF000000"/>
        <rFont val="Calibri"/>
        <family val="2"/>
      </rPr>
      <t>(</t>
    </r>
    <r>
      <rPr>
        <b/>
        <sz val="10"/>
        <color rgb="FFFF0000"/>
        <rFont val="Calibri"/>
        <family val="2"/>
      </rPr>
      <t>QTY</t>
    </r>
    <r>
      <rPr>
        <sz val="10"/>
        <color rgb="FF000000"/>
        <rFont val="Calibri"/>
        <family val="2"/>
      </rPr>
      <t>)BBQ</t>
    </r>
  </si>
  <si>
    <r>
      <rPr>
        <sz val="10"/>
        <color rgb="FF000000"/>
        <rFont val="Calibri"/>
        <family val="2"/>
      </rPr>
      <t>(</t>
    </r>
    <r>
      <rPr>
        <b/>
        <sz val="10"/>
        <color rgb="FFFF0000"/>
        <rFont val="Calibri"/>
        <family val="2"/>
      </rPr>
      <t>QTY</t>
    </r>
    <r>
      <rPr>
        <sz val="10"/>
        <color rgb="FF000000"/>
        <rFont val="Calibri"/>
        <family val="2"/>
      </rPr>
      <t>) Gas Lanterns</t>
    </r>
  </si>
  <si>
    <r>
      <t>Gas Piping and Regulators (</t>
    </r>
    <r>
      <rPr>
        <b/>
        <sz val="10"/>
        <color rgb="FFFF0000"/>
        <rFont val="Calibri"/>
        <family val="2"/>
      </rPr>
      <t>Interior</t>
    </r>
    <r>
      <rPr>
        <sz val="10"/>
        <rFont val="Calibri"/>
        <family val="2"/>
      </rPr>
      <t>) to the Following</t>
    </r>
  </si>
  <si>
    <r>
      <t xml:space="preserve"> (</t>
    </r>
    <r>
      <rPr>
        <b/>
        <sz val="10"/>
        <color rgb="FFFF0000"/>
        <rFont val="Calibri"/>
        <family val="2"/>
      </rPr>
      <t>QTY</t>
    </r>
    <r>
      <rPr>
        <sz val="10"/>
        <rFont val="Calibri"/>
        <family val="2"/>
      </rPr>
      <t>) Gas Water Heaters</t>
    </r>
  </si>
  <si>
    <r>
      <t>(</t>
    </r>
    <r>
      <rPr>
        <b/>
        <sz val="10"/>
        <color rgb="FFFF0000"/>
        <rFont val="Calibri"/>
        <family val="2"/>
      </rPr>
      <t>QTY</t>
    </r>
    <r>
      <rPr>
        <sz val="10"/>
        <rFont val="Calibri"/>
        <family val="2"/>
      </rPr>
      <t xml:space="preserve">) Fireplaces </t>
    </r>
  </si>
  <si>
    <r>
      <t xml:space="preserve"> (</t>
    </r>
    <r>
      <rPr>
        <b/>
        <sz val="10"/>
        <color rgb="FFFF0000"/>
        <rFont val="Calibri"/>
        <family val="2"/>
      </rPr>
      <t>QTY</t>
    </r>
    <r>
      <rPr>
        <sz val="10"/>
        <rFont val="Calibri"/>
        <family val="2"/>
      </rPr>
      <t>) Range</t>
    </r>
  </si>
  <si>
    <t>HB Plumbing Layout</t>
  </si>
  <si>
    <t xml:space="preserve">Concrete cutting &amp; coring for plumbing lines </t>
  </si>
  <si>
    <t>S.S. pans (For washers and dish washers)</t>
  </si>
  <si>
    <t>Shower Valve &amp; Drain Layout</t>
  </si>
  <si>
    <t xml:space="preserve"> GRAND TOTAL </t>
  </si>
  <si>
    <t>Permit Fee</t>
  </si>
  <si>
    <t xml:space="preserve">Water filtration &amp; softener system </t>
  </si>
  <si>
    <t>Sanitary service replacement &amp; wet-tap in R.O.W.</t>
  </si>
  <si>
    <t>Stormwater pipe lateral / tie-in to site stormwater piping system</t>
  </si>
  <si>
    <t>Relocation of existing water meter</t>
  </si>
  <si>
    <t>Trenching for Sanitary and Domestic Water through Rock</t>
  </si>
  <si>
    <t>Irrigation Meter</t>
  </si>
  <si>
    <t>Cold water piping insulation</t>
  </si>
  <si>
    <t xml:space="preserve">Accoustical Straps </t>
  </si>
  <si>
    <t xml:space="preserve"> HB Recommends </t>
  </si>
  <si>
    <t>Division 15 - HVAC</t>
  </si>
  <si>
    <t>Craning as required by scope of work and related MOT</t>
  </si>
  <si>
    <r>
      <t xml:space="preserve">MEP Drawings Dated </t>
    </r>
    <r>
      <rPr>
        <b/>
        <sz val="10"/>
        <color rgb="FFFF0000"/>
        <rFont val="Calibri"/>
        <family val="2"/>
        <scheme val="minor"/>
      </rPr>
      <t>INSERT DATE</t>
    </r>
  </si>
  <si>
    <t>HVAC Schedules have been reviewed</t>
  </si>
  <si>
    <t>Equipment Timeline ----Weeks</t>
  </si>
  <si>
    <t>Coordination of condensate drains tie in with plumber</t>
  </si>
  <si>
    <t>Non-certified Test and Balance</t>
  </si>
  <si>
    <t>Certified Test and Balance</t>
  </si>
  <si>
    <t>BIM Coordination</t>
  </si>
  <si>
    <r>
      <t xml:space="preserve">All ductwork to be </t>
    </r>
    <r>
      <rPr>
        <sz val="10"/>
        <color rgb="FFFF0000"/>
        <rFont val="Calibri"/>
        <family val="2"/>
        <scheme val="minor"/>
      </rPr>
      <t xml:space="preserve">superduct / R6 </t>
    </r>
  </si>
  <si>
    <t>MERV __ Filters at all units</t>
  </si>
  <si>
    <t>Motorized dampers at all outside air connections</t>
  </si>
  <si>
    <t>Vibration isolators at all interior units</t>
  </si>
  <si>
    <t>Copper Roof Jacks</t>
  </si>
  <si>
    <t>All Refrigerant Piping to Consist of Type-L Copper and/or Soft Drawn ACR Copper</t>
  </si>
  <si>
    <t>All Refrigerant Piping and Condensate Piping  Insulation to Include ¾-Inch Thick Wall Armaflex Insulation</t>
  </si>
  <si>
    <r>
      <rPr>
        <sz val="10"/>
        <color rgb="FF000000"/>
        <rFont val="Calibri"/>
        <family val="2"/>
        <scheme val="minor"/>
      </rPr>
      <t xml:space="preserve">Outside - Air duct system to be </t>
    </r>
    <r>
      <rPr>
        <sz val="10"/>
        <color rgb="FFFF0000"/>
        <rFont val="Calibri"/>
        <family val="2"/>
        <scheme val="minor"/>
      </rPr>
      <t>aluminium / SS</t>
    </r>
    <r>
      <rPr>
        <sz val="10"/>
        <color rgb="FF000000"/>
        <rFont val="Calibri"/>
        <family val="2"/>
        <scheme val="minor"/>
      </rPr>
      <t xml:space="preserve"> ductwork with R6 exterior wrap insulation.</t>
    </r>
  </si>
  <si>
    <t>All exterior equipment to have marine coating on exterior and at coils</t>
  </si>
  <si>
    <t>Venting for Gas Water Heaters</t>
  </si>
  <si>
    <t>Venting for Laundry equipment</t>
  </si>
  <si>
    <t>All Low Voltage Control Wiring is Included and Consists of Shielded Cable and Includes Installation</t>
  </si>
  <si>
    <t>Fire stopping at penetrations</t>
  </si>
  <si>
    <t>Exterior hurricane rated prefinished louvers</t>
  </si>
  <si>
    <t xml:space="preserve">Type of System - VRF / DX </t>
  </si>
  <si>
    <t>__# of Condensor Units per Schedule on page</t>
  </si>
  <si>
    <t>__# of Air Handler Units per Schedule on page, __ tons total</t>
  </si>
  <si>
    <t>Each Air-Handler to Include Emergency Over-Flow Drain Pan with Safety Over-Flow Switch</t>
  </si>
  <si>
    <r>
      <t xml:space="preserve">Include Condensate Piping within </t>
    </r>
    <r>
      <rPr>
        <sz val="10"/>
        <color rgb="FFFF0000"/>
        <rFont val="Calibri"/>
        <family val="2"/>
        <scheme val="minor"/>
      </rPr>
      <t>10</t>
    </r>
    <r>
      <rPr>
        <sz val="10"/>
        <rFont val="Calibri"/>
        <family val="2"/>
        <scheme val="minor"/>
      </rPr>
      <t>' of AHU, 3/4" PVC Pipe &amp; Fittings, P-Trap, Clean-Out &amp; Float Switch</t>
    </r>
  </si>
  <si>
    <t>Install thermostats as per schedule</t>
  </si>
  <si>
    <t>All Refrigerant Piping Installation Includes a Continuous Nitrogen Gas Purge During All Welding and Soldering</t>
  </si>
  <si>
    <t>Dehumidifiers per schedule</t>
  </si>
  <si>
    <t>Backnet Controls</t>
  </si>
  <si>
    <t xml:space="preserve">__# of Exhaust Fans Units per Schedule on page </t>
  </si>
  <si>
    <t>Motors to be in line / remote</t>
  </si>
  <si>
    <t>Bath exhausts include insulation ductwork and motorized dampers</t>
  </si>
  <si>
    <t>All Exhaust Fans to Include Motorized Back Draft Damper at Roof Jack Connection</t>
  </si>
  <si>
    <r>
      <rPr>
        <sz val="10"/>
        <color rgb="FFFF0000"/>
        <rFont val="Calibri"/>
        <family val="2"/>
        <scheme val="minor"/>
      </rPr>
      <t>Galvanized / SS</t>
    </r>
    <r>
      <rPr>
        <sz val="10"/>
        <color rgb="FF000000"/>
        <rFont val="Calibri"/>
        <family val="2"/>
        <scheme val="minor"/>
      </rPr>
      <t xml:space="preserve"> Ductwork for Kitchen Hood</t>
    </r>
  </si>
  <si>
    <t>Remote fan for Hood</t>
  </si>
  <si>
    <t>Motorized Damper</t>
  </si>
  <si>
    <t>Kitchen hood Roof Jack</t>
  </si>
  <si>
    <t>Make up air interlocked with Kitchen Exhaust Fan</t>
  </si>
  <si>
    <t>Cooling Tower per specifications - Open Loop / Closed Loop</t>
  </si>
  <si>
    <t>Hot Gas Reheat Coil</t>
  </si>
  <si>
    <t>DOAS - Outside Air Equipment per schedule</t>
  </si>
  <si>
    <t>Supply and Return Diffusers / Grilles and Air Distribution per schedule</t>
  </si>
  <si>
    <t>Option - Ionization at all units</t>
  </si>
  <si>
    <t>Option - UV at all units</t>
  </si>
  <si>
    <t>Option - Temporary AC</t>
  </si>
  <si>
    <t>Division 16 - Electrical</t>
  </si>
  <si>
    <r>
      <t xml:space="preserve">Architectural Drawings dated </t>
    </r>
    <r>
      <rPr>
        <b/>
        <sz val="10"/>
        <color rgb="FFFF0000"/>
        <rFont val="Calibri"/>
        <family val="2"/>
      </rPr>
      <t>INSERT DATE</t>
    </r>
  </si>
  <si>
    <r>
      <t xml:space="preserve">Electrical Drawings Dated </t>
    </r>
    <r>
      <rPr>
        <b/>
        <sz val="10"/>
        <color rgb="FFFF0000"/>
        <rFont val="Calibri"/>
        <family val="2"/>
      </rPr>
      <t>INSERT DATE</t>
    </r>
  </si>
  <si>
    <t>All exterior fasteners to be stainless steel</t>
  </si>
  <si>
    <t>Layout and coordinate light fixtures with finishes</t>
  </si>
  <si>
    <t>Concrete cutting and coring for electrical scope</t>
  </si>
  <si>
    <t>Electrical Service / Distribution</t>
  </si>
  <si>
    <r>
      <t xml:space="preserve">Provide and install trenching, conduit, and service wire to FPL point of connection </t>
    </r>
    <r>
      <rPr>
        <b/>
        <sz val="10"/>
        <color rgb="FFFF0000"/>
        <rFont val="Calibri"/>
        <family val="2"/>
      </rPr>
      <t xml:space="preserve">(LF is Applicable) </t>
    </r>
  </si>
  <si>
    <r>
      <t xml:space="preserve">Provide and install empty 4" PVC underground conduits (future) as per plan. </t>
    </r>
    <r>
      <rPr>
        <b/>
        <sz val="10"/>
        <color rgb="FFFF0000"/>
        <rFont val="Calibri"/>
        <family val="2"/>
      </rPr>
      <t xml:space="preserve">(LF is Applicable) </t>
    </r>
  </si>
  <si>
    <t>Provide and install FPL approved CT meter socket enclosure. (FPL provided CT's in Transformer)</t>
  </si>
  <si>
    <r>
      <t>Provide and install</t>
    </r>
    <r>
      <rPr>
        <b/>
        <sz val="10"/>
        <color rgb="FFFF0000"/>
        <rFont val="Calibri"/>
        <family val="2"/>
      </rPr>
      <t xml:space="preserve"> # </t>
    </r>
    <r>
      <rPr>
        <sz val="10"/>
        <rFont val="Calibri"/>
        <family val="2"/>
      </rPr>
      <t>Amp,</t>
    </r>
    <r>
      <rPr>
        <b/>
        <sz val="10"/>
        <color rgb="FFFF0000"/>
        <rFont val="Calibri"/>
        <family val="2"/>
      </rPr>
      <t xml:space="preserve"> # </t>
    </r>
    <r>
      <rPr>
        <sz val="10"/>
        <rFont val="Calibri"/>
        <family val="2"/>
      </rPr>
      <t xml:space="preserve">Phase, </t>
    </r>
    <r>
      <rPr>
        <b/>
        <sz val="10"/>
        <color rgb="FFFF0000"/>
        <rFont val="Calibri"/>
        <family val="2"/>
      </rPr>
      <t xml:space="preserve">indoor / outdoor </t>
    </r>
    <r>
      <rPr>
        <sz val="10"/>
        <rFont val="Calibri"/>
        <family val="2"/>
      </rPr>
      <t xml:space="preserve">, panel MDP, </t>
    </r>
    <r>
      <rPr>
        <b/>
        <sz val="10"/>
        <color rgb="FFFF0000"/>
        <rFont val="Calibri"/>
        <family val="2"/>
      </rPr>
      <t>Nema 4x enclosure</t>
    </r>
  </si>
  <si>
    <r>
      <t xml:space="preserve">Provide and install  </t>
    </r>
    <r>
      <rPr>
        <b/>
        <sz val="10"/>
        <color rgb="FFFF0000"/>
        <rFont val="Calibri"/>
        <family val="2"/>
      </rPr>
      <t xml:space="preserve"># </t>
    </r>
    <r>
      <rPr>
        <sz val="10"/>
        <rFont val="Calibri"/>
        <family val="2"/>
      </rPr>
      <t>Amp,</t>
    </r>
    <r>
      <rPr>
        <b/>
        <sz val="10"/>
        <color rgb="FFFF0000"/>
        <rFont val="Calibri"/>
        <family val="2"/>
      </rPr>
      <t xml:space="preserve"> # </t>
    </r>
    <r>
      <rPr>
        <sz val="10"/>
        <rFont val="Calibri"/>
        <family val="2"/>
      </rPr>
      <t xml:space="preserve">Phase, </t>
    </r>
    <r>
      <rPr>
        <b/>
        <sz val="10"/>
        <color rgb="FFFF0000"/>
        <rFont val="Calibri"/>
        <family val="2"/>
      </rPr>
      <t xml:space="preserve">indoor </t>
    </r>
    <r>
      <rPr>
        <sz val="10"/>
        <rFont val="Calibri"/>
        <family val="2"/>
      </rPr>
      <t xml:space="preserve">panel </t>
    </r>
    <r>
      <rPr>
        <b/>
        <sz val="10"/>
        <color rgb="FFFF0000"/>
        <rFont val="Calibri"/>
        <family val="2"/>
      </rPr>
      <t xml:space="preserve">LIST PANEL NAMES </t>
    </r>
  </si>
  <si>
    <r>
      <t xml:space="preserve">Provide and install  </t>
    </r>
    <r>
      <rPr>
        <b/>
        <sz val="10"/>
        <color rgb="FFFF0000"/>
        <rFont val="Calibri"/>
        <family val="2"/>
      </rPr>
      <t xml:space="preserve"># </t>
    </r>
    <r>
      <rPr>
        <sz val="10"/>
        <rFont val="Calibri"/>
        <family val="2"/>
      </rPr>
      <t>Amp,</t>
    </r>
    <r>
      <rPr>
        <b/>
        <sz val="10"/>
        <color rgb="FFFF0000"/>
        <rFont val="Calibri"/>
        <family val="2"/>
      </rPr>
      <t xml:space="preserve"> # </t>
    </r>
    <r>
      <rPr>
        <sz val="10"/>
        <rFont val="Calibri"/>
        <family val="2"/>
      </rPr>
      <t xml:space="preserve">Phase, </t>
    </r>
    <r>
      <rPr>
        <b/>
        <sz val="10"/>
        <color rgb="FFFF0000"/>
        <rFont val="Calibri"/>
        <family val="2"/>
      </rPr>
      <t xml:space="preserve">outdoor </t>
    </r>
    <r>
      <rPr>
        <sz val="10"/>
        <rFont val="Calibri"/>
        <family val="2"/>
      </rPr>
      <t xml:space="preserve">panel </t>
    </r>
    <r>
      <rPr>
        <b/>
        <sz val="10"/>
        <color rgb="FFFF0000"/>
        <rFont val="Calibri"/>
        <family val="2"/>
      </rPr>
      <t xml:space="preserve">LIST PANEL NAMES </t>
    </r>
  </si>
  <si>
    <t>Provide and install TVSS units at all circuit breaker panels per plans.</t>
  </si>
  <si>
    <t>Provide and install grounding electrode system per plans including incoming water service and gas service</t>
  </si>
  <si>
    <t>Generator / ATS</t>
  </si>
  <si>
    <r>
      <rPr>
        <sz val="10"/>
        <color rgb="FF000000"/>
        <rFont val="Calibri"/>
        <family val="2"/>
      </rPr>
      <t xml:space="preserve">Provide and install </t>
    </r>
    <r>
      <rPr>
        <b/>
        <sz val="10"/>
        <color rgb="FFFF0000"/>
        <rFont val="Calibri"/>
        <family val="2"/>
      </rPr>
      <t>#</t>
    </r>
    <r>
      <rPr>
        <sz val="10"/>
        <color rgb="FF000000"/>
        <rFont val="Calibri"/>
        <family val="2"/>
      </rPr>
      <t xml:space="preserve">KW </t>
    </r>
    <r>
      <rPr>
        <b/>
        <sz val="10"/>
        <color rgb="FFFF0000"/>
        <rFont val="Calibri"/>
        <family val="2"/>
      </rPr>
      <t>#</t>
    </r>
    <r>
      <rPr>
        <sz val="10"/>
        <color rgb="FF000000"/>
        <rFont val="Calibri"/>
        <family val="2"/>
      </rPr>
      <t xml:space="preserve"> Phase </t>
    </r>
    <r>
      <rPr>
        <b/>
        <sz val="10"/>
        <color rgb="FFFF0000"/>
        <rFont val="Calibri"/>
        <family val="2"/>
      </rPr>
      <t>#MODEL NUMBER</t>
    </r>
    <r>
      <rPr>
        <sz val="10"/>
        <color rgb="FF000000"/>
        <rFont val="Calibri"/>
        <family val="2"/>
      </rPr>
      <t xml:space="preserve"> standby generator with</t>
    </r>
    <r>
      <rPr>
        <b/>
        <sz val="10"/>
        <color rgb="FFFF0000"/>
        <rFont val="Calibri"/>
        <family val="2"/>
      </rPr>
      <t xml:space="preserve"> sound enclosure</t>
    </r>
  </si>
  <si>
    <r>
      <rPr>
        <sz val="10"/>
        <color rgb="FF000000"/>
        <rFont val="Calibri"/>
        <family val="2"/>
      </rPr>
      <t xml:space="preserve">Provide and install  </t>
    </r>
    <r>
      <rPr>
        <b/>
        <sz val="10"/>
        <color rgb="FFFF0000"/>
        <rFont val="Calibri"/>
        <family val="2"/>
      </rPr>
      <t>#</t>
    </r>
    <r>
      <rPr>
        <sz val="10"/>
        <color rgb="FF000000"/>
        <rFont val="Calibri"/>
        <family val="2"/>
      </rPr>
      <t xml:space="preserve"> amp </t>
    </r>
    <r>
      <rPr>
        <sz val="10"/>
        <color rgb="FFFF0000"/>
        <rFont val="Calibri"/>
        <family val="2"/>
      </rPr>
      <t>SE</t>
    </r>
    <r>
      <rPr>
        <sz val="10"/>
        <color rgb="FF000000"/>
        <rFont val="Calibri"/>
        <family val="2"/>
      </rPr>
      <t xml:space="preserve"> rated, </t>
    </r>
    <r>
      <rPr>
        <b/>
        <sz val="10"/>
        <color rgb="FFFF0000"/>
        <rFont val="Calibri"/>
        <family val="2"/>
      </rPr>
      <t>NEMA 4X stainless</t>
    </r>
    <r>
      <rPr>
        <sz val="10"/>
        <color rgb="FF000000"/>
        <rFont val="Calibri"/>
        <family val="2"/>
      </rPr>
      <t xml:space="preserve">, </t>
    </r>
    <r>
      <rPr>
        <b/>
        <sz val="10"/>
        <color rgb="FFFF0000"/>
        <rFont val="Calibri"/>
        <family val="2"/>
      </rPr>
      <t>#</t>
    </r>
    <r>
      <rPr>
        <sz val="10"/>
        <color rgb="FF000000"/>
        <rFont val="Calibri"/>
        <family val="2"/>
      </rPr>
      <t xml:space="preserve"> Phase automatic transfer switch.</t>
    </r>
  </si>
  <si>
    <t>Provide and install circuit for heater and battery charger.</t>
  </si>
  <si>
    <t>Emergency off button.</t>
  </si>
  <si>
    <r>
      <t xml:space="preserve">Provide and install </t>
    </r>
    <r>
      <rPr>
        <b/>
        <sz val="10"/>
        <color rgb="FFFF0000"/>
        <rFont val="Calibri"/>
        <family val="2"/>
      </rPr>
      <t>#</t>
    </r>
    <r>
      <rPr>
        <sz val="10"/>
        <rFont val="Calibri"/>
        <family val="2"/>
      </rPr>
      <t xml:space="preserve"> amp underground conduit and control wiring from generator to ATS.</t>
    </r>
  </si>
  <si>
    <t>Site off loading, and setting of unit is provided (Include crane if required)</t>
  </si>
  <si>
    <t>Provide start up and customer training.</t>
  </si>
  <si>
    <t>Coastal Package Included</t>
  </si>
  <si>
    <t>Fuel, and fuel connections to unit by others.</t>
  </si>
  <si>
    <t xml:space="preserve">Generator exhaust piping </t>
  </si>
  <si>
    <t>Load shedding modules as required</t>
  </si>
  <si>
    <t>Remote annunciator panel</t>
  </si>
  <si>
    <t>Lighting / Fixtures - INSTALLATION ONLY</t>
  </si>
  <si>
    <r>
      <rPr>
        <b/>
        <sz val="10"/>
        <color rgb="FFFF0000"/>
        <rFont val="Calibri"/>
        <family val="2"/>
      </rPr>
      <t>Provide and</t>
    </r>
    <r>
      <rPr>
        <sz val="10"/>
        <color rgb="FF000000"/>
        <rFont val="Calibri"/>
        <family val="2"/>
      </rPr>
      <t xml:space="preserve"> install</t>
    </r>
    <r>
      <rPr>
        <b/>
        <sz val="10"/>
        <color rgb="FFFF0000"/>
        <rFont val="Calibri"/>
        <family val="2"/>
      </rPr>
      <t xml:space="preserve"> (QTY) </t>
    </r>
    <r>
      <rPr>
        <sz val="10"/>
        <color rgb="FF000000"/>
        <rFont val="Calibri"/>
        <family val="2"/>
      </rPr>
      <t>1 x 4 surface mount LED fixture outlets.</t>
    </r>
  </si>
  <si>
    <r>
      <t>Provide and</t>
    </r>
    <r>
      <rPr>
        <sz val="10"/>
        <rFont val="Calibri"/>
        <family val="2"/>
      </rPr>
      <t xml:space="preserve"> Install recessed</t>
    </r>
    <r>
      <rPr>
        <b/>
        <sz val="10"/>
        <color rgb="FFFF0000"/>
        <rFont val="Calibri"/>
        <family val="2"/>
      </rPr>
      <t xml:space="preserve"> (QTY) </t>
    </r>
    <r>
      <rPr>
        <sz val="10"/>
        <rFont val="Calibri"/>
        <family val="2"/>
      </rPr>
      <t xml:space="preserve">4" LED down light fixture </t>
    </r>
  </si>
  <si>
    <r>
      <t>Provide and</t>
    </r>
    <r>
      <rPr>
        <sz val="10"/>
        <rFont val="Calibri"/>
        <family val="2"/>
      </rPr>
      <t xml:space="preserve"> Install recessed</t>
    </r>
    <r>
      <rPr>
        <b/>
        <sz val="10"/>
        <color rgb="FFFF0000"/>
        <rFont val="Calibri"/>
        <family val="2"/>
      </rPr>
      <t xml:space="preserve"> (QTY) </t>
    </r>
    <r>
      <rPr>
        <sz val="10"/>
        <rFont val="Calibri"/>
        <family val="2"/>
      </rPr>
      <t xml:space="preserve"> 4" LED vapor proof light fixture </t>
    </r>
  </si>
  <si>
    <r>
      <t xml:space="preserve">Provide and </t>
    </r>
    <r>
      <rPr>
        <sz val="10"/>
        <rFont val="Calibri"/>
        <family val="2"/>
      </rPr>
      <t>Install interior (</t>
    </r>
    <r>
      <rPr>
        <b/>
        <sz val="10"/>
        <color rgb="FFFF0000"/>
        <rFont val="Calibri"/>
        <family val="2"/>
      </rPr>
      <t>QTY</t>
    </r>
    <r>
      <rPr>
        <sz val="10"/>
        <rFont val="Calibri"/>
        <family val="2"/>
      </rPr>
      <t>) decorative wall mount fixtures</t>
    </r>
  </si>
  <si>
    <r>
      <t>Provide and</t>
    </r>
    <r>
      <rPr>
        <sz val="10"/>
        <rFont val="Calibri"/>
        <family val="2"/>
      </rPr>
      <t xml:space="preserve"> Install (</t>
    </r>
    <r>
      <rPr>
        <b/>
        <sz val="10"/>
        <color rgb="FFFF0000"/>
        <rFont val="Calibri"/>
        <family val="2"/>
      </rPr>
      <t>QTY</t>
    </r>
    <r>
      <rPr>
        <sz val="10"/>
        <rFont val="Calibri"/>
        <family val="2"/>
      </rPr>
      <t xml:space="preserve">) exterior decorative sconce light fixture </t>
    </r>
  </si>
  <si>
    <r>
      <t>Provide and</t>
    </r>
    <r>
      <rPr>
        <sz val="10"/>
        <rFont val="Calibri"/>
        <family val="2"/>
      </rPr>
      <t xml:space="preserve"> Install (</t>
    </r>
    <r>
      <rPr>
        <b/>
        <sz val="10"/>
        <color rgb="FFFF0000"/>
        <rFont val="Calibri"/>
        <family val="2"/>
      </rPr>
      <t>QTY</t>
    </r>
    <r>
      <rPr>
        <sz val="10"/>
        <rFont val="Calibri"/>
        <family val="2"/>
      </rPr>
      <t>) interior decorative ceiling mount fixtures</t>
    </r>
  </si>
  <si>
    <r>
      <t>Provide and</t>
    </r>
    <r>
      <rPr>
        <sz val="10"/>
        <rFont val="Calibri"/>
        <family val="2"/>
      </rPr>
      <t xml:space="preserve"> install  (</t>
    </r>
    <r>
      <rPr>
        <b/>
        <sz val="10"/>
        <color rgb="FFFF0000"/>
        <rFont val="Calibri"/>
        <family val="2"/>
      </rPr>
      <t>QTY</t>
    </r>
    <r>
      <rPr>
        <sz val="10"/>
        <rFont val="Calibri"/>
        <family val="2"/>
      </rPr>
      <t>) exterior step light fixture.</t>
    </r>
  </si>
  <si>
    <r>
      <t xml:space="preserve">Provide and </t>
    </r>
    <r>
      <rPr>
        <sz val="10"/>
        <rFont val="Calibri"/>
        <family val="2"/>
      </rPr>
      <t>install (</t>
    </r>
    <r>
      <rPr>
        <b/>
        <sz val="10"/>
        <color rgb="FFFF0000"/>
        <rFont val="Calibri"/>
        <family val="2"/>
      </rPr>
      <t>QTY</t>
    </r>
    <r>
      <rPr>
        <sz val="10"/>
        <rFont val="Calibri"/>
        <family val="2"/>
      </rPr>
      <t>) ceiling fan outlets and install ceiling fans supplied by others.</t>
    </r>
  </si>
  <si>
    <r>
      <rPr>
        <b/>
        <sz val="10"/>
        <color rgb="FFFF0000"/>
        <rFont val="Calibri"/>
        <family val="2"/>
      </rPr>
      <t xml:space="preserve">Provide and  </t>
    </r>
    <r>
      <rPr>
        <sz val="10"/>
        <color rgb="FF000000"/>
        <rFont val="Calibri"/>
        <family val="2"/>
      </rPr>
      <t>Install (</t>
    </r>
    <r>
      <rPr>
        <b/>
        <sz val="10"/>
        <color rgb="FFFF0000"/>
        <rFont val="Calibri"/>
        <family val="2"/>
      </rPr>
      <t>QTY</t>
    </r>
    <r>
      <rPr>
        <sz val="10"/>
        <color rgb="FF000000"/>
        <rFont val="Calibri"/>
        <family val="2"/>
      </rPr>
      <t>) Closet light LED wrap type fixture outlets</t>
    </r>
  </si>
  <si>
    <r>
      <t>Provide and</t>
    </r>
    <r>
      <rPr>
        <sz val="10"/>
        <rFont val="Calibri"/>
        <family val="2"/>
      </rPr>
      <t xml:space="preserve"> install (</t>
    </r>
    <r>
      <rPr>
        <b/>
        <sz val="10"/>
        <color rgb="FFFF0000"/>
        <rFont val="Calibri"/>
        <family val="2"/>
      </rPr>
      <t>QTY</t>
    </r>
    <r>
      <rPr>
        <sz val="10"/>
        <rFont val="Calibri"/>
        <family val="2"/>
      </rPr>
      <t>) attic light and switch at attic access points per plans.</t>
    </r>
  </si>
  <si>
    <r>
      <t xml:space="preserve">Provide and </t>
    </r>
    <r>
      <rPr>
        <sz val="10"/>
        <rFont val="Calibri"/>
        <family val="2"/>
      </rPr>
      <t>install (</t>
    </r>
    <r>
      <rPr>
        <b/>
        <sz val="10"/>
        <color rgb="FFFF0000"/>
        <rFont val="Calibri"/>
        <family val="2"/>
      </rPr>
      <t>QTY</t>
    </r>
    <r>
      <rPr>
        <sz val="10"/>
        <rFont val="Calibri"/>
        <family val="2"/>
      </rPr>
      <t>) undercabinet LED strip fixtures per plans.</t>
    </r>
  </si>
  <si>
    <r>
      <t>Provide and</t>
    </r>
    <r>
      <rPr>
        <sz val="10"/>
        <rFont val="Calibri"/>
        <family val="2"/>
      </rPr>
      <t xml:space="preserve"> install LED cove lighting (</t>
    </r>
    <r>
      <rPr>
        <b/>
        <sz val="10"/>
        <color rgb="FFFF0000"/>
        <rFont val="Calibri"/>
        <family val="2"/>
      </rPr>
      <t>LF QTY</t>
    </r>
    <r>
      <rPr>
        <sz val="10"/>
        <rFont val="Calibri"/>
        <family val="2"/>
      </rPr>
      <t>)</t>
    </r>
  </si>
  <si>
    <r>
      <t>Provide and</t>
    </r>
    <r>
      <rPr>
        <sz val="10"/>
        <rFont val="Calibri"/>
        <family val="2"/>
      </rPr>
      <t xml:space="preserve"> Install (</t>
    </r>
    <r>
      <rPr>
        <b/>
        <sz val="10"/>
        <color rgb="FFFF0000"/>
        <rFont val="Calibri"/>
        <family val="2"/>
      </rPr>
      <t>QTY</t>
    </r>
    <r>
      <rPr>
        <sz val="10"/>
        <rFont val="Calibri"/>
        <family val="2"/>
      </rPr>
      <t>) LED backlit panels</t>
    </r>
  </si>
  <si>
    <r>
      <t xml:space="preserve">Provide and </t>
    </r>
    <r>
      <rPr>
        <sz val="10"/>
        <rFont val="Calibri"/>
        <family val="2"/>
      </rPr>
      <t>Install (</t>
    </r>
    <r>
      <rPr>
        <b/>
        <sz val="10"/>
        <color rgb="FFFF0000"/>
        <rFont val="Calibri"/>
        <family val="2"/>
      </rPr>
      <t>QTY</t>
    </r>
    <r>
      <rPr>
        <sz val="10"/>
        <rFont val="Calibri"/>
        <family val="2"/>
      </rPr>
      <t>) LED pin lights</t>
    </r>
  </si>
  <si>
    <r>
      <t>Provide and</t>
    </r>
    <r>
      <rPr>
        <sz val="10"/>
        <rFont val="Calibri"/>
        <family val="2"/>
      </rPr>
      <t xml:space="preserve"> install (</t>
    </r>
    <r>
      <rPr>
        <b/>
        <sz val="10"/>
        <color rgb="FFFF0000"/>
        <rFont val="Calibri"/>
        <family val="2"/>
      </rPr>
      <t>QTY</t>
    </r>
    <r>
      <rPr>
        <sz val="10"/>
        <rFont val="Calibri"/>
        <family val="2"/>
      </rPr>
      <t>) single pole dimmer switches</t>
    </r>
  </si>
  <si>
    <r>
      <t xml:space="preserve">Provide and </t>
    </r>
    <r>
      <rPr>
        <sz val="10"/>
        <rFont val="Calibri"/>
        <family val="2"/>
      </rPr>
      <t>install (</t>
    </r>
    <r>
      <rPr>
        <b/>
        <sz val="10"/>
        <color rgb="FFFF0000"/>
        <rFont val="Calibri"/>
        <family val="2"/>
      </rPr>
      <t>QTY</t>
    </r>
    <r>
      <rPr>
        <sz val="10"/>
        <rFont val="Calibri"/>
        <family val="2"/>
      </rPr>
      <t>) 3-way  switches</t>
    </r>
  </si>
  <si>
    <r>
      <t>Provide and</t>
    </r>
    <r>
      <rPr>
        <sz val="10"/>
        <rFont val="Calibri"/>
        <family val="2"/>
      </rPr>
      <t xml:space="preserve"> install (</t>
    </r>
    <r>
      <rPr>
        <b/>
        <sz val="10"/>
        <color rgb="FFFF0000"/>
        <rFont val="Calibri"/>
        <family val="2"/>
      </rPr>
      <t>QTY</t>
    </r>
    <r>
      <rPr>
        <sz val="10"/>
        <rFont val="Calibri"/>
        <family val="2"/>
      </rPr>
      <t>) multi-location dimmer switches</t>
    </r>
  </si>
  <si>
    <r>
      <rPr>
        <b/>
        <sz val="10"/>
        <color rgb="FFFF0000"/>
        <rFont val="Calibri"/>
        <family val="2"/>
      </rPr>
      <t>Provide and</t>
    </r>
    <r>
      <rPr>
        <sz val="10"/>
        <color rgb="FF000000"/>
        <rFont val="Calibri"/>
        <family val="2"/>
      </rPr>
      <t xml:space="preserve"> install (</t>
    </r>
    <r>
      <rPr>
        <b/>
        <sz val="10"/>
        <color rgb="FFFF0000"/>
        <rFont val="Calibri"/>
        <family val="2"/>
      </rPr>
      <t>QTY</t>
    </r>
    <r>
      <rPr>
        <sz val="10"/>
        <color rgb="FF000000"/>
        <rFont val="Calibri"/>
        <family val="2"/>
      </rPr>
      <t>) door jamb switches</t>
    </r>
  </si>
  <si>
    <r>
      <t>Provide and</t>
    </r>
    <r>
      <rPr>
        <sz val="10"/>
        <rFont val="Calibri"/>
        <family val="2"/>
      </rPr>
      <t xml:space="preserve"> install (</t>
    </r>
    <r>
      <rPr>
        <b/>
        <sz val="10"/>
        <color rgb="FFFF0000"/>
        <rFont val="Calibri"/>
        <family val="2"/>
      </rPr>
      <t>QTY</t>
    </r>
    <r>
      <rPr>
        <sz val="10"/>
        <rFont val="Calibri"/>
        <family val="2"/>
      </rPr>
      <t>) Transformers Needed??</t>
    </r>
  </si>
  <si>
    <t>Provide and install all power supply and drivers as needed for lighting</t>
  </si>
  <si>
    <t>Receptacles / Outlets</t>
  </si>
  <si>
    <r>
      <t xml:space="preserve">Receptacle &amp; Switches : </t>
    </r>
    <r>
      <rPr>
        <b/>
        <sz val="10"/>
        <color rgb="FFFF0000"/>
        <rFont val="Calibri"/>
        <family val="2"/>
      </rPr>
      <t xml:space="preserve">LIST SPEC &amp; SPECIALTY COLORS </t>
    </r>
  </si>
  <si>
    <r>
      <t>Specialty Face Plates :</t>
    </r>
    <r>
      <rPr>
        <b/>
        <sz val="10"/>
        <color rgb="FFFF0000"/>
        <rFont val="Calibri"/>
        <family val="2"/>
      </rPr>
      <t xml:space="preserve"> LIST SCREWLESS OR SATIN FINISH</t>
    </r>
  </si>
  <si>
    <r>
      <t>Provide and install (</t>
    </r>
    <r>
      <rPr>
        <b/>
        <sz val="10"/>
        <color rgb="FFFF0000"/>
        <rFont val="Calibri"/>
        <family val="2"/>
      </rPr>
      <t>QTY</t>
    </r>
    <r>
      <rPr>
        <sz val="10"/>
        <rFont val="Calibri"/>
        <family val="2"/>
      </rPr>
      <t>) duplex receptacle outlets per plans.</t>
    </r>
  </si>
  <si>
    <r>
      <t>Provide and install (</t>
    </r>
    <r>
      <rPr>
        <b/>
        <sz val="10"/>
        <color rgb="FFFF0000"/>
        <rFont val="Calibri"/>
        <family val="2"/>
      </rPr>
      <t>QTY</t>
    </r>
    <r>
      <rPr>
        <sz val="10"/>
        <rFont val="Calibri"/>
        <family val="2"/>
      </rPr>
      <t>) half switched receptacle outlets per plans.</t>
    </r>
  </si>
  <si>
    <r>
      <t>Provide and install (</t>
    </r>
    <r>
      <rPr>
        <b/>
        <sz val="10"/>
        <color rgb="FFFF0000"/>
        <rFont val="Calibri"/>
        <family val="2"/>
      </rPr>
      <t>QTY</t>
    </r>
    <r>
      <rPr>
        <sz val="10"/>
        <rFont val="Calibri"/>
        <family val="2"/>
      </rPr>
      <t>) Bath GFI receptacle outlets per plans.</t>
    </r>
  </si>
  <si>
    <r>
      <t>Provide and install (</t>
    </r>
    <r>
      <rPr>
        <b/>
        <sz val="10"/>
        <color rgb="FFFF0000"/>
        <rFont val="Calibri"/>
        <family val="2"/>
      </rPr>
      <t>QTY</t>
    </r>
    <r>
      <rPr>
        <sz val="10"/>
        <rFont val="Calibri"/>
        <family val="2"/>
      </rPr>
      <t>) general duty GFI receptacle outlets per plans.</t>
    </r>
  </si>
  <si>
    <r>
      <t>Provide and install (</t>
    </r>
    <r>
      <rPr>
        <b/>
        <sz val="10"/>
        <color rgb="FFFF0000"/>
        <rFont val="Calibri"/>
        <family val="2"/>
      </rPr>
      <t>QTY</t>
    </r>
    <r>
      <rPr>
        <sz val="10"/>
        <rFont val="Calibri"/>
        <family val="2"/>
      </rPr>
      <t>) weatherproof GFI receptacle outlets per plans.</t>
    </r>
  </si>
  <si>
    <r>
      <t>Provide and install (</t>
    </r>
    <r>
      <rPr>
        <b/>
        <sz val="10"/>
        <color rgb="FFFF0000"/>
        <rFont val="Calibri"/>
        <family val="2"/>
      </rPr>
      <t>QTY</t>
    </r>
    <r>
      <rPr>
        <sz val="10"/>
        <rFont val="Calibri"/>
        <family val="2"/>
      </rPr>
      <t>) garage door opener outlets.  Sensors and push buttons by others.</t>
    </r>
  </si>
  <si>
    <r>
      <t>Provide and install (</t>
    </r>
    <r>
      <rPr>
        <b/>
        <sz val="10"/>
        <color rgb="FFFF0000"/>
        <rFont val="Calibri"/>
        <family val="2"/>
      </rPr>
      <t>QTY</t>
    </r>
    <r>
      <rPr>
        <sz val="10"/>
        <rFont val="Calibri"/>
        <family val="2"/>
      </rPr>
      <t>) recessed 120 volt outlet for flat screen TV (supplied and installed by others).</t>
    </r>
  </si>
  <si>
    <r>
      <t>Provide and install (</t>
    </r>
    <r>
      <rPr>
        <b/>
        <sz val="10"/>
        <color rgb="FFFF0000"/>
        <rFont val="Calibri"/>
        <family val="2"/>
      </rPr>
      <t>QTY</t>
    </r>
    <r>
      <rPr>
        <sz val="10"/>
        <rFont val="Calibri"/>
        <family val="2"/>
      </rPr>
      <t>)  120 volt dedicated appliance outlet and connection per plans.</t>
    </r>
  </si>
  <si>
    <r>
      <t>Provide and install (</t>
    </r>
    <r>
      <rPr>
        <b/>
        <sz val="10"/>
        <color rgb="FFFF0000"/>
        <rFont val="Calibri"/>
        <family val="2"/>
      </rPr>
      <t>QTY</t>
    </r>
    <r>
      <rPr>
        <sz val="10"/>
        <rFont val="Calibri"/>
        <family val="2"/>
      </rPr>
      <t xml:space="preserve">) 240 volt 30 amp dedicated appliance outlet </t>
    </r>
  </si>
  <si>
    <r>
      <t>Provide and install (</t>
    </r>
    <r>
      <rPr>
        <b/>
        <sz val="10"/>
        <color rgb="FFFF0000"/>
        <rFont val="Calibri"/>
        <family val="2"/>
      </rPr>
      <t>QTY</t>
    </r>
    <r>
      <rPr>
        <sz val="10"/>
        <rFont val="Calibri"/>
        <family val="2"/>
      </rPr>
      <t xml:space="preserve">) 240 volt 50 amp dedicated appliance outlet </t>
    </r>
  </si>
  <si>
    <r>
      <t>Provide and install (</t>
    </r>
    <r>
      <rPr>
        <b/>
        <sz val="10"/>
        <color rgb="FFFF0000"/>
        <rFont val="Calibri"/>
        <family val="2"/>
      </rPr>
      <t>QTY</t>
    </r>
    <r>
      <rPr>
        <sz val="10"/>
        <rFont val="Calibri"/>
        <family val="2"/>
      </rPr>
      <t>)  floor outlets with 15 amp 120 volt circuit</t>
    </r>
  </si>
  <si>
    <r>
      <t>Provide and install (</t>
    </r>
    <r>
      <rPr>
        <b/>
        <sz val="10"/>
        <color rgb="FFFF0000"/>
        <rFont val="Calibri"/>
        <family val="2"/>
      </rPr>
      <t>QTY</t>
    </r>
    <r>
      <rPr>
        <sz val="10"/>
        <rFont val="Calibri"/>
        <family val="2"/>
      </rPr>
      <t>) 2 gang floor outlets Power/Data per plans.</t>
    </r>
  </si>
  <si>
    <r>
      <t>(</t>
    </r>
    <r>
      <rPr>
        <b/>
        <sz val="10"/>
        <color rgb="FFFF0000"/>
        <rFont val="Calibri"/>
        <family val="2"/>
      </rPr>
      <t>QTY</t>
    </r>
    <r>
      <rPr>
        <sz val="10"/>
        <rFont val="Calibri"/>
        <family val="2"/>
      </rPr>
      <t>)  dedicated receptacles for Central vacuum systems</t>
    </r>
  </si>
  <si>
    <t xml:space="preserve">Receptacles / Outlets installed in baseboard </t>
  </si>
  <si>
    <t>Mechanicals</t>
  </si>
  <si>
    <r>
      <t>Provide wiring and connection for(</t>
    </r>
    <r>
      <rPr>
        <b/>
        <sz val="10"/>
        <color rgb="FFFF0000"/>
        <rFont val="Calibri"/>
        <family val="2"/>
      </rPr>
      <t>QTY</t>
    </r>
    <r>
      <rPr>
        <sz val="10"/>
        <rFont val="Calibri"/>
        <family val="2"/>
      </rPr>
      <t>) air handler units per plans.</t>
    </r>
  </si>
  <si>
    <r>
      <t>Provide wiring and connection for (</t>
    </r>
    <r>
      <rPr>
        <b/>
        <sz val="10"/>
        <color rgb="FFFF0000"/>
        <rFont val="Calibri"/>
        <family val="2"/>
      </rPr>
      <t>QTY</t>
    </r>
    <r>
      <rPr>
        <sz val="10"/>
        <rFont val="Calibri"/>
        <family val="2"/>
      </rPr>
      <t>) Cooling Tower per plans.</t>
    </r>
  </si>
  <si>
    <r>
      <rPr>
        <sz val="10"/>
        <color rgb="FF000000"/>
        <rFont val="Calibri"/>
        <family val="2"/>
      </rPr>
      <t>Provide wiring and connection for (</t>
    </r>
    <r>
      <rPr>
        <b/>
        <sz val="10"/>
        <color rgb="FFFF0000"/>
        <rFont val="Calibri"/>
        <family val="2"/>
      </rPr>
      <t>QTY</t>
    </r>
    <r>
      <rPr>
        <sz val="10"/>
        <color rgb="FF000000"/>
        <rFont val="Calibri"/>
        <family val="2"/>
      </rPr>
      <t>) bath exhaust fans and remote dampers per plans.</t>
    </r>
  </si>
  <si>
    <r>
      <rPr>
        <sz val="10"/>
        <color rgb="FF000000"/>
        <rFont val="Calibri"/>
        <family val="2"/>
      </rPr>
      <t>Provide wiring and connection for (</t>
    </r>
    <r>
      <rPr>
        <b/>
        <sz val="10"/>
        <color rgb="FFFF0000"/>
        <rFont val="Calibri"/>
        <family val="2"/>
      </rPr>
      <t>QTY</t>
    </r>
    <r>
      <rPr>
        <sz val="10"/>
        <color rgb="FF000000"/>
        <rFont val="Calibri"/>
        <family val="2"/>
      </rPr>
      <t>) in-line bath exhaust fans and remote dampers per plans.</t>
    </r>
  </si>
  <si>
    <t>Provide wiring and connection for 208 volt 3 phase circulating pumps per plans.</t>
  </si>
  <si>
    <r>
      <t>Provide 120 volt GFI outlet and connection for (</t>
    </r>
    <r>
      <rPr>
        <b/>
        <sz val="10"/>
        <color rgb="FFFF0000"/>
        <rFont val="Calibri"/>
        <family val="2"/>
      </rPr>
      <t>QTY</t>
    </r>
    <r>
      <rPr>
        <sz val="10"/>
        <rFont val="Calibri"/>
        <family val="2"/>
      </rPr>
      <t>)  gas water heaters igniter per plans.</t>
    </r>
  </si>
  <si>
    <r>
      <t>Provide wiring and connection for (</t>
    </r>
    <r>
      <rPr>
        <b/>
        <sz val="10"/>
        <color rgb="FFFF0000"/>
        <rFont val="Calibri"/>
        <family val="2"/>
      </rPr>
      <t>QTY</t>
    </r>
    <r>
      <rPr>
        <sz val="10"/>
        <rFont val="Calibri"/>
        <family val="2"/>
      </rPr>
      <t>)  120 volt Hot water recirculating pumps per plans.</t>
    </r>
  </si>
  <si>
    <r>
      <rPr>
        <sz val="10"/>
        <color rgb="FF000000"/>
        <rFont val="Calibri"/>
        <family val="2"/>
      </rPr>
      <t>Provide wiring and connection for (</t>
    </r>
    <r>
      <rPr>
        <b/>
        <sz val="10"/>
        <color rgb="FFFF0000"/>
        <rFont val="Calibri"/>
        <family val="2"/>
      </rPr>
      <t>QTY</t>
    </r>
    <r>
      <rPr>
        <sz val="10"/>
        <color rgb="FF000000"/>
        <rFont val="Calibri"/>
        <family val="2"/>
      </rPr>
      <t>) range hood remote blower and remote damper per plans.</t>
    </r>
  </si>
  <si>
    <r>
      <t>Provide wiring and connection for (</t>
    </r>
    <r>
      <rPr>
        <b/>
        <sz val="10"/>
        <color rgb="FFFF0000"/>
        <rFont val="Calibri"/>
        <family val="2"/>
      </rPr>
      <t>QTY</t>
    </r>
    <r>
      <rPr>
        <sz val="10"/>
        <rFont val="Calibri"/>
        <family val="2"/>
      </rPr>
      <t>) elevator equipment per plans.</t>
    </r>
  </si>
  <si>
    <t>Provide wiring and connection for elevator Pit light, receptacle and switch.</t>
  </si>
  <si>
    <t>Provide wiring and connection for irrigation well pump</t>
  </si>
  <si>
    <t>Provide wiring and connection for water filtration system</t>
  </si>
  <si>
    <t>Provide wiring and connection for lift station</t>
  </si>
  <si>
    <t xml:space="preserve">Provide wiring and connection for irrigation time clock </t>
  </si>
  <si>
    <t>Exhaust fan and thermostat in pool equipment bunker</t>
  </si>
  <si>
    <t>Provided wiring &amp; connection to HVAC heat strips</t>
  </si>
  <si>
    <t>Install back boxes and ½” conduits stubs w 18-8 free air cabling, at each T-Stat location (as indicated on the plans &amp; specs).</t>
  </si>
  <si>
    <t>Heated floors</t>
  </si>
  <si>
    <t>Pools &amp; Water Features</t>
  </si>
  <si>
    <r>
      <t>Provide wiring and connection for (</t>
    </r>
    <r>
      <rPr>
        <b/>
        <sz val="10"/>
        <color rgb="FFFF0000"/>
        <rFont val="Calibri"/>
        <family val="2"/>
      </rPr>
      <t>QTY</t>
    </r>
    <r>
      <rPr>
        <sz val="10"/>
        <rFont val="Calibri"/>
        <family val="2"/>
      </rPr>
      <t>) pool pumps.</t>
    </r>
  </si>
  <si>
    <r>
      <t>Provide wiring and connection for (</t>
    </r>
    <r>
      <rPr>
        <b/>
        <sz val="10"/>
        <color rgb="FFFF0000"/>
        <rFont val="Calibri"/>
        <family val="2"/>
      </rPr>
      <t>QTY</t>
    </r>
    <r>
      <rPr>
        <sz val="10"/>
        <rFont val="Calibri"/>
        <family val="2"/>
      </rPr>
      <t>) pool heater</t>
    </r>
  </si>
  <si>
    <t>Install and connection for pool control panel (Jandy)</t>
  </si>
  <si>
    <t>Provide and install pool bonding of all pool steel, pool deck, equipment, metal handrails and ladders and any adjacent metal and equipotential ground</t>
  </si>
  <si>
    <t>Provide and install pool light transformers, deck boxes, and high voltage connections</t>
  </si>
  <si>
    <t>Provide power for pool chiller</t>
  </si>
  <si>
    <t>Low Voltage Systems</t>
  </si>
  <si>
    <r>
      <t>Provide Cat5 wires for phone/data to (</t>
    </r>
    <r>
      <rPr>
        <b/>
        <sz val="10"/>
        <color rgb="FFFF0000"/>
        <rFont val="Calibri"/>
        <family val="2"/>
      </rPr>
      <t>QTY</t>
    </r>
    <r>
      <rPr>
        <sz val="10"/>
        <rFont val="Calibri"/>
        <family val="2"/>
      </rPr>
      <t>) locations shown on the plans</t>
    </r>
  </si>
  <si>
    <r>
      <t>Provide RG6 cable to (</t>
    </r>
    <r>
      <rPr>
        <b/>
        <sz val="10"/>
        <color rgb="FFFF0000"/>
        <rFont val="Calibri"/>
        <family val="2"/>
      </rPr>
      <t>QTY</t>
    </r>
    <r>
      <rPr>
        <sz val="10"/>
        <rFont val="Calibri"/>
        <family val="2"/>
      </rPr>
      <t>) lTV locations shown on plans</t>
    </r>
  </si>
  <si>
    <t xml:space="preserve">Provide and install 2" PVC underground conduits for incoming phone / TV service cables.  </t>
  </si>
  <si>
    <t>Provide power for security panel</t>
  </si>
  <si>
    <t>Provide wiring and power to (QTY) Wireless Access Points (WAP)</t>
  </si>
  <si>
    <t xml:space="preserve">Provide wiring and power to (QTY) Speakers and (QTY) Subwoofers </t>
  </si>
  <si>
    <t>Motorized Shade 120v outlets (interior shades and exterior hurricane shutters)</t>
  </si>
  <si>
    <t>Temporary Construction Power BUDGET / ALLOWANCE</t>
  </si>
  <si>
    <r>
      <t xml:space="preserve">Provide and install </t>
    </r>
    <r>
      <rPr>
        <b/>
        <sz val="10"/>
        <color rgb="FFFF0000"/>
        <rFont val="Calibri"/>
        <family val="2"/>
      </rPr>
      <t>#</t>
    </r>
    <r>
      <rPr>
        <sz val="10"/>
        <rFont val="Calibri"/>
        <family val="2"/>
      </rPr>
      <t xml:space="preserve"> Amp underground  conduit and wire from existing FPL pole </t>
    </r>
  </si>
  <si>
    <r>
      <t xml:space="preserve">Provide and install </t>
    </r>
    <r>
      <rPr>
        <b/>
        <sz val="10"/>
        <color rgb="FFFF0000"/>
        <rFont val="Calibri"/>
        <family val="2"/>
      </rPr>
      <t>#</t>
    </r>
    <r>
      <rPr>
        <sz val="10"/>
        <rFont val="Calibri"/>
        <family val="2"/>
      </rPr>
      <t xml:space="preserve"> Amp temporary power pole </t>
    </r>
  </si>
  <si>
    <r>
      <t>Provide and install 60 Amp cord connected spider boxes with (</t>
    </r>
    <r>
      <rPr>
        <b/>
        <sz val="10"/>
        <color rgb="FFFF0000"/>
        <rFont val="Calibri"/>
        <family val="2"/>
      </rPr>
      <t>QTY</t>
    </r>
    <r>
      <rPr>
        <sz val="10"/>
        <rFont val="Calibri"/>
        <family val="2"/>
      </rPr>
      <t>) 120 volt GFI outlets and (</t>
    </r>
    <r>
      <rPr>
        <b/>
        <sz val="10"/>
        <color rgb="FFFF0000"/>
        <rFont val="Calibri"/>
        <family val="2"/>
      </rPr>
      <t>QTY</t>
    </r>
    <r>
      <rPr>
        <sz val="10"/>
        <rFont val="Calibri"/>
        <family val="2"/>
      </rPr>
      <t>) 250 Volt 30 A</t>
    </r>
  </si>
  <si>
    <t>Provide and install temporary lighting.</t>
  </si>
  <si>
    <t>Provide wiring and connection for temp A/C units.</t>
  </si>
  <si>
    <r>
      <t xml:space="preserve">Temporary power panels located in </t>
    </r>
    <r>
      <rPr>
        <b/>
        <sz val="10"/>
        <color rgb="FFFF0000"/>
        <rFont val="Calibri"/>
        <family val="2"/>
      </rPr>
      <t xml:space="preserve">LIST LOCATIONS </t>
    </r>
  </si>
  <si>
    <t xml:space="preserve">Landscape Lighting Fixtures </t>
  </si>
  <si>
    <t>Future Landscape WP junction boxes, with 120 volt Lighting Control System addresses included.</t>
  </si>
  <si>
    <t>Miscellaneous</t>
  </si>
  <si>
    <t>Provide and install fire alarm control panel per plans. High Voltage system</t>
  </si>
  <si>
    <t>Provide and install 120 volt smoke/CO detectors per plans.</t>
  </si>
  <si>
    <t>Low Voltage fire alarm system excluded</t>
  </si>
  <si>
    <t>Provide wiring and install for Car Charger outlet per plans.</t>
  </si>
  <si>
    <t>Provide wiring and install powder pedestal and dock/seawall</t>
  </si>
  <si>
    <t>Provide wiring and weather proof junction box for Gate motor per plans.</t>
  </si>
  <si>
    <t>Provide and install weather proof junction box w/conduit with pull string for LV control to future Gate</t>
  </si>
  <si>
    <t>Provide and install power to outdoor kitchen/ BBQ igniter</t>
  </si>
  <si>
    <t>Lutron Homeworks / Crestron Lighting Control system - ALLOWANCE</t>
  </si>
  <si>
    <t>Conduit &amp; control wiring for garage doors</t>
  </si>
  <si>
    <t>Chandelier Lifts &amp; Cabling</t>
  </si>
  <si>
    <t>High-voltage &amp; LV backbone per electrical site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</si>
</sst>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8" formatCode="&quot;$&quot;#,##0.00_);[Red]\(&quot;$&quot;#,##0.00\)"/>
    <numFmt numFmtId="44" formatCode="_(&quot;$&quot;* #,##0.00_);_(&quot;$&quot;* \(#,##0.00\);_(&quot;$&quot;* &quot;-&quot;??_);_(@_)"/>
    <numFmt numFmtId="164" formatCode="#."/>
    <numFmt numFmtId="165" formatCode="&quot;$&quot;#,##0.00"/>
    <numFmt numFmtId="166" formatCode="_([$$-409]* #,##0.00_);_([$$-409]* \(#,##0.00\);_([$$-409]* &quot;-&quot;??_);_(@_)"/>
  </numFmts>
  <fonts count="106" x14ac:knownFonts="1">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4"/>
      <name val="Calibri"/>
      <family val="2"/>
      <scheme val="minor"/>
    </font>
    <font>
      <sz val="9"/>
      <color theme="1"/>
      <name val="Calibri"/>
      <family val="2"/>
      <scheme val="minor"/>
    </font>
    <font>
      <sz val="11"/>
      <color theme="1"/>
      <name val="Calibri"/>
      <family val="2"/>
      <scheme val="minor"/>
    </font>
    <font>
      <b/>
      <sz val="11"/>
      <color theme="1"/>
      <name val="Calibri"/>
      <family val="2"/>
      <scheme val="minor"/>
    </font>
    <font>
      <b/>
      <sz val="12"/>
      <color rgb="FFFF0000"/>
      <name val="Calibri"/>
      <family val="2"/>
      <scheme val="minor"/>
    </font>
    <font>
      <sz val="9"/>
      <name val="Calibri"/>
      <family val="2"/>
      <scheme val="minor"/>
    </font>
    <font>
      <sz val="12"/>
      <name val="Calibri"/>
      <family val="2"/>
      <scheme val="minor"/>
    </font>
    <font>
      <b/>
      <sz val="16"/>
      <name val="Calibri"/>
      <family val="2"/>
      <scheme val="minor"/>
    </font>
    <font>
      <b/>
      <sz val="10"/>
      <name val="Calibri"/>
      <family val="2"/>
      <scheme val="minor"/>
    </font>
    <font>
      <b/>
      <sz val="12"/>
      <name val="Calibri"/>
      <family val="2"/>
      <scheme val="minor"/>
    </font>
    <font>
      <b/>
      <sz val="8"/>
      <name val="Calibri"/>
      <family val="2"/>
      <scheme val="minor"/>
    </font>
    <font>
      <sz val="10"/>
      <name val="Calibri"/>
      <family val="2"/>
      <scheme val="minor"/>
    </font>
    <font>
      <sz val="10"/>
      <color theme="1"/>
      <name val="Calibri"/>
      <family val="2"/>
      <scheme val="minor"/>
    </font>
    <font>
      <sz val="10"/>
      <color rgb="FFFF0000"/>
      <name val="Calibri"/>
      <family val="2"/>
      <scheme val="minor"/>
    </font>
    <font>
      <sz val="10"/>
      <color theme="0" tint="-0.499984740745262"/>
      <name val="Calibri"/>
      <family val="2"/>
      <scheme val="minor"/>
    </font>
    <font>
      <b/>
      <sz val="11"/>
      <name val="Calibri"/>
      <family val="2"/>
      <scheme val="minor"/>
    </font>
    <font>
      <u/>
      <sz val="10"/>
      <color theme="1"/>
      <name val="Calibri"/>
      <family val="2"/>
      <scheme val="minor"/>
    </font>
    <font>
      <b/>
      <sz val="10"/>
      <color theme="1"/>
      <name val="Calibri"/>
      <family val="2"/>
      <scheme val="minor"/>
    </font>
    <font>
      <i/>
      <sz val="10"/>
      <color rgb="FF7030A0"/>
      <name val="Calibri"/>
      <family val="2"/>
      <scheme val="minor"/>
    </font>
    <font>
      <i/>
      <sz val="10"/>
      <color rgb="FF00B0F0"/>
      <name val="Calibri"/>
      <family val="2"/>
      <scheme val="minor"/>
    </font>
    <font>
      <sz val="11"/>
      <name val="Calibri"/>
      <family val="2"/>
      <scheme val="minor"/>
    </font>
    <font>
      <sz val="8"/>
      <name val="Calibri"/>
      <family val="2"/>
      <scheme val="minor"/>
    </font>
    <font>
      <sz val="8"/>
      <color theme="1"/>
      <name val="Calibri"/>
      <family val="2"/>
      <scheme val="minor"/>
    </font>
    <font>
      <sz val="10"/>
      <color rgb="FF000000"/>
      <name val="Calibri"/>
      <family val="2"/>
      <scheme val="minor"/>
    </font>
    <font>
      <b/>
      <sz val="12"/>
      <color rgb="FFFF0000"/>
      <name val="Calibri"/>
      <family val="2"/>
    </font>
    <font>
      <b/>
      <sz val="16"/>
      <name val="Calibri"/>
      <family val="2"/>
    </font>
    <font>
      <b/>
      <sz val="10"/>
      <name val="Calibri"/>
      <family val="2"/>
    </font>
    <font>
      <sz val="10"/>
      <name val="Calibri"/>
      <family val="2"/>
    </font>
    <font>
      <sz val="12"/>
      <name val="Calibri"/>
      <family val="2"/>
    </font>
    <font>
      <sz val="11"/>
      <color rgb="FF000000"/>
      <name val="Calibri"/>
      <family val="2"/>
    </font>
    <font>
      <b/>
      <sz val="10"/>
      <color rgb="FFFF0000"/>
      <name val="Calibri"/>
      <family val="2"/>
    </font>
    <font>
      <b/>
      <sz val="11"/>
      <name val="Calibri"/>
      <family val="2"/>
    </font>
    <font>
      <b/>
      <sz val="12"/>
      <name val="Calibri"/>
      <family val="2"/>
    </font>
    <font>
      <sz val="9"/>
      <name val="Calibri"/>
      <family val="2"/>
    </font>
    <font>
      <b/>
      <sz val="8"/>
      <name val="Calibri"/>
      <family val="2"/>
    </font>
    <font>
      <sz val="10"/>
      <color rgb="FFFF0000"/>
      <name val="Calibri"/>
      <family val="2"/>
    </font>
    <font>
      <sz val="10"/>
      <color rgb="FF000000"/>
      <name val="Calibri"/>
      <family val="2"/>
    </font>
    <font>
      <b/>
      <sz val="10"/>
      <color rgb="FF000000"/>
      <name val="Calibri"/>
      <family val="2"/>
    </font>
    <font>
      <sz val="11"/>
      <color rgb="FF000000"/>
      <name val="Aptos Narrow"/>
      <family val="2"/>
    </font>
    <font>
      <b/>
      <sz val="12"/>
      <color rgb="FF000000"/>
      <name val="Calibri"/>
      <family val="2"/>
      <scheme val="minor"/>
    </font>
    <font>
      <sz val="10"/>
      <color rgb="FF7030A0"/>
      <name val="Calibri"/>
      <family val="2"/>
      <scheme val="minor"/>
    </font>
    <font>
      <b/>
      <sz val="10"/>
      <color rgb="FFFF0000"/>
      <name val="Calibri"/>
      <family val="2"/>
      <scheme val="minor"/>
    </font>
    <font>
      <b/>
      <sz val="9"/>
      <name val="Calibri"/>
      <family val="2"/>
    </font>
    <font>
      <b/>
      <sz val="10"/>
      <color rgb="FF000000"/>
      <name val="Calibri"/>
      <family val="2"/>
      <scheme val="minor"/>
    </font>
    <font>
      <sz val="10"/>
      <color rgb="FF343739"/>
      <name val="Calibri"/>
      <family val="2"/>
      <scheme val="minor"/>
    </font>
    <font>
      <sz val="10"/>
      <color theme="1"/>
      <name val="Calibri Light"/>
      <family val="2"/>
      <scheme val="major"/>
    </font>
    <font>
      <sz val="10"/>
      <color rgb="FF000000"/>
      <name val="Arial"/>
      <family val="2"/>
    </font>
    <font>
      <sz val="10"/>
      <color rgb="FFFF0000"/>
      <name val="Arial"/>
      <family val="2"/>
    </font>
    <font>
      <sz val="11"/>
      <color rgb="FFFF0000"/>
      <name val="Calibri"/>
      <family val="2"/>
    </font>
    <font>
      <sz val="11"/>
      <color rgb="FFFF0000"/>
      <name val="Calibri"/>
      <family val="2"/>
      <scheme val="minor"/>
    </font>
    <font>
      <sz val="11"/>
      <color rgb="FF000000"/>
      <name val="Calibri"/>
      <family val="2"/>
      <scheme val="minor"/>
    </font>
    <font>
      <sz val="10"/>
      <name val="Arial"/>
      <family val="2"/>
    </font>
    <font>
      <sz val="11"/>
      <color rgb="FFFF0000"/>
      <name val="Calibri"/>
      <family val="2"/>
      <scheme val="minor"/>
    </font>
    <font>
      <sz val="10"/>
      <color theme="1"/>
      <name val="Calibri"/>
      <family val="2"/>
    </font>
    <font>
      <b/>
      <u/>
      <sz val="10"/>
      <color rgb="FFFF0000"/>
      <name val="Calibri"/>
      <family val="2"/>
    </font>
    <font>
      <sz val="11"/>
      <name val="Calibri"/>
      <family val="2"/>
    </font>
    <font>
      <b/>
      <i/>
      <sz val="8"/>
      <name val="Calibri"/>
      <family val="2"/>
    </font>
    <font>
      <i/>
      <sz val="10"/>
      <color rgb="FF000000"/>
      <name val="Calibri"/>
      <family val="2"/>
    </font>
    <font>
      <b/>
      <i/>
      <sz val="10"/>
      <color rgb="FFFF0000"/>
      <name val="Calibri"/>
      <family val="2"/>
    </font>
    <font>
      <b/>
      <sz val="16"/>
      <color rgb="FF000000"/>
      <name val="Calibri"/>
      <family val="2"/>
      <scheme val="minor"/>
    </font>
    <font>
      <b/>
      <u/>
      <sz val="11"/>
      <name val="Calibri"/>
      <family val="2"/>
    </font>
    <font>
      <sz val="10"/>
      <color rgb="FF000000"/>
      <name val="Calibri"/>
    </font>
    <font>
      <u/>
      <sz val="11"/>
      <color theme="10"/>
      <name val="Calibri"/>
      <family val="2"/>
      <scheme val="minor"/>
    </font>
    <font>
      <b/>
      <sz val="10"/>
      <color rgb="FF000000"/>
      <name val="Calibri"/>
    </font>
    <font>
      <sz val="12"/>
      <color rgb="FF000000"/>
      <name val="Calibri"/>
    </font>
    <font>
      <u/>
      <sz val="10"/>
      <color theme="10"/>
      <name val="Calibri"/>
      <family val="2"/>
      <scheme val="minor"/>
    </font>
    <font>
      <sz val="10"/>
      <color rgb="FF000000"/>
      <name val="Calibri"/>
      <scheme val="minor"/>
    </font>
    <font>
      <sz val="10"/>
      <color rgb="FF000000"/>
      <name val="Aptos Narrow"/>
    </font>
    <font>
      <u/>
      <sz val="12"/>
      <color theme="10"/>
      <name val="Calibri"/>
      <family val="2"/>
      <scheme val="minor"/>
    </font>
    <font>
      <sz val="12"/>
      <color rgb="FF000000"/>
      <name val="Aptos Narrow"/>
    </font>
    <font>
      <sz val="10"/>
      <color rgb="FF000000"/>
      <name val="Aptos Narrow"/>
      <family val="2"/>
    </font>
    <font>
      <sz val="12"/>
      <color rgb="FF000000"/>
      <name val="Calibri"/>
      <scheme val="minor"/>
    </font>
    <font>
      <sz val="10"/>
      <color theme="1"/>
      <name val="Aptos Narrow"/>
    </font>
    <font>
      <u/>
      <sz val="12"/>
      <color rgb="FF000000"/>
      <name val="Calibri"/>
      <family val="2"/>
      <scheme val="minor"/>
    </font>
    <font>
      <sz val="10"/>
      <color theme="1"/>
      <name val="Calibri"/>
      <scheme val="minor"/>
    </font>
    <font>
      <sz val="10"/>
      <color rgb="FF232729"/>
      <name val="Calibri"/>
    </font>
    <font>
      <sz val="10"/>
      <color rgb="FF232729"/>
      <name val="Calibri"/>
      <scheme val="minor"/>
    </font>
    <font>
      <u/>
      <sz val="10"/>
      <color theme="10"/>
      <name val="Calibri"/>
      <scheme val="minor"/>
    </font>
    <font>
      <strike/>
      <sz val="10"/>
      <color rgb="FF000000"/>
      <name val="Calibri"/>
      <scheme val="minor"/>
    </font>
    <font>
      <strike/>
      <sz val="12"/>
      <color rgb="FF000000"/>
      <name val="Calibri"/>
    </font>
    <font>
      <strike/>
      <u/>
      <sz val="12"/>
      <color theme="10"/>
      <name val="Calibri"/>
      <family val="2"/>
      <scheme val="minor"/>
    </font>
    <font>
      <strike/>
      <sz val="10"/>
      <color rgb="FF000000"/>
      <name val="Calibri"/>
    </font>
    <font>
      <sz val="10"/>
      <color theme="1"/>
      <name val="Calibri"/>
    </font>
    <font>
      <b/>
      <sz val="10"/>
      <color theme="1"/>
      <name val="Calibri"/>
      <family val="2"/>
    </font>
    <font>
      <b/>
      <sz val="10"/>
      <color rgb="FF000000"/>
      <name val="Calibri"/>
      <scheme val="minor"/>
    </font>
    <font>
      <sz val="10"/>
      <color rgb="FF000000"/>
      <name val="Calibri"/>
      <charset val="1"/>
    </font>
    <font>
      <u/>
      <sz val="10"/>
      <color rgb="FF000000"/>
      <name val="Calibri"/>
      <family val="2"/>
    </font>
    <font>
      <b/>
      <i/>
      <sz val="10"/>
      <name val="Calibri"/>
      <family val="2"/>
      <scheme val="minor"/>
    </font>
    <font>
      <i/>
      <sz val="10"/>
      <name val="Calibri"/>
      <family val="2"/>
      <scheme val="minor"/>
    </font>
    <font>
      <b/>
      <sz val="10"/>
      <name val="Calibri"/>
    </font>
    <font>
      <b/>
      <sz val="12"/>
      <color rgb="FFFF0000"/>
      <name val="Calibri"/>
    </font>
    <font>
      <sz val="10"/>
      <name val="Calibri"/>
    </font>
    <font>
      <sz val="10"/>
      <color rgb="FFFF0000"/>
      <name val="Calibri"/>
    </font>
    <font>
      <b/>
      <sz val="10"/>
      <color rgb="FFFF0000"/>
      <name val="Calibri"/>
      <scheme val="minor"/>
    </font>
    <font>
      <b/>
      <sz val="12"/>
      <name val="Calibri"/>
    </font>
    <font>
      <b/>
      <u/>
      <sz val="10"/>
      <name val="Calibri"/>
      <family val="2"/>
    </font>
    <font>
      <sz val="11"/>
      <color theme="1"/>
      <name val="Calibri"/>
    </font>
    <font>
      <b/>
      <sz val="10"/>
      <color theme="1"/>
      <name val="Calibri"/>
    </font>
    <font>
      <b/>
      <sz val="11"/>
      <color theme="1"/>
      <name val="Calibri"/>
    </font>
    <font>
      <b/>
      <sz val="10"/>
      <color rgb="FFFF0000"/>
      <name val="Calibri"/>
    </font>
    <font>
      <sz val="9"/>
      <name val="Calibri"/>
    </font>
    <font>
      <sz val="10"/>
      <color rgb="FFFF0000"/>
      <name val="Calibri"/>
      <scheme val="minor"/>
    </font>
  </fonts>
  <fills count="1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FFFF"/>
        <bgColor rgb="FF000000"/>
      </patternFill>
    </fill>
    <fill>
      <patternFill patternType="solid">
        <fgColor rgb="FFF2F2F2"/>
        <bgColor rgb="FF000000"/>
      </patternFill>
    </fill>
    <fill>
      <patternFill patternType="solid">
        <fgColor theme="0"/>
        <bgColor indexed="64"/>
      </patternFill>
    </fill>
    <fill>
      <patternFill patternType="solid">
        <fgColor rgb="FFFFF2CC"/>
        <bgColor rgb="FF000000"/>
      </patternFill>
    </fill>
    <fill>
      <patternFill patternType="solid">
        <fgColor theme="4" tint="0.39997558519241921"/>
        <bgColor indexed="64"/>
      </patternFill>
    </fill>
    <fill>
      <patternFill patternType="solid">
        <fgColor rgb="FF9BC2E6"/>
        <bgColor rgb="FF000000"/>
      </patternFill>
    </fill>
    <fill>
      <patternFill patternType="solid">
        <fgColor rgb="FFFFFF00"/>
        <bgColor indexed="64"/>
      </patternFill>
    </fill>
    <fill>
      <patternFill patternType="solid">
        <fgColor theme="7"/>
        <bgColor indexed="64"/>
      </patternFill>
    </fill>
  </fills>
  <borders count="1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808080"/>
      </left>
      <right style="thin">
        <color rgb="FF808080"/>
      </right>
      <top/>
      <bottom style="thin">
        <color rgb="FF808080"/>
      </bottom>
      <diagonal/>
    </border>
    <border>
      <left style="thin">
        <color rgb="FF808080"/>
      </left>
      <right/>
      <top style="thin">
        <color rgb="FF808080"/>
      </top>
      <bottom/>
      <diagonal/>
    </border>
    <border>
      <left style="thin">
        <color rgb="FF808080"/>
      </left>
      <right/>
      <top/>
      <bottom/>
      <diagonal/>
    </border>
    <border>
      <left style="thin">
        <color rgb="FF808080"/>
      </left>
      <right/>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style="thin">
        <color rgb="FF808080"/>
      </right>
      <top style="thin">
        <color rgb="FF808080"/>
      </top>
      <bottom/>
      <diagonal/>
    </border>
    <border>
      <left/>
      <right style="thin">
        <color rgb="FF808080"/>
      </right>
      <top/>
      <bottom/>
      <diagonal/>
    </border>
    <border>
      <left/>
      <right style="thin">
        <color rgb="FF808080"/>
      </right>
      <top/>
      <bottom style="thin">
        <color rgb="FF808080"/>
      </bottom>
      <diagonal/>
    </border>
    <border>
      <left/>
      <right style="thin">
        <color rgb="FF000000"/>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rgb="FF000000"/>
      </right>
      <top/>
      <bottom style="thin">
        <color rgb="FF000000"/>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top style="thin">
        <color rgb="FF808080"/>
      </top>
      <bottom/>
      <diagonal/>
    </border>
    <border>
      <left style="thin">
        <color rgb="FF808080"/>
      </left>
      <right style="thin">
        <color rgb="FF808080"/>
      </right>
      <top style="thin">
        <color rgb="FF808080"/>
      </top>
      <bottom/>
      <diagonal/>
    </border>
    <border>
      <left style="medium">
        <color rgb="FF808080"/>
      </left>
      <right/>
      <top style="medium">
        <color rgb="FF808080"/>
      </top>
      <bottom style="medium">
        <color rgb="FF808080"/>
      </bottom>
      <diagonal/>
    </border>
    <border>
      <left/>
      <right/>
      <top style="medium">
        <color rgb="FF808080"/>
      </top>
      <bottom/>
      <diagonal/>
    </border>
    <border>
      <left/>
      <right/>
      <top/>
      <bottom style="thin">
        <color rgb="FF808080"/>
      </bottom>
      <diagonal/>
    </border>
    <border>
      <left style="thin">
        <color rgb="FF808080"/>
      </left>
      <right style="thin">
        <color indexed="64"/>
      </right>
      <top style="thin">
        <color indexed="64"/>
      </top>
      <bottom/>
      <diagonal/>
    </border>
    <border>
      <left style="thin">
        <color rgb="FF808080"/>
      </left>
      <right style="thin">
        <color indexed="64"/>
      </right>
      <top/>
      <bottom style="thin">
        <color indexed="64"/>
      </bottom>
      <diagonal/>
    </border>
    <border>
      <left style="thin">
        <color theme="2" tint="-0.749961851863155"/>
      </left>
      <right style="thin">
        <color theme="2" tint="-0.749961851863155"/>
      </right>
      <top style="thin">
        <color theme="2" tint="-0.749961851863155"/>
      </top>
      <bottom style="thin">
        <color theme="2" tint="-0.749961851863155"/>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right style="thin">
        <color theme="0" tint="-0.499984740745262"/>
      </right>
      <top/>
      <bottom/>
      <diagonal/>
    </border>
    <border>
      <left/>
      <right style="thin">
        <color theme="0" tint="-0.499984740745262"/>
      </right>
      <top style="thin">
        <color theme="2" tint="-0.749961851863155"/>
      </top>
      <bottom style="thin">
        <color theme="2" tint="-0.749961851863155"/>
      </bottom>
      <diagonal/>
    </border>
    <border>
      <left/>
      <right style="thin">
        <color theme="2" tint="-0.749961851863155"/>
      </right>
      <top style="thin">
        <color theme="2" tint="-0.749961851863155"/>
      </top>
      <bottom style="thin">
        <color theme="2" tint="-0.749961851863155"/>
      </bottom>
      <diagonal/>
    </border>
    <border>
      <left style="thin">
        <color theme="2" tint="-0.749961851863155"/>
      </left>
      <right style="thin">
        <color theme="2" tint="-0.749961851863155"/>
      </right>
      <top style="thin">
        <color theme="2" tint="-0.749961851863155"/>
      </top>
      <bottom/>
      <diagonal/>
    </border>
    <border>
      <left style="thin">
        <color theme="2" tint="-0.749961851863155"/>
      </left>
      <right style="thin">
        <color theme="2" tint="-0.749961851863155"/>
      </right>
      <top/>
      <bottom style="thin">
        <color theme="2" tint="-0.749961851863155"/>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thin">
        <color rgb="FF7F7F7F"/>
      </bottom>
      <diagonal/>
    </border>
    <border>
      <left style="thin">
        <color rgb="FF7F7F7F"/>
      </left>
      <right style="thin">
        <color rgb="FF7F7F7F"/>
      </right>
      <top/>
      <bottom style="thin">
        <color rgb="FF7F7F7F"/>
      </bottom>
      <diagonal/>
    </border>
    <border>
      <left style="thin">
        <color rgb="FF7F7F7F"/>
      </left>
      <right style="thin">
        <color rgb="FF7F7F7F"/>
      </right>
      <top style="thin">
        <color rgb="FF7F7F7F"/>
      </top>
      <bottom style="thin">
        <color rgb="FF000000"/>
      </bottom>
      <diagonal/>
    </border>
    <border>
      <left style="thin">
        <color rgb="FF7F7F7F"/>
      </left>
      <right style="thin">
        <color rgb="FF7F7F7F"/>
      </right>
      <top/>
      <bottom/>
      <diagonal/>
    </border>
    <border>
      <left style="thin">
        <color rgb="FF000000"/>
      </left>
      <right style="thin">
        <color rgb="FF000000"/>
      </right>
      <top/>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top style="thin">
        <color rgb="FF000000"/>
      </top>
      <bottom style="thin">
        <color indexed="64"/>
      </bottom>
      <diagonal/>
    </border>
    <border>
      <left style="thin">
        <color rgb="FF808080"/>
      </left>
      <right style="thin">
        <color rgb="FF808080"/>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style="thin">
        <color rgb="FF808080"/>
      </left>
      <right style="thin">
        <color rgb="FF808080"/>
      </right>
      <top/>
      <bottom/>
      <diagonal/>
    </border>
    <border>
      <left style="thin">
        <color rgb="FF808080"/>
      </left>
      <right/>
      <top style="thin">
        <color rgb="FF000000"/>
      </top>
      <bottom style="thin">
        <color rgb="FF000000"/>
      </bottom>
      <diagonal/>
    </border>
    <border>
      <left style="thin">
        <color theme="0" tint="-0.499984740745262"/>
      </left>
      <right/>
      <top style="thin">
        <color rgb="FF808080"/>
      </top>
      <bottom style="thin">
        <color theme="0" tint="-0.499984740745262"/>
      </bottom>
      <diagonal/>
    </border>
    <border>
      <left/>
      <right style="thin">
        <color theme="0" tint="-0.499984740745262"/>
      </right>
      <top style="thin">
        <color rgb="FF808080"/>
      </top>
      <bottom style="thin">
        <color theme="0" tint="-0.499984740745262"/>
      </bottom>
      <diagonal/>
    </border>
    <border>
      <left style="thin">
        <color rgb="FF808080"/>
      </left>
      <right style="thin">
        <color indexed="64"/>
      </right>
      <top/>
      <bottom/>
      <diagonal/>
    </border>
    <border>
      <left style="thin">
        <color rgb="FF808080"/>
      </left>
      <right/>
      <top/>
      <bottom style="thin">
        <color rgb="FF000000"/>
      </bottom>
      <diagonal/>
    </border>
    <border>
      <left/>
      <right style="thin">
        <color indexed="64"/>
      </right>
      <top/>
      <bottom style="thin">
        <color rgb="FF000000"/>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right style="thin">
        <color rgb="FF7F7F7F"/>
      </right>
      <top/>
      <bottom style="thin">
        <color rgb="FF7F7F7F"/>
      </bottom>
      <diagonal/>
    </border>
    <border>
      <left/>
      <right style="thin">
        <color rgb="FF7F7F7F"/>
      </right>
      <top style="thin">
        <color rgb="FF7F7F7F"/>
      </top>
      <bottom style="thin">
        <color rgb="FF7F7F7F"/>
      </bottom>
      <diagonal/>
    </border>
    <border>
      <left style="thin">
        <color theme="2" tint="-0.749961851863155"/>
      </left>
      <right style="thin">
        <color theme="2" tint="-0.749961851863155"/>
      </right>
      <top/>
      <bottom/>
      <diagonal/>
    </border>
    <border>
      <left/>
      <right style="thin">
        <color rgb="FF7F7F7F"/>
      </right>
      <top style="thin">
        <color rgb="FF7F7F7F"/>
      </top>
      <bottom/>
      <diagonal/>
    </border>
    <border>
      <left/>
      <right/>
      <top/>
      <bottom style="thin">
        <color rgb="FF7F7F7F"/>
      </bottom>
      <diagonal/>
    </border>
    <border>
      <left/>
      <right style="medium">
        <color rgb="FF808080"/>
      </right>
      <top style="medium">
        <color rgb="FF808080"/>
      </top>
      <bottom/>
      <diagonal/>
    </border>
    <border>
      <left style="medium">
        <color rgb="FF808080"/>
      </left>
      <right style="medium">
        <color rgb="FF808080"/>
      </right>
      <top style="medium">
        <color rgb="FF808080"/>
      </top>
      <bottom/>
      <diagonal/>
    </border>
    <border>
      <left style="medium">
        <color rgb="FF808080"/>
      </left>
      <right style="medium">
        <color rgb="FF80808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808080"/>
      </left>
      <right/>
      <top style="medium">
        <color rgb="FF808080"/>
      </top>
      <bottom/>
      <diagonal/>
    </border>
    <border>
      <left/>
      <right style="thin">
        <color indexed="64"/>
      </right>
      <top style="thin">
        <color rgb="FF808080"/>
      </top>
      <bottom/>
      <diagonal/>
    </border>
    <border>
      <left style="thin">
        <color rgb="FF808080"/>
      </left>
      <right/>
      <top/>
      <bottom style="thin">
        <color indexed="64"/>
      </bottom>
      <diagonal/>
    </border>
  </borders>
  <cellStyleXfs count="5">
    <xf numFmtId="0" fontId="0" fillId="0" borderId="0"/>
    <xf numFmtId="44" fontId="6" fillId="0" borderId="0" applyFont="0" applyFill="0" applyBorder="0" applyAlignment="0" applyProtection="0"/>
    <xf numFmtId="0" fontId="55" fillId="0" borderId="0"/>
    <xf numFmtId="0" fontId="66" fillId="0" borderId="0" applyNumberFormat="0" applyFill="0" applyBorder="0" applyAlignment="0" applyProtection="0"/>
    <xf numFmtId="44" fontId="1" fillId="0" borderId="0" applyFont="0" applyFill="0" applyBorder="0" applyAlignment="0" applyProtection="0"/>
  </cellStyleXfs>
  <cellXfs count="1213">
    <xf numFmtId="0" fontId="0" fillId="0" borderId="0" xfId="0"/>
    <xf numFmtId="0" fontId="0" fillId="0" borderId="9" xfId="0" applyBorder="1" applyAlignment="1">
      <alignment horizontal="center" vertical="center"/>
    </xf>
    <xf numFmtId="0" fontId="0" fillId="0" borderId="0" xfId="0" applyAlignment="1">
      <alignment vertical="center"/>
    </xf>
    <xf numFmtId="0" fontId="0" fillId="0" borderId="12" xfId="0" applyBorder="1" applyAlignment="1">
      <alignment horizontal="center" vertical="center"/>
    </xf>
    <xf numFmtId="0" fontId="0" fillId="0" borderId="12" xfId="0" applyBorder="1" applyAlignment="1">
      <alignment vertical="center"/>
    </xf>
    <xf numFmtId="0" fontId="3" fillId="0" borderId="12" xfId="0" applyFont="1" applyBorder="1" applyAlignment="1">
      <alignment vertical="center" wrapText="1"/>
    </xf>
    <xf numFmtId="14" fontId="0" fillId="0" borderId="12" xfId="0" applyNumberFormat="1" applyBorder="1" applyAlignment="1">
      <alignment horizontal="left" vertical="center"/>
    </xf>
    <xf numFmtId="0" fontId="0" fillId="0" borderId="12" xfId="0" applyBorder="1" applyAlignment="1">
      <alignment vertical="center" wrapText="1"/>
    </xf>
    <xf numFmtId="0" fontId="0" fillId="0" borderId="12" xfId="0" applyBorder="1" applyAlignment="1">
      <alignment horizontal="left" vertical="center"/>
    </xf>
    <xf numFmtId="0" fontId="0" fillId="0" borderId="13" xfId="0" applyBorder="1" applyAlignment="1">
      <alignment horizontal="left" vertical="center"/>
    </xf>
    <xf numFmtId="0" fontId="0" fillId="0" borderId="0" xfId="0" applyAlignment="1">
      <alignment horizontal="left"/>
    </xf>
    <xf numFmtId="0" fontId="5" fillId="0" borderId="12" xfId="0" applyFont="1" applyBorder="1" applyAlignment="1">
      <alignment horizontal="center" vertical="center"/>
    </xf>
    <xf numFmtId="0" fontId="5" fillId="0" borderId="0" xfId="0" applyFont="1" applyAlignment="1">
      <alignment vertical="center"/>
    </xf>
    <xf numFmtId="0" fontId="0" fillId="0" borderId="0" xfId="0" applyAlignment="1">
      <alignment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xf>
    <xf numFmtId="0" fontId="0" fillId="0" borderId="0" xfId="0" applyAlignment="1">
      <alignment horizontal="center" vertical="center"/>
    </xf>
    <xf numFmtId="0" fontId="5" fillId="2" borderId="0" xfId="0" applyFont="1" applyFill="1" applyAlignment="1">
      <alignment vertical="center"/>
    </xf>
    <xf numFmtId="0" fontId="0" fillId="2" borderId="0" xfId="0" applyFill="1" applyAlignment="1">
      <alignment vertical="center"/>
    </xf>
    <xf numFmtId="0" fontId="9" fillId="0" borderId="12" xfId="0" applyFont="1" applyBorder="1" applyAlignment="1" applyProtection="1">
      <alignment horizontal="center" vertical="center"/>
      <protection locked="0"/>
    </xf>
    <xf numFmtId="0" fontId="10" fillId="0" borderId="0" xfId="0" applyFont="1"/>
    <xf numFmtId="14" fontId="9" fillId="0" borderId="12" xfId="0" applyNumberFormat="1" applyFont="1" applyBorder="1" applyAlignment="1" applyProtection="1">
      <alignment horizontal="center" vertical="center"/>
      <protection locked="0"/>
    </xf>
    <xf numFmtId="0" fontId="12" fillId="0" borderId="12" xfId="0" applyFont="1" applyBorder="1" applyAlignment="1">
      <alignment vertical="top" wrapText="1"/>
    </xf>
    <xf numFmtId="0" fontId="14" fillId="0" borderId="12" xfId="0" applyFont="1" applyBorder="1" applyAlignment="1">
      <alignment horizontal="center" vertical="center" wrapText="1"/>
    </xf>
    <xf numFmtId="164" fontId="15" fillId="0" borderId="12" xfId="0" applyNumberFormat="1" applyFont="1" applyBorder="1" applyAlignment="1">
      <alignment horizontal="center" vertical="top"/>
    </xf>
    <xf numFmtId="0" fontId="15" fillId="0" borderId="12" xfId="0" applyFont="1" applyBorder="1" applyAlignment="1">
      <alignment horizontal="left" vertical="top" wrapText="1"/>
    </xf>
    <xf numFmtId="0" fontId="15" fillId="0" borderId="12" xfId="0" applyFont="1" applyBorder="1" applyAlignment="1">
      <alignment horizontal="right"/>
    </xf>
    <xf numFmtId="0" fontId="15" fillId="0" borderId="12" xfId="0" applyFont="1" applyBorder="1"/>
    <xf numFmtId="0" fontId="15" fillId="0" borderId="0" xfId="0" applyFont="1"/>
    <xf numFmtId="164" fontId="15" fillId="0" borderId="12" xfId="0" applyNumberFormat="1" applyFont="1" applyBorder="1" applyAlignment="1">
      <alignment horizontal="center" vertical="center"/>
    </xf>
    <xf numFmtId="0" fontId="15" fillId="0" borderId="12" xfId="0" applyFont="1" applyBorder="1" applyAlignment="1">
      <alignment horizontal="left" vertical="center"/>
    </xf>
    <xf numFmtId="0" fontId="16" fillId="0" borderId="12" xfId="0" applyFont="1" applyBorder="1" applyAlignment="1">
      <alignment horizontal="left" vertical="center" wrapText="1"/>
    </xf>
    <xf numFmtId="0" fontId="15" fillId="0" borderId="12" xfId="0" applyFont="1" applyBorder="1" applyAlignment="1">
      <alignment horizontal="left"/>
    </xf>
    <xf numFmtId="7" fontId="15" fillId="0" borderId="12" xfId="1" applyNumberFormat="1" applyFont="1" applyBorder="1"/>
    <xf numFmtId="0" fontId="10" fillId="0" borderId="12" xfId="0" applyFont="1" applyBorder="1"/>
    <xf numFmtId="0" fontId="18" fillId="0" borderId="12" xfId="0" applyFont="1" applyBorder="1" applyAlignment="1">
      <alignment horizontal="left"/>
    </xf>
    <xf numFmtId="7" fontId="18" fillId="0" borderId="12" xfId="1" applyNumberFormat="1" applyFont="1" applyBorder="1"/>
    <xf numFmtId="7" fontId="12" fillId="3" borderId="12" xfId="1" applyNumberFormat="1" applyFont="1" applyFill="1" applyBorder="1" applyAlignment="1">
      <alignment horizontal="right"/>
    </xf>
    <xf numFmtId="7" fontId="19" fillId="3" borderId="12" xfId="1" applyNumberFormat="1" applyFont="1" applyFill="1" applyBorder="1"/>
    <xf numFmtId="49" fontId="10" fillId="0" borderId="12" xfId="0" applyNumberFormat="1" applyFont="1" applyBorder="1" applyAlignment="1">
      <alignment horizontal="center"/>
    </xf>
    <xf numFmtId="0" fontId="13" fillId="0" borderId="12" xfId="0" applyFont="1" applyBorder="1" applyAlignment="1">
      <alignment horizontal="left"/>
    </xf>
    <xf numFmtId="0" fontId="12" fillId="0" borderId="12" xfId="0" applyFont="1" applyBorder="1" applyAlignment="1">
      <alignment horizontal="center" vertical="center"/>
    </xf>
    <xf numFmtId="0" fontId="10" fillId="0" borderId="12" xfId="0" applyFont="1" applyBorder="1" applyAlignment="1">
      <alignment horizontal="left"/>
    </xf>
    <xf numFmtId="0" fontId="19" fillId="3" borderId="12" xfId="0" applyFont="1" applyFill="1" applyBorder="1" applyAlignment="1">
      <alignment horizontal="right" vertical="center"/>
    </xf>
    <xf numFmtId="0" fontId="0" fillId="0" borderId="12" xfId="0" applyBorder="1"/>
    <xf numFmtId="0" fontId="0" fillId="0" borderId="13" xfId="0" applyBorder="1"/>
    <xf numFmtId="0" fontId="15" fillId="0" borderId="12" xfId="0" applyFont="1" applyBorder="1" applyAlignment="1">
      <alignment horizontal="center"/>
    </xf>
    <xf numFmtId="7" fontId="15" fillId="0" borderId="12" xfId="1" applyNumberFormat="1" applyFont="1" applyBorder="1" applyAlignment="1">
      <alignment horizontal="center" vertical="center"/>
    </xf>
    <xf numFmtId="7" fontId="15" fillId="0" borderId="12" xfId="1" applyNumberFormat="1" applyFont="1" applyBorder="1" applyAlignment="1">
      <alignment horizontal="center"/>
    </xf>
    <xf numFmtId="0" fontId="12" fillId="3" borderId="12" xfId="0" applyFont="1" applyFill="1" applyBorder="1" applyAlignment="1">
      <alignment horizontal="center"/>
    </xf>
    <xf numFmtId="7" fontId="17" fillId="0" borderId="12" xfId="1" applyNumberFormat="1" applyFont="1" applyBorder="1" applyAlignment="1">
      <alignment horizontal="center"/>
    </xf>
    <xf numFmtId="7" fontId="22" fillId="0" borderId="12" xfId="1" applyNumberFormat="1" applyFont="1" applyBorder="1" applyAlignment="1">
      <alignment horizontal="center"/>
    </xf>
    <xf numFmtId="7" fontId="19" fillId="3" borderId="12" xfId="1" applyNumberFormat="1" applyFont="1" applyFill="1" applyBorder="1" applyAlignment="1">
      <alignment horizontal="center"/>
    </xf>
    <xf numFmtId="0" fontId="16" fillId="0" borderId="12" xfId="0" applyFont="1" applyBorder="1" applyAlignment="1">
      <alignment horizontal="left"/>
    </xf>
    <xf numFmtId="0" fontId="12" fillId="3" borderId="12" xfId="0" applyFont="1" applyFill="1" applyBorder="1" applyAlignment="1">
      <alignment horizontal="left"/>
    </xf>
    <xf numFmtId="0" fontId="20" fillId="0" borderId="12" xfId="0" applyFont="1" applyBorder="1" applyAlignment="1">
      <alignment horizontal="left"/>
    </xf>
    <xf numFmtId="0" fontId="13" fillId="0" borderId="12" xfId="0" applyFont="1" applyBorder="1" applyAlignment="1">
      <alignment horizontal="left" vertical="center" wrapText="1"/>
    </xf>
    <xf numFmtId="0" fontId="21" fillId="0" borderId="12" xfId="0" applyFont="1" applyBorder="1" applyAlignment="1">
      <alignment horizontal="left"/>
    </xf>
    <xf numFmtId="165" fontId="12" fillId="3" borderId="12" xfId="0" applyNumberFormat="1" applyFont="1" applyFill="1" applyBorder="1" applyAlignment="1">
      <alignment horizontal="center" vertical="center"/>
    </xf>
    <xf numFmtId="0" fontId="23" fillId="0" borderId="12" xfId="0" applyFont="1" applyBorder="1" applyAlignment="1">
      <alignment horizontal="center"/>
    </xf>
    <xf numFmtId="0" fontId="24" fillId="4" borderId="9" xfId="0" applyFont="1" applyFill="1" applyBorder="1" applyAlignment="1">
      <alignment horizontal="center" vertical="center"/>
    </xf>
    <xf numFmtId="0" fontId="19" fillId="4" borderId="9" xfId="0" applyFont="1" applyFill="1" applyBorder="1" applyAlignment="1">
      <alignment horizontal="center" vertical="center"/>
    </xf>
    <xf numFmtId="0" fontId="5" fillId="0" borderId="12" xfId="0" applyFont="1" applyBorder="1" applyAlignment="1">
      <alignment vertical="center" wrapText="1"/>
    </xf>
    <xf numFmtId="0" fontId="5" fillId="3" borderId="0" xfId="0" applyFont="1" applyFill="1" applyAlignment="1">
      <alignment vertical="center"/>
    </xf>
    <xf numFmtId="0" fontId="25" fillId="4" borderId="9" xfId="0" applyFont="1" applyFill="1" applyBorder="1" applyAlignment="1">
      <alignment horizontal="center" vertical="center"/>
    </xf>
    <xf numFmtId="0" fontId="26" fillId="0" borderId="12" xfId="0" applyFont="1" applyBorder="1" applyAlignment="1">
      <alignment horizontal="center" vertical="center"/>
    </xf>
    <xf numFmtId="0" fontId="26" fillId="0" borderId="0" xfId="0" applyFont="1"/>
    <xf numFmtId="0" fontId="5" fillId="0" borderId="12" xfId="0" applyFont="1" applyBorder="1" applyAlignment="1">
      <alignment vertical="center"/>
    </xf>
    <xf numFmtId="14" fontId="5" fillId="0" borderId="12" xfId="0" applyNumberFormat="1" applyFont="1" applyBorder="1" applyAlignment="1">
      <alignment horizontal="left" vertical="center"/>
    </xf>
    <xf numFmtId="0" fontId="5" fillId="0" borderId="13" xfId="0" applyFont="1" applyBorder="1" applyAlignment="1">
      <alignment horizontal="left" vertical="center"/>
    </xf>
    <xf numFmtId="0" fontId="5" fillId="0" borderId="12" xfId="0" applyFont="1" applyBorder="1" applyAlignment="1">
      <alignment horizontal="left" vertical="center"/>
    </xf>
    <xf numFmtId="0" fontId="5" fillId="4" borderId="9" xfId="0" applyFont="1" applyFill="1" applyBorder="1"/>
    <xf numFmtId="7" fontId="15" fillId="5" borderId="12" xfId="1" applyNumberFormat="1" applyFont="1" applyFill="1" applyBorder="1" applyAlignment="1">
      <alignment horizontal="center"/>
    </xf>
    <xf numFmtId="0" fontId="16" fillId="0" borderId="12" xfId="0" applyFont="1" applyBorder="1"/>
    <xf numFmtId="0" fontId="16" fillId="4" borderId="9" xfId="0" applyFont="1" applyFill="1" applyBorder="1"/>
    <xf numFmtId="0" fontId="16" fillId="0" borderId="0" xfId="0" applyFont="1"/>
    <xf numFmtId="0" fontId="16" fillId="0" borderId="0" xfId="0" applyFont="1" applyAlignment="1">
      <alignment horizontal="left" vertical="center"/>
    </xf>
    <xf numFmtId="0" fontId="0" fillId="0" borderId="0" xfId="0" applyAlignment="1">
      <alignment horizontal="center"/>
    </xf>
    <xf numFmtId="0" fontId="31" fillId="0" borderId="22" xfId="0" applyFont="1" applyBorder="1" applyAlignment="1">
      <alignment horizontal="center"/>
    </xf>
    <xf numFmtId="0" fontId="30" fillId="0" borderId="22" xfId="0" applyFont="1" applyBorder="1" applyAlignment="1">
      <alignment horizontal="center"/>
    </xf>
    <xf numFmtId="0" fontId="30" fillId="0" borderId="22" xfId="0" applyFont="1" applyBorder="1" applyAlignment="1">
      <alignment vertical="center" wrapText="1"/>
    </xf>
    <xf numFmtId="0" fontId="31" fillId="0" borderId="22" xfId="0" applyFont="1" applyBorder="1" applyAlignment="1">
      <alignment vertical="center" wrapText="1"/>
    </xf>
    <xf numFmtId="0" fontId="31" fillId="0" borderId="22" xfId="0" applyFont="1" applyBorder="1" applyAlignment="1">
      <alignment vertical="center"/>
    </xf>
    <xf numFmtId="0" fontId="31" fillId="6" borderId="22" xfId="0" applyFont="1" applyFill="1" applyBorder="1" applyAlignment="1">
      <alignment vertical="center"/>
    </xf>
    <xf numFmtId="0" fontId="31" fillId="6" borderId="25" xfId="0" applyFont="1" applyFill="1" applyBorder="1" applyAlignment="1">
      <alignment vertical="center"/>
    </xf>
    <xf numFmtId="0" fontId="31" fillId="6" borderId="22" xfId="0" applyFont="1" applyFill="1" applyBorder="1" applyAlignment="1">
      <alignment vertical="center" wrapText="1"/>
    </xf>
    <xf numFmtId="0" fontId="31" fillId="6" borderId="25" xfId="0" applyFont="1" applyFill="1" applyBorder="1" applyAlignment="1">
      <alignment vertical="center" wrapText="1"/>
    </xf>
    <xf numFmtId="0" fontId="35" fillId="0" borderId="22" xfId="0" applyFont="1" applyBorder="1" applyAlignment="1">
      <alignment vertical="center"/>
    </xf>
    <xf numFmtId="8" fontId="31" fillId="0" borderId="22" xfId="0" applyNumberFormat="1" applyFont="1" applyBorder="1" applyAlignment="1">
      <alignment horizontal="center"/>
    </xf>
    <xf numFmtId="8" fontId="39" fillId="0" borderId="22" xfId="0" applyNumberFormat="1" applyFont="1" applyBorder="1" applyAlignment="1">
      <alignment horizontal="center"/>
    </xf>
    <xf numFmtId="0" fontId="33" fillId="0" borderId="22" xfId="0" applyFont="1" applyBorder="1" applyAlignment="1">
      <alignment horizontal="center"/>
    </xf>
    <xf numFmtId="0" fontId="34" fillId="6" borderId="22" xfId="0" applyFont="1" applyFill="1" applyBorder="1" applyAlignment="1">
      <alignment vertical="center" wrapText="1"/>
    </xf>
    <xf numFmtId="0" fontId="37" fillId="0" borderId="12" xfId="0" applyFont="1" applyBorder="1" applyAlignment="1">
      <alignment horizontal="center" vertical="center"/>
    </xf>
    <xf numFmtId="0" fontId="37" fillId="0" borderId="9" xfId="0" applyFont="1" applyBorder="1" applyAlignment="1">
      <alignment horizontal="center" vertical="center"/>
    </xf>
    <xf numFmtId="0" fontId="37" fillId="0" borderId="35" xfId="0" applyFont="1" applyBorder="1" applyAlignment="1">
      <alignment horizontal="center"/>
    </xf>
    <xf numFmtId="0" fontId="38" fillId="0" borderId="35" xfId="0" applyFont="1" applyBorder="1" applyAlignment="1">
      <alignment horizontal="center" wrapText="1"/>
    </xf>
    <xf numFmtId="0" fontId="31" fillId="0" borderId="35" xfId="0" applyFont="1" applyBorder="1" applyAlignment="1">
      <alignment horizontal="center"/>
    </xf>
    <xf numFmtId="0" fontId="34" fillId="0" borderId="35" xfId="0" applyFont="1" applyBorder="1" applyAlignment="1">
      <alignment horizontal="center"/>
    </xf>
    <xf numFmtId="0" fontId="15" fillId="0" borderId="0" xfId="0" applyFont="1" applyAlignment="1">
      <alignment horizontal="center"/>
    </xf>
    <xf numFmtId="0" fontId="30" fillId="0" borderId="9" xfId="0" applyFont="1" applyBorder="1" applyAlignment="1">
      <alignment horizontal="center" vertical="center" wrapText="1"/>
    </xf>
    <xf numFmtId="0" fontId="31" fillId="0" borderId="9" xfId="0" applyFont="1" applyBorder="1" applyAlignment="1">
      <alignment horizontal="center" vertical="center"/>
    </xf>
    <xf numFmtId="49" fontId="10" fillId="0" borderId="0" xfId="0" applyNumberFormat="1" applyFont="1" applyAlignment="1">
      <alignment horizontal="center" vertical="center"/>
    </xf>
    <xf numFmtId="0" fontId="31" fillId="0" borderId="34" xfId="0" applyFont="1" applyBorder="1" applyAlignment="1">
      <alignment vertical="center" wrapText="1"/>
    </xf>
    <xf numFmtId="0" fontId="36" fillId="0" borderId="35" xfId="0" applyFont="1" applyBorder="1" applyAlignment="1">
      <alignment vertical="center" wrapText="1"/>
    </xf>
    <xf numFmtId="0" fontId="31" fillId="0" borderId="35" xfId="0" applyFont="1" applyBorder="1" applyAlignment="1">
      <alignment vertical="center" wrapText="1"/>
    </xf>
    <xf numFmtId="0" fontId="31" fillId="0" borderId="35" xfId="0" applyFont="1" applyBorder="1" applyAlignment="1">
      <alignment vertical="center"/>
    </xf>
    <xf numFmtId="0" fontId="31" fillId="0" borderId="34" xfId="0" applyFont="1" applyBorder="1" applyAlignment="1">
      <alignment vertical="center"/>
    </xf>
    <xf numFmtId="0" fontId="31" fillId="0" borderId="0" xfId="0" applyFont="1" applyAlignment="1">
      <alignment vertical="center"/>
    </xf>
    <xf numFmtId="0" fontId="41" fillId="6" borderId="35" xfId="0" applyFont="1" applyFill="1" applyBorder="1" applyAlignment="1">
      <alignment vertical="center"/>
    </xf>
    <xf numFmtId="0" fontId="31" fillId="6" borderId="35" xfId="0" applyFont="1" applyFill="1" applyBorder="1" applyAlignment="1">
      <alignment vertical="center"/>
    </xf>
    <xf numFmtId="0" fontId="41" fillId="0" borderId="35" xfId="0" applyFont="1" applyBorder="1" applyAlignment="1">
      <alignment vertical="center"/>
    </xf>
    <xf numFmtId="0" fontId="31" fillId="6" borderId="35" xfId="0" applyFont="1" applyFill="1" applyBorder="1" applyAlignment="1">
      <alignment vertical="center" wrapText="1"/>
    </xf>
    <xf numFmtId="0" fontId="10" fillId="0" borderId="0" xfId="0" applyFont="1" applyAlignment="1">
      <alignment vertical="center"/>
    </xf>
    <xf numFmtId="0" fontId="31" fillId="0" borderId="38" xfId="0" applyFont="1" applyBorder="1" applyAlignment="1">
      <alignment horizontal="center" vertical="center"/>
    </xf>
    <xf numFmtId="0" fontId="31" fillId="0" borderId="16" xfId="0" applyFont="1" applyBorder="1" applyAlignment="1">
      <alignment horizontal="center"/>
    </xf>
    <xf numFmtId="0" fontId="10" fillId="0" borderId="0" xfId="0" applyFont="1" applyAlignment="1">
      <alignment horizontal="center"/>
    </xf>
    <xf numFmtId="0" fontId="37" fillId="0" borderId="16" xfId="0" applyFont="1" applyBorder="1" applyAlignment="1">
      <alignment horizontal="center"/>
    </xf>
    <xf numFmtId="0" fontId="31" fillId="0" borderId="22" xfId="0" applyFont="1" applyBorder="1" applyAlignment="1">
      <alignment horizontal="center" vertical="center"/>
    </xf>
    <xf numFmtId="0" fontId="30" fillId="0" borderId="22" xfId="0" applyFont="1" applyBorder="1" applyAlignment="1">
      <alignment horizontal="center" vertical="center" wrapText="1"/>
    </xf>
    <xf numFmtId="0" fontId="15" fillId="0" borderId="46" xfId="0" applyFont="1" applyBorder="1" applyAlignment="1">
      <alignment horizontal="center" vertical="center"/>
    </xf>
    <xf numFmtId="0" fontId="15" fillId="0" borderId="26" xfId="0" applyFont="1" applyBorder="1" applyAlignment="1">
      <alignment horizontal="left" vertical="center"/>
    </xf>
    <xf numFmtId="0" fontId="15" fillId="0" borderId="46" xfId="0" applyFont="1" applyBorder="1" applyAlignment="1">
      <alignment horizontal="left" vertical="center"/>
    </xf>
    <xf numFmtId="0" fontId="15" fillId="0" borderId="26" xfId="0" applyFont="1" applyBorder="1" applyAlignment="1">
      <alignment horizontal="left" vertical="center" wrapText="1"/>
    </xf>
    <xf numFmtId="0" fontId="15" fillId="0" borderId="26" xfId="0" applyFont="1" applyBorder="1" applyAlignment="1">
      <alignment horizontal="left"/>
    </xf>
    <xf numFmtId="0" fontId="19" fillId="0" borderId="0" xfId="0" applyFont="1" applyAlignment="1">
      <alignment horizontal="right" vertical="center"/>
    </xf>
    <xf numFmtId="0" fontId="15" fillId="0" borderId="45" xfId="0" applyFont="1" applyBorder="1" applyAlignment="1">
      <alignment horizontal="left" vertical="center" wrapText="1"/>
    </xf>
    <xf numFmtId="166" fontId="43" fillId="9" borderId="27" xfId="1" applyNumberFormat="1" applyFont="1" applyFill="1" applyBorder="1" applyAlignment="1">
      <alignment horizontal="left" vertical="center"/>
    </xf>
    <xf numFmtId="166" fontId="9" fillId="0" borderId="46" xfId="1" applyNumberFormat="1" applyFont="1" applyBorder="1" applyAlignment="1">
      <alignment horizontal="center" vertical="center"/>
    </xf>
    <xf numFmtId="166" fontId="9" fillId="0" borderId="48" xfId="1" applyNumberFormat="1" applyFont="1" applyBorder="1" applyAlignment="1">
      <alignment horizontal="center" vertical="center"/>
    </xf>
    <xf numFmtId="166" fontId="15" fillId="0" borderId="46" xfId="1" applyNumberFormat="1" applyFont="1" applyBorder="1" applyAlignment="1">
      <alignment horizontal="center" vertical="center"/>
    </xf>
    <xf numFmtId="166" fontId="44" fillId="0" borderId="22" xfId="1" applyNumberFormat="1" applyFont="1" applyBorder="1" applyAlignment="1">
      <alignment vertical="center"/>
    </xf>
    <xf numFmtId="166" fontId="44" fillId="0" borderId="46" xfId="1" applyNumberFormat="1" applyFont="1" applyBorder="1"/>
    <xf numFmtId="166" fontId="22" fillId="0" borderId="46" xfId="1" applyNumberFormat="1" applyFont="1" applyBorder="1"/>
    <xf numFmtId="166" fontId="10" fillId="0" borderId="0" xfId="1" applyNumberFormat="1" applyFont="1"/>
    <xf numFmtId="166" fontId="15" fillId="0" borderId="0" xfId="1" applyNumberFormat="1" applyFont="1"/>
    <xf numFmtId="166" fontId="0" fillId="0" borderId="0" xfId="1" applyNumberFormat="1" applyFont="1"/>
    <xf numFmtId="49" fontId="13" fillId="0" borderId="54" xfId="0" applyNumberFormat="1" applyFont="1" applyBorder="1" applyAlignment="1">
      <alignment horizontal="left" vertical="center"/>
    </xf>
    <xf numFmtId="0" fontId="3" fillId="0" borderId="54" xfId="0" applyFont="1" applyBorder="1"/>
    <xf numFmtId="0" fontId="13" fillId="0" borderId="54" xfId="0" applyFont="1" applyBorder="1" applyAlignment="1">
      <alignment vertical="top" wrapText="1"/>
    </xf>
    <xf numFmtId="0" fontId="13" fillId="0" borderId="54" xfId="0" applyFont="1" applyBorder="1" applyAlignment="1">
      <alignment vertical="center"/>
    </xf>
    <xf numFmtId="0" fontId="10" fillId="0" borderId="54" xfId="0" applyFont="1" applyBorder="1" applyAlignment="1">
      <alignment vertical="center" wrapText="1"/>
    </xf>
    <xf numFmtId="0" fontId="15" fillId="0" borderId="54" xfId="0" applyFont="1" applyBorder="1" applyAlignment="1">
      <alignment horizontal="left" vertical="top"/>
    </xf>
    <xf numFmtId="0" fontId="15" fillId="0" borderId="54" xfId="0" applyFont="1" applyBorder="1" applyAlignment="1">
      <alignment horizontal="left" vertical="center"/>
    </xf>
    <xf numFmtId="0" fontId="15" fillId="0" borderId="54" xfId="0" applyFont="1" applyBorder="1" applyAlignment="1">
      <alignment vertical="center" wrapText="1"/>
    </xf>
    <xf numFmtId="0" fontId="12" fillId="8" borderId="54" xfId="0" applyFont="1" applyFill="1" applyBorder="1"/>
    <xf numFmtId="0" fontId="21" fillId="8" borderId="54" xfId="0" applyFont="1" applyFill="1" applyBorder="1"/>
    <xf numFmtId="0" fontId="16" fillId="0" borderId="54" xfId="0" applyFont="1" applyBorder="1" applyAlignment="1">
      <alignment wrapText="1"/>
    </xf>
    <xf numFmtId="0" fontId="49" fillId="8" borderId="54" xfId="0" applyFont="1" applyFill="1" applyBorder="1" applyAlignment="1">
      <alignment wrapText="1"/>
    </xf>
    <xf numFmtId="0" fontId="16" fillId="8" borderId="54" xfId="0" applyFont="1" applyFill="1" applyBorder="1" applyAlignment="1">
      <alignment wrapText="1"/>
    </xf>
    <xf numFmtId="0" fontId="48" fillId="8" borderId="54" xfId="0" applyFont="1" applyFill="1" applyBorder="1" applyAlignment="1">
      <alignment horizontal="left" vertical="center" wrapText="1"/>
    </xf>
    <xf numFmtId="0" fontId="15" fillId="8" borderId="54" xfId="0" applyFont="1" applyFill="1" applyBorder="1" applyAlignment="1">
      <alignment wrapText="1"/>
    </xf>
    <xf numFmtId="0" fontId="15" fillId="0" borderId="54" xfId="0" applyFont="1" applyBorder="1" applyAlignment="1">
      <alignment wrapText="1"/>
    </xf>
    <xf numFmtId="0" fontId="16" fillId="0" borderId="54" xfId="0" applyFont="1" applyBorder="1" applyAlignment="1">
      <alignment horizontal="left" wrapText="1"/>
    </xf>
    <xf numFmtId="0" fontId="16" fillId="8" borderId="54" xfId="0" applyFont="1" applyFill="1" applyBorder="1"/>
    <xf numFmtId="0" fontId="15" fillId="8" borderId="54" xfId="0" applyFont="1" applyFill="1" applyBorder="1"/>
    <xf numFmtId="164" fontId="15" fillId="0" borderId="54" xfId="0" applyNumberFormat="1" applyFont="1" applyBorder="1" applyAlignment="1">
      <alignment horizontal="left" wrapText="1"/>
    </xf>
    <xf numFmtId="164" fontId="15" fillId="0" borderId="54" xfId="0" applyNumberFormat="1" applyFont="1" applyBorder="1" applyAlignment="1">
      <alignment horizontal="left"/>
    </xf>
    <xf numFmtId="166" fontId="15" fillId="0" borderId="48" xfId="1" applyNumberFormat="1" applyFont="1" applyBorder="1" applyAlignment="1">
      <alignment horizontal="center" vertical="center"/>
    </xf>
    <xf numFmtId="0" fontId="0" fillId="0" borderId="21" xfId="0" applyBorder="1"/>
    <xf numFmtId="166" fontId="9" fillId="0" borderId="21" xfId="1" applyNumberFormat="1" applyFont="1" applyBorder="1" applyAlignment="1">
      <alignment horizontal="center" vertical="center"/>
    </xf>
    <xf numFmtId="0" fontId="15" fillId="0" borderId="21" xfId="0" applyFont="1" applyBorder="1" applyAlignment="1">
      <alignment horizontal="center" vertical="center"/>
    </xf>
    <xf numFmtId="0" fontId="15" fillId="0" borderId="21" xfId="0" applyFont="1" applyBorder="1" applyAlignment="1">
      <alignment horizontal="left" vertical="center" wrapText="1"/>
    </xf>
    <xf numFmtId="166" fontId="15" fillId="0" borderId="21" xfId="1" applyNumberFormat="1" applyFont="1" applyBorder="1" applyAlignment="1">
      <alignment horizontal="center" vertical="center"/>
    </xf>
    <xf numFmtId="0" fontId="15" fillId="0" borderId="21" xfId="0" applyFont="1" applyBorder="1" applyAlignment="1">
      <alignment horizontal="left" vertical="center"/>
    </xf>
    <xf numFmtId="0" fontId="31" fillId="0" borderId="26" xfId="0" applyFont="1" applyBorder="1"/>
    <xf numFmtId="0" fontId="31" fillId="0" borderId="27" xfId="0" applyFont="1" applyBorder="1"/>
    <xf numFmtId="0" fontId="12" fillId="0" borderId="21" xfId="0" applyFont="1" applyBorder="1" applyAlignment="1">
      <alignment horizontal="left" vertical="center"/>
    </xf>
    <xf numFmtId="0" fontId="17" fillId="0" borderId="21" xfId="0" applyFont="1" applyBorder="1" applyAlignment="1">
      <alignment horizontal="left" vertical="center"/>
    </xf>
    <xf numFmtId="0" fontId="17" fillId="0" borderId="21" xfId="0" applyFont="1" applyBorder="1" applyAlignment="1">
      <alignment horizontal="left" vertical="center" wrapText="1"/>
    </xf>
    <xf numFmtId="0" fontId="39" fillId="6" borderId="25" xfId="0" applyFont="1" applyFill="1" applyBorder="1" applyAlignment="1">
      <alignment vertical="center" wrapText="1"/>
    </xf>
    <xf numFmtId="0" fontId="39" fillId="6" borderId="22" xfId="0" applyFont="1" applyFill="1" applyBorder="1" applyAlignment="1">
      <alignment vertical="center" wrapText="1"/>
    </xf>
    <xf numFmtId="0" fontId="39" fillId="6" borderId="25" xfId="0" applyFont="1" applyFill="1" applyBorder="1" applyAlignment="1">
      <alignment vertical="center"/>
    </xf>
    <xf numFmtId="0" fontId="39" fillId="0" borderId="22" xfId="0" applyFont="1" applyBorder="1" applyAlignment="1">
      <alignment horizontal="center"/>
    </xf>
    <xf numFmtId="0" fontId="53" fillId="0" borderId="0" xfId="0" applyFont="1"/>
    <xf numFmtId="0" fontId="39" fillId="6" borderId="22" xfId="0" applyFont="1" applyFill="1" applyBorder="1" applyAlignment="1">
      <alignment vertical="center"/>
    </xf>
    <xf numFmtId="0" fontId="39" fillId="0" borderId="22" xfId="0" applyFont="1" applyBorder="1" applyAlignment="1">
      <alignment vertical="center"/>
    </xf>
    <xf numFmtId="0" fontId="39" fillId="0" borderId="35" xfId="0" applyFont="1" applyBorder="1" applyAlignment="1">
      <alignment vertical="center"/>
    </xf>
    <xf numFmtId="0" fontId="39" fillId="6" borderId="35" xfId="0" applyFont="1" applyFill="1" applyBorder="1" applyAlignment="1">
      <alignment vertical="center"/>
    </xf>
    <xf numFmtId="0" fontId="17" fillId="8" borderId="54" xfId="0" applyFont="1" applyFill="1" applyBorder="1"/>
    <xf numFmtId="0" fontId="15" fillId="0" borderId="55" xfId="0" applyFont="1" applyBorder="1" applyAlignment="1">
      <alignment horizontal="left"/>
    </xf>
    <xf numFmtId="0" fontId="16" fillId="0" borderId="62" xfId="0" applyFont="1" applyBorder="1" applyAlignment="1">
      <alignment wrapText="1"/>
    </xf>
    <xf numFmtId="0" fontId="16" fillId="0" borderId="63" xfId="0" applyFont="1" applyBorder="1" applyAlignment="1">
      <alignment wrapText="1"/>
    </xf>
    <xf numFmtId="0" fontId="34" fillId="0" borderId="35" xfId="0" applyFont="1" applyBorder="1" applyAlignment="1">
      <alignment vertical="center"/>
    </xf>
    <xf numFmtId="0" fontId="32" fillId="0" borderId="35" xfId="0" applyFont="1" applyBorder="1" applyAlignment="1">
      <alignment vertical="center"/>
    </xf>
    <xf numFmtId="0" fontId="32" fillId="0" borderId="9" xfId="0" applyFont="1" applyBorder="1" applyAlignment="1">
      <alignment horizontal="center" vertical="center"/>
    </xf>
    <xf numFmtId="166" fontId="15" fillId="10" borderId="46" xfId="1" applyNumberFormat="1" applyFont="1" applyFill="1" applyBorder="1" applyAlignment="1">
      <alignment horizontal="center" vertical="center"/>
    </xf>
    <xf numFmtId="0" fontId="12" fillId="10" borderId="26" xfId="0" applyFont="1" applyFill="1" applyBorder="1" applyAlignment="1">
      <alignment horizontal="right" vertical="center"/>
    </xf>
    <xf numFmtId="0" fontId="2" fillId="0" borderId="0" xfId="0" applyFont="1" applyAlignment="1">
      <alignment vertical="center"/>
    </xf>
    <xf numFmtId="0" fontId="2" fillId="0" borderId="0" xfId="0" applyFont="1" applyAlignment="1">
      <alignment horizontal="center" vertical="center"/>
    </xf>
    <xf numFmtId="0" fontId="2" fillId="8" borderId="0" xfId="0" applyFont="1" applyFill="1" applyAlignment="1">
      <alignment vertical="center"/>
    </xf>
    <xf numFmtId="0" fontId="30" fillId="10" borderId="35" xfId="0" applyFont="1" applyFill="1" applyBorder="1" applyAlignment="1">
      <alignment vertical="center"/>
    </xf>
    <xf numFmtId="166" fontId="30" fillId="10" borderId="35" xfId="0" applyNumberFormat="1" applyFont="1" applyFill="1" applyBorder="1" applyAlignment="1">
      <alignment vertical="center"/>
    </xf>
    <xf numFmtId="0" fontId="12" fillId="0" borderId="55" xfId="0" applyFont="1" applyBorder="1" applyAlignment="1">
      <alignment vertical="top" wrapText="1"/>
    </xf>
    <xf numFmtId="164" fontId="15" fillId="0" borderId="55" xfId="0" applyNumberFormat="1" applyFont="1" applyBorder="1" applyAlignment="1">
      <alignment horizontal="center" vertical="top"/>
    </xf>
    <xf numFmtId="0" fontId="15" fillId="0" borderId="55" xfId="0" applyFont="1" applyBorder="1" applyAlignment="1">
      <alignment horizontal="left" vertical="top" wrapText="1"/>
    </xf>
    <xf numFmtId="0" fontId="15" fillId="0" borderId="55" xfId="0" applyFont="1" applyBorder="1" applyAlignment="1">
      <alignment horizontal="right"/>
    </xf>
    <xf numFmtId="164" fontId="15" fillId="0" borderId="55" xfId="0" applyNumberFormat="1" applyFont="1" applyBorder="1" applyAlignment="1">
      <alignment horizontal="center" vertical="center"/>
    </xf>
    <xf numFmtId="0" fontId="15" fillId="0" borderId="55" xfId="0" applyFont="1" applyBorder="1" applyAlignment="1">
      <alignment horizontal="left" vertical="center"/>
    </xf>
    <xf numFmtId="44" fontId="15" fillId="0" borderId="55" xfId="1" applyFont="1" applyBorder="1" applyAlignment="1">
      <alignment horizontal="right"/>
    </xf>
    <xf numFmtId="44" fontId="17" fillId="0" borderId="55" xfId="1" applyFont="1" applyBorder="1" applyAlignment="1">
      <alignment horizontal="right"/>
    </xf>
    <xf numFmtId="44" fontId="15" fillId="0" borderId="55" xfId="1" applyFont="1" applyFill="1" applyBorder="1" applyAlignment="1">
      <alignment horizontal="right"/>
    </xf>
    <xf numFmtId="44" fontId="15" fillId="8" borderId="55" xfId="1" applyFont="1" applyFill="1" applyBorder="1" applyAlignment="1">
      <alignment horizontal="right"/>
    </xf>
    <xf numFmtId="166" fontId="15" fillId="0" borderId="46" xfId="1" applyNumberFormat="1" applyFont="1" applyBorder="1" applyAlignment="1">
      <alignment horizontal="left" vertical="center"/>
    </xf>
    <xf numFmtId="166" fontId="15" fillId="10" borderId="46" xfId="1" applyNumberFormat="1" applyFont="1" applyFill="1" applyBorder="1" applyAlignment="1">
      <alignment horizontal="left" vertical="center"/>
    </xf>
    <xf numFmtId="166" fontId="22" fillId="0" borderId="46" xfId="1" applyNumberFormat="1" applyFont="1" applyBorder="1" applyAlignment="1">
      <alignment horizontal="left"/>
    </xf>
    <xf numFmtId="0" fontId="15" fillId="0" borderId="0" xfId="0" applyFont="1" applyAlignment="1">
      <alignment horizontal="left"/>
    </xf>
    <xf numFmtId="0" fontId="15" fillId="0" borderId="0" xfId="0" applyFont="1" applyAlignment="1">
      <alignment horizontal="left" vertical="center"/>
    </xf>
    <xf numFmtId="0" fontId="16" fillId="0" borderId="0" xfId="0" applyFont="1" applyAlignment="1">
      <alignment horizontal="left"/>
    </xf>
    <xf numFmtId="0" fontId="15" fillId="8" borderId="55" xfId="2" applyFont="1" applyFill="1" applyBorder="1" applyAlignment="1">
      <alignment horizontal="left"/>
    </xf>
    <xf numFmtId="0" fontId="34" fillId="8" borderId="9" xfId="0" applyFont="1" applyFill="1" applyBorder="1" applyAlignment="1">
      <alignment horizontal="center" vertical="center"/>
    </xf>
    <xf numFmtId="0" fontId="56" fillId="0" borderId="0" xfId="0" applyFont="1" applyAlignment="1">
      <alignment vertical="center"/>
    </xf>
    <xf numFmtId="0" fontId="15" fillId="0" borderId="56" xfId="0" applyFont="1" applyBorder="1" applyAlignment="1">
      <alignment horizontal="left"/>
    </xf>
    <xf numFmtId="0" fontId="9" fillId="0" borderId="55" xfId="0" applyFont="1" applyBorder="1" applyAlignment="1" applyProtection="1">
      <alignment horizontal="center" vertical="center" wrapText="1"/>
      <protection locked="0"/>
    </xf>
    <xf numFmtId="165" fontId="15" fillId="0" borderId="70" xfId="0" applyNumberFormat="1" applyFont="1" applyBorder="1" applyAlignment="1">
      <alignment horizontal="right"/>
    </xf>
    <xf numFmtId="0" fontId="12" fillId="0" borderId="55" xfId="0" applyFont="1" applyBorder="1" applyAlignment="1">
      <alignment horizontal="center" vertical="center"/>
    </xf>
    <xf numFmtId="0" fontId="10" fillId="0" borderId="56" xfId="0" applyFont="1" applyBorder="1" applyAlignment="1">
      <alignment horizontal="left"/>
    </xf>
    <xf numFmtId="0" fontId="15" fillId="0" borderId="55" xfId="0" applyFont="1" applyBorder="1" applyAlignment="1">
      <alignment horizontal="center" vertical="center"/>
    </xf>
    <xf numFmtId="49" fontId="10" fillId="0" borderId="0" xfId="0" applyNumberFormat="1" applyFont="1" applyAlignment="1">
      <alignment horizontal="center"/>
    </xf>
    <xf numFmtId="0" fontId="12" fillId="0" borderId="56" xfId="0" applyFont="1" applyBorder="1" applyAlignment="1">
      <alignment horizontal="left"/>
    </xf>
    <xf numFmtId="165" fontId="15" fillId="8" borderId="70" xfId="0" applyNumberFormat="1" applyFont="1" applyFill="1" applyBorder="1" applyAlignment="1">
      <alignment horizontal="right"/>
    </xf>
    <xf numFmtId="0" fontId="30" fillId="0" borderId="35" xfId="0" applyFont="1" applyBorder="1" applyAlignment="1">
      <alignment wrapText="1"/>
    </xf>
    <xf numFmtId="0" fontId="31" fillId="0" borderId="35" xfId="0" applyFont="1" applyBorder="1" applyAlignment="1">
      <alignment wrapText="1"/>
    </xf>
    <xf numFmtId="0" fontId="31" fillId="0" borderId="35" xfId="0" applyFont="1" applyBorder="1" applyAlignment="1">
      <alignment horizontal="center" wrapText="1"/>
    </xf>
    <xf numFmtId="0" fontId="30" fillId="0" borderId="35" xfId="0" applyFont="1" applyBorder="1" applyAlignment="1">
      <alignment horizontal="center" wrapText="1"/>
    </xf>
    <xf numFmtId="0" fontId="31" fillId="0" borderId="35" xfId="0" applyFont="1" applyBorder="1" applyAlignment="1">
      <alignment horizontal="left" wrapText="1" indent="1"/>
    </xf>
    <xf numFmtId="0" fontId="34" fillId="0" borderId="35" xfId="0" applyFont="1" applyBorder="1" applyAlignment="1">
      <alignment horizontal="left" wrapText="1" indent="1"/>
    </xf>
    <xf numFmtId="0" fontId="37" fillId="0" borderId="72" xfId="0" applyFont="1" applyBorder="1" applyAlignment="1">
      <alignment vertical="center" wrapText="1"/>
    </xf>
    <xf numFmtId="0" fontId="31" fillId="0" borderId="21" xfId="0" applyFont="1" applyBorder="1" applyAlignment="1">
      <alignment horizontal="center" vertical="center" wrapText="1"/>
    </xf>
    <xf numFmtId="0" fontId="31" fillId="0" borderId="9" xfId="0" applyFont="1" applyBorder="1" applyAlignment="1">
      <alignment horizontal="center" vertical="center" wrapText="1"/>
    </xf>
    <xf numFmtId="0" fontId="30" fillId="11" borderId="41" xfId="0" applyFont="1" applyFill="1" applyBorder="1"/>
    <xf numFmtId="0" fontId="31" fillId="0" borderId="16" xfId="0" applyFont="1" applyBorder="1" applyAlignment="1">
      <alignment horizontal="center" wrapText="1"/>
    </xf>
    <xf numFmtId="166" fontId="30" fillId="11" borderId="21" xfId="0" applyNumberFormat="1" applyFont="1" applyFill="1" applyBorder="1"/>
    <xf numFmtId="0" fontId="31" fillId="0" borderId="41" xfId="0" applyFont="1" applyBorder="1" applyAlignment="1">
      <alignment horizontal="left" wrapText="1" indent="1"/>
    </xf>
    <xf numFmtId="0" fontId="30" fillId="0" borderId="21" xfId="0" applyFont="1" applyBorder="1" applyAlignment="1">
      <alignment wrapText="1"/>
    </xf>
    <xf numFmtId="0" fontId="31" fillId="0" borderId="12" xfId="0" applyFont="1" applyBorder="1"/>
    <xf numFmtId="0" fontId="27" fillId="0" borderId="35" xfId="0" applyFont="1" applyBorder="1" applyAlignment="1">
      <alignment vertical="center"/>
    </xf>
    <xf numFmtId="0" fontId="15" fillId="0" borderId="0" xfId="0" applyFont="1" applyAlignment="1">
      <alignment vertical="center" wrapText="1"/>
    </xf>
    <xf numFmtId="0" fontId="37" fillId="0" borderId="21" xfId="0" applyFont="1" applyBorder="1" applyAlignment="1">
      <alignment horizontal="center" vertical="center"/>
    </xf>
    <xf numFmtId="0" fontId="31" fillId="0" borderId="16" xfId="0" applyFont="1" applyBorder="1" applyAlignment="1">
      <alignment wrapText="1"/>
    </xf>
    <xf numFmtId="0" fontId="15" fillId="0" borderId="25" xfId="0" applyFont="1" applyBorder="1" applyAlignment="1">
      <alignment horizontal="left" vertical="center"/>
    </xf>
    <xf numFmtId="166" fontId="15" fillId="0" borderId="22" xfId="1" applyNumberFormat="1" applyFont="1" applyBorder="1" applyAlignment="1">
      <alignment horizontal="center" vertical="center"/>
    </xf>
    <xf numFmtId="0" fontId="12" fillId="10" borderId="73" xfId="0" applyFont="1" applyFill="1" applyBorder="1" applyAlignment="1">
      <alignment horizontal="left" vertical="center"/>
    </xf>
    <xf numFmtId="166" fontId="15" fillId="10" borderId="36" xfId="1" applyNumberFormat="1" applyFont="1" applyFill="1" applyBorder="1" applyAlignment="1">
      <alignment horizontal="center" vertical="center"/>
    </xf>
    <xf numFmtId="0" fontId="31" fillId="0" borderId="65" xfId="0" applyFont="1" applyBorder="1" applyAlignment="1">
      <alignment horizontal="center"/>
    </xf>
    <xf numFmtId="0" fontId="30" fillId="0" borderId="12" xfId="0" applyFont="1" applyBorder="1"/>
    <xf numFmtId="0" fontId="34" fillId="0" borderId="35" xfId="0" applyFont="1" applyBorder="1" applyAlignment="1">
      <alignment horizontal="left" vertical="center" wrapText="1" indent="1"/>
    </xf>
    <xf numFmtId="0" fontId="34" fillId="0" borderId="0" xfId="0" applyFont="1" applyAlignment="1">
      <alignment horizontal="left" indent="1"/>
    </xf>
    <xf numFmtId="0" fontId="31" fillId="0" borderId="22" xfId="0" applyFont="1" applyBorder="1"/>
    <xf numFmtId="0" fontId="31" fillId="0" borderId="30" xfId="0" applyFont="1" applyBorder="1"/>
    <xf numFmtId="0" fontId="31" fillId="0" borderId="30" xfId="0" applyFont="1" applyBorder="1" applyAlignment="1">
      <alignment wrapText="1"/>
    </xf>
    <xf numFmtId="0" fontId="31" fillId="0" borderId="51" xfId="0" applyFont="1" applyBorder="1"/>
    <xf numFmtId="0" fontId="31" fillId="0" borderId="25" xfId="0" applyFont="1" applyBorder="1" applyAlignment="1">
      <alignment wrapText="1"/>
    </xf>
    <xf numFmtId="0" fontId="37" fillId="0" borderId="35" xfId="0" applyFont="1" applyBorder="1" applyAlignment="1">
      <alignment horizontal="center" vertical="center"/>
    </xf>
    <xf numFmtId="0" fontId="34" fillId="0" borderId="30" xfId="0" applyFont="1" applyBorder="1"/>
    <xf numFmtId="0" fontId="37" fillId="8" borderId="21" xfId="0" applyFont="1" applyFill="1" applyBorder="1" applyAlignment="1">
      <alignment horizontal="center" vertical="center" wrapText="1"/>
    </xf>
    <xf numFmtId="0" fontId="31" fillId="0" borderId="21" xfId="0" applyFont="1" applyBorder="1" applyAlignment="1">
      <alignment horizontal="center" wrapText="1"/>
    </xf>
    <xf numFmtId="166" fontId="30" fillId="11" borderId="74" xfId="0" applyNumberFormat="1" applyFont="1" applyFill="1" applyBorder="1"/>
    <xf numFmtId="0" fontId="31" fillId="0" borderId="21" xfId="0" applyFont="1" applyBorder="1" applyAlignment="1">
      <alignment horizontal="left" wrapText="1" indent="1"/>
    </xf>
    <xf numFmtId="0" fontId="31" fillId="0" borderId="36" xfId="0" applyFont="1" applyBorder="1" applyAlignment="1">
      <alignment horizontal="center" wrapText="1"/>
    </xf>
    <xf numFmtId="0" fontId="31" fillId="0" borderId="16" xfId="0" applyFont="1" applyBorder="1" applyAlignment="1">
      <alignment horizontal="left" wrapText="1" indent="1"/>
    </xf>
    <xf numFmtId="0" fontId="30" fillId="0" borderId="35" xfId="0" applyFont="1" applyBorder="1" applyAlignment="1">
      <alignment vertical="center" wrapText="1"/>
    </xf>
    <xf numFmtId="0" fontId="31" fillId="0" borderId="35" xfId="0" applyFont="1" applyBorder="1" applyAlignment="1">
      <alignment horizontal="left" vertical="center" wrapText="1" indent="1"/>
    </xf>
    <xf numFmtId="0" fontId="39" fillId="0" borderId="35" xfId="0" applyFont="1" applyBorder="1" applyAlignment="1">
      <alignment horizontal="left" vertical="center" wrapText="1" indent="1"/>
    </xf>
    <xf numFmtId="0" fontId="32" fillId="0" borderId="21" xfId="0" applyFont="1" applyBorder="1"/>
    <xf numFmtId="0" fontId="31" fillId="0" borderId="25" xfId="0" applyFont="1" applyBorder="1"/>
    <xf numFmtId="0" fontId="31" fillId="0" borderId="35" xfId="0" applyFont="1" applyBorder="1" applyAlignment="1">
      <alignment horizontal="center" vertical="center"/>
    </xf>
    <xf numFmtId="0" fontId="31" fillId="0" borderId="0" xfId="0" applyFont="1"/>
    <xf numFmtId="0" fontId="12" fillId="0" borderId="21" xfId="0" applyFont="1" applyBorder="1" applyAlignment="1">
      <alignment vertical="center" wrapText="1"/>
    </xf>
    <xf numFmtId="164" fontId="15" fillId="0" borderId="73" xfId="0" applyNumberFormat="1" applyFont="1" applyBorder="1" applyAlignment="1">
      <alignment horizontal="center" vertical="center"/>
    </xf>
    <xf numFmtId="0" fontId="12" fillId="0" borderId="73" xfId="0" applyFont="1" applyBorder="1" applyAlignment="1">
      <alignment vertical="top" wrapText="1"/>
    </xf>
    <xf numFmtId="164" fontId="15" fillId="0" borderId="73" xfId="0" applyNumberFormat="1" applyFont="1" applyBorder="1" applyAlignment="1">
      <alignment horizontal="center" vertical="top"/>
    </xf>
    <xf numFmtId="0" fontId="45" fillId="12" borderId="26" xfId="0" applyFont="1" applyFill="1" applyBorder="1" applyAlignment="1">
      <alignment horizontal="left" vertical="center"/>
    </xf>
    <xf numFmtId="0" fontId="45" fillId="0" borderId="26" xfId="0" applyFont="1" applyBorder="1" applyAlignment="1">
      <alignment horizontal="left" vertical="center"/>
    </xf>
    <xf numFmtId="0" fontId="15" fillId="0" borderId="76" xfId="0" applyFont="1" applyBorder="1" applyAlignment="1">
      <alignment horizontal="left" vertical="center"/>
    </xf>
    <xf numFmtId="164" fontId="15" fillId="0" borderId="77" xfId="0" applyNumberFormat="1" applyFont="1" applyBorder="1" applyAlignment="1">
      <alignment horizontal="center" vertical="center"/>
    </xf>
    <xf numFmtId="0" fontId="16" fillId="0" borderId="76" xfId="0" applyFont="1" applyBorder="1"/>
    <xf numFmtId="0" fontId="15" fillId="0" borderId="36" xfId="0" applyFont="1" applyBorder="1" applyAlignment="1">
      <alignment horizontal="left" vertical="center"/>
    </xf>
    <xf numFmtId="0" fontId="21" fillId="0" borderId="0" xfId="0" applyFont="1" applyAlignment="1">
      <alignment horizontal="left" vertical="center"/>
    </xf>
    <xf numFmtId="0" fontId="31" fillId="0" borderId="76" xfId="0" applyFont="1" applyBorder="1" applyAlignment="1">
      <alignment wrapText="1"/>
    </xf>
    <xf numFmtId="0" fontId="31" fillId="0" borderId="76" xfId="0" applyFont="1" applyBorder="1" applyAlignment="1">
      <alignment horizontal="center" wrapText="1"/>
    </xf>
    <xf numFmtId="0" fontId="30" fillId="11" borderId="34" xfId="0" applyFont="1" applyFill="1" applyBorder="1" applyAlignment="1">
      <alignment horizontal="center"/>
    </xf>
    <xf numFmtId="0" fontId="31" fillId="0" borderId="21" xfId="0" applyFont="1" applyBorder="1" applyAlignment="1">
      <alignment horizontal="left" wrapText="1"/>
    </xf>
    <xf numFmtId="0" fontId="31" fillId="0" borderId="25" xfId="0" applyFont="1" applyBorder="1" applyAlignment="1">
      <alignment vertical="center" wrapText="1"/>
    </xf>
    <xf numFmtId="7" fontId="15" fillId="0" borderId="57" xfId="1" applyNumberFormat="1" applyFont="1" applyBorder="1" applyAlignment="1">
      <alignment horizontal="right"/>
    </xf>
    <xf numFmtId="0" fontId="31" fillId="0" borderId="25" xfId="0" applyFont="1" applyBorder="1" applyAlignment="1">
      <alignment vertical="center"/>
    </xf>
    <xf numFmtId="0" fontId="31" fillId="0" borderId="26" xfId="0" applyFont="1" applyBorder="1" applyAlignment="1">
      <alignment vertical="center" wrapText="1"/>
    </xf>
    <xf numFmtId="0" fontId="34" fillId="0" borderId="26" xfId="0" applyFont="1" applyBorder="1"/>
    <xf numFmtId="0" fontId="15" fillId="0" borderId="73" xfId="0" applyFont="1" applyBorder="1" applyAlignment="1">
      <alignment horizontal="left"/>
    </xf>
    <xf numFmtId="0" fontId="17" fillId="0" borderId="26" xfId="0" applyFont="1" applyBorder="1" applyAlignment="1">
      <alignment horizontal="left" indent="1"/>
    </xf>
    <xf numFmtId="0" fontId="0" fillId="0" borderId="21" xfId="0" applyBorder="1" applyAlignment="1">
      <alignment vertical="center"/>
    </xf>
    <xf numFmtId="166" fontId="15" fillId="10" borderId="78" xfId="1" applyNumberFormat="1" applyFont="1" applyFill="1" applyBorder="1" applyAlignment="1">
      <alignment horizontal="center" vertical="center"/>
    </xf>
    <xf numFmtId="0" fontId="40" fillId="0" borderId="26" xfId="0" applyFont="1" applyBorder="1"/>
    <xf numFmtId="0" fontId="15" fillId="0" borderId="21" xfId="2" applyFont="1" applyBorder="1" applyAlignment="1">
      <alignment horizontal="right"/>
    </xf>
    <xf numFmtId="0" fontId="15" fillId="0" borderId="86" xfId="2" applyFont="1" applyBorder="1" applyAlignment="1">
      <alignment horizontal="right"/>
    </xf>
    <xf numFmtId="0" fontId="15" fillId="0" borderId="76" xfId="2" applyFont="1" applyBorder="1" applyAlignment="1">
      <alignment horizontal="right"/>
    </xf>
    <xf numFmtId="166" fontId="12" fillId="10" borderId="36" xfId="1" applyNumberFormat="1" applyFont="1" applyFill="1" applyBorder="1" applyAlignment="1">
      <alignment horizontal="left" vertical="center"/>
    </xf>
    <xf numFmtId="0" fontId="40" fillId="0" borderId="25" xfId="0" applyFont="1" applyBorder="1"/>
    <xf numFmtId="0" fontId="34" fillId="12" borderId="25" xfId="0" applyFont="1" applyFill="1" applyBorder="1"/>
    <xf numFmtId="0" fontId="31" fillId="0" borderId="94" xfId="0" applyFont="1" applyBorder="1"/>
    <xf numFmtId="0" fontId="31" fillId="0" borderId="24" xfId="0" applyFont="1" applyBorder="1"/>
    <xf numFmtId="0" fontId="31" fillId="0" borderId="25" xfId="0" applyFont="1" applyBorder="1" applyAlignment="1">
      <alignment horizontal="center" vertical="center"/>
    </xf>
    <xf numFmtId="0" fontId="37" fillId="8" borderId="76" xfId="0" applyFont="1" applyFill="1" applyBorder="1" applyAlignment="1">
      <alignment horizontal="center" vertical="center" wrapText="1"/>
    </xf>
    <xf numFmtId="0" fontId="37" fillId="8" borderId="74" xfId="0" applyFont="1" applyFill="1" applyBorder="1" applyAlignment="1">
      <alignment horizontal="center" vertical="center" wrapText="1"/>
    </xf>
    <xf numFmtId="166" fontId="30" fillId="10" borderId="36" xfId="0" applyNumberFormat="1" applyFont="1" applyFill="1" applyBorder="1" applyAlignment="1">
      <alignment vertical="center"/>
    </xf>
    <xf numFmtId="0" fontId="57" fillId="0" borderId="80" xfId="0" applyFont="1" applyBorder="1" applyAlignment="1">
      <alignment horizontal="left" vertical="center"/>
    </xf>
    <xf numFmtId="0" fontId="12" fillId="0" borderId="55" xfId="0" applyFont="1" applyBorder="1" applyAlignment="1">
      <alignment horizontal="left"/>
    </xf>
    <xf numFmtId="0" fontId="15" fillId="0" borderId="55" xfId="0" applyFont="1" applyBorder="1" applyAlignment="1">
      <alignment horizontal="left" indent="3"/>
    </xf>
    <xf numFmtId="0" fontId="12" fillId="0" borderId="21" xfId="0" applyFont="1" applyBorder="1" applyAlignment="1">
      <alignment horizontal="left"/>
    </xf>
    <xf numFmtId="0" fontId="12" fillId="0" borderId="86" xfId="0" applyFont="1" applyBorder="1" applyAlignment="1">
      <alignment vertical="center" wrapText="1"/>
    </xf>
    <xf numFmtId="0" fontId="45" fillId="0" borderId="21" xfId="0" applyFont="1" applyBorder="1" applyAlignment="1">
      <alignment horizontal="left"/>
    </xf>
    <xf numFmtId="166" fontId="15" fillId="8" borderId="36" xfId="1" applyNumberFormat="1" applyFont="1" applyFill="1" applyBorder="1" applyAlignment="1">
      <alignment horizontal="center" vertical="center"/>
    </xf>
    <xf numFmtId="166" fontId="15" fillId="8" borderId="21" xfId="1" applyNumberFormat="1" applyFont="1" applyFill="1" applyBorder="1" applyAlignment="1">
      <alignment horizontal="center" vertical="center"/>
    </xf>
    <xf numFmtId="0" fontId="15" fillId="0" borderId="73" xfId="0" applyFont="1" applyBorder="1" applyAlignment="1">
      <alignment horizontal="left" vertical="center"/>
    </xf>
    <xf numFmtId="0" fontId="47" fillId="0" borderId="21" xfId="0" applyFont="1" applyBorder="1" applyAlignment="1">
      <alignment horizontal="left"/>
    </xf>
    <xf numFmtId="0" fontId="12" fillId="0" borderId="0" xfId="0" applyFont="1" applyAlignment="1">
      <alignment vertical="top" wrapText="1"/>
    </xf>
    <xf numFmtId="166" fontId="37" fillId="0" borderId="64" xfId="1" applyNumberFormat="1" applyFont="1" applyBorder="1" applyAlignment="1">
      <alignment horizontal="center" vertical="center" wrapText="1"/>
    </xf>
    <xf numFmtId="164" fontId="15" fillId="0" borderId="21" xfId="0" applyNumberFormat="1" applyFont="1" applyBorder="1" applyAlignment="1">
      <alignment horizontal="center" vertical="top"/>
    </xf>
    <xf numFmtId="0" fontId="15" fillId="0" borderId="36" xfId="0" applyFont="1" applyBorder="1" applyAlignment="1">
      <alignment horizontal="left" vertical="top" wrapText="1"/>
    </xf>
    <xf numFmtId="0" fontId="12" fillId="0" borderId="75" xfId="0" applyFont="1" applyBorder="1" applyAlignment="1">
      <alignment vertical="top" wrapText="1"/>
    </xf>
    <xf numFmtId="166" fontId="9" fillId="0" borderId="28" xfId="1" applyNumberFormat="1" applyFont="1" applyBorder="1" applyAlignment="1">
      <alignment horizontal="center" vertical="center"/>
    </xf>
    <xf numFmtId="0" fontId="47" fillId="0" borderId="55" xfId="0" applyFont="1" applyBorder="1" applyAlignment="1">
      <alignment horizontal="left"/>
    </xf>
    <xf numFmtId="164" fontId="47" fillId="0" borderId="21" xfId="0" applyNumberFormat="1" applyFont="1" applyBorder="1" applyAlignment="1">
      <alignment horizontal="left" vertical="center"/>
    </xf>
    <xf numFmtId="166" fontId="15" fillId="8" borderId="78" xfId="1" applyNumberFormat="1" applyFont="1" applyFill="1" applyBorder="1" applyAlignment="1">
      <alignment horizontal="center" vertical="center"/>
    </xf>
    <xf numFmtId="166" fontId="15" fillId="8" borderId="34" xfId="1" applyNumberFormat="1" applyFont="1" applyFill="1" applyBorder="1" applyAlignment="1">
      <alignment horizontal="center" vertical="center"/>
    </xf>
    <xf numFmtId="166" fontId="15" fillId="0" borderId="76" xfId="1" applyNumberFormat="1" applyFont="1" applyBorder="1" applyAlignment="1">
      <alignment horizontal="center" vertical="center"/>
    </xf>
    <xf numFmtId="0" fontId="10" fillId="0" borderId="55" xfId="0" applyFont="1" applyBorder="1"/>
    <xf numFmtId="0" fontId="15" fillId="0" borderId="77" xfId="0" applyFont="1" applyBorder="1" applyAlignment="1">
      <alignment horizontal="left" vertical="center"/>
    </xf>
    <xf numFmtId="166" fontId="15" fillId="8" borderId="76" xfId="1" applyNumberFormat="1" applyFont="1" applyFill="1" applyBorder="1" applyAlignment="1">
      <alignment horizontal="center" vertical="center"/>
    </xf>
    <xf numFmtId="166" fontId="15" fillId="0" borderId="36" xfId="1" applyNumberFormat="1" applyFont="1" applyBorder="1" applyAlignment="1">
      <alignment horizontal="center" vertical="center"/>
    </xf>
    <xf numFmtId="0" fontId="15" fillId="0" borderId="66" xfId="0" applyFont="1" applyBorder="1" applyAlignment="1">
      <alignment horizontal="left" vertical="center" wrapText="1"/>
    </xf>
    <xf numFmtId="0" fontId="15" fillId="0" borderId="75" xfId="0" applyFont="1" applyBorder="1" applyAlignment="1">
      <alignment horizontal="left"/>
    </xf>
    <xf numFmtId="0" fontId="15" fillId="0" borderId="21" xfId="0" applyFont="1" applyBorder="1" applyAlignment="1">
      <alignment horizontal="left"/>
    </xf>
    <xf numFmtId="0" fontId="15" fillId="0" borderId="77" xfId="0" applyFont="1" applyBorder="1" applyAlignment="1">
      <alignment horizontal="left"/>
    </xf>
    <xf numFmtId="0" fontId="15" fillId="0" borderId="75" xfId="0" applyFont="1" applyBorder="1" applyAlignment="1">
      <alignment horizontal="left" vertical="center"/>
    </xf>
    <xf numFmtId="166" fontId="15" fillId="0" borderId="74" xfId="1" applyNumberFormat="1" applyFont="1" applyBorder="1" applyAlignment="1">
      <alignment horizontal="center" vertical="center"/>
    </xf>
    <xf numFmtId="0" fontId="33" fillId="0" borderId="35" xfId="0" applyFont="1" applyBorder="1"/>
    <xf numFmtId="0" fontId="30" fillId="0" borderId="9" xfId="0" applyFont="1" applyBorder="1" applyAlignment="1">
      <alignment wrapText="1"/>
    </xf>
    <xf numFmtId="0" fontId="31" fillId="0" borderId="9" xfId="0" applyFont="1" applyBorder="1"/>
    <xf numFmtId="0" fontId="31" fillId="0" borderId="35" xfId="0" applyFont="1" applyBorder="1"/>
    <xf numFmtId="0" fontId="39" fillId="0" borderId="35" xfId="0" applyFont="1" applyBorder="1"/>
    <xf numFmtId="0" fontId="30" fillId="0" borderId="35" xfId="0" applyFont="1" applyBorder="1"/>
    <xf numFmtId="0" fontId="32" fillId="0" borderId="35" xfId="0" applyFont="1" applyBorder="1"/>
    <xf numFmtId="0" fontId="31" fillId="12" borderId="35" xfId="0" applyFont="1" applyFill="1" applyBorder="1"/>
    <xf numFmtId="0" fontId="15" fillId="0" borderId="70" xfId="0" applyFont="1" applyBorder="1" applyAlignment="1">
      <alignment horizontal="left"/>
    </xf>
    <xf numFmtId="166" fontId="15" fillId="8" borderId="91" xfId="1" applyNumberFormat="1" applyFont="1" applyFill="1" applyBorder="1" applyAlignment="1">
      <alignment horizontal="center" vertical="center"/>
    </xf>
    <xf numFmtId="0" fontId="0" fillId="0" borderId="74" xfId="0" applyBorder="1"/>
    <xf numFmtId="0" fontId="0" fillId="0" borderId="36" xfId="0" applyBorder="1"/>
    <xf numFmtId="0" fontId="12" fillId="8" borderId="21" xfId="0" applyFont="1" applyFill="1" applyBorder="1" applyAlignment="1">
      <alignment horizontal="left" vertical="center"/>
    </xf>
    <xf numFmtId="0" fontId="12" fillId="8" borderId="73" xfId="0" applyFont="1" applyFill="1" applyBorder="1" applyAlignment="1">
      <alignment horizontal="left" vertical="center"/>
    </xf>
    <xf numFmtId="166" fontId="15" fillId="12" borderId="34" xfId="1" applyNumberFormat="1" applyFont="1" applyFill="1" applyBorder="1" applyAlignment="1">
      <alignment horizontal="center" vertical="center"/>
    </xf>
    <xf numFmtId="0" fontId="15" fillId="8" borderId="73" xfId="0" applyFont="1" applyFill="1" applyBorder="1" applyAlignment="1">
      <alignment horizontal="left"/>
    </xf>
    <xf numFmtId="0" fontId="45" fillId="8" borderId="0" xfId="0" applyFont="1" applyFill="1" applyAlignment="1">
      <alignment horizontal="left" vertical="center"/>
    </xf>
    <xf numFmtId="0" fontId="12" fillId="8" borderId="76" xfId="0" applyFont="1" applyFill="1" applyBorder="1" applyAlignment="1">
      <alignment horizontal="left" vertical="center"/>
    </xf>
    <xf numFmtId="166" fontId="15" fillId="0" borderId="78" xfId="1" applyNumberFormat="1" applyFont="1" applyBorder="1" applyAlignment="1">
      <alignment horizontal="center" vertical="center"/>
    </xf>
    <xf numFmtId="0" fontId="12" fillId="8" borderId="21" xfId="0" applyFont="1" applyFill="1" applyBorder="1" applyAlignment="1">
      <alignment horizontal="left"/>
    </xf>
    <xf numFmtId="166" fontId="9" fillId="0" borderId="76" xfId="1" applyNumberFormat="1" applyFont="1" applyBorder="1" applyAlignment="1">
      <alignment horizontal="center" vertical="center"/>
    </xf>
    <xf numFmtId="164" fontId="15" fillId="0" borderId="76" xfId="0" applyNumberFormat="1" applyFont="1" applyBorder="1" applyAlignment="1">
      <alignment horizontal="center" vertical="top"/>
    </xf>
    <xf numFmtId="164" fontId="15" fillId="0" borderId="56" xfId="0" applyNumberFormat="1" applyFont="1" applyBorder="1" applyAlignment="1">
      <alignment horizontal="center" vertical="center"/>
    </xf>
    <xf numFmtId="0" fontId="15" fillId="0" borderId="21" xfId="0" applyFont="1" applyBorder="1" applyAlignment="1">
      <alignment horizontal="left" vertical="top" wrapText="1"/>
    </xf>
    <xf numFmtId="164" fontId="15" fillId="0" borderId="56" xfId="0" applyNumberFormat="1" applyFont="1" applyBorder="1" applyAlignment="1">
      <alignment horizontal="center" vertical="top"/>
    </xf>
    <xf numFmtId="0" fontId="15" fillId="0" borderId="98" xfId="0" applyFont="1" applyBorder="1" applyAlignment="1">
      <alignment horizontal="right"/>
    </xf>
    <xf numFmtId="0" fontId="15" fillId="0" borderId="57" xfId="0" applyFont="1" applyBorder="1" applyAlignment="1">
      <alignment horizontal="right"/>
    </xf>
    <xf numFmtId="7" fontId="15" fillId="0" borderId="98" xfId="1" applyNumberFormat="1" applyFont="1" applyBorder="1" applyAlignment="1">
      <alignment horizontal="right"/>
    </xf>
    <xf numFmtId="7" fontId="15" fillId="0" borderId="21" xfId="1" applyNumberFormat="1" applyFont="1" applyBorder="1" applyAlignment="1">
      <alignment horizontal="right"/>
    </xf>
    <xf numFmtId="7" fontId="15" fillId="0" borderId="99" xfId="1" applyNumberFormat="1" applyFont="1" applyBorder="1" applyAlignment="1">
      <alignment horizontal="right"/>
    </xf>
    <xf numFmtId="0" fontId="27" fillId="0" borderId="21" xfId="0" applyFont="1" applyBorder="1" applyAlignment="1">
      <alignment horizontal="left"/>
    </xf>
    <xf numFmtId="0" fontId="45" fillId="12" borderId="21" xfId="0" applyFont="1" applyFill="1" applyBorder="1" applyAlignment="1">
      <alignment horizontal="left" vertical="center"/>
    </xf>
    <xf numFmtId="0" fontId="1" fillId="0" borderId="0" xfId="0" applyFont="1" applyAlignment="1">
      <alignment vertical="center"/>
    </xf>
    <xf numFmtId="0" fontId="1" fillId="0" borderId="0" xfId="0" applyFont="1" applyAlignment="1">
      <alignment horizontal="center" vertical="center"/>
    </xf>
    <xf numFmtId="0" fontId="27" fillId="0" borderId="35" xfId="0" applyFont="1" applyBorder="1" applyAlignment="1">
      <alignment vertical="center" wrapText="1"/>
    </xf>
    <xf numFmtId="0" fontId="17" fillId="0" borderId="35" xfId="0" applyFont="1" applyBorder="1" applyAlignment="1">
      <alignment vertical="center"/>
    </xf>
    <xf numFmtId="0" fontId="53" fillId="0" borderId="0" xfId="0" applyFont="1" applyAlignment="1">
      <alignment vertical="center"/>
    </xf>
    <xf numFmtId="0" fontId="17" fillId="0" borderId="16" xfId="0" applyFont="1" applyBorder="1" applyAlignment="1">
      <alignment vertical="center"/>
    </xf>
    <xf numFmtId="0" fontId="31" fillId="0" borderId="46" xfId="0" applyFont="1" applyBorder="1"/>
    <xf numFmtId="0" fontId="34" fillId="0" borderId="25" xfId="0" applyFont="1" applyBorder="1"/>
    <xf numFmtId="0" fontId="45" fillId="0" borderId="76" xfId="0" applyFont="1" applyBorder="1" applyAlignment="1">
      <alignment horizontal="left"/>
    </xf>
    <xf numFmtId="0" fontId="27" fillId="0" borderId="55" xfId="0" applyFont="1" applyBorder="1" applyAlignment="1">
      <alignment horizontal="left"/>
    </xf>
    <xf numFmtId="164" fontId="15" fillId="0" borderId="21" xfId="0" applyNumberFormat="1" applyFont="1" applyBorder="1" applyAlignment="1">
      <alignment horizontal="left" vertical="center"/>
    </xf>
    <xf numFmtId="164" fontId="12" fillId="0" borderId="74" xfId="0" applyNumberFormat="1" applyFont="1" applyBorder="1" applyAlignment="1">
      <alignment horizontal="left" vertical="center"/>
    </xf>
    <xf numFmtId="0" fontId="15" fillId="0" borderId="66" xfId="0" applyFont="1" applyBorder="1" applyAlignment="1">
      <alignment horizontal="left"/>
    </xf>
    <xf numFmtId="0" fontId="12" fillId="12" borderId="55" xfId="0" applyFont="1" applyFill="1" applyBorder="1" applyAlignment="1">
      <alignment horizontal="left"/>
    </xf>
    <xf numFmtId="0" fontId="12" fillId="8" borderId="68" xfId="0" applyFont="1" applyFill="1" applyBorder="1" applyAlignment="1">
      <alignment horizontal="left"/>
    </xf>
    <xf numFmtId="0" fontId="12" fillId="12" borderId="76" xfId="0" applyFont="1" applyFill="1" applyBorder="1" applyAlignment="1">
      <alignment horizontal="left"/>
    </xf>
    <xf numFmtId="0" fontId="12" fillId="0" borderId="68" xfId="0" applyFont="1" applyBorder="1" applyAlignment="1">
      <alignment horizontal="left"/>
    </xf>
    <xf numFmtId="0" fontId="12" fillId="0" borderId="76" xfId="0" applyFont="1" applyBorder="1" applyAlignment="1">
      <alignment horizontal="left"/>
    </xf>
    <xf numFmtId="0" fontId="16" fillId="0" borderId="21" xfId="0" applyFont="1" applyBorder="1"/>
    <xf numFmtId="0" fontId="15" fillId="0" borderId="21" xfId="0" applyFont="1" applyBorder="1"/>
    <xf numFmtId="0" fontId="33" fillId="0" borderId="0" xfId="0" applyFont="1"/>
    <xf numFmtId="0" fontId="30" fillId="7" borderId="35" xfId="0" applyFont="1" applyFill="1" applyBorder="1"/>
    <xf numFmtId="0" fontId="31" fillId="0" borderId="35" xfId="0" quotePrefix="1" applyFont="1" applyBorder="1"/>
    <xf numFmtId="0" fontId="31" fillId="0" borderId="36" xfId="0" applyFont="1" applyBorder="1"/>
    <xf numFmtId="164" fontId="31" fillId="0" borderId="83" xfId="0" applyNumberFormat="1" applyFont="1" applyBorder="1" applyAlignment="1">
      <alignment horizontal="center" vertical="top"/>
    </xf>
    <xf numFmtId="0" fontId="31" fillId="0" borderId="80" xfId="0" applyFont="1" applyBorder="1" applyAlignment="1">
      <alignment horizontal="left" vertical="top" wrapText="1"/>
    </xf>
    <xf numFmtId="0" fontId="31" fillId="0" borderId="83" xfId="0" applyFont="1" applyBorder="1" applyAlignment="1">
      <alignment horizontal="right"/>
    </xf>
    <xf numFmtId="164" fontId="31" fillId="0" borderId="79" xfId="0" applyNumberFormat="1" applyFont="1" applyBorder="1" applyAlignment="1">
      <alignment horizontal="center" vertical="center"/>
    </xf>
    <xf numFmtId="0" fontId="31" fillId="0" borderId="80" xfId="0" applyFont="1" applyBorder="1" applyAlignment="1">
      <alignment horizontal="left" vertical="center"/>
    </xf>
    <xf numFmtId="0" fontId="31" fillId="0" borderId="84" xfId="0" applyFont="1" applyBorder="1" applyAlignment="1">
      <alignment horizontal="left" vertical="center"/>
    </xf>
    <xf numFmtId="0" fontId="31" fillId="0" borderId="82" xfId="0" applyFont="1" applyBorder="1" applyAlignment="1">
      <alignment horizontal="left" vertical="center"/>
    </xf>
    <xf numFmtId="165" fontId="31" fillId="0" borderId="83" xfId="0" applyNumberFormat="1" applyFont="1" applyBorder="1" applyAlignment="1">
      <alignment horizontal="right"/>
    </xf>
    <xf numFmtId="0" fontId="34" fillId="0" borderId="80" xfId="0" applyFont="1" applyBorder="1" applyAlignment="1">
      <alignment horizontal="left" vertical="center"/>
    </xf>
    <xf numFmtId="0" fontId="31" fillId="8" borderId="80" xfId="0" applyFont="1" applyFill="1" applyBorder="1" applyAlignment="1">
      <alignment horizontal="left" vertical="center"/>
    </xf>
    <xf numFmtId="0" fontId="34" fillId="8" borderId="80" xfId="0" applyFont="1" applyFill="1" applyBorder="1" applyAlignment="1">
      <alignment horizontal="left" vertical="center"/>
    </xf>
    <xf numFmtId="0" fontId="15" fillId="0" borderId="56" xfId="2" applyFont="1" applyBorder="1" applyAlignment="1">
      <alignment horizontal="left"/>
    </xf>
    <xf numFmtId="0" fontId="31" fillId="0" borderId="13" xfId="0" applyFont="1" applyBorder="1"/>
    <xf numFmtId="0" fontId="27" fillId="8" borderId="54" xfId="0" applyFont="1" applyFill="1" applyBorder="1"/>
    <xf numFmtId="0" fontId="17" fillId="0" borderId="55" xfId="0" applyFont="1" applyBorder="1" applyAlignment="1">
      <alignment horizontal="left"/>
    </xf>
    <xf numFmtId="0" fontId="17" fillId="0" borderId="0" xfId="0" applyFont="1" applyAlignment="1">
      <alignment horizontal="left"/>
    </xf>
    <xf numFmtId="0" fontId="40" fillId="0" borderId="34" xfId="0" applyFont="1" applyBorder="1" applyAlignment="1">
      <alignment vertical="center" wrapText="1"/>
    </xf>
    <xf numFmtId="0" fontId="17" fillId="8" borderId="54" xfId="0" applyFont="1" applyFill="1" applyBorder="1" applyAlignment="1">
      <alignment wrapText="1"/>
    </xf>
    <xf numFmtId="0" fontId="15" fillId="8" borderId="54" xfId="0" applyFont="1" applyFill="1" applyBorder="1" applyAlignment="1">
      <alignment horizontal="left" wrapText="1"/>
    </xf>
    <xf numFmtId="0" fontId="16" fillId="0" borderId="21" xfId="0" applyFont="1" applyBorder="1" applyAlignment="1">
      <alignment wrapText="1"/>
    </xf>
    <xf numFmtId="0" fontId="45" fillId="0" borderId="56" xfId="2" applyFont="1" applyBorder="1" applyAlignment="1">
      <alignment horizontal="left"/>
    </xf>
    <xf numFmtId="0" fontId="34" fillId="8" borderId="81" xfId="0" applyFont="1" applyFill="1" applyBorder="1" applyAlignment="1">
      <alignment horizontal="left" vertical="center"/>
    </xf>
    <xf numFmtId="0" fontId="30" fillId="0" borderId="25" xfId="0" applyFont="1" applyBorder="1"/>
    <xf numFmtId="0" fontId="34" fillId="0" borderId="22" xfId="0" applyFont="1" applyBorder="1"/>
    <xf numFmtId="0" fontId="30" fillId="11" borderId="36" xfId="0" applyFont="1" applyFill="1" applyBorder="1" applyAlignment="1">
      <alignment horizontal="center"/>
    </xf>
    <xf numFmtId="0" fontId="34" fillId="0" borderId="35" xfId="0" applyFont="1" applyBorder="1" applyAlignment="1">
      <alignment horizontal="left" indent="1"/>
    </xf>
    <xf numFmtId="0" fontId="31" fillId="0" borderId="35" xfId="0" applyFont="1" applyBorder="1" applyAlignment="1">
      <alignment horizontal="left" indent="1"/>
    </xf>
    <xf numFmtId="0" fontId="40" fillId="0" borderId="35" xfId="0" applyFont="1" applyBorder="1" applyAlignment="1">
      <alignment vertical="center" wrapText="1"/>
    </xf>
    <xf numFmtId="0" fontId="31" fillId="0" borderId="21" xfId="0" applyFont="1" applyBorder="1" applyAlignment="1">
      <alignment wrapText="1"/>
    </xf>
    <xf numFmtId="0" fontId="40" fillId="0" borderId="21" xfId="0" applyFont="1" applyBorder="1" applyAlignment="1">
      <alignment wrapText="1"/>
    </xf>
    <xf numFmtId="0" fontId="31" fillId="0" borderId="21" xfId="0" applyFont="1" applyBorder="1"/>
    <xf numFmtId="8" fontId="31" fillId="0" borderId="12" xfId="0" applyNumberFormat="1" applyFont="1" applyBorder="1"/>
    <xf numFmtId="0" fontId="40" fillId="0" borderId="12" xfId="0" applyFont="1" applyBorder="1"/>
    <xf numFmtId="0" fontId="30" fillId="8" borderId="12" xfId="0" applyFont="1" applyFill="1" applyBorder="1"/>
    <xf numFmtId="0" fontId="59" fillId="0" borderId="12" xfId="0" applyFont="1" applyBorder="1"/>
    <xf numFmtId="0" fontId="31" fillId="8" borderId="12" xfId="0" applyFont="1" applyFill="1" applyBorder="1"/>
    <xf numFmtId="0" fontId="35" fillId="8" borderId="12" xfId="0" applyFont="1" applyFill="1" applyBorder="1"/>
    <xf numFmtId="0" fontId="31" fillId="0" borderId="14" xfId="0" applyFont="1" applyBorder="1"/>
    <xf numFmtId="0" fontId="40" fillId="0" borderId="86" xfId="0" applyFont="1" applyBorder="1"/>
    <xf numFmtId="0" fontId="40" fillId="0" borderId="21" xfId="0" applyFont="1" applyBorder="1"/>
    <xf numFmtId="0" fontId="40" fillId="0" borderId="12" xfId="0" applyFont="1" applyBorder="1" applyAlignment="1">
      <alignment wrapText="1"/>
    </xf>
    <xf numFmtId="8" fontId="39" fillId="0" borderId="12" xfId="0" applyNumberFormat="1" applyFont="1" applyBorder="1"/>
    <xf numFmtId="0" fontId="31" fillId="0" borderId="64" xfId="0" applyFont="1" applyBorder="1"/>
    <xf numFmtId="0" fontId="41" fillId="12" borderId="12" xfId="0" applyFont="1" applyFill="1" applyBorder="1"/>
    <xf numFmtId="0" fontId="40" fillId="12" borderId="12" xfId="0" applyFont="1" applyFill="1" applyBorder="1" applyAlignment="1">
      <alignment wrapText="1"/>
    </xf>
    <xf numFmtId="0" fontId="65" fillId="12" borderId="12" xfId="0" applyFont="1" applyFill="1" applyBorder="1" applyAlignment="1">
      <alignment wrapText="1"/>
    </xf>
    <xf numFmtId="0" fontId="65" fillId="0" borderId="12" xfId="0" applyFont="1" applyBorder="1" applyAlignment="1">
      <alignment wrapText="1"/>
    </xf>
    <xf numFmtId="0" fontId="31" fillId="0" borderId="92" xfId="0" applyFont="1" applyBorder="1"/>
    <xf numFmtId="8" fontId="30" fillId="0" borderId="12" xfId="0" applyNumberFormat="1" applyFont="1" applyBorder="1"/>
    <xf numFmtId="0" fontId="69" fillId="0" borderId="0" xfId="3" applyFont="1" applyFill="1" applyBorder="1" applyAlignment="1"/>
    <xf numFmtId="0" fontId="8" fillId="9" borderId="21" xfId="0" applyFont="1" applyFill="1" applyBorder="1" applyAlignment="1">
      <alignment horizontal="left" vertical="center"/>
    </xf>
    <xf numFmtId="0" fontId="29" fillId="0" borderId="21" xfId="0" applyFont="1" applyBorder="1" applyAlignment="1">
      <alignment horizontal="left" vertical="center" wrapText="1"/>
    </xf>
    <xf numFmtId="166" fontId="30" fillId="0" borderId="12" xfId="1" applyNumberFormat="1" applyFont="1" applyBorder="1" applyAlignment="1">
      <alignment horizontal="center" vertical="center" wrapText="1"/>
    </xf>
    <xf numFmtId="0" fontId="15" fillId="0" borderId="60" xfId="0" applyFont="1" applyBorder="1" applyAlignment="1">
      <alignment horizontal="left" indent="4"/>
    </xf>
    <xf numFmtId="0" fontId="36" fillId="0" borderId="74" xfId="0" applyFont="1" applyBorder="1" applyAlignment="1">
      <alignment horizontal="left" vertical="center" wrapText="1"/>
    </xf>
    <xf numFmtId="0" fontId="30" fillId="10" borderId="13" xfId="0" applyFont="1" applyFill="1" applyBorder="1" applyAlignment="1">
      <alignment horizontal="right" vertical="center"/>
    </xf>
    <xf numFmtId="0" fontId="31" fillId="10" borderId="21" xfId="0" applyFont="1" applyFill="1" applyBorder="1"/>
    <xf numFmtId="0" fontId="15" fillId="0" borderId="26" xfId="0" applyFont="1" applyBorder="1" applyAlignment="1">
      <alignment horizontal="center" vertical="center"/>
    </xf>
    <xf numFmtId="166" fontId="15" fillId="0" borderId="27" xfId="1" applyNumberFormat="1" applyFont="1" applyBorder="1" applyAlignment="1">
      <alignment horizontal="center" vertical="center"/>
    </xf>
    <xf numFmtId="0" fontId="15" fillId="0" borderId="23" xfId="0" applyFont="1" applyBorder="1" applyAlignment="1">
      <alignment horizontal="left" vertical="center"/>
    </xf>
    <xf numFmtId="0" fontId="15" fillId="6" borderId="15" xfId="0" applyFont="1" applyFill="1" applyBorder="1" applyAlignment="1">
      <alignment vertical="center"/>
    </xf>
    <xf numFmtId="0" fontId="15" fillId="6" borderId="31" xfId="0" applyFont="1" applyFill="1" applyBorder="1" applyAlignment="1">
      <alignment vertical="center"/>
    </xf>
    <xf numFmtId="0" fontId="15" fillId="0" borderId="15" xfId="0" applyFont="1" applyBorder="1" applyAlignment="1">
      <alignment vertical="center"/>
    </xf>
    <xf numFmtId="0" fontId="15" fillId="0" borderId="13" xfId="0" applyFont="1" applyBorder="1" applyAlignment="1">
      <alignment vertical="center"/>
    </xf>
    <xf numFmtId="0" fontId="12" fillId="10" borderId="35" xfId="0" applyFont="1" applyFill="1" applyBorder="1" applyAlignment="1">
      <alignment horizontal="center" vertical="center" wrapText="1"/>
    </xf>
    <xf numFmtId="0" fontId="91" fillId="10" borderId="35" xfId="0" applyFont="1" applyFill="1" applyBorder="1" applyAlignment="1">
      <alignment horizontal="center" vertical="center" wrapText="1"/>
    </xf>
    <xf numFmtId="0" fontId="12" fillId="10" borderId="35" xfId="0" applyFont="1" applyFill="1" applyBorder="1" applyAlignment="1">
      <alignment horizontal="center" vertical="center"/>
    </xf>
    <xf numFmtId="0" fontId="15" fillId="0" borderId="35" xfId="0" applyFont="1" applyBorder="1" applyAlignment="1">
      <alignment vertical="center" wrapText="1"/>
    </xf>
    <xf numFmtId="0" fontId="92" fillId="0" borderId="35" xfId="0" applyFont="1" applyBorder="1" applyAlignment="1">
      <alignment vertical="center"/>
    </xf>
    <xf numFmtId="0" fontId="92" fillId="0" borderId="35" xfId="0" applyFont="1" applyBorder="1" applyAlignment="1">
      <alignment vertical="center" wrapText="1"/>
    </xf>
    <xf numFmtId="0" fontId="17" fillId="0" borderId="35" xfId="0" applyFont="1" applyBorder="1" applyAlignment="1">
      <alignment vertical="center" wrapText="1"/>
    </xf>
    <xf numFmtId="0" fontId="12" fillId="10" borderId="35" xfId="0" applyFont="1" applyFill="1" applyBorder="1" applyAlignment="1">
      <alignment vertical="center" wrapText="1"/>
    </xf>
    <xf numFmtId="0" fontId="91" fillId="10" borderId="35" xfId="0" applyFont="1" applyFill="1" applyBorder="1" applyAlignment="1">
      <alignment vertical="center" wrapText="1"/>
    </xf>
    <xf numFmtId="0" fontId="12" fillId="10" borderId="35" xfId="0" applyFont="1" applyFill="1" applyBorder="1" applyAlignment="1">
      <alignment vertical="center"/>
    </xf>
    <xf numFmtId="0" fontId="17" fillId="0" borderId="16" xfId="0" applyFont="1" applyBorder="1" applyAlignment="1">
      <alignment vertical="center" wrapText="1"/>
    </xf>
    <xf numFmtId="0" fontId="15" fillId="0" borderId="16" xfId="0" applyFont="1" applyBorder="1" applyAlignment="1">
      <alignment vertical="center" wrapText="1"/>
    </xf>
    <xf numFmtId="0" fontId="15" fillId="0" borderId="40" xfId="0" applyFont="1" applyBorder="1" applyAlignment="1">
      <alignment vertical="center" wrapText="1"/>
    </xf>
    <xf numFmtId="0" fontId="27" fillId="0" borderId="16" xfId="0" applyFont="1" applyBorder="1" applyAlignment="1">
      <alignment vertical="center"/>
    </xf>
    <xf numFmtId="0" fontId="12" fillId="0" borderId="9" xfId="0" applyFont="1" applyBorder="1" applyAlignment="1">
      <alignment horizontal="center" vertical="center" wrapText="1"/>
    </xf>
    <xf numFmtId="0" fontId="15" fillId="6" borderId="9" xfId="0" applyFont="1" applyFill="1" applyBorder="1" applyAlignment="1">
      <alignment horizontal="center" vertical="center" wrapText="1"/>
    </xf>
    <xf numFmtId="0" fontId="17" fillId="0" borderId="21" xfId="0" applyFont="1" applyBorder="1" applyAlignment="1">
      <alignment vertical="center" wrapText="1"/>
    </xf>
    <xf numFmtId="0" fontId="15" fillId="0" borderId="21" xfId="0" applyFont="1" applyBorder="1" applyAlignment="1">
      <alignment vertical="center" wrapText="1"/>
    </xf>
    <xf numFmtId="0" fontId="17" fillId="0" borderId="0" xfId="0" applyFont="1" applyAlignment="1">
      <alignment vertical="center"/>
    </xf>
    <xf numFmtId="0" fontId="27" fillId="0" borderId="41" xfId="0" applyFont="1" applyBorder="1" applyAlignment="1">
      <alignment vertical="center"/>
    </xf>
    <xf numFmtId="0" fontId="8" fillId="9" borderId="76" xfId="0" applyFont="1" applyFill="1" applyBorder="1" applyAlignment="1">
      <alignment horizontal="left" vertical="center"/>
    </xf>
    <xf numFmtId="0" fontId="31" fillId="0" borderId="100" xfId="0" applyFont="1" applyBorder="1"/>
    <xf numFmtId="166" fontId="12" fillId="10" borderId="34" xfId="1" applyNumberFormat="1" applyFont="1" applyFill="1" applyBorder="1" applyAlignment="1">
      <alignment horizontal="left" vertical="center"/>
    </xf>
    <xf numFmtId="166" fontId="15" fillId="10" borderId="34" xfId="1" applyNumberFormat="1" applyFont="1" applyFill="1" applyBorder="1" applyAlignment="1">
      <alignment horizontal="center" vertical="center"/>
    </xf>
    <xf numFmtId="0" fontId="12" fillId="10" borderId="101" xfId="0" applyFont="1" applyFill="1" applyBorder="1" applyAlignment="1">
      <alignment horizontal="right" vertical="center"/>
    </xf>
    <xf numFmtId="0" fontId="12" fillId="10" borderId="73" xfId="0" applyFont="1" applyFill="1" applyBorder="1" applyAlignment="1">
      <alignment horizontal="left"/>
    </xf>
    <xf numFmtId="166" fontId="15" fillId="10" borderId="21" xfId="1" applyNumberFormat="1" applyFont="1" applyFill="1" applyBorder="1" applyAlignment="1">
      <alignment horizontal="center" vertical="center"/>
    </xf>
    <xf numFmtId="0" fontId="12" fillId="10" borderId="21" xfId="0" applyFont="1" applyFill="1" applyBorder="1" applyAlignment="1">
      <alignment horizontal="right" vertical="center"/>
    </xf>
    <xf numFmtId="0" fontId="12" fillId="10" borderId="74" xfId="0" applyFont="1" applyFill="1" applyBorder="1" applyAlignment="1">
      <alignment horizontal="left"/>
    </xf>
    <xf numFmtId="164" fontId="15" fillId="8" borderId="55" xfId="0" applyNumberFormat="1" applyFont="1" applyFill="1" applyBorder="1" applyAlignment="1">
      <alignment horizontal="center" vertical="center"/>
    </xf>
    <xf numFmtId="165" fontId="15" fillId="10" borderId="70" xfId="0" applyNumberFormat="1" applyFont="1" applyFill="1" applyBorder="1" applyAlignment="1">
      <alignment horizontal="right"/>
    </xf>
    <xf numFmtId="7" fontId="19" fillId="10" borderId="55" xfId="1" applyNumberFormat="1" applyFont="1" applyFill="1" applyBorder="1"/>
    <xf numFmtId="0" fontId="12" fillId="10" borderId="21" xfId="0" applyFont="1" applyFill="1" applyBorder="1" applyAlignment="1">
      <alignment horizontal="left" vertical="center"/>
    </xf>
    <xf numFmtId="0" fontId="31" fillId="0" borderId="21" xfId="0" applyFont="1" applyBorder="1" applyAlignment="1">
      <alignment vertical="center" wrapText="1"/>
    </xf>
    <xf numFmtId="0" fontId="30" fillId="10" borderId="21" xfId="0" applyFont="1" applyFill="1" applyBorder="1"/>
    <xf numFmtId="0" fontId="15" fillId="10" borderId="55" xfId="0" applyFont="1" applyFill="1" applyBorder="1"/>
    <xf numFmtId="0" fontId="31" fillId="10" borderId="35" xfId="0" applyFont="1" applyFill="1" applyBorder="1"/>
    <xf numFmtId="8" fontId="35" fillId="10" borderId="16" xfId="0" applyNumberFormat="1" applyFont="1" applyFill="1" applyBorder="1"/>
    <xf numFmtId="0" fontId="35" fillId="10" borderId="37" xfId="0" applyFont="1" applyFill="1" applyBorder="1"/>
    <xf numFmtId="0" fontId="35" fillId="10" borderId="21" xfId="0" applyFont="1" applyFill="1" applyBorder="1"/>
    <xf numFmtId="0" fontId="31" fillId="0" borderId="76" xfId="0" applyFont="1" applyBorder="1"/>
    <xf numFmtId="0" fontId="31" fillId="0" borderId="74" xfId="0" applyFont="1" applyBorder="1"/>
    <xf numFmtId="0" fontId="60" fillId="10" borderId="35" xfId="0" applyFont="1" applyFill="1" applyBorder="1" applyAlignment="1">
      <alignment horizontal="center"/>
    </xf>
    <xf numFmtId="166" fontId="31" fillId="0" borderId="12" xfId="1" applyNumberFormat="1" applyFont="1" applyBorder="1" applyAlignment="1">
      <alignment horizontal="center" vertical="center" wrapText="1"/>
    </xf>
    <xf numFmtId="0" fontId="30" fillId="0" borderId="79" xfId="0" applyFont="1" applyBorder="1" applyAlignment="1">
      <alignment horizontal="center" vertical="center" wrapText="1"/>
    </xf>
    <xf numFmtId="0" fontId="94" fillId="9" borderId="21" xfId="0" applyFont="1" applyFill="1" applyBorder="1" applyAlignment="1">
      <alignment horizontal="left" vertical="center"/>
    </xf>
    <xf numFmtId="0" fontId="30" fillId="10" borderId="80" xfId="0" applyFont="1" applyFill="1" applyBorder="1" applyAlignment="1">
      <alignment horizontal="left" vertical="center"/>
    </xf>
    <xf numFmtId="165" fontId="31" fillId="10" borderId="83" xfId="0" applyNumberFormat="1" applyFont="1" applyFill="1" applyBorder="1" applyAlignment="1">
      <alignment horizontal="right"/>
    </xf>
    <xf numFmtId="0" fontId="35" fillId="10" borderId="81" xfId="0" applyFont="1" applyFill="1" applyBorder="1" applyAlignment="1">
      <alignment horizontal="right" vertical="center"/>
    </xf>
    <xf numFmtId="0" fontId="15" fillId="0" borderId="73" xfId="0" applyFont="1" applyBorder="1" applyAlignment="1">
      <alignment horizontal="center" vertical="center"/>
    </xf>
    <xf numFmtId="0" fontId="15" fillId="0" borderId="76" xfId="0" applyFont="1" applyBorder="1" applyAlignment="1">
      <alignment horizontal="left" vertical="center" wrapText="1"/>
    </xf>
    <xf numFmtId="0" fontId="15" fillId="0" borderId="74" xfId="0" applyFont="1" applyBorder="1" applyAlignment="1">
      <alignment horizontal="left" vertical="center"/>
    </xf>
    <xf numFmtId="0" fontId="15" fillId="10" borderId="21" xfId="0" applyFont="1" applyFill="1" applyBorder="1" applyAlignment="1">
      <alignment horizontal="left" vertical="center"/>
    </xf>
    <xf numFmtId="0" fontId="15" fillId="10" borderId="76" xfId="0" applyFont="1" applyFill="1" applyBorder="1" applyAlignment="1">
      <alignment horizontal="left" vertical="center"/>
    </xf>
    <xf numFmtId="0" fontId="31" fillId="0" borderId="36" xfId="0" applyFont="1" applyBorder="1" applyAlignment="1">
      <alignment wrapText="1"/>
    </xf>
    <xf numFmtId="0" fontId="12" fillId="10" borderId="74" xfId="0" applyFont="1" applyFill="1" applyBorder="1" applyAlignment="1">
      <alignment horizontal="left" vertical="center"/>
    </xf>
    <xf numFmtId="0" fontId="15" fillId="10" borderId="74" xfId="0" applyFont="1" applyFill="1" applyBorder="1" applyAlignment="1">
      <alignment horizontal="left" vertical="center"/>
    </xf>
    <xf numFmtId="7" fontId="35" fillId="8" borderId="79" xfId="0" applyNumberFormat="1" applyFont="1" applyFill="1" applyBorder="1"/>
    <xf numFmtId="0" fontId="35" fillId="10" borderId="21" xfId="0" applyFont="1" applyFill="1" applyBorder="1" applyAlignment="1">
      <alignment horizontal="right" vertical="center"/>
    </xf>
    <xf numFmtId="0" fontId="0" fillId="0" borderId="76" xfId="0" applyBorder="1"/>
    <xf numFmtId="0" fontId="93" fillId="0" borderId="21" xfId="0" applyFont="1" applyBorder="1" applyAlignment="1">
      <alignment vertical="center" wrapText="1"/>
    </xf>
    <xf numFmtId="0" fontId="45" fillId="8" borderId="21" xfId="0" applyFont="1" applyFill="1" applyBorder="1" applyAlignment="1">
      <alignment horizontal="left" vertical="center"/>
    </xf>
    <xf numFmtId="0" fontId="47" fillId="8" borderId="21" xfId="0" applyFont="1" applyFill="1" applyBorder="1" applyAlignment="1">
      <alignment horizontal="left" vertical="center"/>
    </xf>
    <xf numFmtId="0" fontId="21" fillId="0" borderId="21" xfId="0" applyFont="1" applyBorder="1" applyAlignment="1">
      <alignment horizontal="left" vertical="center"/>
    </xf>
    <xf numFmtId="166" fontId="30" fillId="0" borderId="36" xfId="1" applyNumberFormat="1" applyFont="1" applyBorder="1" applyAlignment="1">
      <alignment horizontal="center" vertical="center" wrapText="1"/>
    </xf>
    <xf numFmtId="166" fontId="15" fillId="0" borderId="34" xfId="1" applyNumberFormat="1" applyFont="1" applyBorder="1" applyAlignment="1">
      <alignment horizontal="center" vertical="center"/>
    </xf>
    <xf numFmtId="0" fontId="15" fillId="10" borderId="36" xfId="0" applyFont="1" applyFill="1" applyBorder="1" applyAlignment="1">
      <alignment horizontal="left" vertical="center"/>
    </xf>
    <xf numFmtId="0" fontId="15" fillId="0" borderId="78" xfId="0" applyFont="1" applyBorder="1" applyAlignment="1">
      <alignment horizontal="left" vertical="center"/>
    </xf>
    <xf numFmtId="0" fontId="67" fillId="10" borderId="21" xfId="0" applyFont="1" applyFill="1" applyBorder="1" applyAlignment="1">
      <alignment horizontal="left" vertical="center"/>
    </xf>
    <xf numFmtId="0" fontId="93" fillId="10" borderId="21" xfId="0" applyFont="1" applyFill="1" applyBorder="1" applyAlignment="1">
      <alignment horizontal="left" vertical="center"/>
    </xf>
    <xf numFmtId="166" fontId="9" fillId="0" borderId="74" xfId="1" applyNumberFormat="1" applyFont="1" applyBorder="1" applyAlignment="1">
      <alignment horizontal="center" vertical="center"/>
    </xf>
    <xf numFmtId="0" fontId="31" fillId="0" borderId="14" xfId="0" applyFont="1" applyBorder="1" applyAlignment="1">
      <alignment wrapText="1"/>
    </xf>
    <xf numFmtId="0" fontId="30" fillId="10" borderId="35" xfId="0" applyFont="1" applyFill="1" applyBorder="1"/>
    <xf numFmtId="0" fontId="15" fillId="8" borderId="36" xfId="0" applyFont="1" applyFill="1" applyBorder="1" applyAlignment="1">
      <alignment horizontal="left" vertical="center"/>
    </xf>
    <xf numFmtId="0" fontId="15" fillId="8" borderId="78" xfId="0" applyFont="1" applyFill="1" applyBorder="1" applyAlignment="1">
      <alignment horizontal="left" vertical="center"/>
    </xf>
    <xf numFmtId="0" fontId="15" fillId="0" borderId="34" xfId="0" applyFont="1" applyBorder="1" applyAlignment="1">
      <alignment horizontal="left" vertical="center"/>
    </xf>
    <xf numFmtId="0" fontId="34" fillId="10" borderId="35" xfId="0" applyFont="1" applyFill="1" applyBorder="1"/>
    <xf numFmtId="0" fontId="15" fillId="10" borderId="78" xfId="0" applyFont="1" applyFill="1" applyBorder="1" applyAlignment="1">
      <alignment horizontal="left" vertical="center"/>
    </xf>
    <xf numFmtId="0" fontId="0" fillId="8" borderId="36" xfId="0" applyFill="1" applyBorder="1"/>
    <xf numFmtId="0" fontId="0" fillId="10" borderId="12" xfId="0" applyFill="1" applyBorder="1"/>
    <xf numFmtId="0" fontId="31" fillId="8" borderId="83" xfId="0" applyFont="1" applyFill="1" applyBorder="1" applyAlignment="1">
      <alignment horizontal="right"/>
    </xf>
    <xf numFmtId="0" fontId="30" fillId="10" borderId="21" xfId="0" applyFont="1" applyFill="1" applyBorder="1" applyAlignment="1">
      <alignment horizontal="left" vertical="center"/>
    </xf>
    <xf numFmtId="0" fontId="0" fillId="0" borderId="14" xfId="0" applyBorder="1"/>
    <xf numFmtId="7" fontId="35" fillId="8" borderId="110" xfId="0" applyNumberFormat="1" applyFont="1" applyFill="1" applyBorder="1"/>
    <xf numFmtId="0" fontId="0" fillId="0" borderId="64" xfId="0" applyBorder="1"/>
    <xf numFmtId="0" fontId="0" fillId="0" borderId="9" xfId="0" applyBorder="1"/>
    <xf numFmtId="0" fontId="15" fillId="0" borderId="55" xfId="0" applyFont="1" applyBorder="1" applyAlignment="1">
      <alignment horizontal="center"/>
    </xf>
    <xf numFmtId="0" fontId="12" fillId="10" borderId="54" xfId="0" applyFont="1" applyFill="1" applyBorder="1" applyAlignment="1">
      <alignment vertical="center" wrapText="1"/>
    </xf>
    <xf numFmtId="0" fontId="15" fillId="10" borderId="55" xfId="0" applyFont="1" applyFill="1" applyBorder="1" applyAlignment="1">
      <alignment horizontal="right"/>
    </xf>
    <xf numFmtId="44" fontId="15" fillId="10" borderId="55" xfId="1" applyFont="1" applyFill="1" applyBorder="1" applyAlignment="1">
      <alignment horizontal="right"/>
    </xf>
    <xf numFmtId="166" fontId="15" fillId="0" borderId="22" xfId="1" applyNumberFormat="1" applyFont="1" applyBorder="1" applyAlignment="1">
      <alignment horizontal="left" vertical="center"/>
    </xf>
    <xf numFmtId="0" fontId="95" fillId="0" borderId="21" xfId="0" applyFont="1" applyBorder="1" applyAlignment="1">
      <alignment horizontal="left" vertical="center" wrapText="1"/>
    </xf>
    <xf numFmtId="166" fontId="15" fillId="0" borderId="21" xfId="1" applyNumberFormat="1" applyFont="1" applyBorder="1" applyAlignment="1">
      <alignment horizontal="left" vertical="center"/>
    </xf>
    <xf numFmtId="0" fontId="95" fillId="0" borderId="21" xfId="0" applyFont="1" applyBorder="1" applyAlignment="1">
      <alignment horizontal="left" vertical="center"/>
    </xf>
    <xf numFmtId="0" fontId="96" fillId="0" borderId="21" xfId="0" applyFont="1" applyBorder="1" applyAlignment="1">
      <alignment horizontal="left" vertical="center"/>
    </xf>
    <xf numFmtId="0" fontId="65" fillId="0" borderId="21" xfId="0" applyFont="1" applyBorder="1" applyAlignment="1">
      <alignment horizontal="left" vertical="center"/>
    </xf>
    <xf numFmtId="0" fontId="86" fillId="0" borderId="21" xfId="0" applyFont="1" applyBorder="1" applyAlignment="1">
      <alignment horizontal="left" vertical="center"/>
    </xf>
    <xf numFmtId="166" fontId="15" fillId="10" borderId="21" xfId="1" applyNumberFormat="1" applyFont="1" applyFill="1" applyBorder="1" applyAlignment="1">
      <alignment horizontal="left" vertical="center"/>
    </xf>
    <xf numFmtId="166" fontId="22" fillId="0" borderId="21" xfId="1" applyNumberFormat="1" applyFont="1" applyBorder="1" applyAlignment="1">
      <alignment horizontal="left"/>
    </xf>
    <xf numFmtId="0" fontId="95" fillId="0" borderId="26" xfId="0" applyFont="1" applyBorder="1" applyAlignment="1">
      <alignment horizontal="center" vertical="center"/>
    </xf>
    <xf numFmtId="0" fontId="15" fillId="0" borderId="23" xfId="0" applyFont="1" applyBorder="1" applyAlignment="1">
      <alignment horizontal="center" vertical="center"/>
    </xf>
    <xf numFmtId="0" fontId="33" fillId="10" borderId="22" xfId="0" applyFont="1" applyFill="1" applyBorder="1" applyAlignment="1">
      <alignment horizontal="center"/>
    </xf>
    <xf numFmtId="0" fontId="30" fillId="10" borderId="22" xfId="0" applyFont="1" applyFill="1" applyBorder="1" applyAlignment="1">
      <alignment vertical="center"/>
    </xf>
    <xf numFmtId="0" fontId="31" fillId="10" borderId="22" xfId="0" applyFont="1" applyFill="1" applyBorder="1" applyAlignment="1">
      <alignment horizontal="center"/>
    </xf>
    <xf numFmtId="0" fontId="31" fillId="0" borderId="21" xfId="0" applyFont="1" applyBorder="1" applyAlignment="1">
      <alignment horizontal="center"/>
    </xf>
    <xf numFmtId="0" fontId="57" fillId="0" borderId="73" xfId="0" applyFont="1" applyBorder="1" applyAlignment="1">
      <alignment horizontal="left" vertical="center"/>
    </xf>
    <xf numFmtId="0" fontId="31" fillId="0" borderId="100" xfId="0" applyFont="1" applyBorder="1" applyAlignment="1">
      <alignment horizontal="center"/>
    </xf>
    <xf numFmtId="8" fontId="31" fillId="10" borderId="22" xfId="0" applyNumberFormat="1" applyFont="1" applyFill="1" applyBorder="1" applyAlignment="1">
      <alignment horizontal="center"/>
    </xf>
    <xf numFmtId="8" fontId="30" fillId="10" borderId="22" xfId="0" applyNumberFormat="1" applyFont="1" applyFill="1" applyBorder="1" applyAlignment="1">
      <alignment horizontal="center"/>
    </xf>
    <xf numFmtId="0" fontId="30" fillId="0" borderId="21" xfId="0" applyFont="1" applyBorder="1" applyAlignment="1">
      <alignment horizontal="center" vertical="center" wrapText="1"/>
    </xf>
    <xf numFmtId="0" fontId="31" fillId="10" borderId="21" xfId="0" applyFont="1" applyFill="1" applyBorder="1" applyAlignment="1">
      <alignment horizontal="center"/>
    </xf>
    <xf numFmtId="0" fontId="30" fillId="10" borderId="21" xfId="0" applyFont="1" applyFill="1" applyBorder="1" applyAlignment="1">
      <alignment vertical="center"/>
    </xf>
    <xf numFmtId="0" fontId="30" fillId="10" borderId="41" xfId="0" applyFont="1" applyFill="1" applyBorder="1" applyAlignment="1">
      <alignment vertical="center"/>
    </xf>
    <xf numFmtId="8" fontId="30" fillId="10" borderId="91" xfId="0" applyNumberFormat="1" applyFont="1" applyFill="1" applyBorder="1" applyAlignment="1">
      <alignment horizontal="center"/>
    </xf>
    <xf numFmtId="0" fontId="93" fillId="10" borderId="35" xfId="0" applyFont="1" applyFill="1" applyBorder="1" applyAlignment="1">
      <alignment vertical="center"/>
    </xf>
    <xf numFmtId="0" fontId="31" fillId="10" borderId="35" xfId="0" applyFont="1" applyFill="1" applyBorder="1" applyAlignment="1">
      <alignment horizontal="center"/>
    </xf>
    <xf numFmtId="0" fontId="34" fillId="10" borderId="35" xfId="0" applyFont="1" applyFill="1" applyBorder="1" applyAlignment="1">
      <alignment vertical="center"/>
    </xf>
    <xf numFmtId="0" fontId="41" fillId="10" borderId="35" xfId="0" applyFont="1" applyFill="1" applyBorder="1" applyAlignment="1">
      <alignment vertical="center"/>
    </xf>
    <xf numFmtId="0" fontId="30" fillId="0" borderId="41" xfId="0" applyFont="1" applyBorder="1" applyAlignment="1">
      <alignment vertical="center" wrapText="1"/>
    </xf>
    <xf numFmtId="0" fontId="13" fillId="8" borderId="54" xfId="0" applyFont="1" applyFill="1" applyBorder="1" applyAlignment="1">
      <alignment vertical="center"/>
    </xf>
    <xf numFmtId="0" fontId="10" fillId="8" borderId="54" xfId="0" applyFont="1" applyFill="1" applyBorder="1" applyAlignment="1">
      <alignment horizontal="left" vertical="top"/>
    </xf>
    <xf numFmtId="0" fontId="10" fillId="8" borderId="54" xfId="0" applyFont="1" applyFill="1" applyBorder="1" applyAlignment="1">
      <alignment horizontal="left" vertical="center"/>
    </xf>
    <xf numFmtId="0" fontId="10" fillId="8" borderId="54" xfId="0" applyFont="1" applyFill="1" applyBorder="1" applyAlignment="1">
      <alignment vertical="center" wrapText="1"/>
    </xf>
    <xf numFmtId="0" fontId="15" fillId="8" borderId="54" xfId="0" applyFont="1" applyFill="1" applyBorder="1" applyAlignment="1">
      <alignment horizontal="center" vertical="center" wrapText="1"/>
    </xf>
    <xf numFmtId="0" fontId="15" fillId="8" borderId="54" xfId="0" applyFont="1" applyFill="1" applyBorder="1" applyAlignment="1">
      <alignment vertical="center" wrapText="1"/>
    </xf>
    <xf numFmtId="165" fontId="12" fillId="8" borderId="54" xfId="0" applyNumberFormat="1" applyFont="1" applyFill="1" applyBorder="1" applyAlignment="1">
      <alignment horizontal="center" vertical="center" wrapText="1"/>
    </xf>
    <xf numFmtId="0" fontId="16" fillId="8" borderId="61" xfId="0" applyFont="1" applyFill="1" applyBorder="1"/>
    <xf numFmtId="0" fontId="16" fillId="8" borderId="54" xfId="0" applyFont="1" applyFill="1" applyBorder="1" applyAlignment="1">
      <alignment horizontal="left" indent="5"/>
    </xf>
    <xf numFmtId="0" fontId="15" fillId="8" borderId="54" xfId="0" applyFont="1" applyFill="1" applyBorder="1" applyAlignment="1">
      <alignment horizontal="left"/>
    </xf>
    <xf numFmtId="0" fontId="16" fillId="8" borderId="54" xfId="0" applyFont="1" applyFill="1" applyBorder="1" applyAlignment="1">
      <alignment horizontal="center"/>
    </xf>
    <xf numFmtId="165" fontId="12" fillId="10" borderId="54" xfId="0" applyNumberFormat="1" applyFont="1" applyFill="1" applyBorder="1" applyAlignment="1">
      <alignment horizontal="center" vertical="center"/>
    </xf>
    <xf numFmtId="0" fontId="15" fillId="10" borderId="54" xfId="0" applyFont="1" applyFill="1" applyBorder="1" applyAlignment="1">
      <alignment horizontal="left"/>
    </xf>
    <xf numFmtId="0" fontId="21" fillId="10" borderId="54" xfId="0" applyFont="1" applyFill="1" applyBorder="1" applyAlignment="1">
      <alignment horizontal="left" wrapText="1"/>
    </xf>
    <xf numFmtId="0" fontId="21" fillId="10" borderId="54" xfId="0" applyFont="1" applyFill="1" applyBorder="1" applyAlignment="1">
      <alignment wrapText="1"/>
    </xf>
    <xf numFmtId="0" fontId="48" fillId="10" borderId="54" xfId="0" applyFont="1" applyFill="1" applyBorder="1" applyAlignment="1">
      <alignment horizontal="center" vertical="center" wrapText="1"/>
    </xf>
    <xf numFmtId="0" fontId="16" fillId="10" borderId="54" xfId="0" applyFont="1" applyFill="1" applyBorder="1"/>
    <xf numFmtId="0" fontId="93" fillId="10" borderId="54" xfId="0" applyFont="1" applyFill="1" applyBorder="1" applyAlignment="1">
      <alignment horizontal="left"/>
    </xf>
    <xf numFmtId="0" fontId="93" fillId="10" borderId="54" xfId="0" applyFont="1" applyFill="1" applyBorder="1" applyAlignment="1">
      <alignment horizontal="right"/>
    </xf>
    <xf numFmtId="165" fontId="15" fillId="10" borderId="54" xfId="0" applyNumberFormat="1" applyFont="1" applyFill="1" applyBorder="1" applyAlignment="1">
      <alignment horizontal="center" vertical="center" wrapText="1"/>
    </xf>
    <xf numFmtId="0" fontId="12" fillId="10" borderId="54" xfId="0" applyFont="1" applyFill="1" applyBorder="1"/>
    <xf numFmtId="0" fontId="15" fillId="10" borderId="54" xfId="0" applyFont="1" applyFill="1" applyBorder="1" applyAlignment="1">
      <alignment horizontal="center" vertical="center" wrapText="1"/>
    </xf>
    <xf numFmtId="0" fontId="15" fillId="10" borderId="54" xfId="0" applyFont="1" applyFill="1" applyBorder="1" applyAlignment="1">
      <alignment vertical="center" wrapText="1"/>
    </xf>
    <xf numFmtId="0" fontId="98" fillId="0" borderId="54" xfId="0" applyFont="1" applyBorder="1" applyAlignment="1">
      <alignment vertical="center"/>
    </xf>
    <xf numFmtId="0" fontId="36" fillId="0" borderId="21" xfId="0" applyFont="1" applyBorder="1"/>
    <xf numFmtId="0" fontId="30" fillId="10" borderId="0" xfId="0" applyFont="1" applyFill="1"/>
    <xf numFmtId="0" fontId="93" fillId="8" borderId="21" xfId="0" applyFont="1" applyFill="1" applyBorder="1" applyAlignment="1">
      <alignment horizontal="right"/>
    </xf>
    <xf numFmtId="165" fontId="12" fillId="8" borderId="21" xfId="0" applyNumberFormat="1" applyFont="1" applyFill="1" applyBorder="1" applyAlignment="1">
      <alignment horizontal="center" vertical="center"/>
    </xf>
    <xf numFmtId="0" fontId="93" fillId="10" borderId="111" xfId="0" applyFont="1" applyFill="1" applyBorder="1" applyAlignment="1">
      <alignment horizontal="right"/>
    </xf>
    <xf numFmtId="165" fontId="12" fillId="10" borderId="111" xfId="0" applyNumberFormat="1" applyFont="1" applyFill="1" applyBorder="1" applyAlignment="1">
      <alignment horizontal="center" vertical="center"/>
    </xf>
    <xf numFmtId="0" fontId="99" fillId="0" borderId="12" xfId="0" applyFont="1" applyBorder="1"/>
    <xf numFmtId="0" fontId="99" fillId="10" borderId="12" xfId="0" applyFont="1" applyFill="1" applyBorder="1"/>
    <xf numFmtId="8" fontId="31" fillId="10" borderId="12" xfId="0" applyNumberFormat="1" applyFont="1" applyFill="1" applyBorder="1"/>
    <xf numFmtId="0" fontId="37" fillId="0" borderId="76" xfId="0" applyFont="1" applyBorder="1" applyAlignment="1">
      <alignment horizontal="center" vertical="center"/>
    </xf>
    <xf numFmtId="0" fontId="36" fillId="0" borderId="13" xfId="0" applyFont="1" applyBorder="1" applyAlignment="1">
      <alignment wrapText="1"/>
    </xf>
    <xf numFmtId="8" fontId="30" fillId="10" borderId="12" xfId="0" applyNumberFormat="1" applyFont="1" applyFill="1" applyBorder="1"/>
    <xf numFmtId="0" fontId="41" fillId="10" borderId="12" xfId="0" applyFont="1" applyFill="1" applyBorder="1"/>
    <xf numFmtId="0" fontId="31" fillId="10" borderId="12" xfId="0" applyFont="1" applyFill="1" applyBorder="1"/>
    <xf numFmtId="0" fontId="30" fillId="10" borderId="12" xfId="0" applyFont="1" applyFill="1" applyBorder="1"/>
    <xf numFmtId="0" fontId="41" fillId="10" borderId="9" xfId="0" applyFont="1" applyFill="1" applyBorder="1"/>
    <xf numFmtId="0" fontId="30" fillId="10" borderId="21" xfId="0" applyFont="1" applyFill="1" applyBorder="1" applyAlignment="1">
      <alignment horizontal="right"/>
    </xf>
    <xf numFmtId="0" fontId="36" fillId="0" borderId="15" xfId="0" applyFont="1" applyBorder="1" applyAlignment="1">
      <alignment wrapText="1"/>
    </xf>
    <xf numFmtId="0" fontId="30" fillId="0" borderId="76" xfId="0" applyFont="1" applyBorder="1" applyAlignment="1">
      <alignment horizontal="center" vertical="center" wrapText="1"/>
    </xf>
    <xf numFmtId="0" fontId="37" fillId="0" borderId="109" xfId="0" applyFont="1" applyBorder="1" applyAlignment="1">
      <alignment horizontal="center" vertical="center"/>
    </xf>
    <xf numFmtId="0" fontId="37" fillId="0" borderId="110" xfId="0" applyFont="1" applyBorder="1" applyAlignment="1">
      <alignment horizontal="center" vertical="center"/>
    </xf>
    <xf numFmtId="0" fontId="59" fillId="0" borderId="21" xfId="0" applyFont="1" applyBorder="1"/>
    <xf numFmtId="14" fontId="37" fillId="0" borderId="112" xfId="0" applyNumberFormat="1" applyFont="1" applyBorder="1" applyAlignment="1">
      <alignment horizontal="center" vertical="center"/>
    </xf>
    <xf numFmtId="0" fontId="30" fillId="0" borderId="74" xfId="0" applyFont="1" applyBorder="1" applyAlignment="1">
      <alignment vertical="top" wrapText="1"/>
    </xf>
    <xf numFmtId="0" fontId="30" fillId="0" borderId="113" xfId="0" applyFont="1" applyBorder="1" applyAlignment="1">
      <alignment vertical="center" wrapText="1"/>
    </xf>
    <xf numFmtId="0" fontId="31" fillId="8" borderId="26" xfId="0" applyFont="1" applyFill="1" applyBorder="1" applyAlignment="1">
      <alignment wrapText="1"/>
    </xf>
    <xf numFmtId="0" fontId="31" fillId="8" borderId="23" xfId="0" applyFont="1" applyFill="1" applyBorder="1" applyAlignment="1">
      <alignment wrapText="1"/>
    </xf>
    <xf numFmtId="0" fontId="31" fillId="8" borderId="85" xfId="0" applyFont="1" applyFill="1" applyBorder="1" applyAlignment="1">
      <alignment horizontal="right"/>
    </xf>
    <xf numFmtId="0" fontId="31" fillId="8" borderId="45" xfId="0" applyFont="1" applyFill="1" applyBorder="1"/>
    <xf numFmtId="0" fontId="31" fillId="8" borderId="21" xfId="0" applyFont="1" applyFill="1" applyBorder="1" applyAlignment="1">
      <alignment horizontal="right"/>
    </xf>
    <xf numFmtId="0" fontId="31" fillId="8" borderId="80" xfId="0" applyFont="1" applyFill="1" applyBorder="1" applyAlignment="1">
      <alignment horizontal="left" vertical="center" wrapText="1"/>
    </xf>
    <xf numFmtId="0" fontId="37" fillId="8" borderId="91" xfId="0" applyFont="1" applyFill="1" applyBorder="1" applyAlignment="1">
      <alignment horizontal="center" vertical="center" wrapText="1"/>
    </xf>
    <xf numFmtId="0" fontId="30" fillId="10" borderId="75" xfId="0" applyFont="1" applyFill="1" applyBorder="1" applyAlignment="1">
      <alignment vertical="center"/>
    </xf>
    <xf numFmtId="0" fontId="31" fillId="0" borderId="21" xfId="0" applyFont="1" applyBorder="1" applyAlignment="1">
      <alignment horizontal="center" vertical="center"/>
    </xf>
    <xf numFmtId="0" fontId="31" fillId="0" borderId="24" xfId="0" applyFont="1" applyBorder="1" applyAlignment="1">
      <alignment wrapText="1"/>
    </xf>
    <xf numFmtId="0" fontId="31" fillId="0" borderId="74" xfId="0" applyFont="1" applyBorder="1" applyAlignment="1">
      <alignment horizontal="center" vertical="center" wrapText="1"/>
    </xf>
    <xf numFmtId="0" fontId="16" fillId="8" borderId="0" xfId="0" applyFont="1" applyFill="1" applyAlignment="1">
      <alignment horizontal="left" vertical="center"/>
    </xf>
    <xf numFmtId="166" fontId="16" fillId="0" borderId="21" xfId="1" applyNumberFormat="1" applyFont="1" applyBorder="1"/>
    <xf numFmtId="166" fontId="15" fillId="8" borderId="21" xfId="1" applyNumberFormat="1" applyFont="1" applyFill="1" applyBorder="1" applyAlignment="1">
      <alignment horizontal="left" vertical="center"/>
    </xf>
    <xf numFmtId="166" fontId="15" fillId="0" borderId="48" xfId="1" applyNumberFormat="1" applyFont="1" applyBorder="1" applyAlignment="1">
      <alignment horizontal="left" vertical="center"/>
    </xf>
    <xf numFmtId="166" fontId="16" fillId="0" borderId="74" xfId="1" applyNumberFormat="1" applyFont="1" applyBorder="1"/>
    <xf numFmtId="166" fontId="16" fillId="0" borderId="76" xfId="1" applyNumberFormat="1" applyFont="1" applyBorder="1"/>
    <xf numFmtId="166" fontId="19" fillId="0" borderId="21" xfId="1" applyNumberFormat="1" applyFont="1" applyBorder="1" applyAlignment="1">
      <alignment horizontal="left" vertical="center"/>
    </xf>
    <xf numFmtId="166" fontId="19" fillId="10" borderId="115" xfId="1" applyNumberFormat="1" applyFont="1" applyFill="1" applyBorder="1"/>
    <xf numFmtId="0" fontId="30" fillId="10" borderId="109" xfId="0" applyFont="1" applyFill="1" applyBorder="1" applyAlignment="1">
      <alignment horizontal="left" vertical="center"/>
    </xf>
    <xf numFmtId="0" fontId="12" fillId="10" borderId="49" xfId="0" applyFont="1" applyFill="1" applyBorder="1" applyAlignment="1">
      <alignment horizontal="right" vertical="center"/>
    </xf>
    <xf numFmtId="0" fontId="12" fillId="10" borderId="114" xfId="0" applyFont="1" applyFill="1" applyBorder="1" applyAlignment="1">
      <alignment horizontal="right" vertical="center"/>
    </xf>
    <xf numFmtId="0" fontId="15" fillId="0" borderId="45" xfId="0" applyFont="1" applyBorder="1" applyAlignment="1">
      <alignment horizontal="left" vertical="center"/>
    </xf>
    <xf numFmtId="0" fontId="15" fillId="0" borderId="27" xfId="0" applyFont="1" applyBorder="1" applyAlignment="1">
      <alignment horizontal="left" vertical="center"/>
    </xf>
    <xf numFmtId="0" fontId="17" fillId="0" borderId="45" xfId="0" applyFont="1" applyBorder="1" applyAlignment="1">
      <alignment horizontal="left" vertical="center"/>
    </xf>
    <xf numFmtId="0" fontId="27" fillId="0" borderId="45" xfId="0" applyFont="1" applyBorder="1" applyAlignment="1">
      <alignment horizontal="left" vertical="center"/>
    </xf>
    <xf numFmtId="0" fontId="31" fillId="0" borderId="36" xfId="0" applyFont="1" applyBorder="1" applyAlignment="1">
      <alignment horizontal="left" wrapText="1"/>
    </xf>
    <xf numFmtId="0" fontId="15" fillId="0" borderId="47" xfId="0" applyFont="1" applyBorder="1" applyAlignment="1">
      <alignment horizontal="left" vertical="center"/>
    </xf>
    <xf numFmtId="0" fontId="15" fillId="13" borderId="36" xfId="0" applyFont="1" applyFill="1" applyBorder="1" applyAlignment="1">
      <alignment vertical="center" wrapText="1"/>
    </xf>
    <xf numFmtId="0" fontId="15" fillId="0" borderId="36" xfId="0" applyFont="1" applyBorder="1" applyAlignment="1">
      <alignment vertical="center" wrapText="1"/>
    </xf>
    <xf numFmtId="0" fontId="15" fillId="0" borderId="51" xfId="0" applyFont="1" applyBorder="1" applyAlignment="1">
      <alignment horizontal="left" vertical="center"/>
    </xf>
    <xf numFmtId="0" fontId="15" fillId="0" borderId="67" xfId="0" applyFont="1" applyBorder="1" applyAlignment="1">
      <alignment vertical="center" wrapText="1"/>
    </xf>
    <xf numFmtId="0" fontId="17" fillId="0" borderId="36" xfId="0" applyFont="1" applyBorder="1" applyAlignment="1">
      <alignment vertical="center" wrapText="1"/>
    </xf>
    <xf numFmtId="0" fontId="21" fillId="10" borderId="34" xfId="0" applyFont="1" applyFill="1" applyBorder="1" applyAlignment="1">
      <alignment horizontal="left" vertical="center"/>
    </xf>
    <xf numFmtId="0" fontId="17" fillId="0" borderId="51" xfId="0" applyFont="1" applyBorder="1" applyAlignment="1">
      <alignment horizontal="left" vertical="center"/>
    </xf>
    <xf numFmtId="0" fontId="15" fillId="0" borderId="57" xfId="0" applyFont="1" applyBorder="1" applyAlignment="1">
      <alignment vertical="center" wrapText="1"/>
    </xf>
    <xf numFmtId="0" fontId="15" fillId="0" borderId="57" xfId="0" applyFont="1" applyBorder="1" applyAlignment="1">
      <alignment horizontal="left" wrapText="1"/>
    </xf>
    <xf numFmtId="0" fontId="15" fillId="13" borderId="57" xfId="0" applyFont="1" applyFill="1" applyBorder="1" applyAlignment="1">
      <alignment vertical="center" wrapText="1"/>
    </xf>
    <xf numFmtId="0" fontId="12" fillId="10" borderId="45" xfId="0" applyFont="1" applyFill="1" applyBorder="1" applyAlignment="1">
      <alignment horizontal="left" vertical="center"/>
    </xf>
    <xf numFmtId="0" fontId="19" fillId="0" borderId="36" xfId="0" applyFont="1" applyBorder="1" applyAlignment="1">
      <alignment horizontal="left" vertical="center"/>
    </xf>
    <xf numFmtId="0" fontId="30" fillId="10" borderId="113" xfId="0" applyFont="1" applyFill="1" applyBorder="1" applyAlignment="1">
      <alignment horizontal="left" vertical="center"/>
    </xf>
    <xf numFmtId="0" fontId="24" fillId="0" borderId="21" xfId="0" applyFont="1" applyBorder="1" applyAlignment="1">
      <alignment horizontal="center" vertical="center" wrapText="1"/>
    </xf>
    <xf numFmtId="0" fontId="34" fillId="10" borderId="9" xfId="0" applyFont="1" applyFill="1" applyBorder="1" applyAlignment="1">
      <alignment horizontal="center" vertical="center"/>
    </xf>
    <xf numFmtId="0" fontId="30" fillId="10" borderId="13" xfId="0" applyFont="1" applyFill="1" applyBorder="1" applyAlignment="1">
      <alignment vertical="center"/>
    </xf>
    <xf numFmtId="0" fontId="31" fillId="10" borderId="9" xfId="0" applyFont="1" applyFill="1" applyBorder="1" applyAlignment="1">
      <alignment horizontal="center" vertical="center"/>
    </xf>
    <xf numFmtId="0" fontId="30" fillId="8" borderId="13" xfId="0" applyFont="1" applyFill="1" applyBorder="1" applyAlignment="1">
      <alignment horizontal="right" vertical="center"/>
    </xf>
    <xf numFmtId="166" fontId="30" fillId="8" borderId="35" xfId="0" applyNumberFormat="1" applyFont="1" applyFill="1" applyBorder="1" applyAlignment="1">
      <alignment vertical="center"/>
    </xf>
    <xf numFmtId="0" fontId="30" fillId="8" borderId="36" xfId="0" applyFont="1" applyFill="1" applyBorder="1" applyAlignment="1">
      <alignment horizontal="center"/>
    </xf>
    <xf numFmtId="0" fontId="31" fillId="0" borderId="73" xfId="0" applyFont="1" applyBorder="1" applyAlignment="1">
      <alignment horizontal="center" vertical="center" wrapText="1"/>
    </xf>
    <xf numFmtId="0" fontId="31" fillId="0" borderId="16" xfId="0" applyFont="1" applyBorder="1"/>
    <xf numFmtId="0" fontId="31" fillId="0" borderId="38" xfId="0" applyFont="1" applyBorder="1" applyAlignment="1">
      <alignment horizontal="center" vertical="center" wrapText="1"/>
    </xf>
    <xf numFmtId="0" fontId="34" fillId="0" borderId="16" xfId="0" applyFont="1" applyBorder="1" applyAlignment="1">
      <alignment horizontal="left" indent="1"/>
    </xf>
    <xf numFmtId="0" fontId="30" fillId="8" borderId="34" xfId="0" applyFont="1" applyFill="1" applyBorder="1" applyAlignment="1">
      <alignment horizontal="center"/>
    </xf>
    <xf numFmtId="0" fontId="39" fillId="0" borderId="16" xfId="0" applyFont="1" applyBorder="1" applyAlignment="1">
      <alignment horizontal="left" vertical="center" wrapText="1" indent="1"/>
    </xf>
    <xf numFmtId="0" fontId="31" fillId="0" borderId="76" xfId="0" applyFont="1" applyBorder="1" applyAlignment="1">
      <alignment horizontal="left" wrapText="1" indent="1"/>
    </xf>
    <xf numFmtId="0" fontId="31" fillId="0" borderId="76" xfId="0" applyFont="1" applyBorder="1" applyAlignment="1">
      <alignment horizontal="left" wrapText="1"/>
    </xf>
    <xf numFmtId="0" fontId="30" fillId="10" borderId="35" xfId="0" applyFont="1" applyFill="1" applyBorder="1" applyAlignment="1">
      <alignment wrapText="1"/>
    </xf>
    <xf numFmtId="0" fontId="30" fillId="10" borderId="35" xfId="0" applyFont="1" applyFill="1" applyBorder="1" applyAlignment="1">
      <alignment horizontal="center" wrapText="1"/>
    </xf>
    <xf numFmtId="0" fontId="30" fillId="11" borderId="21" xfId="0" applyFont="1" applyFill="1" applyBorder="1"/>
    <xf numFmtId="0" fontId="30" fillId="8" borderId="76" xfId="0" applyFont="1" applyFill="1" applyBorder="1"/>
    <xf numFmtId="0" fontId="30" fillId="10" borderId="82" xfId="0" applyFont="1" applyFill="1" applyBorder="1" applyAlignment="1">
      <alignment horizontal="left" vertical="center"/>
    </xf>
    <xf numFmtId="166" fontId="30" fillId="8" borderId="21" xfId="0" applyNumberFormat="1" applyFont="1" applyFill="1" applyBorder="1" applyAlignment="1">
      <alignment vertical="center"/>
    </xf>
    <xf numFmtId="166" fontId="30" fillId="10" borderId="91" xfId="0" applyNumberFormat="1" applyFont="1" applyFill="1" applyBorder="1" applyAlignment="1">
      <alignment vertical="center"/>
    </xf>
    <xf numFmtId="0" fontId="30" fillId="10" borderId="21" xfId="0" applyFont="1" applyFill="1" applyBorder="1" applyAlignment="1">
      <alignment horizontal="right" vertical="center"/>
    </xf>
    <xf numFmtId="0" fontId="45" fillId="8" borderId="77" xfId="0" applyFont="1" applyFill="1" applyBorder="1" applyAlignment="1">
      <alignment horizontal="left"/>
    </xf>
    <xf numFmtId="0" fontId="30" fillId="8" borderId="75" xfId="0" applyFont="1" applyFill="1" applyBorder="1" applyAlignment="1">
      <alignment horizontal="right" vertical="center"/>
    </xf>
    <xf numFmtId="0" fontId="31" fillId="0" borderId="100" xfId="0" applyFont="1" applyBorder="1" applyAlignment="1">
      <alignment horizontal="center" vertical="center"/>
    </xf>
    <xf numFmtId="0" fontId="31" fillId="0" borderId="73" xfId="0" applyFont="1" applyBorder="1" applyAlignment="1">
      <alignment horizontal="center" vertical="center"/>
    </xf>
    <xf numFmtId="0" fontId="31" fillId="0" borderId="24" xfId="0" applyFont="1" applyBorder="1" applyAlignment="1">
      <alignment horizontal="center" vertical="center"/>
    </xf>
    <xf numFmtId="0" fontId="30" fillId="8" borderId="21" xfId="0" applyFont="1" applyFill="1" applyBorder="1" applyAlignment="1">
      <alignment horizontal="right"/>
    </xf>
    <xf numFmtId="0" fontId="30" fillId="10" borderId="64" xfId="0" applyFont="1" applyFill="1" applyBorder="1" applyAlignment="1">
      <alignment horizontal="right"/>
    </xf>
    <xf numFmtId="8" fontId="31" fillId="8" borderId="21" xfId="0" applyNumberFormat="1" applyFont="1" applyFill="1" applyBorder="1"/>
    <xf numFmtId="0" fontId="30" fillId="8" borderId="73" xfId="0" applyFont="1" applyFill="1" applyBorder="1" applyAlignment="1">
      <alignment horizontal="right"/>
    </xf>
    <xf numFmtId="8" fontId="31" fillId="10" borderId="64" xfId="0" applyNumberFormat="1" applyFont="1" applyFill="1" applyBorder="1"/>
    <xf numFmtId="0" fontId="64" fillId="10" borderId="12" xfId="0" applyFont="1" applyFill="1" applyBorder="1"/>
    <xf numFmtId="0" fontId="31" fillId="12" borderId="12" xfId="0" applyFont="1" applyFill="1" applyBorder="1"/>
    <xf numFmtId="8" fontId="30" fillId="8" borderId="0" xfId="0" applyNumberFormat="1" applyFont="1" applyFill="1"/>
    <xf numFmtId="0" fontId="30" fillId="8" borderId="35" xfId="0" applyFont="1" applyFill="1" applyBorder="1" applyAlignment="1">
      <alignment vertical="center"/>
    </xf>
    <xf numFmtId="0" fontId="30" fillId="10" borderId="35" xfId="0" applyFont="1" applyFill="1" applyBorder="1" applyAlignment="1">
      <alignment horizontal="center" vertical="center"/>
    </xf>
    <xf numFmtId="0" fontId="30" fillId="8" borderId="21" xfId="0" applyFont="1" applyFill="1" applyBorder="1" applyAlignment="1">
      <alignment vertical="center"/>
    </xf>
    <xf numFmtId="8" fontId="30" fillId="8" borderId="21" xfId="0" applyNumberFormat="1" applyFont="1" applyFill="1" applyBorder="1" applyAlignment="1">
      <alignment horizontal="center"/>
    </xf>
    <xf numFmtId="0" fontId="30" fillId="10" borderId="91" xfId="0" applyFont="1" applyFill="1" applyBorder="1" applyAlignment="1">
      <alignment vertical="center"/>
    </xf>
    <xf numFmtId="0" fontId="30" fillId="10" borderId="92" xfId="0" applyFont="1" applyFill="1" applyBorder="1"/>
    <xf numFmtId="0" fontId="30" fillId="10" borderId="74" xfId="0" applyFont="1" applyFill="1" applyBorder="1"/>
    <xf numFmtId="0" fontId="30" fillId="8" borderId="41" xfId="0" applyFont="1" applyFill="1" applyBorder="1" applyAlignment="1">
      <alignment vertical="center"/>
    </xf>
    <xf numFmtId="0" fontId="31" fillId="8" borderId="21" xfId="0" applyFont="1" applyFill="1" applyBorder="1" applyAlignment="1">
      <alignment horizontal="center"/>
    </xf>
    <xf numFmtId="0" fontId="30" fillId="10" borderId="25" xfId="0" applyFont="1" applyFill="1" applyBorder="1" applyAlignment="1">
      <alignment horizontal="right" vertical="center"/>
    </xf>
    <xf numFmtId="0" fontId="19" fillId="0" borderId="21" xfId="0" applyFont="1" applyBorder="1" applyAlignment="1">
      <alignment horizontal="left" vertical="center"/>
    </xf>
    <xf numFmtId="0" fontId="95" fillId="8" borderId="76" xfId="0" applyFont="1" applyFill="1" applyBorder="1" applyAlignment="1">
      <alignment horizontal="center" vertical="center"/>
    </xf>
    <xf numFmtId="0" fontId="93" fillId="10" borderId="50" xfId="0" applyFont="1" applyFill="1" applyBorder="1" applyAlignment="1">
      <alignment horizontal="right" vertical="center"/>
    </xf>
    <xf numFmtId="166" fontId="19" fillId="10" borderId="116" xfId="1" applyNumberFormat="1" applyFont="1" applyFill="1" applyBorder="1"/>
    <xf numFmtId="166" fontId="4" fillId="10" borderId="76" xfId="1" applyNumberFormat="1" applyFont="1" applyFill="1" applyBorder="1"/>
    <xf numFmtId="0" fontId="93" fillId="10" borderId="76" xfId="0" applyFont="1" applyFill="1" applyBorder="1"/>
    <xf numFmtId="166" fontId="15" fillId="0" borderId="21" xfId="1" applyNumberFormat="1" applyFont="1" applyBorder="1"/>
    <xf numFmtId="0" fontId="10" fillId="0" borderId="76" xfId="0" applyFont="1" applyBorder="1"/>
    <xf numFmtId="166" fontId="10" fillId="0" borderId="76" xfId="1" applyNumberFormat="1" applyFont="1" applyBorder="1"/>
    <xf numFmtId="0" fontId="15" fillId="0" borderId="21" xfId="0" applyFont="1" applyBorder="1" applyAlignment="1">
      <alignment horizontal="center"/>
    </xf>
    <xf numFmtId="166" fontId="15" fillId="10" borderId="21" xfId="1" applyNumberFormat="1" applyFont="1" applyFill="1" applyBorder="1"/>
    <xf numFmtId="0" fontId="93" fillId="10" borderId="21" xfId="0" applyFont="1" applyFill="1" applyBorder="1"/>
    <xf numFmtId="0" fontId="93" fillId="0" borderId="55" xfId="0" applyFont="1" applyBorder="1" applyAlignment="1">
      <alignment vertical="center" wrapText="1"/>
    </xf>
    <xf numFmtId="0" fontId="93" fillId="10" borderId="54" xfId="0" applyFont="1" applyFill="1" applyBorder="1" applyAlignment="1">
      <alignment vertical="center" wrapText="1"/>
    </xf>
    <xf numFmtId="165" fontId="19" fillId="10" borderId="68" xfId="1" applyNumberFormat="1" applyFont="1" applyFill="1" applyBorder="1"/>
    <xf numFmtId="0" fontId="0" fillId="10" borderId="21" xfId="0" applyFill="1" applyBorder="1"/>
    <xf numFmtId="0" fontId="86" fillId="10" borderId="21" xfId="0" applyFont="1" applyFill="1" applyBorder="1"/>
    <xf numFmtId="0" fontId="0" fillId="10" borderId="76" xfId="0" applyFill="1" applyBorder="1"/>
    <xf numFmtId="0" fontId="101" fillId="10" borderId="76" xfId="0" applyFont="1" applyFill="1" applyBorder="1"/>
    <xf numFmtId="0" fontId="100" fillId="0" borderId="0" xfId="0" applyFont="1"/>
    <xf numFmtId="0" fontId="101" fillId="10" borderId="21" xfId="0" applyFont="1" applyFill="1" applyBorder="1"/>
    <xf numFmtId="0" fontId="93" fillId="10" borderId="68" xfId="0" applyFont="1" applyFill="1" applyBorder="1" applyAlignment="1">
      <alignment horizontal="right" vertical="center"/>
    </xf>
    <xf numFmtId="0" fontId="35" fillId="10" borderId="76" xfId="0" applyFont="1" applyFill="1" applyBorder="1" applyAlignment="1">
      <alignment horizontal="right" vertical="center"/>
    </xf>
    <xf numFmtId="0" fontId="102" fillId="10" borderId="12" xfId="0" applyFont="1" applyFill="1" applyBorder="1"/>
    <xf numFmtId="0" fontId="103" fillId="8" borderId="21" xfId="0" applyFont="1" applyFill="1" applyBorder="1" applyAlignment="1">
      <alignment horizontal="left" vertical="center"/>
    </xf>
    <xf numFmtId="0" fontId="101" fillId="8" borderId="21" xfId="0" applyFont="1" applyFill="1" applyBorder="1" applyAlignment="1">
      <alignment horizontal="left" vertical="center"/>
    </xf>
    <xf numFmtId="0" fontId="103" fillId="8" borderId="21" xfId="0" applyFont="1" applyFill="1" applyBorder="1" applyAlignment="1">
      <alignment horizontal="left" vertical="center" wrapText="1"/>
    </xf>
    <xf numFmtId="0" fontId="93" fillId="8" borderId="21" xfId="0" applyFont="1" applyFill="1" applyBorder="1" applyAlignment="1">
      <alignment horizontal="left" vertical="center"/>
    </xf>
    <xf numFmtId="164" fontId="15" fillId="0" borderId="76" xfId="0" applyNumberFormat="1" applyFont="1" applyBorder="1" applyAlignment="1">
      <alignment horizontal="center" vertical="center"/>
    </xf>
    <xf numFmtId="0" fontId="93" fillId="10" borderId="78" xfId="0" applyFont="1" applyFill="1" applyBorder="1" applyAlignment="1">
      <alignment horizontal="left"/>
    </xf>
    <xf numFmtId="0" fontId="0" fillId="10" borderId="78" xfId="0" applyFill="1" applyBorder="1"/>
    <xf numFmtId="0" fontId="93" fillId="10" borderId="76" xfId="0" applyFont="1" applyFill="1" applyBorder="1" applyAlignment="1">
      <alignment horizontal="left" vertical="center"/>
    </xf>
    <xf numFmtId="0" fontId="93" fillId="10" borderId="74" xfId="0" applyFont="1" applyFill="1" applyBorder="1" applyAlignment="1">
      <alignment horizontal="left" vertical="center"/>
    </xf>
    <xf numFmtId="0" fontId="102" fillId="10" borderId="21" xfId="0" applyFont="1" applyFill="1" applyBorder="1"/>
    <xf numFmtId="0" fontId="7" fillId="0" borderId="21" xfId="0" applyFont="1" applyBorder="1"/>
    <xf numFmtId="0" fontId="102" fillId="10" borderId="76" xfId="0" applyFont="1" applyFill="1" applyBorder="1"/>
    <xf numFmtId="0" fontId="100" fillId="10" borderId="76" xfId="0" applyFont="1" applyFill="1" applyBorder="1"/>
    <xf numFmtId="0" fontId="15" fillId="0" borderId="76" xfId="0" applyFont="1" applyBorder="1" applyAlignment="1">
      <alignment horizontal="center" vertical="center"/>
    </xf>
    <xf numFmtId="166" fontId="15" fillId="10" borderId="91" xfId="1" applyNumberFormat="1" applyFont="1" applyFill="1" applyBorder="1" applyAlignment="1">
      <alignment horizontal="center" vertical="center"/>
    </xf>
    <xf numFmtId="0" fontId="30" fillId="0" borderId="76" xfId="0" applyFont="1" applyBorder="1"/>
    <xf numFmtId="0" fontId="86" fillId="0" borderId="21" xfId="0" applyFont="1" applyBorder="1"/>
    <xf numFmtId="0" fontId="101" fillId="10" borderId="21" xfId="0" applyFont="1" applyFill="1" applyBorder="1" applyAlignment="1">
      <alignment horizontal="right"/>
    </xf>
    <xf numFmtId="0" fontId="86" fillId="0" borderId="76" xfId="0" applyFont="1" applyBorder="1"/>
    <xf numFmtId="0" fontId="7" fillId="10" borderId="21" xfId="0" applyFont="1" applyFill="1" applyBorder="1"/>
    <xf numFmtId="0" fontId="101" fillId="0" borderId="76" xfId="0" applyFont="1" applyBorder="1"/>
    <xf numFmtId="0" fontId="0" fillId="0" borderId="76" xfId="0" applyBorder="1" applyAlignment="1">
      <alignment horizontal="center"/>
    </xf>
    <xf numFmtId="0" fontId="93" fillId="10" borderId="56" xfId="0" applyFont="1" applyFill="1" applyBorder="1" applyAlignment="1">
      <alignment horizontal="right" vertical="center"/>
    </xf>
    <xf numFmtId="0" fontId="93" fillId="10" borderId="56" xfId="0" applyFont="1" applyFill="1" applyBorder="1" applyAlignment="1">
      <alignment horizontal="left"/>
    </xf>
    <xf numFmtId="0" fontId="93" fillId="10" borderId="56" xfId="0" applyFont="1" applyFill="1" applyBorder="1" applyAlignment="1">
      <alignment horizontal="left" vertical="center"/>
    </xf>
    <xf numFmtId="0" fontId="93" fillId="0" borderId="56" xfId="0" applyFont="1" applyBorder="1" applyAlignment="1">
      <alignment horizontal="left" vertical="center"/>
    </xf>
    <xf numFmtId="0" fontId="93" fillId="0" borderId="12" xfId="0" applyFont="1" applyBorder="1"/>
    <xf numFmtId="0" fontId="67" fillId="0" borderId="56" xfId="0" applyFont="1" applyBorder="1" applyAlignment="1">
      <alignment horizontal="left" vertical="center"/>
    </xf>
    <xf numFmtId="0" fontId="67" fillId="10" borderId="56" xfId="0" applyFont="1" applyFill="1" applyBorder="1" applyAlignment="1">
      <alignment horizontal="left" vertical="center"/>
    </xf>
    <xf numFmtId="0" fontId="103" fillId="8" borderId="56" xfId="0" applyFont="1" applyFill="1" applyBorder="1" applyAlignment="1">
      <alignment horizontal="left" vertical="center"/>
    </xf>
    <xf numFmtId="0" fontId="93" fillId="8" borderId="56" xfId="0" applyFont="1" applyFill="1" applyBorder="1" applyAlignment="1">
      <alignment horizontal="left" vertical="center"/>
    </xf>
    <xf numFmtId="0" fontId="104" fillId="0" borderId="55" xfId="0" applyFont="1" applyBorder="1" applyAlignment="1" applyProtection="1">
      <alignment horizontal="center" vertical="center"/>
      <protection locked="0"/>
    </xf>
    <xf numFmtId="14" fontId="104" fillId="0" borderId="68" xfId="0" applyNumberFormat="1" applyFont="1" applyBorder="1" applyAlignment="1" applyProtection="1">
      <alignment horizontal="center" vertical="center"/>
      <protection locked="0"/>
    </xf>
    <xf numFmtId="0" fontId="93" fillId="0" borderId="21" xfId="0" applyFont="1" applyBorder="1" applyAlignment="1">
      <alignment vertical="top" wrapText="1"/>
    </xf>
    <xf numFmtId="0" fontId="93" fillId="0" borderId="57" xfId="0" applyFont="1" applyBorder="1" applyAlignment="1">
      <alignment horizontal="center" vertical="center" wrapText="1"/>
    </xf>
    <xf numFmtId="164" fontId="95" fillId="0" borderId="70" xfId="0" applyNumberFormat="1" applyFont="1" applyBorder="1" applyAlignment="1">
      <alignment horizontal="center" vertical="top"/>
    </xf>
    <xf numFmtId="0" fontId="95" fillId="0" borderId="69" xfId="0" applyFont="1" applyBorder="1" applyAlignment="1">
      <alignment horizontal="left" vertical="top" wrapText="1"/>
    </xf>
    <xf numFmtId="0" fontId="95" fillId="0" borderId="70" xfId="0" applyFont="1" applyBorder="1" applyAlignment="1">
      <alignment horizontal="center"/>
    </xf>
    <xf numFmtId="164" fontId="95" fillId="0" borderId="55" xfId="0" applyNumberFormat="1" applyFont="1" applyBorder="1" applyAlignment="1">
      <alignment horizontal="center" vertical="center"/>
    </xf>
    <xf numFmtId="0" fontId="95" fillId="0" borderId="56" xfId="0" applyFont="1" applyBorder="1" applyAlignment="1">
      <alignment horizontal="left" vertical="center"/>
    </xf>
    <xf numFmtId="0" fontId="95" fillId="0" borderId="71" xfId="0" applyFont="1" applyBorder="1" applyAlignment="1">
      <alignment horizontal="left" vertical="center"/>
    </xf>
    <xf numFmtId="0" fontId="95" fillId="0" borderId="69" xfId="0" applyFont="1" applyBorder="1" applyAlignment="1">
      <alignment horizontal="left" vertical="center"/>
    </xf>
    <xf numFmtId="164" fontId="95" fillId="8" borderId="55" xfId="0" applyNumberFormat="1" applyFont="1" applyFill="1" applyBorder="1" applyAlignment="1">
      <alignment horizontal="center" vertical="center"/>
    </xf>
    <xf numFmtId="0" fontId="95" fillId="8" borderId="56" xfId="0" applyFont="1" applyFill="1" applyBorder="1" applyAlignment="1">
      <alignment horizontal="left" vertical="center"/>
    </xf>
    <xf numFmtId="0" fontId="95" fillId="8" borderId="70" xfId="0" applyFont="1" applyFill="1" applyBorder="1" applyAlignment="1">
      <alignment horizontal="center"/>
    </xf>
    <xf numFmtId="0" fontId="95" fillId="0" borderId="70" xfId="0" applyFont="1" applyBorder="1" applyAlignment="1">
      <alignment horizontal="right"/>
    </xf>
    <xf numFmtId="0" fontId="93" fillId="0" borderId="0" xfId="0" applyFont="1" applyAlignment="1">
      <alignment vertical="top" wrapText="1"/>
    </xf>
    <xf numFmtId="0" fontId="93" fillId="0" borderId="86" xfId="0" applyFont="1" applyBorder="1" applyAlignment="1">
      <alignment vertical="center" wrapText="1"/>
    </xf>
    <xf numFmtId="166" fontId="93" fillId="0" borderId="12" xfId="1" applyNumberFormat="1" applyFont="1" applyBorder="1" applyAlignment="1">
      <alignment horizontal="center" vertical="center" wrapText="1"/>
    </xf>
    <xf numFmtId="164" fontId="95" fillId="0" borderId="21" xfId="0" applyNumberFormat="1" applyFont="1" applyBorder="1" applyAlignment="1">
      <alignment horizontal="center" vertical="top"/>
    </xf>
    <xf numFmtId="0" fontId="95" fillId="0" borderId="36" xfId="0" applyFont="1" applyBorder="1" applyAlignment="1">
      <alignment horizontal="left" vertical="top" wrapText="1"/>
    </xf>
    <xf numFmtId="166" fontId="104" fillId="0" borderId="64" xfId="1" applyNumberFormat="1" applyFont="1" applyBorder="1" applyAlignment="1">
      <alignment horizontal="center" vertical="center" wrapText="1"/>
    </xf>
    <xf numFmtId="0" fontId="95" fillId="0" borderId="73" xfId="0" applyFont="1" applyBorder="1" applyAlignment="1">
      <alignment horizontal="left" vertical="center"/>
    </xf>
    <xf numFmtId="166" fontId="95" fillId="0" borderId="21" xfId="1" applyNumberFormat="1" applyFont="1" applyBorder="1" applyAlignment="1">
      <alignment horizontal="center" vertical="center"/>
    </xf>
    <xf numFmtId="0" fontId="95" fillId="0" borderId="66" xfId="0" applyFont="1" applyBorder="1" applyAlignment="1">
      <alignment horizontal="left" vertical="center" wrapText="1"/>
    </xf>
    <xf numFmtId="164" fontId="95" fillId="0" borderId="73" xfId="0" applyNumberFormat="1" applyFont="1" applyBorder="1" applyAlignment="1">
      <alignment horizontal="center" vertical="top"/>
    </xf>
    <xf numFmtId="166" fontId="95" fillId="0" borderId="36" xfId="1" applyNumberFormat="1" applyFont="1" applyBorder="1" applyAlignment="1">
      <alignment horizontal="center" vertical="center"/>
    </xf>
    <xf numFmtId="0" fontId="95" fillId="0" borderId="75" xfId="0" applyFont="1" applyBorder="1" applyAlignment="1">
      <alignment horizontal="left"/>
    </xf>
    <xf numFmtId="0" fontId="95" fillId="0" borderId="73" xfId="0" applyFont="1" applyBorder="1" applyAlignment="1">
      <alignment horizontal="left"/>
    </xf>
    <xf numFmtId="0" fontId="95" fillId="0" borderId="77" xfId="0" applyFont="1" applyBorder="1" applyAlignment="1">
      <alignment horizontal="left"/>
    </xf>
    <xf numFmtId="166" fontId="95" fillId="0" borderId="76" xfId="1" applyNumberFormat="1" applyFont="1" applyBorder="1" applyAlignment="1">
      <alignment horizontal="center" vertical="center"/>
    </xf>
    <xf numFmtId="0" fontId="95" fillId="0" borderId="55" xfId="0" applyFont="1" applyBorder="1" applyAlignment="1">
      <alignment horizontal="left"/>
    </xf>
    <xf numFmtId="0" fontId="95" fillId="0" borderId="21" xfId="0" applyFont="1" applyBorder="1" applyAlignment="1">
      <alignment horizontal="left"/>
    </xf>
    <xf numFmtId="0" fontId="95" fillId="0" borderId="70" xfId="0" applyFont="1" applyBorder="1" applyAlignment="1">
      <alignment horizontal="left"/>
    </xf>
    <xf numFmtId="0" fontId="95" fillId="0" borderId="75" xfId="0" applyFont="1" applyBorder="1" applyAlignment="1">
      <alignment horizontal="left" vertical="center"/>
    </xf>
    <xf numFmtId="166" fontId="95" fillId="0" borderId="74" xfId="1" applyNumberFormat="1" applyFont="1" applyBorder="1" applyAlignment="1">
      <alignment horizontal="center" vertical="center"/>
    </xf>
    <xf numFmtId="0" fontId="95" fillId="0" borderId="77" xfId="0" applyFont="1" applyBorder="1" applyAlignment="1">
      <alignment horizontal="left" vertical="center"/>
    </xf>
    <xf numFmtId="166" fontId="95" fillId="8" borderId="78" xfId="1" applyNumberFormat="1" applyFont="1" applyFill="1" applyBorder="1" applyAlignment="1">
      <alignment horizontal="center" vertical="center"/>
    </xf>
    <xf numFmtId="0" fontId="95" fillId="8" borderId="73" xfId="0" applyFont="1" applyFill="1" applyBorder="1" applyAlignment="1">
      <alignment horizontal="left"/>
    </xf>
    <xf numFmtId="166" fontId="95" fillId="8" borderId="21" xfId="1" applyNumberFormat="1" applyFont="1" applyFill="1" applyBorder="1" applyAlignment="1">
      <alignment horizontal="center" vertical="center"/>
    </xf>
    <xf numFmtId="164" fontId="95" fillId="0" borderId="76" xfId="0" applyNumberFormat="1" applyFont="1" applyBorder="1" applyAlignment="1">
      <alignment horizontal="center" vertical="top"/>
    </xf>
    <xf numFmtId="0" fontId="95" fillId="8" borderId="77" xfId="0" applyFont="1" applyFill="1" applyBorder="1" applyAlignment="1">
      <alignment horizontal="left"/>
    </xf>
    <xf numFmtId="166" fontId="95" fillId="8" borderId="76" xfId="1" applyNumberFormat="1" applyFont="1" applyFill="1" applyBorder="1" applyAlignment="1">
      <alignment horizontal="center" vertical="center"/>
    </xf>
    <xf numFmtId="0" fontId="100" fillId="0" borderId="21" xfId="0" applyFont="1" applyBorder="1"/>
    <xf numFmtId="0" fontId="93" fillId="10" borderId="74" xfId="0" applyFont="1" applyFill="1" applyBorder="1" applyAlignment="1">
      <alignment horizontal="left"/>
    </xf>
    <xf numFmtId="166" fontId="95" fillId="10" borderId="22" xfId="1" applyNumberFormat="1" applyFont="1" applyFill="1" applyBorder="1" applyAlignment="1">
      <alignment horizontal="center" vertical="center"/>
    </xf>
    <xf numFmtId="0" fontId="95" fillId="0" borderId="21" xfId="0" applyFont="1" applyBorder="1" applyAlignment="1">
      <alignment horizontal="left" indent="3"/>
    </xf>
    <xf numFmtId="166" fontId="95" fillId="0" borderId="46" xfId="1" applyNumberFormat="1" applyFont="1" applyBorder="1" applyAlignment="1">
      <alignment horizontal="center" vertical="center"/>
    </xf>
    <xf numFmtId="0" fontId="95" fillId="0" borderId="21" xfId="0" applyFont="1" applyBorder="1"/>
    <xf numFmtId="166" fontId="95" fillId="0" borderId="48" xfId="1" applyNumberFormat="1" applyFont="1" applyBorder="1" applyAlignment="1">
      <alignment horizontal="center" vertical="center"/>
    </xf>
    <xf numFmtId="0" fontId="93" fillId="0" borderId="37" xfId="0" applyFont="1" applyBorder="1"/>
    <xf numFmtId="0" fontId="93" fillId="10" borderId="101" xfId="0" applyFont="1" applyFill="1" applyBorder="1" applyAlignment="1">
      <alignment horizontal="right" vertical="center"/>
    </xf>
    <xf numFmtId="0" fontId="93" fillId="10" borderId="21" xfId="0" applyFont="1" applyFill="1" applyBorder="1" applyAlignment="1">
      <alignment horizontal="right" vertical="center"/>
    </xf>
    <xf numFmtId="0" fontId="93" fillId="8" borderId="37" xfId="0" applyFont="1" applyFill="1" applyBorder="1" applyAlignment="1">
      <alignment horizontal="right" vertical="center"/>
    </xf>
    <xf numFmtId="0" fontId="93" fillId="8" borderId="21" xfId="0" applyFont="1" applyFill="1" applyBorder="1" applyAlignment="1">
      <alignment horizontal="right" vertical="center"/>
    </xf>
    <xf numFmtId="0" fontId="93" fillId="10" borderId="89" xfId="0" applyFont="1" applyFill="1" applyBorder="1" applyAlignment="1">
      <alignment horizontal="left" vertical="center"/>
    </xf>
    <xf numFmtId="0" fontId="93" fillId="10" borderId="76" xfId="0" applyFont="1" applyFill="1" applyBorder="1" applyAlignment="1">
      <alignment horizontal="right" vertical="center"/>
    </xf>
    <xf numFmtId="0" fontId="21" fillId="10" borderId="36" xfId="0" applyFont="1" applyFill="1" applyBorder="1"/>
    <xf numFmtId="0" fontId="47" fillId="10" borderId="21" xfId="0" applyFont="1" applyFill="1" applyBorder="1" applyAlignment="1">
      <alignment horizontal="left"/>
    </xf>
    <xf numFmtId="0" fontId="12" fillId="10" borderId="70" xfId="0" applyFont="1" applyFill="1" applyBorder="1" applyAlignment="1">
      <alignment horizontal="left"/>
    </xf>
    <xf numFmtId="0" fontId="12" fillId="10" borderId="21" xfId="0" applyFont="1" applyFill="1" applyBorder="1" applyAlignment="1">
      <alignment horizontal="left"/>
    </xf>
    <xf numFmtId="0" fontId="21" fillId="10" borderId="21" xfId="0" applyFont="1" applyFill="1" applyBorder="1" applyAlignment="1">
      <alignment horizontal="left"/>
    </xf>
    <xf numFmtId="164" fontId="12" fillId="10" borderId="21" xfId="0" applyNumberFormat="1" applyFont="1" applyFill="1" applyBorder="1" applyAlignment="1">
      <alignment horizontal="left" vertical="center"/>
    </xf>
    <xf numFmtId="0" fontId="12" fillId="10" borderId="55" xfId="0" applyFont="1" applyFill="1" applyBorder="1" applyAlignment="1">
      <alignment horizontal="left"/>
    </xf>
    <xf numFmtId="0" fontId="12" fillId="10" borderId="69" xfId="0" applyFont="1" applyFill="1" applyBorder="1" applyAlignment="1">
      <alignment horizontal="left"/>
    </xf>
    <xf numFmtId="0" fontId="0" fillId="10" borderId="74" xfId="0" applyFill="1" applyBorder="1"/>
    <xf numFmtId="0" fontId="12" fillId="8" borderId="37" xfId="0" applyFont="1" applyFill="1" applyBorder="1" applyAlignment="1">
      <alignment horizontal="right" vertical="center"/>
    </xf>
    <xf numFmtId="0" fontId="12" fillId="8" borderId="21" xfId="0" applyFont="1" applyFill="1" applyBorder="1" applyAlignment="1">
      <alignment horizontal="right" vertical="center"/>
    </xf>
    <xf numFmtId="0" fontId="12" fillId="10" borderId="76" xfId="0" applyFont="1" applyFill="1" applyBorder="1" applyAlignment="1">
      <alignment horizontal="right" vertical="center"/>
    </xf>
    <xf numFmtId="0" fontId="15" fillId="0" borderId="74" xfId="0" applyFont="1" applyBorder="1"/>
    <xf numFmtId="0" fontId="12" fillId="10" borderId="23" xfId="0" applyFont="1" applyFill="1" applyBorder="1" applyAlignment="1">
      <alignment horizontal="right" vertical="center"/>
    </xf>
    <xf numFmtId="0" fontId="12" fillId="10" borderId="76" xfId="0" applyFont="1" applyFill="1" applyBorder="1"/>
    <xf numFmtId="166" fontId="12" fillId="10" borderId="76" xfId="1" applyNumberFormat="1" applyFont="1" applyFill="1" applyBorder="1"/>
    <xf numFmtId="0" fontId="12" fillId="8" borderId="73" xfId="0" applyFont="1" applyFill="1" applyBorder="1" applyAlignment="1">
      <alignment horizontal="right" vertical="center"/>
    </xf>
    <xf numFmtId="166" fontId="15" fillId="10" borderId="48" xfId="1" applyNumberFormat="1" applyFont="1" applyFill="1" applyBorder="1" applyAlignment="1">
      <alignment horizontal="center" vertical="center"/>
    </xf>
    <xf numFmtId="0" fontId="15" fillId="6" borderId="65" xfId="0" applyFont="1" applyFill="1" applyBorder="1" applyAlignment="1">
      <alignment horizontal="center" vertical="center" wrapText="1"/>
    </xf>
    <xf numFmtId="0" fontId="15" fillId="6" borderId="21" xfId="0" applyFont="1" applyFill="1" applyBorder="1" applyAlignment="1">
      <alignment horizontal="center" vertical="center" wrapText="1"/>
    </xf>
    <xf numFmtId="0" fontId="15" fillId="6" borderId="76" xfId="0" applyFont="1" applyFill="1" applyBorder="1" applyAlignment="1">
      <alignment horizontal="center" vertical="center" wrapText="1"/>
    </xf>
    <xf numFmtId="0" fontId="1" fillId="0" borderId="21" xfId="0" applyFont="1" applyBorder="1" applyAlignment="1">
      <alignment horizontal="center" vertical="center"/>
    </xf>
    <xf numFmtId="0" fontId="12" fillId="10" borderId="75" xfId="0" applyFont="1" applyFill="1" applyBorder="1" applyAlignment="1">
      <alignment horizontal="left" vertical="center"/>
    </xf>
    <xf numFmtId="0" fontId="93" fillId="10" borderId="78" xfId="0" applyFont="1" applyFill="1" applyBorder="1"/>
    <xf numFmtId="166" fontId="15" fillId="10" borderId="76" xfId="1" applyNumberFormat="1" applyFont="1" applyFill="1" applyBorder="1"/>
    <xf numFmtId="0" fontId="12" fillId="10" borderId="122" xfId="0" applyFont="1" applyFill="1" applyBorder="1" applyAlignment="1">
      <alignment horizontal="right" vertical="center"/>
    </xf>
    <xf numFmtId="166" fontId="15" fillId="0" borderId="0" xfId="1" applyNumberFormat="1" applyFont="1" applyBorder="1" applyAlignment="1">
      <alignment horizontal="center" vertical="center"/>
    </xf>
    <xf numFmtId="166" fontId="43" fillId="9" borderId="21" xfId="4" applyNumberFormat="1" applyFont="1" applyFill="1" applyBorder="1" applyAlignment="1">
      <alignment horizontal="left" vertical="center"/>
    </xf>
    <xf numFmtId="166" fontId="9" fillId="0" borderId="21" xfId="4" applyNumberFormat="1" applyFont="1" applyBorder="1" applyAlignment="1">
      <alignment horizontal="center" vertical="center"/>
    </xf>
    <xf numFmtId="166" fontId="15" fillId="0" borderId="21" xfId="4" applyNumberFormat="1" applyFont="1" applyBorder="1" applyAlignment="1">
      <alignment horizontal="center" vertical="center"/>
    </xf>
    <xf numFmtId="0" fontId="68" fillId="0" borderId="12" xfId="0" applyFont="1" applyBorder="1"/>
    <xf numFmtId="0" fontId="68" fillId="0" borderId="12" xfId="0" applyFont="1" applyBorder="1" applyAlignment="1">
      <alignment vertical="center"/>
    </xf>
    <xf numFmtId="0" fontId="68" fillId="0" borderId="0" xfId="0" applyFont="1"/>
    <xf numFmtId="0" fontId="69" fillId="0" borderId="12" xfId="3" applyFont="1" applyFill="1" applyBorder="1"/>
    <xf numFmtId="0" fontId="67" fillId="0" borderId="12" xfId="0" applyFont="1" applyBorder="1" applyAlignment="1">
      <alignment horizontal="center" vertical="center"/>
    </xf>
    <xf numFmtId="0" fontId="70" fillId="0" borderId="12" xfId="0" applyFont="1" applyBorder="1" applyAlignment="1">
      <alignment horizontal="center"/>
    </xf>
    <xf numFmtId="0" fontId="70" fillId="0" borderId="12" xfId="0" applyFont="1" applyBorder="1"/>
    <xf numFmtId="0" fontId="65" fillId="0" borderId="12" xfId="0" applyFont="1" applyBorder="1"/>
    <xf numFmtId="0" fontId="65" fillId="0" borderId="0" xfId="0" applyFont="1"/>
    <xf numFmtId="0" fontId="65" fillId="0" borderId="12" xfId="0" applyFont="1" applyBorder="1" applyAlignment="1">
      <alignment horizontal="center" vertical="center"/>
    </xf>
    <xf numFmtId="0" fontId="70" fillId="0" borderId="12" xfId="0" applyFont="1" applyBorder="1" applyAlignment="1">
      <alignment horizontal="center" vertical="center"/>
    </xf>
    <xf numFmtId="0" fontId="70" fillId="0" borderId="12" xfId="0" applyFont="1" applyBorder="1" applyAlignment="1">
      <alignment horizontal="left" vertical="center"/>
    </xf>
    <xf numFmtId="0" fontId="65" fillId="0" borderId="12" xfId="0" applyFont="1" applyBorder="1" applyAlignment="1">
      <alignment horizontal="left" vertical="center"/>
    </xf>
    <xf numFmtId="0" fontId="69" fillId="0" borderId="12" xfId="3" applyFont="1" applyFill="1" applyBorder="1" applyAlignment="1">
      <alignment horizontal="left" vertical="center"/>
    </xf>
    <xf numFmtId="0" fontId="65" fillId="0" borderId="12" xfId="0" applyFont="1" applyBorder="1" applyAlignment="1">
      <alignment horizontal="left" vertical="center" wrapText="1"/>
    </xf>
    <xf numFmtId="0" fontId="65" fillId="0" borderId="0" xfId="0" applyFont="1" applyAlignment="1">
      <alignment horizontal="left" vertical="center"/>
    </xf>
    <xf numFmtId="0" fontId="65" fillId="0" borderId="12" xfId="0" applyFont="1" applyBorder="1" applyAlignment="1">
      <alignment vertical="center"/>
    </xf>
    <xf numFmtId="14" fontId="65" fillId="0" borderId="12" xfId="0" applyNumberFormat="1" applyFont="1" applyBorder="1"/>
    <xf numFmtId="14" fontId="65" fillId="0" borderId="0" xfId="0" applyNumberFormat="1" applyFont="1"/>
    <xf numFmtId="0" fontId="71" fillId="0" borderId="12" xfId="0" applyFont="1" applyBorder="1" applyAlignment="1">
      <alignment horizontal="center" vertical="center"/>
    </xf>
    <xf numFmtId="0" fontId="72" fillId="0" borderId="12" xfId="3" applyFont="1" applyFill="1" applyBorder="1"/>
    <xf numFmtId="14" fontId="68" fillId="0" borderId="12" xfId="0" applyNumberFormat="1" applyFont="1" applyBorder="1"/>
    <xf numFmtId="14" fontId="68" fillId="0" borderId="0" xfId="0" applyNumberFormat="1" applyFont="1"/>
    <xf numFmtId="14" fontId="40" fillId="0" borderId="12" xfId="0" applyNumberFormat="1" applyFont="1" applyBorder="1"/>
    <xf numFmtId="14" fontId="65" fillId="0" borderId="12" xfId="0" applyNumberFormat="1" applyFont="1" applyBorder="1" applyAlignment="1">
      <alignment horizontal="left"/>
    </xf>
    <xf numFmtId="14" fontId="40" fillId="0" borderId="12" xfId="0" applyNumberFormat="1" applyFont="1" applyBorder="1" applyAlignment="1">
      <alignment horizontal="left"/>
    </xf>
    <xf numFmtId="0" fontId="73" fillId="0" borderId="12" xfId="0" applyFont="1" applyBorder="1"/>
    <xf numFmtId="0" fontId="71" fillId="0" borderId="12" xfId="0" applyFont="1" applyBorder="1"/>
    <xf numFmtId="0" fontId="71" fillId="0" borderId="0" xfId="0" applyFont="1"/>
    <xf numFmtId="0" fontId="74" fillId="0" borderId="12" xfId="0" applyFont="1" applyBorder="1"/>
    <xf numFmtId="0" fontId="75" fillId="0" borderId="12" xfId="0" applyFont="1" applyBorder="1"/>
    <xf numFmtId="0" fontId="76" fillId="0" borderId="12" xfId="0" applyFont="1" applyBorder="1" applyAlignment="1">
      <alignment horizontal="center" vertical="center"/>
    </xf>
    <xf numFmtId="0" fontId="3" fillId="0" borderId="12" xfId="0" applyFont="1" applyBorder="1"/>
    <xf numFmtId="0" fontId="70" fillId="0" borderId="64" xfId="0" applyFont="1" applyBorder="1" applyAlignment="1">
      <alignment horizontal="center"/>
    </xf>
    <xf numFmtId="0" fontId="70" fillId="0" borderId="64" xfId="0" applyFont="1" applyBorder="1"/>
    <xf numFmtId="0" fontId="73" fillId="0" borderId="64" xfId="0" applyFont="1" applyBorder="1"/>
    <xf numFmtId="0" fontId="71" fillId="0" borderId="12" xfId="0" applyFont="1" applyBorder="1" applyAlignment="1">
      <alignment vertical="center"/>
    </xf>
    <xf numFmtId="0" fontId="73" fillId="0" borderId="0" xfId="0" applyFont="1"/>
    <xf numFmtId="0" fontId="70" fillId="0" borderId="14" xfId="0" applyFont="1" applyBorder="1" applyAlignment="1">
      <alignment horizontal="center"/>
    </xf>
    <xf numFmtId="0" fontId="70" fillId="0" borderId="14" xfId="0" applyFont="1" applyBorder="1"/>
    <xf numFmtId="0" fontId="70" fillId="0" borderId="21" xfId="0" applyFont="1" applyBorder="1"/>
    <xf numFmtId="0" fontId="65" fillId="0" borderId="13" xfId="0" applyFont="1" applyBorder="1"/>
    <xf numFmtId="0" fontId="66" fillId="0" borderId="12" xfId="3" applyFill="1" applyBorder="1" applyAlignment="1">
      <alignment vertical="center"/>
    </xf>
    <xf numFmtId="14" fontId="27" fillId="0" borderId="21" xfId="0" applyNumberFormat="1" applyFont="1" applyBorder="1" applyAlignment="1">
      <alignment horizontal="center" vertical="center"/>
    </xf>
    <xf numFmtId="0" fontId="65" fillId="0" borderId="40" xfId="0" applyFont="1" applyBorder="1"/>
    <xf numFmtId="0" fontId="65" fillId="0" borderId="15" xfId="0" applyFont="1" applyBorder="1"/>
    <xf numFmtId="0" fontId="68" fillId="0" borderId="13" xfId="0" applyFont="1" applyBorder="1"/>
    <xf numFmtId="0" fontId="16" fillId="0" borderId="21" xfId="0" applyFont="1" applyBorder="1" applyAlignment="1">
      <alignment readingOrder="1"/>
    </xf>
    <xf numFmtId="0" fontId="66" fillId="0" borderId="12" xfId="3" applyFill="1" applyBorder="1"/>
    <xf numFmtId="0" fontId="40" fillId="0" borderId="13" xfId="0" applyFont="1" applyBorder="1"/>
    <xf numFmtId="0" fontId="65" fillId="0" borderId="35" xfId="0" applyFont="1" applyBorder="1"/>
    <xf numFmtId="0" fontId="70" fillId="0" borderId="9" xfId="0" applyFont="1" applyBorder="1"/>
    <xf numFmtId="0" fontId="68" fillId="0" borderId="9" xfId="0" applyFont="1" applyBorder="1"/>
    <xf numFmtId="0" fontId="40" fillId="0" borderId="13" xfId="0" applyFont="1" applyBorder="1" applyAlignment="1">
      <alignment wrapText="1"/>
    </xf>
    <xf numFmtId="0" fontId="40" fillId="0" borderId="0" xfId="0" applyFont="1" applyAlignment="1">
      <alignment wrapText="1"/>
    </xf>
    <xf numFmtId="0" fontId="40" fillId="0" borderId="35" xfId="0" applyFont="1" applyBorder="1" applyAlignment="1">
      <alignment wrapText="1"/>
    </xf>
    <xf numFmtId="0" fontId="69" fillId="0" borderId="0" xfId="3" applyFont="1" applyFill="1"/>
    <xf numFmtId="14" fontId="40" fillId="0" borderId="9" xfId="0" applyNumberFormat="1" applyFont="1" applyBorder="1" applyAlignment="1">
      <alignment vertical="center"/>
    </xf>
    <xf numFmtId="14" fontId="65" fillId="0" borderId="12" xfId="0" applyNumberFormat="1" applyFont="1" applyBorder="1" applyAlignment="1">
      <alignment vertical="center"/>
    </xf>
    <xf numFmtId="0" fontId="27" fillId="0" borderId="12" xfId="0" applyFont="1" applyBorder="1"/>
    <xf numFmtId="14" fontId="27" fillId="0" borderId="0" xfId="0" applyNumberFormat="1" applyFont="1" applyAlignment="1">
      <alignment horizontal="center" vertical="center"/>
    </xf>
    <xf numFmtId="0" fontId="77" fillId="0" borderId="12" xfId="3" applyFont="1" applyFill="1" applyBorder="1"/>
    <xf numFmtId="0" fontId="70" fillId="0" borderId="12" xfId="0" applyFont="1" applyBorder="1" applyAlignment="1">
      <alignment horizontal="left"/>
    </xf>
    <xf numFmtId="0" fontId="78" fillId="0" borderId="0" xfId="0" applyFont="1"/>
    <xf numFmtId="14" fontId="65" fillId="0" borderId="12" xfId="0" applyNumberFormat="1" applyFont="1" applyBorder="1" applyAlignment="1">
      <alignment wrapText="1"/>
    </xf>
    <xf numFmtId="0" fontId="70" fillId="0" borderId="14" xfId="0" applyFont="1" applyBorder="1" applyAlignment="1">
      <alignment horizontal="left"/>
    </xf>
    <xf numFmtId="0" fontId="78" fillId="0" borderId="21" xfId="0" applyFont="1" applyBorder="1"/>
    <xf numFmtId="0" fontId="78" fillId="0" borderId="76" xfId="0" applyFont="1" applyBorder="1"/>
    <xf numFmtId="0" fontId="40" fillId="0" borderId="40" xfId="0" applyFont="1" applyBorder="1"/>
    <xf numFmtId="0" fontId="78" fillId="0" borderId="12" xfId="0" applyFont="1" applyBorder="1"/>
    <xf numFmtId="0" fontId="68" fillId="0" borderId="64" xfId="0" applyFont="1" applyBorder="1"/>
    <xf numFmtId="0" fontId="42" fillId="0" borderId="21" xfId="0" applyFont="1" applyBorder="1"/>
    <xf numFmtId="0" fontId="74" fillId="0" borderId="21" xfId="0" applyFont="1" applyBorder="1"/>
    <xf numFmtId="14" fontId="65" fillId="0" borderId="12" xfId="0" applyNumberFormat="1" applyFont="1" applyBorder="1" applyAlignment="1">
      <alignment horizontal="center" vertical="center"/>
    </xf>
    <xf numFmtId="0" fontId="40" fillId="0" borderId="12" xfId="0" applyFont="1" applyBorder="1" applyAlignment="1">
      <alignment horizontal="center" vertical="center"/>
    </xf>
    <xf numFmtId="0" fontId="16" fillId="0" borderId="12" xfId="3" applyFont="1" applyFill="1" applyBorder="1"/>
    <xf numFmtId="0" fontId="79" fillId="0" borderId="0" xfId="0" applyFont="1"/>
    <xf numFmtId="0" fontId="65" fillId="0" borderId="14" xfId="0" applyFont="1" applyBorder="1"/>
    <xf numFmtId="0" fontId="69" fillId="0" borderId="21" xfId="3" applyFont="1" applyFill="1" applyBorder="1"/>
    <xf numFmtId="0" fontId="65" fillId="0" borderId="13" xfId="0" applyFont="1" applyBorder="1" applyAlignment="1">
      <alignment horizontal="center" vertical="center"/>
    </xf>
    <xf numFmtId="0" fontId="65" fillId="0" borderId="64" xfId="0" applyFont="1" applyBorder="1"/>
    <xf numFmtId="0" fontId="80" fillId="0" borderId="0" xfId="0" applyFont="1"/>
    <xf numFmtId="0" fontId="65" fillId="0" borderId="76" xfId="0" applyFont="1" applyBorder="1"/>
    <xf numFmtId="0" fontId="69" fillId="0" borderId="76" xfId="3" applyFont="1" applyFill="1" applyBorder="1"/>
    <xf numFmtId="0" fontId="65" fillId="0" borderId="21" xfId="0" applyFont="1" applyBorder="1"/>
    <xf numFmtId="0" fontId="65" fillId="0" borderId="9" xfId="0" applyFont="1" applyBorder="1"/>
    <xf numFmtId="0" fontId="69" fillId="0" borderId="9" xfId="3" applyFont="1" applyFill="1" applyBorder="1"/>
    <xf numFmtId="14" fontId="65" fillId="0" borderId="0" xfId="0" applyNumberFormat="1" applyFont="1" applyAlignment="1">
      <alignment horizontal="left"/>
    </xf>
    <xf numFmtId="0" fontId="81" fillId="0" borderId="12" xfId="3" applyFont="1" applyFill="1" applyBorder="1"/>
    <xf numFmtId="0" fontId="80" fillId="0" borderId="21" xfId="0" applyFont="1" applyBorder="1"/>
    <xf numFmtId="0" fontId="65" fillId="0" borderId="32" xfId="0" applyFont="1" applyBorder="1"/>
    <xf numFmtId="0" fontId="80" fillId="0" borderId="76" xfId="0" applyFont="1" applyBorder="1"/>
    <xf numFmtId="0" fontId="69" fillId="0" borderId="64" xfId="3" applyFont="1" applyFill="1" applyBorder="1"/>
    <xf numFmtId="0" fontId="65" fillId="0" borderId="65" xfId="0" applyFont="1" applyBorder="1"/>
    <xf numFmtId="0" fontId="40" fillId="0" borderId="14" xfId="0" applyFont="1" applyBorder="1"/>
    <xf numFmtId="0" fontId="82" fillId="0" borderId="12" xfId="0" applyFont="1" applyBorder="1" applyAlignment="1">
      <alignment horizontal="center"/>
    </xf>
    <xf numFmtId="0" fontId="82" fillId="0" borderId="12" xfId="0" applyFont="1" applyBorder="1"/>
    <xf numFmtId="0" fontId="83" fillId="0" borderId="12" xfId="0" applyFont="1" applyBorder="1"/>
    <xf numFmtId="0" fontId="84" fillId="0" borderId="12" xfId="3" applyFont="1" applyFill="1" applyBorder="1"/>
    <xf numFmtId="0" fontId="85" fillId="0" borderId="12" xfId="0" applyFont="1" applyBorder="1" applyAlignment="1">
      <alignment vertical="center"/>
    </xf>
    <xf numFmtId="14" fontId="83" fillId="0" borderId="12" xfId="0" applyNumberFormat="1" applyFont="1" applyBorder="1"/>
    <xf numFmtId="14" fontId="83" fillId="0" borderId="0" xfId="0" applyNumberFormat="1" applyFont="1"/>
    <xf numFmtId="0" fontId="41" fillId="0" borderId="12" xfId="0" applyFont="1" applyBorder="1" applyAlignment="1">
      <alignment horizontal="center" vertical="center"/>
    </xf>
    <xf numFmtId="0" fontId="40" fillId="0" borderId="12" xfId="0" applyFont="1" applyBorder="1" applyAlignment="1">
      <alignment horizontal="left"/>
    </xf>
    <xf numFmtId="0" fontId="31" fillId="0" borderId="12" xfId="0" applyFont="1" applyBorder="1" applyAlignment="1">
      <alignment horizontal="center" vertical="center"/>
    </xf>
    <xf numFmtId="0" fontId="70" fillId="0" borderId="12" xfId="0" applyFont="1" applyBorder="1" applyAlignment="1">
      <alignment wrapText="1"/>
    </xf>
    <xf numFmtId="0" fontId="65" fillId="0" borderId="12" xfId="0" applyFont="1" applyBorder="1" applyAlignment="1">
      <alignment horizontal="left"/>
    </xf>
    <xf numFmtId="0" fontId="86" fillId="0" borderId="12" xfId="0" applyFont="1" applyBorder="1" applyAlignment="1">
      <alignment horizontal="center" vertical="center"/>
    </xf>
    <xf numFmtId="0" fontId="87" fillId="0" borderId="12" xfId="0" applyFont="1" applyBorder="1" applyAlignment="1">
      <alignment horizontal="center" vertical="center"/>
    </xf>
    <xf numFmtId="0" fontId="88" fillId="0" borderId="12" xfId="0" applyFont="1" applyBorder="1"/>
    <xf numFmtId="166" fontId="65" fillId="0" borderId="0" xfId="0" applyNumberFormat="1" applyFont="1"/>
    <xf numFmtId="166" fontId="68" fillId="0" borderId="0" xfId="0" applyNumberFormat="1" applyFont="1"/>
    <xf numFmtId="0" fontId="40" fillId="0" borderId="64" xfId="0" applyFont="1" applyBorder="1"/>
    <xf numFmtId="0" fontId="78" fillId="0" borderId="21" xfId="0" applyFont="1" applyBorder="1" applyAlignment="1">
      <alignment horizontal="center"/>
    </xf>
    <xf numFmtId="0" fontId="3" fillId="0" borderId="21" xfId="0" applyFont="1" applyBorder="1"/>
    <xf numFmtId="0" fontId="78" fillId="0" borderId="76" xfId="0" applyFont="1" applyBorder="1" applyAlignment="1">
      <alignment horizontal="center"/>
    </xf>
    <xf numFmtId="0" fontId="74" fillId="0" borderId="0" xfId="0" applyFont="1"/>
    <xf numFmtId="0" fontId="16" fillId="0" borderId="77" xfId="0" applyFont="1" applyBorder="1"/>
    <xf numFmtId="0" fontId="16" fillId="0" borderId="76" xfId="0" applyFont="1" applyBorder="1" applyAlignment="1">
      <alignment wrapText="1"/>
    </xf>
    <xf numFmtId="0" fontId="16" fillId="0" borderId="0" xfId="0" applyFont="1" applyAlignment="1">
      <alignment wrapText="1"/>
    </xf>
    <xf numFmtId="0" fontId="78" fillId="0" borderId="12" xfId="0" applyFont="1" applyBorder="1" applyAlignment="1">
      <alignment horizontal="center"/>
    </xf>
    <xf numFmtId="0" fontId="16" fillId="0" borderId="37" xfId="0" applyFont="1" applyBorder="1" applyAlignment="1">
      <alignment wrapText="1"/>
    </xf>
    <xf numFmtId="0" fontId="89" fillId="0" borderId="73" xfId="0" applyFont="1" applyBorder="1"/>
    <xf numFmtId="0" fontId="89" fillId="0" borderId="12" xfId="0" applyFont="1" applyBorder="1"/>
    <xf numFmtId="0" fontId="90" fillId="0" borderId="78" xfId="0" applyFont="1" applyBorder="1"/>
    <xf numFmtId="0" fontId="3" fillId="0" borderId="0" xfId="0" applyFont="1"/>
    <xf numFmtId="0" fontId="16" fillId="0" borderId="86" xfId="0" applyFont="1" applyBorder="1"/>
    <xf numFmtId="0" fontId="16" fillId="0" borderId="73" xfId="0" applyFont="1" applyBorder="1" applyAlignment="1">
      <alignment wrapText="1"/>
    </xf>
    <xf numFmtId="0" fontId="89" fillId="0" borderId="75" xfId="0" applyFont="1" applyBorder="1"/>
    <xf numFmtId="0" fontId="69" fillId="0" borderId="13" xfId="3" applyFont="1" applyFill="1" applyBorder="1"/>
    <xf numFmtId="0" fontId="78" fillId="0" borderId="74" xfId="0" applyFont="1" applyBorder="1"/>
    <xf numFmtId="0" fontId="3" fillId="0" borderId="74" xfId="0" applyFont="1" applyBorder="1"/>
    <xf numFmtId="0" fontId="16" fillId="0" borderId="21" xfId="0" applyFont="1" applyBorder="1" applyAlignment="1">
      <alignment vertical="center"/>
    </xf>
    <xf numFmtId="0" fontId="70" fillId="0" borderId="9" xfId="0" applyFont="1" applyBorder="1" applyAlignment="1">
      <alignment horizontal="center"/>
    </xf>
    <xf numFmtId="0" fontId="65" fillId="0" borderId="9" xfId="0" applyFont="1" applyBorder="1" applyAlignment="1">
      <alignment vertical="center"/>
    </xf>
    <xf numFmtId="0" fontId="40" fillId="0" borderId="12" xfId="0" applyFont="1" applyBorder="1" applyAlignment="1">
      <alignment horizontal="center"/>
    </xf>
    <xf numFmtId="0" fontId="3" fillId="0" borderId="0" xfId="0" applyFont="1" applyAlignment="1">
      <alignment horizontal="left" vertical="center"/>
    </xf>
    <xf numFmtId="0" fontId="26" fillId="3" borderId="14" xfId="0" applyFont="1" applyFill="1" applyBorder="1" applyAlignment="1">
      <alignment horizontal="center" vertical="center"/>
    </xf>
    <xf numFmtId="0" fontId="26" fillId="3" borderId="15" xfId="0" applyFont="1" applyFill="1" applyBorder="1" applyAlignment="1">
      <alignment horizontal="center" vertical="center"/>
    </xf>
    <xf numFmtId="0" fontId="26" fillId="3" borderId="13"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4" fillId="4" borderId="14" xfId="0" applyFont="1" applyFill="1" applyBorder="1" applyAlignment="1">
      <alignment horizontal="center" vertical="center"/>
    </xf>
    <xf numFmtId="0" fontId="4" fillId="4" borderId="15" xfId="0" applyFont="1" applyFill="1" applyBorder="1" applyAlignment="1">
      <alignment horizontal="center" vertical="center"/>
    </xf>
    <xf numFmtId="0" fontId="4" fillId="4" borderId="13" xfId="0" applyFont="1" applyFill="1" applyBorder="1" applyAlignment="1">
      <alignment horizontal="center" vertical="center"/>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8" xfId="0" applyFont="1" applyBorder="1" applyAlignment="1">
      <alignment horizontal="center" vertical="center" wrapText="1"/>
    </xf>
    <xf numFmtId="49" fontId="8" fillId="0" borderId="12" xfId="0" applyNumberFormat="1" applyFont="1" applyBorder="1" applyAlignment="1">
      <alignment horizontal="left" vertical="center"/>
    </xf>
    <xf numFmtId="49" fontId="11" fillId="0" borderId="12" xfId="0" applyNumberFormat="1" applyFont="1" applyBorder="1" applyAlignment="1">
      <alignment horizontal="left" vertical="top" wrapText="1"/>
    </xf>
    <xf numFmtId="0" fontId="7" fillId="4" borderId="17" xfId="0" applyFont="1" applyFill="1" applyBorder="1" applyAlignment="1">
      <alignment horizontal="center" vertical="center"/>
    </xf>
    <xf numFmtId="0" fontId="7" fillId="4" borderId="18" xfId="0" applyFont="1" applyFill="1" applyBorder="1" applyAlignment="1">
      <alignment horizontal="center" vertical="center"/>
    </xf>
    <xf numFmtId="0" fontId="7" fillId="4" borderId="19" xfId="0" applyFont="1" applyFill="1" applyBorder="1" applyAlignment="1">
      <alignment horizontal="center" vertical="center"/>
    </xf>
    <xf numFmtId="0" fontId="3" fillId="0" borderId="16" xfId="0" applyFont="1" applyBorder="1" applyAlignment="1">
      <alignment horizontal="center" vertical="center" wrapText="1"/>
    </xf>
    <xf numFmtId="0" fontId="3" fillId="0" borderId="20" xfId="0" applyFont="1" applyBorder="1" applyAlignment="1">
      <alignment horizontal="center" vertical="center" wrapText="1"/>
    </xf>
    <xf numFmtId="0" fontId="8" fillId="9" borderId="26" xfId="0" applyFont="1" applyFill="1" applyBorder="1" applyAlignment="1">
      <alignment horizontal="left" vertical="center"/>
    </xf>
    <xf numFmtId="0" fontId="8" fillId="9" borderId="45" xfId="0" applyFont="1" applyFill="1" applyBorder="1" applyAlignment="1">
      <alignment horizontal="left" vertical="center"/>
    </xf>
    <xf numFmtId="0" fontId="13" fillId="0" borderId="23" xfId="0" applyFont="1" applyBorder="1" applyAlignment="1">
      <alignment horizontal="left" vertical="center" wrapText="1"/>
    </xf>
    <xf numFmtId="0" fontId="13" fillId="0" borderId="47" xfId="0" applyFont="1" applyBorder="1" applyAlignment="1">
      <alignment horizontal="left" vertical="center" wrapText="1"/>
    </xf>
    <xf numFmtId="0" fontId="13" fillId="0" borderId="24" xfId="0" applyFont="1" applyBorder="1" applyAlignment="1">
      <alignment horizontal="left" vertical="center" wrapText="1"/>
    </xf>
    <xf numFmtId="0" fontId="13" fillId="0" borderId="0" xfId="0" applyFont="1" applyAlignment="1">
      <alignment horizontal="left" vertical="center" wrapText="1"/>
    </xf>
    <xf numFmtId="0" fontId="13" fillId="0" borderId="25" xfId="0" applyFont="1" applyBorder="1" applyAlignment="1">
      <alignment horizontal="left" vertical="center" wrapText="1"/>
    </xf>
    <xf numFmtId="0" fontId="13" fillId="0" borderId="51" xfId="0" applyFont="1" applyBorder="1" applyAlignment="1">
      <alignment horizontal="left" vertical="center" wrapText="1"/>
    </xf>
    <xf numFmtId="0" fontId="24" fillId="0" borderId="48" xfId="0" applyFont="1" applyBorder="1" applyAlignment="1">
      <alignment vertical="center" wrapText="1"/>
    </xf>
    <xf numFmtId="0" fontId="24" fillId="0" borderId="22" xfId="0" applyFont="1" applyBorder="1" applyAlignment="1">
      <alignment vertical="center" wrapText="1"/>
    </xf>
    <xf numFmtId="0" fontId="36" fillId="0" borderId="52" xfId="0" applyFont="1" applyBorder="1" applyAlignment="1">
      <alignment horizontal="left" vertical="center"/>
    </xf>
    <xf numFmtId="0" fontId="36" fillId="0" borderId="53" xfId="0" applyFont="1" applyBorder="1" applyAlignment="1">
      <alignment horizontal="left" vertical="center"/>
    </xf>
    <xf numFmtId="0" fontId="15" fillId="0" borderId="0" xfId="0" applyFont="1"/>
    <xf numFmtId="166" fontId="30" fillId="0" borderId="12" xfId="1" applyNumberFormat="1" applyFont="1" applyBorder="1" applyAlignment="1">
      <alignment horizontal="center" vertical="center" wrapText="1"/>
    </xf>
    <xf numFmtId="0" fontId="47" fillId="10" borderId="76" xfId="0" applyFont="1" applyFill="1" applyBorder="1" applyAlignment="1">
      <alignment vertical="center"/>
    </xf>
    <xf numFmtId="0" fontId="1" fillId="0" borderId="73" xfId="0" applyFont="1" applyBorder="1" applyAlignment="1">
      <alignment horizontal="center" vertical="center"/>
    </xf>
    <xf numFmtId="0" fontId="1" fillId="0" borderId="37" xfId="0" applyFont="1" applyBorder="1" applyAlignment="1">
      <alignment horizontal="center" vertical="center"/>
    </xf>
    <xf numFmtId="0" fontId="1" fillId="0" borderId="36" xfId="0" applyFont="1" applyBorder="1" applyAlignment="1">
      <alignment horizontal="center" vertical="center"/>
    </xf>
    <xf numFmtId="0" fontId="54" fillId="0" borderId="37" xfId="0" applyFont="1" applyBorder="1" applyAlignment="1">
      <alignment vertical="center"/>
    </xf>
    <xf numFmtId="0" fontId="54" fillId="0" borderId="36" xfId="0" applyFont="1" applyBorder="1" applyAlignment="1">
      <alignment vertical="center"/>
    </xf>
    <xf numFmtId="0" fontId="54" fillId="0" borderId="77" xfId="0" applyFont="1" applyBorder="1" applyAlignment="1">
      <alignment vertical="center"/>
    </xf>
    <xf numFmtId="0" fontId="54" fillId="0" borderId="89" xfId="0" applyFont="1" applyBorder="1" applyAlignment="1">
      <alignment vertical="center"/>
    </xf>
    <xf numFmtId="0" fontId="54" fillId="0" borderId="78" xfId="0" applyFont="1" applyBorder="1" applyAlignment="1">
      <alignment vertical="center"/>
    </xf>
    <xf numFmtId="0" fontId="12" fillId="10" borderId="43" xfId="0" applyFont="1" applyFill="1" applyBorder="1" applyAlignment="1">
      <alignment horizontal="left" vertical="center" wrapText="1"/>
    </xf>
    <xf numFmtId="0" fontId="12" fillId="10" borderId="42" xfId="0" applyFont="1" applyFill="1" applyBorder="1" applyAlignment="1">
      <alignment horizontal="left" vertical="center" wrapText="1"/>
    </xf>
    <xf numFmtId="0" fontId="12" fillId="10" borderId="44" xfId="0" applyFont="1" applyFill="1" applyBorder="1" applyAlignment="1">
      <alignment horizontal="left" vertical="center" wrapText="1"/>
    </xf>
    <xf numFmtId="0" fontId="15" fillId="10" borderId="118" xfId="0" applyFont="1" applyFill="1" applyBorder="1" applyAlignment="1">
      <alignment vertical="center" wrapText="1"/>
    </xf>
    <xf numFmtId="0" fontId="15" fillId="10" borderId="119" xfId="0" applyFont="1" applyFill="1" applyBorder="1" applyAlignment="1">
      <alignment vertical="center" wrapText="1"/>
    </xf>
    <xf numFmtId="0" fontId="47" fillId="10" borderId="117" xfId="0" applyFont="1" applyFill="1" applyBorder="1" applyAlignment="1">
      <alignment vertical="center"/>
    </xf>
    <xf numFmtId="0" fontId="47" fillId="10" borderId="118" xfId="0" applyFont="1" applyFill="1" applyBorder="1" applyAlignment="1">
      <alignment vertical="center"/>
    </xf>
    <xf numFmtId="0" fontId="47" fillId="10" borderId="120" xfId="0" applyFont="1" applyFill="1" applyBorder="1" applyAlignment="1">
      <alignment vertical="center"/>
    </xf>
    <xf numFmtId="0" fontId="47" fillId="10" borderId="121" xfId="0" applyFont="1" applyFill="1" applyBorder="1" applyAlignment="1">
      <alignment vertical="center"/>
    </xf>
    <xf numFmtId="0" fontId="12" fillId="10" borderId="43" xfId="0" applyFont="1" applyFill="1" applyBorder="1" applyAlignment="1">
      <alignment horizontal="center" vertical="center" wrapText="1"/>
    </xf>
    <xf numFmtId="0" fontId="12" fillId="10" borderId="42" xfId="0" applyFont="1" applyFill="1" applyBorder="1" applyAlignment="1">
      <alignment horizontal="center" vertical="center" wrapText="1"/>
    </xf>
    <xf numFmtId="0" fontId="12" fillId="10" borderId="44" xfId="0" applyFont="1" applyFill="1" applyBorder="1" applyAlignment="1">
      <alignment horizontal="center" vertical="center" wrapText="1"/>
    </xf>
    <xf numFmtId="0" fontId="15" fillId="6" borderId="15" xfId="0" applyFont="1" applyFill="1" applyBorder="1" applyAlignment="1">
      <alignment vertical="center"/>
    </xf>
    <xf numFmtId="0" fontId="15" fillId="6" borderId="31" xfId="0" applyFont="1" applyFill="1" applyBorder="1" applyAlignment="1">
      <alignment vertical="center"/>
    </xf>
    <xf numFmtId="0" fontId="15" fillId="0" borderId="15" xfId="0" applyFont="1" applyBorder="1" applyAlignment="1">
      <alignment vertical="center"/>
    </xf>
    <xf numFmtId="0" fontId="15" fillId="0" borderId="13" xfId="0" applyFont="1" applyBorder="1" applyAlignment="1">
      <alignment vertical="center"/>
    </xf>
    <xf numFmtId="0" fontId="15" fillId="6" borderId="14" xfId="0" applyFont="1" applyFill="1" applyBorder="1" applyAlignment="1">
      <alignment vertical="center" wrapText="1"/>
    </xf>
    <xf numFmtId="0" fontId="15" fillId="6" borderId="15" xfId="0" applyFont="1" applyFill="1" applyBorder="1" applyAlignment="1">
      <alignment vertical="center" wrapText="1"/>
    </xf>
    <xf numFmtId="0" fontId="15" fillId="6" borderId="31" xfId="0" applyFont="1" applyFill="1" applyBorder="1" applyAlignment="1">
      <alignment vertical="center" wrapText="1"/>
    </xf>
    <xf numFmtId="0" fontId="9" fillId="0" borderId="21" xfId="0" applyFont="1" applyBorder="1" applyAlignment="1">
      <alignment horizontal="center" vertical="center"/>
    </xf>
    <xf numFmtId="0" fontId="8" fillId="0" borderId="38" xfId="0" applyFont="1" applyBorder="1" applyAlignment="1">
      <alignment vertical="center"/>
    </xf>
    <xf numFmtId="0" fontId="8" fillId="0" borderId="41" xfId="0" applyFont="1" applyBorder="1" applyAlignment="1">
      <alignment vertical="center"/>
    </xf>
    <xf numFmtId="0" fontId="8" fillId="9" borderId="21" xfId="0" applyFont="1" applyFill="1" applyBorder="1" applyAlignment="1">
      <alignment horizontal="left" vertical="center"/>
    </xf>
    <xf numFmtId="0" fontId="8" fillId="9" borderId="76" xfId="0" applyFont="1" applyFill="1" applyBorder="1" applyAlignment="1">
      <alignment horizontal="left" vertical="center"/>
    </xf>
    <xf numFmtId="0" fontId="13" fillId="0" borderId="32" xfId="0" applyFont="1" applyBorder="1" applyAlignment="1">
      <alignment vertical="center" wrapText="1"/>
    </xf>
    <xf numFmtId="0" fontId="13" fillId="0" borderId="39" xfId="0" applyFont="1" applyBorder="1" applyAlignment="1">
      <alignment vertical="center" wrapText="1"/>
    </xf>
    <xf numFmtId="0" fontId="13" fillId="0" borderId="40" xfId="0" applyFont="1" applyBorder="1" applyAlignment="1">
      <alignment vertical="center" wrapText="1"/>
    </xf>
    <xf numFmtId="0" fontId="13" fillId="0" borderId="33" xfId="0" applyFont="1" applyBorder="1" applyAlignment="1">
      <alignment vertical="center" wrapText="1"/>
    </xf>
    <xf numFmtId="0" fontId="13" fillId="0" borderId="0" xfId="0" applyFont="1" applyAlignment="1">
      <alignment vertical="center" wrapText="1"/>
    </xf>
    <xf numFmtId="0" fontId="13" fillId="0" borderId="16" xfId="0" applyFont="1" applyBorder="1" applyAlignment="1">
      <alignment vertical="center" wrapText="1"/>
    </xf>
    <xf numFmtId="0" fontId="13" fillId="0" borderId="38" xfId="0" applyFont="1" applyBorder="1" applyAlignment="1">
      <alignment vertical="center" wrapText="1"/>
    </xf>
    <xf numFmtId="0" fontId="13" fillId="0" borderId="41" xfId="0" applyFont="1" applyBorder="1" applyAlignment="1">
      <alignment vertical="center" wrapText="1"/>
    </xf>
    <xf numFmtId="0" fontId="13" fillId="0" borderId="35" xfId="0" applyFont="1" applyBorder="1" applyAlignment="1">
      <alignment vertical="center" wrapText="1"/>
    </xf>
    <xf numFmtId="0" fontId="9" fillId="0" borderId="41" xfId="0" applyFont="1" applyBorder="1" applyAlignment="1">
      <alignment horizontal="center" vertical="center"/>
    </xf>
    <xf numFmtId="0" fontId="9" fillId="0" borderId="35" xfId="0" applyFont="1" applyBorder="1" applyAlignment="1">
      <alignment horizontal="center" vertical="center"/>
    </xf>
    <xf numFmtId="0" fontId="9" fillId="0" borderId="15" xfId="0" applyFont="1" applyBorder="1" applyAlignment="1">
      <alignment horizontal="center" vertical="center"/>
    </xf>
    <xf numFmtId="0" fontId="9" fillId="0" borderId="13" xfId="0" applyFont="1" applyBorder="1" applyAlignment="1">
      <alignment horizontal="center" vertical="center"/>
    </xf>
    <xf numFmtId="0" fontId="13" fillId="0" borderId="15" xfId="0" applyFont="1" applyBorder="1" applyAlignment="1">
      <alignment horizontal="left" vertical="center"/>
    </xf>
    <xf numFmtId="0" fontId="12" fillId="0" borderId="14" xfId="0" applyFont="1" applyBorder="1" applyAlignment="1">
      <alignment horizontal="center" vertical="center" wrapText="1"/>
    </xf>
    <xf numFmtId="0" fontId="12" fillId="0" borderId="13" xfId="0" applyFont="1" applyBorder="1" applyAlignment="1">
      <alignment horizontal="center" vertical="center" wrapText="1"/>
    </xf>
    <xf numFmtId="49" fontId="43" fillId="0" borderId="74" xfId="0" applyNumberFormat="1" applyFont="1" applyBorder="1" applyAlignment="1">
      <alignment horizontal="left" vertical="center" wrapText="1"/>
    </xf>
    <xf numFmtId="49" fontId="13" fillId="0" borderId="74" xfId="0" applyNumberFormat="1" applyFont="1" applyBorder="1" applyAlignment="1">
      <alignment horizontal="left" vertical="center" wrapText="1"/>
    </xf>
    <xf numFmtId="49" fontId="13" fillId="0" borderId="21" xfId="0" applyNumberFormat="1" applyFont="1" applyBorder="1" applyAlignment="1">
      <alignment horizontal="left" vertical="center" wrapText="1"/>
    </xf>
    <xf numFmtId="49" fontId="13" fillId="0" borderId="76" xfId="0" applyNumberFormat="1" applyFont="1" applyBorder="1" applyAlignment="1">
      <alignment horizontal="left" vertical="center" wrapText="1"/>
    </xf>
    <xf numFmtId="166" fontId="8" fillId="9" borderId="45" xfId="1" applyNumberFormat="1" applyFont="1" applyFill="1" applyBorder="1" applyAlignment="1">
      <alignment horizontal="left" vertical="center"/>
    </xf>
    <xf numFmtId="166" fontId="8" fillId="9" borderId="27" xfId="1" applyNumberFormat="1" applyFont="1" applyFill="1" applyBorder="1" applyAlignment="1">
      <alignment horizontal="left" vertical="center"/>
    </xf>
    <xf numFmtId="49" fontId="63" fillId="0" borderId="74" xfId="0" applyNumberFormat="1" applyFont="1" applyBorder="1" applyAlignment="1">
      <alignment horizontal="left" vertical="top" wrapText="1"/>
    </xf>
    <xf numFmtId="49" fontId="11" fillId="0" borderId="74" xfId="0" applyNumberFormat="1" applyFont="1" applyBorder="1" applyAlignment="1">
      <alignment horizontal="left" vertical="top" wrapText="1"/>
    </xf>
    <xf numFmtId="49" fontId="11" fillId="0" borderId="21" xfId="0" applyNumberFormat="1" applyFont="1" applyBorder="1" applyAlignment="1">
      <alignment horizontal="left" vertical="top" wrapText="1"/>
    </xf>
    <xf numFmtId="49" fontId="11" fillId="0" borderId="76" xfId="0" applyNumberFormat="1" applyFont="1" applyBorder="1" applyAlignment="1">
      <alignment horizontal="left" vertical="top" wrapText="1"/>
    </xf>
    <xf numFmtId="49" fontId="98" fillId="0" borderId="66" xfId="0" applyNumberFormat="1" applyFont="1" applyBorder="1" applyAlignment="1">
      <alignment horizontal="left" vertical="center" wrapText="1"/>
    </xf>
    <xf numFmtId="49" fontId="98" fillId="0" borderId="67" xfId="0" applyNumberFormat="1" applyFont="1" applyBorder="1" applyAlignment="1">
      <alignment horizontal="left" vertical="center" wrapText="1"/>
    </xf>
    <xf numFmtId="49" fontId="98" fillId="0" borderId="58" xfId="0" applyNumberFormat="1" applyFont="1" applyBorder="1" applyAlignment="1">
      <alignment horizontal="left" vertical="center" wrapText="1"/>
    </xf>
    <xf numFmtId="49" fontId="98" fillId="0" borderId="0" xfId="0" applyNumberFormat="1" applyFont="1" applyAlignment="1">
      <alignment horizontal="left" vertical="center" wrapText="1"/>
    </xf>
    <xf numFmtId="49" fontId="8" fillId="0" borderId="102" xfId="0" applyNumberFormat="1" applyFont="1" applyBorder="1" applyAlignment="1">
      <alignment horizontal="left" vertical="center"/>
    </xf>
    <xf numFmtId="49" fontId="8" fillId="0" borderId="103" xfId="0" applyNumberFormat="1" applyFont="1" applyBorder="1" applyAlignment="1">
      <alignment horizontal="left" vertical="center"/>
    </xf>
    <xf numFmtId="166" fontId="30" fillId="0" borderId="64" xfId="1" applyNumberFormat="1" applyFont="1" applyBorder="1" applyAlignment="1">
      <alignment horizontal="center" vertical="center" wrapText="1"/>
    </xf>
    <xf numFmtId="0" fontId="15" fillId="0" borderId="48" xfId="0" applyFont="1" applyBorder="1" applyAlignment="1">
      <alignment horizontal="center" vertical="center"/>
    </xf>
    <xf numFmtId="0" fontId="15" fillId="0" borderId="100" xfId="0" applyFont="1" applyBorder="1" applyAlignment="1">
      <alignment horizontal="center" vertical="center"/>
    </xf>
    <xf numFmtId="0" fontId="30" fillId="0" borderId="52" xfId="0" applyFont="1" applyBorder="1" applyAlignment="1">
      <alignment horizontal="left" vertical="center"/>
    </xf>
    <xf numFmtId="0" fontId="30" fillId="0" borderId="104" xfId="0" applyFont="1" applyBorder="1" applyAlignment="1">
      <alignment horizontal="left" vertical="center"/>
    </xf>
    <xf numFmtId="0" fontId="36" fillId="0" borderId="77" xfId="0" applyFont="1" applyBorder="1" applyAlignment="1">
      <alignment vertical="center" wrapText="1"/>
    </xf>
    <xf numFmtId="0" fontId="36" fillId="0" borderId="89" xfId="0" applyFont="1" applyBorder="1" applyAlignment="1">
      <alignment vertical="center" wrapText="1"/>
    </xf>
    <xf numFmtId="0" fontId="36" fillId="0" borderId="90" xfId="0" applyFont="1" applyBorder="1" applyAlignment="1">
      <alignment vertical="center" wrapText="1"/>
    </xf>
    <xf numFmtId="0" fontId="36" fillId="0" borderId="0" xfId="0" applyFont="1" applyAlignment="1">
      <alignment vertical="center" wrapText="1"/>
    </xf>
    <xf numFmtId="0" fontId="36" fillId="0" borderId="75" xfId="0" applyFont="1" applyBorder="1" applyAlignment="1">
      <alignment vertical="center" wrapText="1"/>
    </xf>
    <xf numFmtId="0" fontId="36" fillId="0" borderId="92" xfId="0" applyFont="1" applyBorder="1" applyAlignment="1">
      <alignment vertical="center" wrapText="1"/>
    </xf>
    <xf numFmtId="0" fontId="36" fillId="0" borderId="93" xfId="0" applyFont="1" applyBorder="1" applyAlignment="1">
      <alignment horizontal="left" vertical="center" wrapText="1"/>
    </xf>
    <xf numFmtId="0" fontId="31" fillId="0" borderId="15" xfId="0" applyFont="1" applyBorder="1" applyAlignment="1">
      <alignment wrapText="1"/>
    </xf>
    <xf numFmtId="0" fontId="31" fillId="0" borderId="31" xfId="0" applyFont="1" applyBorder="1" applyAlignment="1">
      <alignment wrapText="1"/>
    </xf>
    <xf numFmtId="0" fontId="94" fillId="9" borderId="105" xfId="0" applyFont="1" applyFill="1" applyBorder="1" applyAlignment="1">
      <alignment horizontal="left" vertical="center"/>
    </xf>
    <xf numFmtId="0" fontId="94" fillId="9" borderId="92" xfId="0" applyFont="1" applyFill="1" applyBorder="1" applyAlignment="1">
      <alignment horizontal="left" vertical="center"/>
    </xf>
    <xf numFmtId="0" fontId="94" fillId="9" borderId="106" xfId="0" applyFont="1" applyFill="1" applyBorder="1" applyAlignment="1">
      <alignment horizontal="left" vertical="center"/>
    </xf>
    <xf numFmtId="0" fontId="29" fillId="0" borderId="89" xfId="0" applyFont="1" applyBorder="1" applyAlignment="1">
      <alignment vertical="center" wrapText="1"/>
    </xf>
    <xf numFmtId="0" fontId="29" fillId="0" borderId="78" xfId="0" applyFont="1" applyBorder="1" applyAlignment="1">
      <alignment vertical="center" wrapText="1"/>
    </xf>
    <xf numFmtId="0" fontId="31" fillId="0" borderId="15" xfId="0" applyFont="1" applyBorder="1"/>
    <xf numFmtId="0" fontId="31" fillId="0" borderId="31" xfId="0" applyFont="1" applyBorder="1"/>
    <xf numFmtId="0" fontId="30" fillId="0" borderId="15" xfId="0" applyFont="1" applyBorder="1" applyAlignment="1">
      <alignment wrapText="1"/>
    </xf>
    <xf numFmtId="0" fontId="30" fillId="0" borderId="31" xfId="0" applyFont="1" applyBorder="1" applyAlignment="1">
      <alignment wrapText="1"/>
    </xf>
    <xf numFmtId="0" fontId="30" fillId="7" borderId="15" xfId="0" applyFont="1" applyFill="1" applyBorder="1"/>
    <xf numFmtId="0" fontId="30" fillId="7" borderId="31" xfId="0" applyFont="1" applyFill="1" applyBorder="1"/>
    <xf numFmtId="0" fontId="30" fillId="0" borderId="15" xfId="0" applyFont="1" applyBorder="1"/>
    <xf numFmtId="0" fontId="30" fillId="0" borderId="31" xfId="0" applyFont="1" applyBorder="1"/>
    <xf numFmtId="0" fontId="60" fillId="10" borderId="15" xfId="0" applyFont="1" applyFill="1" applyBorder="1"/>
    <xf numFmtId="0" fontId="60" fillId="10" borderId="31" xfId="0" applyFont="1" applyFill="1" applyBorder="1"/>
    <xf numFmtId="0" fontId="30" fillId="10" borderId="15" xfId="0" applyFont="1" applyFill="1" applyBorder="1"/>
    <xf numFmtId="0" fontId="30" fillId="10" borderId="31" xfId="0" applyFont="1" applyFill="1" applyBorder="1"/>
    <xf numFmtId="0" fontId="61" fillId="0" borderId="15" xfId="0" applyFont="1" applyBorder="1"/>
    <xf numFmtId="0" fontId="61" fillId="0" borderId="31" xfId="0" applyFont="1" applyBorder="1"/>
    <xf numFmtId="0" fontId="40" fillId="0" borderId="15" xfId="0" applyFont="1" applyBorder="1"/>
    <xf numFmtId="0" fontId="40" fillId="0" borderId="31" xfId="0" applyFont="1" applyBorder="1"/>
    <xf numFmtId="0" fontId="35" fillId="10" borderId="87" xfId="0" applyFont="1" applyFill="1" applyBorder="1"/>
    <xf numFmtId="0" fontId="35" fillId="10" borderId="88" xfId="0" applyFont="1" applyFill="1" applyBorder="1"/>
    <xf numFmtId="0" fontId="31" fillId="0" borderId="107" xfId="0" applyFont="1" applyBorder="1"/>
    <xf numFmtId="0" fontId="31" fillId="0" borderId="37" xfId="0" applyFont="1" applyBorder="1"/>
    <xf numFmtId="0" fontId="31" fillId="0" borderId="108" xfId="0" applyFont="1" applyBorder="1"/>
    <xf numFmtId="0" fontId="31" fillId="0" borderId="93" xfId="0" applyFont="1" applyBorder="1"/>
    <xf numFmtId="0" fontId="13" fillId="0" borderId="21" xfId="0" applyFont="1" applyBorder="1" applyAlignment="1">
      <alignment horizontal="left" vertical="center" wrapText="1"/>
    </xf>
    <xf numFmtId="0" fontId="24" fillId="0" borderId="21" xfId="0" applyFont="1" applyBorder="1" applyAlignment="1">
      <alignment vertical="center" wrapText="1"/>
    </xf>
    <xf numFmtId="0" fontId="36" fillId="0" borderId="21" xfId="0" applyFont="1" applyBorder="1" applyAlignment="1">
      <alignment horizontal="left" vertical="center"/>
    </xf>
    <xf numFmtId="166" fontId="46" fillId="0" borderId="21" xfId="4" applyNumberFormat="1" applyFont="1" applyBorder="1" applyAlignment="1">
      <alignment horizontal="center" vertical="center" wrapText="1"/>
    </xf>
    <xf numFmtId="49" fontId="11" fillId="0" borderId="66" xfId="0" applyNumberFormat="1" applyFont="1" applyBorder="1" applyAlignment="1">
      <alignment horizontal="left" vertical="center" wrapText="1"/>
    </xf>
    <xf numFmtId="0" fontId="94" fillId="8" borderId="105" xfId="0" applyFont="1" applyFill="1" applyBorder="1" applyAlignment="1">
      <alignment horizontal="left" vertical="center"/>
    </xf>
    <xf numFmtId="0" fontId="94" fillId="8" borderId="92" xfId="0" applyFont="1" applyFill="1" applyBorder="1" applyAlignment="1">
      <alignment horizontal="left" vertical="center"/>
    </xf>
    <xf numFmtId="166" fontId="30" fillId="0" borderId="36" xfId="1" applyNumberFormat="1" applyFont="1" applyBorder="1" applyAlignment="1">
      <alignment horizontal="center" vertical="center" wrapText="1"/>
    </xf>
    <xf numFmtId="0" fontId="94" fillId="9" borderId="21" xfId="0" applyFont="1" applyFill="1" applyBorder="1" applyAlignment="1">
      <alignment horizontal="left" vertical="center"/>
    </xf>
    <xf numFmtId="0" fontId="36" fillId="0" borderId="33" xfId="0" applyFont="1" applyBorder="1" applyAlignment="1">
      <alignment vertical="center" wrapText="1"/>
    </xf>
    <xf numFmtId="0" fontId="36" fillId="0" borderId="16" xfId="0" applyFont="1" applyBorder="1" applyAlignment="1">
      <alignment vertical="center" wrapText="1"/>
    </xf>
    <xf numFmtId="0" fontId="36" fillId="0" borderId="38" xfId="0" applyFont="1" applyBorder="1" applyAlignment="1">
      <alignment vertical="center" wrapText="1"/>
    </xf>
    <xf numFmtId="0" fontId="36" fillId="0" borderId="35" xfId="0" applyFont="1" applyBorder="1" applyAlignment="1">
      <alignment vertical="center" wrapText="1"/>
    </xf>
    <xf numFmtId="49" fontId="8" fillId="0" borderId="55" xfId="0" applyNumberFormat="1" applyFont="1" applyBorder="1" applyAlignment="1">
      <alignment horizontal="left" vertical="center"/>
    </xf>
    <xf numFmtId="49" fontId="13" fillId="0" borderId="55" xfId="0" applyNumberFormat="1" applyFont="1" applyBorder="1" applyAlignment="1">
      <alignment horizontal="left" vertical="center" wrapText="1"/>
    </xf>
    <xf numFmtId="0" fontId="11" fillId="0" borderId="23" xfId="0" applyFont="1" applyBorder="1" applyAlignment="1">
      <alignment horizontal="left" vertical="center" wrapText="1"/>
    </xf>
    <xf numFmtId="0" fontId="8" fillId="8" borderId="25" xfId="0" applyFont="1" applyFill="1" applyBorder="1" applyAlignment="1">
      <alignment horizontal="left" vertical="center"/>
    </xf>
    <xf numFmtId="0" fontId="36" fillId="0" borderId="23" xfId="0" applyFont="1" applyBorder="1" applyAlignment="1">
      <alignment horizontal="left" vertical="center" wrapText="1"/>
    </xf>
    <xf numFmtId="0" fontId="36" fillId="0" borderId="28" xfId="0" applyFont="1" applyBorder="1" applyAlignment="1">
      <alignment horizontal="left" vertical="center" wrapText="1"/>
    </xf>
    <xf numFmtId="0" fontId="36" fillId="0" borderId="24" xfId="0" applyFont="1" applyBorder="1" applyAlignment="1">
      <alignment horizontal="left" vertical="center" wrapText="1"/>
    </xf>
    <xf numFmtId="0" fontId="36" fillId="0" borderId="29" xfId="0" applyFont="1" applyBorder="1" applyAlignment="1">
      <alignment horizontal="left" vertical="center" wrapText="1"/>
    </xf>
    <xf numFmtId="0" fontId="36" fillId="0" borderId="25" xfId="0" applyFont="1" applyBorder="1" applyAlignment="1">
      <alignment horizontal="left" vertical="center" wrapText="1"/>
    </xf>
    <xf numFmtId="0" fontId="36" fillId="0" borderId="30" xfId="0" applyFont="1" applyBorder="1" applyAlignment="1">
      <alignment horizontal="left" vertical="center" wrapText="1"/>
    </xf>
    <xf numFmtId="0" fontId="36" fillId="0" borderId="74" xfId="0" applyFont="1" applyBorder="1" applyAlignment="1">
      <alignment horizontal="left" vertical="center" wrapText="1"/>
    </xf>
    <xf numFmtId="0" fontId="36" fillId="0" borderId="21" xfId="0" applyFont="1" applyBorder="1" applyAlignment="1">
      <alignment horizontal="left" vertical="center" wrapText="1"/>
    </xf>
    <xf numFmtId="0" fontId="15" fillId="0" borderId="55" xfId="0" applyFont="1" applyBorder="1" applyAlignment="1">
      <alignment horizontal="left"/>
    </xf>
    <xf numFmtId="0" fontId="15" fillId="0" borderId="56" xfId="0" applyFont="1" applyBorder="1" applyAlignment="1">
      <alignment horizontal="left"/>
    </xf>
    <xf numFmtId="0" fontId="15" fillId="0" borderId="57" xfId="0" applyFont="1" applyBorder="1" applyAlignment="1">
      <alignment horizontal="left"/>
    </xf>
    <xf numFmtId="49" fontId="8" fillId="0" borderId="54" xfId="0" applyNumberFormat="1" applyFont="1" applyBorder="1" applyAlignment="1">
      <alignment horizontal="left" vertical="center"/>
    </xf>
    <xf numFmtId="49" fontId="13" fillId="0" borderId="54" xfId="0" applyNumberFormat="1" applyFont="1" applyBorder="1" applyAlignment="1">
      <alignment horizontal="left" vertical="center"/>
    </xf>
    <xf numFmtId="0" fontId="15" fillId="8" borderId="58" xfId="0" applyFont="1" applyFill="1" applyBorder="1" applyAlignment="1">
      <alignment horizontal="left"/>
    </xf>
    <xf numFmtId="0" fontId="15" fillId="0" borderId="59" xfId="0" applyFont="1" applyBorder="1" applyAlignment="1">
      <alignment horizontal="left"/>
    </xf>
    <xf numFmtId="0" fontId="28" fillId="0" borderId="23" xfId="0" applyFont="1" applyBorder="1"/>
    <xf numFmtId="0" fontId="28" fillId="0" borderId="47" xfId="0" applyFont="1" applyBorder="1"/>
    <xf numFmtId="0" fontId="30" fillId="0" borderId="40" xfId="0" applyFont="1" applyBorder="1" applyAlignment="1">
      <alignment horizontal="center" vertical="center" wrapText="1"/>
    </xf>
    <xf numFmtId="0" fontId="30" fillId="0" borderId="16" xfId="0" applyFont="1" applyBorder="1" applyAlignment="1">
      <alignment horizontal="center" vertical="center" wrapText="1"/>
    </xf>
    <xf numFmtId="0" fontId="36" fillId="0" borderId="32" xfId="0" applyFont="1" applyBorder="1" applyAlignment="1">
      <alignment horizontal="left" vertical="center" wrapText="1"/>
    </xf>
    <xf numFmtId="0" fontId="36" fillId="0" borderId="39" xfId="0" applyFont="1" applyBorder="1" applyAlignment="1">
      <alignment horizontal="left" vertical="center" wrapText="1"/>
    </xf>
    <xf numFmtId="0" fontId="36" fillId="0" borderId="33" xfId="0" applyFont="1" applyBorder="1" applyAlignment="1">
      <alignment horizontal="left" vertical="center" wrapText="1"/>
    </xf>
    <xf numFmtId="0" fontId="36" fillId="0" borderId="0" xfId="0" applyFont="1" applyAlignment="1">
      <alignment horizontal="left" vertical="center" wrapText="1"/>
    </xf>
    <xf numFmtId="0" fontId="8" fillId="9" borderId="77" xfId="0" applyFont="1" applyFill="1" applyBorder="1" applyAlignment="1">
      <alignment horizontal="left" vertical="center"/>
    </xf>
    <xf numFmtId="49" fontId="29" fillId="0" borderId="21" xfId="0" applyNumberFormat="1" applyFont="1" applyBorder="1" applyAlignment="1">
      <alignment horizontal="left" vertical="top" wrapText="1"/>
    </xf>
    <xf numFmtId="0" fontId="59" fillId="0" borderId="21" xfId="0" applyFont="1" applyBorder="1"/>
    <xf numFmtId="0" fontId="0" fillId="0" borderId="21" xfId="0" applyBorder="1"/>
    <xf numFmtId="0" fontId="59" fillId="0" borderId="76" xfId="0" applyFont="1" applyBorder="1"/>
    <xf numFmtId="0" fontId="0" fillId="0" borderId="76" xfId="0" applyBorder="1"/>
    <xf numFmtId="0" fontId="30" fillId="10" borderId="82" xfId="0" applyFont="1" applyFill="1" applyBorder="1" applyAlignment="1">
      <alignment horizontal="left" vertical="center"/>
    </xf>
    <xf numFmtId="0" fontId="30" fillId="10" borderId="109" xfId="0" applyFont="1" applyFill="1" applyBorder="1" applyAlignment="1">
      <alignment horizontal="left" vertical="center"/>
    </xf>
    <xf numFmtId="0" fontId="28" fillId="0" borderId="24" xfId="0" applyFont="1" applyBorder="1"/>
    <xf numFmtId="0" fontId="28" fillId="0" borderId="0" xfId="0" applyFont="1"/>
    <xf numFmtId="0" fontId="8" fillId="8" borderId="21" xfId="0" applyFont="1" applyFill="1" applyBorder="1" applyAlignment="1">
      <alignment horizontal="left" vertical="center"/>
    </xf>
    <xf numFmtId="0" fontId="8" fillId="8" borderId="77" xfId="0" applyFont="1" applyFill="1" applyBorder="1" applyAlignment="1">
      <alignment horizontal="left" vertical="center"/>
    </xf>
    <xf numFmtId="0" fontId="36" fillId="0" borderId="77" xfId="0" applyFont="1" applyBorder="1" applyAlignment="1">
      <alignment horizontal="left" vertical="center" wrapText="1"/>
    </xf>
    <xf numFmtId="0" fontId="36" fillId="0" borderId="78" xfId="0" applyFont="1" applyBorder="1" applyAlignment="1">
      <alignment horizontal="left" vertical="center" wrapText="1"/>
    </xf>
    <xf numFmtId="0" fontId="36" fillId="0" borderId="90" xfId="0" applyFont="1" applyBorder="1" applyAlignment="1">
      <alignment horizontal="left" vertical="center" wrapText="1"/>
    </xf>
    <xf numFmtId="0" fontId="36" fillId="0" borderId="91" xfId="0" applyFont="1" applyBorder="1" applyAlignment="1">
      <alignment horizontal="left" vertical="center" wrapText="1"/>
    </xf>
    <xf numFmtId="0" fontId="36" fillId="0" borderId="75" xfId="0" applyFont="1" applyBorder="1" applyAlignment="1">
      <alignment horizontal="left" vertical="center" wrapText="1"/>
    </xf>
    <xf numFmtId="0" fontId="36" fillId="0" borderId="34" xfId="0" applyFont="1" applyBorder="1" applyAlignment="1">
      <alignment horizontal="left" vertical="center" wrapText="1"/>
    </xf>
    <xf numFmtId="0" fontId="46" fillId="0" borderId="95" xfId="0" applyFont="1" applyBorder="1" applyAlignment="1">
      <alignment horizontal="center" vertical="center" wrapText="1"/>
    </xf>
    <xf numFmtId="0" fontId="46" fillId="0" borderId="96" xfId="0" applyFont="1" applyBorder="1" applyAlignment="1">
      <alignment horizontal="center" vertical="center" wrapText="1"/>
    </xf>
    <xf numFmtId="0" fontId="46" fillId="0" borderId="97" xfId="0" applyFont="1" applyBorder="1" applyAlignment="1">
      <alignment horizontal="center" vertical="center" wrapText="1"/>
    </xf>
    <xf numFmtId="0" fontId="46" fillId="0" borderId="21" xfId="0" applyFont="1" applyBorder="1" applyAlignment="1">
      <alignment horizontal="center" vertical="center" wrapText="1"/>
    </xf>
    <xf numFmtId="0" fontId="30" fillId="0" borderId="21" xfId="0" applyFont="1" applyBorder="1" applyAlignment="1">
      <alignment horizontal="left" vertical="center" wrapText="1"/>
    </xf>
    <xf numFmtId="0" fontId="30" fillId="0" borderId="73" xfId="0" applyFont="1" applyBorder="1" applyAlignment="1">
      <alignment horizontal="left" vertical="center" wrapText="1"/>
    </xf>
    <xf numFmtId="0" fontId="24" fillId="0" borderId="23" xfId="0" applyFont="1" applyBorder="1" applyAlignment="1">
      <alignment vertical="center" wrapText="1"/>
    </xf>
    <xf numFmtId="0" fontId="30" fillId="0" borderId="40" xfId="0" applyFont="1" applyBorder="1" applyAlignment="1">
      <alignment horizontal="left" vertical="center"/>
    </xf>
    <xf numFmtId="0" fontId="24" fillId="0" borderId="76" xfId="0" applyFont="1" applyBorder="1" applyAlignment="1">
      <alignment horizontal="center" vertical="center" wrapText="1"/>
    </xf>
    <xf numFmtId="0" fontId="24" fillId="0" borderId="74" xfId="0" applyFont="1" applyBorder="1" applyAlignment="1">
      <alignment horizontal="center" vertical="center" wrapText="1"/>
    </xf>
    <xf numFmtId="0" fontId="30" fillId="0" borderId="65" xfId="0" applyFont="1" applyBorder="1" applyAlignment="1">
      <alignment horizontal="center" vertical="center" wrapText="1"/>
    </xf>
    <xf numFmtId="0" fontId="30" fillId="0" borderId="9" xfId="0" applyFont="1" applyBorder="1" applyAlignment="1">
      <alignment horizontal="center" vertical="center" wrapText="1"/>
    </xf>
    <xf numFmtId="0" fontId="28" fillId="0" borderId="26" xfId="0" applyFont="1" applyBorder="1" applyAlignment="1">
      <alignment vertical="center"/>
    </xf>
    <xf numFmtId="0" fontId="28" fillId="0" borderId="45" xfId="0" applyFont="1" applyBorder="1" applyAlignment="1">
      <alignment vertical="center"/>
    </xf>
    <xf numFmtId="0" fontId="36" fillId="0" borderId="23" xfId="0" applyFont="1" applyBorder="1" applyAlignment="1">
      <alignment vertical="center" wrapText="1"/>
    </xf>
    <xf numFmtId="0" fontId="36" fillId="0" borderId="123" xfId="0" applyFont="1" applyBorder="1" applyAlignment="1">
      <alignment vertical="center" wrapText="1"/>
    </xf>
    <xf numFmtId="0" fontId="36" fillId="0" borderId="24" xfId="0" applyFont="1" applyBorder="1" applyAlignment="1">
      <alignment vertical="center" wrapText="1"/>
    </xf>
    <xf numFmtId="0" fontId="36" fillId="0" borderId="124" xfId="0" applyFont="1" applyBorder="1" applyAlignment="1">
      <alignment vertical="center" wrapText="1"/>
    </xf>
    <xf numFmtId="0" fontId="31" fillId="0" borderId="64" xfId="0" applyFont="1" applyBorder="1" applyAlignment="1">
      <alignment horizontal="center" vertical="center"/>
    </xf>
    <xf numFmtId="0" fontId="31" fillId="0" borderId="65" xfId="0" applyFont="1" applyBorder="1" applyAlignment="1">
      <alignment horizontal="center" vertical="center"/>
    </xf>
    <xf numFmtId="0" fontId="31" fillId="0" borderId="9" xfId="0" applyFont="1" applyBorder="1" applyAlignment="1">
      <alignment horizontal="center" vertical="center"/>
    </xf>
    <xf numFmtId="0" fontId="30" fillId="0" borderId="40" xfId="0" applyFont="1" applyBorder="1" applyAlignment="1">
      <alignment vertical="center" wrapText="1"/>
    </xf>
    <xf numFmtId="0" fontId="30" fillId="0" borderId="16" xfId="0" applyFont="1" applyBorder="1" applyAlignment="1">
      <alignment vertical="center" wrapText="1"/>
    </xf>
    <xf numFmtId="0" fontId="30" fillId="0" borderId="35" xfId="0" applyFont="1" applyBorder="1" applyAlignment="1">
      <alignment vertical="center" wrapText="1"/>
    </xf>
  </cellXfs>
  <cellStyles count="5">
    <cellStyle name="Currency" xfId="1" builtinId="4"/>
    <cellStyle name="Currency 2" xfId="4" xr:uid="{20E6C109-C8A4-47D3-A3D3-60D6B5EBACEA}"/>
    <cellStyle name="Hyperlink" xfId="3" builtinId="8"/>
    <cellStyle name="Normal" xfId="0" builtinId="0"/>
    <cellStyle name="Normal 2" xfId="2" xr:uid="{DC1DDF97-93FD-49C6-9D20-A189680DEE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s>
</file>

<file path=xl/documenttasks/documenttask1.xml><?xml version="1.0" encoding="utf-8"?>
<Tasks xmlns="http://schemas.microsoft.com/office/tasks/2019/documenttasks">
  <Task id="{5375721A-6AFD-4EAF-8C7C-7F3F2BCCCD39}">
    <Anchor>
      <Comment id="{1B392BB8-27F7-4159-85F4-8FEC9EC27E25}"/>
    </Anchor>
    <History>
      <Event time="2024-09-03T18:35:17.27" id="{51290E75-1350-4662-A4BE-D791CA9C7062}">
        <Attribution userId="sites/2024Projects/Shared%20Documents/24-213-01" userName="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巠⼽翿%20C珜͢退恘⼽翿쀀庈⼽翿嶸⼽翿帘⼽翿擰鉸ĸ昸鉸ĸ朸鉸ĸ⛲锐賕ĸ锔賕ĸ锔賕ĸꎰ賕ĸꎸ賕ĸꎸ賕ĸ뿰뿰뿰뿰뿰뿰㾀攀鉸ĸ ČĀ诰鉗ĸ诠鉗ĸ噸⼽翿噘⼽翿攀鉸ĸ擸鉸ĸ험뮜ĸ뿰뿰뿰뿰漐鈙ĸ䈀쀀쀀巠⼽翿㈀옯翿珤Ѐ退恘⼽翿庈⼽翿嶸⼽翿帘⼽翿졀銼ĸ杰鉸ĸ梸鉸ĸ榸鉸ĸ⛹鈠賕ĸ鈤賕ĸ鈤賕ĸ䀸ĸ䀸䀸䀸㾀⿲枀鉸ĸⓘ肑ĸ䶠쾔ݐ㽰魰鉗ĸ魠鉗ĸ噸⼽翿噘⼽翿枀鉸ĸ杸鉸ĸ휸뮜ĸ㍈銦ĸ䀸䀸闀鈘ĸ䈀梠鉸ĸ䈀鉇ĸ巠⼽翿9猌׿耀槐⼿翿庈⼽翿嶸⼽翿자⽛翿槰鉸ĸ欸鉸ĸ永鉸ĸ⛽ĸ䂞翿렀䂈렀䂈䂞㾀㉥옯翸噸⼽翿噘⼽翿樀鉸ĸ槸鉸ĸ력貫柰鈙ĸ刀鉇ĸꏀ뭰ĸ巠⼽翿ments/Palm%20House%20Hotel%20-%20Take%20Off%20Sheet%20TOTALS%2004.12.24.xlsx晢偆䕟䍘䅈䝎彅剏䥇D瑨灴㩳⼯畯汴潯⹫梫涳쪏ၯꝀ쇖ĸ濁Ĺ&#10;타飱￺ĸ'浐鉸ĸｆ￸ༀ샭ĸ獇8退믐뭰ĸ9?莠消Ĺ僠邑ĸ胐消Ĺ 蒐消Ĺ≭ਬ†椢瑡㨢∠㜱㘲㐱〲㐹Ⱒ ∠摩祴≰›產獲Ĭ耀꿰쁻翿ꎘ쁻翿쀀 奘쁼翿妰쁼翿堸쁼翿塰쁼翿墨쁼翿壠쁼翿夘쁼翿ૈ삂翿匐쁼翿㾀勐쁼翿獡ɡ耀꿰쁻翿ꎘ쁻翿쀀 奘쁼翿妰쁼翿堸쁼翿塰쁼翿墨쁼翿壠쁼翿夘쁼翿ૈ삂翿匐쁼翿㾀勐쁼翿獬͘退몰뭰ĸ9?砀消Ĺ 烠消Ĺ㼐淗Ĺ砰消Ĺ&#10;挶ⴸ㑢〶㠭㘱晣㜰㍤戳⹦攰㌸戴㝤㘭㠲ⵢ㈴㡣犛ѣ耀꿰쁻翿ꎘ쁻翿쀀 奘쁼翿妰쁼翿堸쁼翿塰쁼翿墨쁼翿壠쁼翿夘쁼翿ૈ삂翿匐쁼翿㾀勐쁼翿犆Ԣ耀꿰쁻翿ꎘ쁻翿쀀 奘쁼翿妰쁼翿堸쁼翿塰쁼翿墨쁼翿壠쁼翿夘쁼翿ૈ삂翿匐쁼翿㾀勐쁼翿犵ج蠀䶐⼾翿ĸ쭸⼾翿漶Ĺ$'佰섖ĸ侀섖ĸ侀섖ĸĂĸŤ⼿犠ݜ耀꿰쁻翿ﮀ쁻翿쀀 奘쁼翿妰쁼翿堸쁼翿塰쁼翿墨쁼翿壠쁼翿夘쁼翿ૈ삂翿泈쁼翿浨쁼翿硨쁼翿犯࠱耀꿰쁻翿ꎘ쁻翿쀀 奘쁼翿妰쁼翿堸쁼翿塰쁼翿墨쁼翿壠쁼翿夘쁼翿ૈ삂翿匐쁼翿㾀勐쁼翿狚ऺ退ꁀ뭰ĸ9?篰消Ĺ 翠消Ĺ芀消Ĺ&#10;SGC潬楧⹮業牣獯景潴汮湩⹥潣⽭攰㌸戴㝤㘭㠲ⵢ狉ਭ耀꿰쁻翿ﮀ쁻翿쀀 奘쁼翿妰쁼翿堸쁼翿塰쁼翿墨쁼翿壠쁼翿夘쁼翿ૈ삂翿泈쁼翿浨쁼翿硨쁼翿狴଴耀꿰쁻翿ﮀ쁻翿쀀 奘쁼翿妰쁼翿堸쁼翿塰쁼翿墨쁼翿壠쁼翿夘쁼翿ૈ삂翿泈쁼翿浨쁼翿硨쁼翿狣౲耀꿰쁻翿ꎘ쁻翿쀀 奘쁼翿妰쁼翿堸쁼翿塰쁼翿墨쁼翿壠쁼翿夘쁼翿ૈ삂翿匐쁼翿㾀勐쁼翿狮ര退鏀诏ĸ*/㵐淗ĹGeneral潠消Ĺ吀邑ĸARCHIVE楯甹伹䤵爝๋退ꬣ鎪ݑen-AE" userProvider="鉸ĸ⿠鉸ĸ♐鉸ĸ/24︀露ĸ漀浭牥楣污盐ุ耀/sites/2024Projects/Shared%20Documents/24-213-01%20Hibiscus%20House/00-Estimating/09%20Estimates/Project%20Estimating%20Matrix.xlsx盃༸耀%@Edwin Calderon Speak to David Bennet45460-3200162960-4388_Classes\CLSID\{88D96A05-F192-11D4-A65F-0040963251E5}\InprocServer32sx盲း耀UrlHash:&lt;PII_SCRUBBED&gt;; ServerType:5; SupportedProtocols:87; Version:16; Flags:7; CobaltMajor:1; CobaltMinor:6; MsDavExt:1; Shar盥ᄸ耀/sites/2024Projects/Shared%20Documents/24-213-01%20Hibiscus%20House/00-Estimating/09%20Estimates/Project%20Estimating%20Matrix.xlsx瘔ሸ耀ᰀ辑ĸ㌐鉸ĸᰀ辑ĸdri霳ĸ䰀䉏䱁瘇ጸ耀똈⽖翿뛘⽗翿ĸ㾀軀빅ĸ㾀軰빅ĸ瘶ᐸ耀⮠鉸ĸ辐ĸఐ辑ĸon瘀湥⹴楔敭Ή鑣팲ࣜ瘩ᔸ耀/sites/2024Projects/Shared%20Documents/24-213-01%20Hibiscus%20House/00-Estimating/09%20Estimates/Project%20Estimating%20Matrix.xlsx癘ᘸ退C:\Users\ecalderon\Downloads\SEMINOLE CLUB - LOCKER REMOVAL AND REINSTALLATION PROPOSAL - DLI INC - REVISED 11-09-23.xlsxsxٯ耀ퟐ鋮ĸ癋᜸耀/sites/2024Projects/Shared%20Documents/24-213-01%20Hibiscus%20House/00-Estimating/09%20Estimates/Project%20Estimating%20Matrix.xlsx発ᠸ耀@Chaitanya Banthia Call TomDocuments/24-213-01%20Hibiscus%20House/00-Estimating/09%20Estimates/Project%20Estimating%20Matrix.xlsx癭ᤸ耀똈⽖翿뛘⽗翿Ĺ㾀逐빅ĸ㾀鸀비ĸ熜ᨸ耀ᰀ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巠⼽翿%20C珜͢退恘⼽翿쀀庈⼽翿嶸⼽翿帘⼽翿擰鉸ĸ昸鉸ĸ朸鉸ĸ⛲锐賕ĸ锔賕ĸ锔賕ĸꎰ賕ĸꎸ賕ĸꎸ賕ĸ뿰뿰뿰뿰뿰뿰㾀攀鉸ĸ ČĀ诰鉗ĸ诠鉗ĸ噸⼽翿噘⼽翿攀鉸ĸ擸鉸ĸ험뮜ĸ뿰뿰뿰뿰漐鈙ĸ䈀쀀쀀巠⼽翿㈀옯翿珤Ѐ退恘⼽翿庈⼽翿嶸⼽翿帘⼽翿졀銼ĸ杰鉸ĸ梸鉸ĸ榸鉸ĸ⛹鈠賕ĸ鈤賕ĸ鈤賕ĸ䀸ĸ䀸䀸䀸㾀⿲枀鉸ĸⓘ肑ĸ䶠쾔ݐ㽰魰鉗ĸ魠鉗ĸ噸⼽翿噘⼽翿枀鉸ĸ杸鉸ĸ휸뮜ĸ㍈銦ĸ䀸䀸闀鈘ĸ䈀梠鉸ĸ䈀鉇ĸ巠⼽翿9猌׿耀槐⼿翿庈⼽翿嶸⼽翿자⽛翿槰鉸ĸ欸鉸ĸ永鉸ĸ⛽ĸ䂞翿렀䂈렀䂈䂞㾀㉥옯翸噸⼽翿噘⼽翿樀鉸ĸ槸鉸ĸ력貫柰鈙ĸ刀鉇ĸꏀ뭰ĸ巠⼽翿ments/Palm%20House%20Hotel%20-%20Take%20Off%20Sheet%20TOTALS%2004.12.24.xlsx晢偆䕟䍘䅈䝎彅剏䥇D瑨灴㩳⼯畯汴潯⹫梫涳쪏ၯꝀ쇖ĸ濁Ĺ&#10;타飱￺ĸ'浐鉸ĸｆ￸ༀ샭ĸ獇8退믐뭰ĸ9?莠消Ĺ僠邑ĸ胐消Ĺ 蒐消Ĺ≭ਬ†椢瑡㨢∠㜱㘲㐱〲㐹Ⱒ ∠摩祴≰›產獲Ĭ耀꿰쁻翿ꎘ쁻翿쀀 奘쁼翿妰쁼翿堸쁼翿塰쁼翿墨쁼翿壠쁼翿夘쁼翿ૈ삂翿匐쁼翿㾀勐쁼翿獡ɡ耀꿰쁻翿ꎘ쁻翿쀀 奘쁼翿妰쁼翿堸쁼翿塰쁼翿墨쁼翿壠쁼翿夘쁼翿ૈ삂翿匐쁼翿㾀勐쁼翿獬͘退몰뭰ĸ9?砀消Ĺ 烠消Ĺ㼐淗Ĺ砰消Ĺ&#10;挶ⴸ㑢〶㠭㘱晣㜰㍤戳⹦攰㌸戴㝤㘭㠲ⵢ㈴㡣犛ѣ耀꿰쁻翿ꎘ쁻翿쀀 奘쁼翿妰쁼翿堸쁼翿塰쁼翿墨쁼翿壠쁼翿夘쁼翿ૈ삂翿匐쁼翿㾀勐쁼翿犆Ԣ耀꿰쁻翿ꎘ쁻翿쀀 奘쁼翿妰쁼翿堸쁼翿塰쁼翿墨쁼翿壠쁼翿夘쁼翿ૈ삂翿匐쁼翿㾀勐쁼翿犵ج蠀䶐⼾翿ĸ쭸⼾翿漶Ĺ$'佰섖ĸ侀섖ĸ侀섖ĸĂĸŤ⼿犠ݜ耀꿰쁻翿ﮀ쁻翿쀀 奘쁼翿妰쁼翿堸쁼翿塰쁼翿墨쁼翿壠쁼翿夘쁼翿ૈ삂翿泈쁼翿浨쁼翿硨쁼翿犯࠱耀꿰쁻翿ꎘ쁻翿쀀 奘쁼翿妰쁼翿堸쁼翿塰쁼翿墨쁼翿壠쁼翿夘쁼翿ૈ삂翿匐쁼翿㾀勐쁼翿狚ऺ退ꁀ뭰ĸ9?篰消Ĺ 翠消Ĺ芀消Ĺ&#10;SGC潬楧⹮業牣獯景潴汮湩⹥潣⽭攰㌸戴㝤㘭㠲ⵢ狉ਭ耀꿰쁻翿ﮀ쁻翿쀀 奘쁼翿妰쁼翿堸쁼翿塰쁼翿墨쁼翿壠쁼翿夘쁼翿ૈ삂翿泈쁼翿浨쁼翿硨쁼翿狴଴耀꿰쁻翿ﮀ쁻翿쀀 奘쁼翿妰쁼翿堸쁼翿塰쁼翿墨쁼翿壠쁼翿夘쁼翿ૈ삂翿泈쁼翿浨쁼翿硨쁼翿狣౲耀꿰쁻翿ꎘ쁻翿쀀 奘쁼翿妰쁼翿堸쁼翿塰쁼翿墨쁼翿壠쁼翿夘쁼翿ૈ삂翿匐쁼翿㾀勐쁼翿狮ര退鏀诏ĸ*/㵐淗ĹGeneral潠消Ĺ吀邑ĸARCHIVE楯甹伹䤵爝๋退ꬣ鎪ݑen-AEMaĂM爈཰退ꬣ鎪ݑes-CUĸĂ¦爷္耀꿰쁻翿ﮀ쁻翿쀀 奘쁼翿妰쁼翿堸쁼翿塰쁼翿墨쁼翿壠쁼翿夘쁼翿ૈ삂翿泈쁼翿浨쁼翿硨쁼翿爢ᄶ退괰뭰ĸ9?穰消Ĺ 蓰消Ĺ簠消Ĺ&#10;SGC鬐浅Ĺ趐浅Ĺ牑ሀ蠀䶐⼾翿翿쭸⼾翿澙Ĺ$'㽰澵Ĺ㾀澵Ĺ㾀澵ĹĂŤ牜ጹ耀꿰쁻翿ꎘ쁻翿쀀 奘쁼翿妰쁼翿堸쁼翿塰쁼翿墨쁼翿壠쁼翿夘쁼翿ૈ삂翿匐쁼翿㾀勐쁼翿牋᐀耀꿰쁻翿ﮀ쁻翿쀀 奘쁼翿妰쁼翿堸쁼翿塰쁼翿墨쁼翿壠쁼翿夘쁼翿ૈ삂翿泈쁼翿浨쁼翿硨쁼翿牶ᔀ耀꿰쁻翿ﮀ쁻翿쀀 奘쁼翿妰쁼翿堸쁼翿塰쁼翿墨쁼翿壠쁼翿夘쁼翿ૈ삂翿泈쁼翿浨쁼翿硨쁼翿牥ᘹ退骠뭰ĸ9?耐消Ĺ 紐消Ĺ冐淗Ĺ臀消Ĺ&#10;稐浅Ĺ濰诋ĸ綐ᜀ耀꿰쁻翿ﮀ쁻翿쀀 奘쁼翿妰쁼翿堸쁼翿塰쁼翿墨쁼翿壠쁼翿夘쁼翿ૈ삂翿泈쁼翿浨쁼翿硨쁼翿綟᠀退靀诏ĸ*/㩐淗ĹGeneral湀消Ĺጀ澊Ĺ17矐消Ĺ 綊ᤸ退贰诏ĸ*/㲐淗ĹGeneral盠消Ĺ䒰邑ĸARCHIVE∶紊0綹ᨲ退Edwin Calderon's OneDrive - Hedrick Brothers Construction ‏» ‎‎Documents ‏» ‎‎Attachments綤ᬸ退穠诏ĸ*/㤐淗ĹGeneral秠消ĹArchive勀邑ĸ緓ᰀ退딐뭰ĸ9?穀消Ĺ 燐消Ĺ喐淗Ĺ腠消Ĺ&#10;莐鄧ĸ侰赃ĸ緞ᴀ退ꐰ뭰ĸ9?芰消Ĺ 萰消Ĺ䞐淗Ĺ箐消Ĺ⢰赃ĸ緍Ḹ退ꇰ뭰ĸ9?煀消Ĺ 痰消Ĺ㽐淗Ĺ煰消Ĺ&#10;䂰赃ĸゐ鋖ĸ緸ἀ退頠诏ĸ*/㶐淗ĹGeneral硠消Ĺ䩐邑ĸ癐消Ĺ⽰赃ĸ緧 耀꿰쁻翿ꎘ쁻翿쀀 奘쁼翿妰쁼翿堸쁼翿塰쁼翿墨쁼翿壠쁼翿夘쁼翿ૈ삂翿匐쁼翿㾀勐쁼翿紒ℸ耀꿰쁻翿ﮀ쁻翿쀀 奘쁼翿妰쁼翿堸쁼翿塰쁼翿墨쁼翿壠쁼翿夘쁼翿ૈ삂翿泈쁼翿浨쁼翿硨쁼翿紁∀耀꿰쁻翿ꎘ쁻翿쀀 奘쁼翿妰쁼翿堸쁼翿塰쁼翿墨쁼翿壠쁼翿夘쁼翿ૈ삂翿匐쁼翿㾀勐쁼翿紌⍥退鬰诏ĸ*/㫐淗ĹGeneral湰消Ĺ儰邑ĸARCHIVE紻␀退饰诏ĸ*/㿐淗ĹGeneral玀消Ĺ删邑ĸARCHIVE紦─退ꃠ诏ĸ*/䂐淗ĹGeneral焐消Ĺ嘰邑ĸARCHIVE24-2絕☭退꒠讄ĸ9?瀠消Ĺ 炀消Ĺ㸐淗Ĺ畠消Ĺ&#10;xlsx컰붫ĸ츐붫ĸ櫪⺳즏ၯ劰賫ĸᾰ블ĸ╳䵜捩潲潳瑦홀ꕷĸੑ균붿ĸ즀ꕷĸਔ₀블ĸ&#10;਒㲰붋ĸ懲ꕷĸ6 ਵ⍀블ĸamFiਝ쫠빂ĸffic㙀ꕸĸ&#10;ਗᆐ솭ĸਐ秀ꕸĸ&#10;ਘ⅀블ĸ`ꀀX扨慬㕰㐲㇐꾦枆䀙㮛ꇩ皔呻敜ᇯ膘淴ᄿ晳㇐꾦枆䀙㮛ꇩ皔呻敜ᇯ膘淴ᄿ晳ÌÂ ꀀ匱卐諢䙘䲼䌸ﲻ錓頦칭a匱卐藠俹ၨ醫✫Eἀᨀ倀爀漀樀攀挀琀 䔀猀琀椀洀愀琀椀渀最 䴀愀琀爀椀檹璺쯎oᏀ솵ĸ粠불ĸꝈ䁈ꐮ砽ᶌ栀H辜䅱ឫథ⨊啂&#10;ഀ쯈o쎰솘ĸ嵐肠ĸ匱卐ᚱ䑭趭䡰䢧⹀㶤豸h䠀鰀鎏᧵燘ꭁ┗਌䈪U䈪U鎏᧵燘ꭁ؀쯃o玠郃ĸ뮊ĸЀ쯁o￐瀋Ĺ⦰ꖅĸ汸硳一打牺䙣䐶礷〶披枳쮝ၯ苐鉧ĸ㻰潳Ĺ타枱ﲺ䉒穎#銐鉸ĸ￻䅁䅁∰∬灡≰∺硅粻,耀缰起ĸ銰鉸ĸ老起ĸ堰肗ĸी鈲ĸ肗ĸච鈲ĸ肗ĸᠠ鈲ĸ肖ĸꑀꟌĸ¨Wⱀ鈲ĸ춰肖ĸ⿀鈲ĸ肗ĸㆀ鈲ĸ肗ĸਔਓਔ쵠鉧ĸ鈽ĸਔ傰肗ĸ쒰銩ĸ喰肗ĸ첐銩ĸ凰肗ĸ퇐銩ĸĸ銩ĸ嫘肗ĸ銩ĸ呰肗ĸ銩ĸ匰肗ĸ銩ĸ局肗ĸ⧠鋆ĸ뺠肖ĸ⫐鋆ĸ쎰肖ĸⶠ鋆ĸ襰먞翿㺀鋆ĸ䤰肗ĸ䧀鋆ĸ䮰肗ĸㄠ븂ĸ㷠肗ĸ肗ĸ宀涅Ĺ肗ĸ蟐涮Ĺ肖ĸ謰涮Ĺ肗ĸ뗰涮Ĺ肖ĸⓐ潅Ĺ쀈肖ĸ湥湡彴摩糲ť褀ǀ馘鉸ĸ陀鉸ĸ氾ꑀꟌĸW䔀㈻翿䕀㈻翿ઘઘ㶰붮ĸઘ랠澒Ĺ뤀澒Ĺ뤀澒Ĺ蘿式7ᣠ潂Ĺ襰먞翿襘㉹翿饈鉸ĸ꾀澝Ĺ愀≬∬楴簍Ⱥ退밀聶ĸƐ購ĸ뼠聶ĸ﵈賻ĸ좀聶ĸ駐鉸ĸྚ惠ಒ䯎쭺ﻅྏ⇉붔캐쐝᫷魳䀎耀骠鉸ĸ䔀㈻翿䕀㈻翿䔠㈻翿䖀㈻翿䖠㈻翿䕠㈻翿摯7縷摯7賭ĸ鹿븑ĸ襘㉹翿䵀淑Ĺ賻ĸ祡湟浡≥籄ͷ退到浢Ĺ̀劐浢Ĺ̂怐浢Ĺ̀櫰浢Ĺ̀抰浢Ĺ̀氐浢Ĺ̂挐浢Ĺ̀嬰浢Ĺ̂桐浢Ĺ̀敐浢Ĺ̀宐浢Ĺ̀洰浢Ĺ̂楰浢Ĺ̀昐浢Ĺ̂羟Т退㰰섬ĸ̀㪰섬ĸ̀㲐섬ĸ̀㚐섬ĸ̀㛰섬ĸ̀㝐섬ĸ̀浢Ĺ̂浢Ĺ̀０浢Ĺ̀浢Ĺ̂Ő浣Ĺ̀浢Ĺ̀殺浢Ĺ̂浢Ĺ̀"/>
        <Anchor>
          <Comment id="{1B392BB8-27F7-4159-85F4-8FEC9EC27E25}"/>
        </Anchor>
        <Create/>
      </Event>
      <Event time="2024-09-03T18:35:17.27" id="{FC87FEBF-5496-4026-860A-E7DFCD40D7A4}">
        <Attribution userId="sites/2024Projects/Shared%20Documents/24-213-01" userName="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巠⼽翿%20C珜͢退恘⼽翿쀀庈⼽翿嶸⼽翿帘⼽翿擰鉸ĸ昸鉸ĸ朸鉸ĸ⛲锐賕ĸ锔賕ĸ锔賕ĸꎰ賕ĸꎸ賕ĸꎸ賕ĸ뿰뿰뿰뿰뿰뿰㾀攀鉸ĸ ČĀ诰鉗ĸ诠鉗ĸ噸⼽翿噘⼽翿攀鉸ĸ擸鉸ĸ험뮜ĸ뿰뿰뿰뿰漐鈙ĸ䈀쀀쀀巠⼽翿㈀옯翿珤Ѐ退恘⼽翿庈⼽翿嶸⼽翿帘⼽翿졀銼ĸ杰鉸ĸ梸鉸ĸ榸鉸ĸ⛹鈠賕ĸ鈤賕ĸ鈤賕ĸ䀸ĸ䀸䀸䀸㾀⿲枀鉸ĸⓘ肑ĸ䶠쾔ݐ㽰魰鉗ĸ魠鉗ĸ噸⼽翿噘⼽翿枀鉸ĸ杸鉸ĸ휸뮜ĸ㍈銦ĸ䀸䀸闀鈘ĸ䈀梠鉸ĸ䈀鉇ĸ巠⼽翿9猌׿耀槐⼿翿庈⼽翿嶸⼽翿자⽛翿槰鉸ĸ欸鉸ĸ永鉸ĸ⛽ĸ䂞翿렀䂈렀䂈䂞㾀㉥옯翸噸⼽翿噘⼽翿樀鉸ĸ槸鉸ĸ력貫柰鈙ĸ刀鉇ĸꏀ뭰ĸ巠⼽翿ments/Palm%20House%20Hotel%20-%20Take%20Off%20Sheet%20TOTALS%2004.12.24.xlsx晢偆䕟䍘䅈䝎彅剏䥇D瑨灴㩳⼯畯汴潯⹫梫涳쪏ၯꝀ쇖ĸ濁Ĺ&#10;타飱￺ĸ'浐鉸ĸｆ￸ༀ샭ĸ獇8退믐뭰ĸ9?莠消Ĺ僠邑ĸ胐消Ĺ 蒐消Ĺ≭ਬ†椢瑡㨢∠㜱㘲㐱〲㐹Ⱒ ∠摩祴≰›產獲Ĭ耀꿰쁻翿ꎘ쁻翿쀀 奘쁼翿妰쁼翿堸쁼翿塰쁼翿墨쁼翿壠쁼翿夘쁼翿ૈ삂翿匐쁼翿㾀勐쁼翿獡ɡ耀꿰쁻翿ꎘ쁻翿쀀 奘쁼翿妰쁼翿堸쁼翿塰쁼翿墨쁼翿壠쁼翿夘쁼翿ૈ삂翿匐쁼翿㾀勐쁼翿獬͘退몰뭰ĸ9?砀消Ĺ 烠消Ĺ㼐淗Ĺ砰消Ĺ&#10;挶ⴸ㑢〶㠭㘱晣㜰㍤戳⹦攰㌸戴㝤㘭㠲ⵢ㈴㡣犛ѣ耀꿰쁻翿ꎘ쁻翿쀀 奘쁼翿妰쁼翿堸쁼翿塰쁼翿墨쁼翿壠쁼翿夘쁼翿ૈ삂翿匐쁼翿㾀勐쁼翿犆Ԣ耀꿰쁻翿ꎘ쁻翿쀀 奘쁼翿妰쁼翿堸쁼翿塰쁼翿墨쁼翿壠쁼翿夘쁼翿ૈ삂翿匐쁼翿㾀勐쁼翿犵ج蠀䶐⼾翿ĸ쭸⼾翿漶Ĺ$'佰섖ĸ侀섖ĸ侀섖ĸĂĸŤ⼿犠ݜ耀꿰쁻翿ﮀ쁻翿쀀 奘쁼翿妰쁼翿堸쁼翿塰쁼翿墨쁼翿壠쁼翿夘쁼翿ૈ삂翿泈쁼翿浨쁼翿硨쁼翿犯࠱耀꿰쁻翿ꎘ쁻翿쀀 奘쁼翿妰쁼翿堸쁼翿塰쁼翿墨쁼翿壠쁼翿夘쁼翿ૈ삂翿匐쁼翿㾀勐쁼翿狚ऺ退ꁀ뭰ĸ9?篰消Ĺ 翠消Ĺ芀消Ĺ&#10;SGC潬楧⹮業牣獯景潴汮湩⹥潣⽭攰㌸戴㝤㘭㠲ⵢ狉ਭ耀꿰쁻翿ﮀ쁻翿쀀 奘쁼翿妰쁼翿堸쁼翿塰쁼翿墨쁼翿壠쁼翿夘쁼翿ૈ삂翿泈쁼翿浨쁼翿硨쁼翿狴଴耀꿰쁻翿ﮀ쁻翿쀀 奘쁼翿妰쁼翿堸쁼翿塰쁼翿墨쁼翿壠쁼翿夘쁼翿ૈ삂翿泈쁼翿浨쁼翿硨쁼翿狣౲耀꿰쁻翿ꎘ쁻翿쀀 奘쁼翿妰쁼翿堸쁼翿塰쁼翿墨쁼翿壠쁼翿夘쁼翿ૈ삂翿匐쁼翿㾀勐쁼翿狮ര退鏀诏ĸ*/㵐淗ĹGeneral潠消Ĺ吀邑ĸARCHIVE楯甹伹䤵爝๋退ꬣ鎪ݑen-AE" userProvider="鉸ĸ⿠鉸ĸ♐鉸ĸ/24︀露ĸ漀浭牥楣污盐ุ耀/sites/2024Projects/Shared%20Documents/24-213-01%20Hibiscus%20House/00-Estimating/09%20Estimates/Project%20Estimating%20Matrix.xlsx盃༸耀%@Edwin Calderon Speak to David Bennet45460-3200162960-4388_Classes\CLSID\{88D96A05-F192-11D4-A65F-0040963251E5}\InprocServer32sx盲း耀UrlHash:&lt;PII_SCRUBBED&gt;; ServerType:5; SupportedProtocols:87; Version:16; Flags:7; CobaltMajor:1; CobaltMinor:6; MsDavExt:1; Shar盥ᄸ耀/sites/2024Projects/Shared%20Documents/24-213-01%20Hibiscus%20House/00-Estimating/09%20Estimates/Project%20Estimating%20Matrix.xlsx瘔ሸ耀ᰀ辑ĸ㌐鉸ĸᰀ辑ĸdri霳ĸ䰀䉏䱁瘇ጸ耀똈⽖翿뛘⽗翿ĸ㾀軀빅ĸ㾀軰빅ĸ瘶ᐸ耀⮠鉸ĸ辐ĸఐ辑ĸon瘀湥⹴楔敭Ή鑣팲ࣜ瘩ᔸ耀/sites/2024Projects/Shared%20Documents/24-213-01%20Hibiscus%20House/00-Estimating/09%20Estimates/Project%20Estimating%20Matrix.xlsx癘ᘸ退C:\Users\ecalderon\Downloads\SEMINOLE CLUB - LOCKER REMOVAL AND REINSTALLATION PROPOSAL - DLI INC - REVISED 11-09-23.xlsxsxٯ耀ퟐ鋮ĸ癋᜸耀/sites/2024Projects/Shared%20Documents/24-213-01%20Hibiscus%20House/00-Estimating/09%20Estimates/Project%20Estimating%20Matrix.xlsx発ᠸ耀@Chaitanya Banthia Call TomDocuments/24-213-01%20Hibiscus%20House/00-Estimating/09%20Estimates/Project%20Estimating%20Matrix.xlsx癭ᤸ耀똈⽖翿뛘⽗翿Ĺ㾀逐빅ĸ㾀鸀비ĸ熜ᨸ耀ᰀ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巠⼽翿%20C珜͢退恘⼽翿쀀庈⼽翿嶸⼽翿帘⼽翿擰鉸ĸ昸鉸ĸ朸鉸ĸ⛲锐賕ĸ锔賕ĸ锔賕ĸꎰ賕ĸꎸ賕ĸꎸ賕ĸ뿰뿰뿰뿰뿰뿰㾀攀鉸ĸ ČĀ诰鉗ĸ诠鉗ĸ噸⼽翿噘⼽翿攀鉸ĸ擸鉸ĸ험뮜ĸ뿰뿰뿰뿰漐鈙ĸ䈀쀀쀀巠⼽翿㈀옯翿珤Ѐ退恘⼽翿庈⼽翿嶸⼽翿帘⼽翿졀銼ĸ杰鉸ĸ梸鉸ĸ榸鉸ĸ⛹鈠賕ĸ鈤賕ĸ鈤賕ĸ䀸ĸ䀸䀸䀸㾀⿲枀鉸ĸⓘ肑ĸ䶠쾔ݐ㽰魰鉗ĸ魠鉗ĸ噸⼽翿噘⼽翿枀鉸ĸ杸鉸ĸ휸뮜ĸ㍈銦ĸ䀸䀸闀鈘ĸ䈀梠鉸ĸ䈀鉇ĸ巠⼽翿9猌׿耀槐⼿翿庈⼽翿嶸⼽翿자⽛翿槰鉸ĸ欸鉸ĸ永鉸ĸ⛽ĸ䂞翿렀䂈렀䂈䂞㾀㉥옯翸噸⼽翿噘⼽翿樀鉸ĸ槸鉸ĸ력貫柰鈙ĸ刀鉇ĸꏀ뭰ĸ巠⼽翿ments/Palm%20House%20Hotel%20-%20Take%20Off%20Sheet%20TOTALS%2004.12.24.xlsx晢偆䕟䍘䅈䝎彅剏䥇D瑨灴㩳⼯畯汴潯⹫梫涳쪏ၯꝀ쇖ĸ濁Ĺ&#10;타飱￺ĸ'浐鉸ĸｆ￸ༀ샭ĸ獇8退믐뭰ĸ9?莠消Ĺ僠邑ĸ胐消Ĺ 蒐消Ĺ≭ਬ†椢瑡㨢∠㜱㘲㐱〲㐹Ⱒ ∠摩祴≰›產獲Ĭ耀꿰쁻翿ꎘ쁻翿쀀 奘쁼翿妰쁼翿堸쁼翿塰쁼翿墨쁼翿壠쁼翿夘쁼翿ૈ삂翿匐쁼翿㾀勐쁼翿獡ɡ耀꿰쁻翿ꎘ쁻翿쀀 奘쁼翿妰쁼翿堸쁼翿塰쁼翿墨쁼翿壠쁼翿夘쁼翿ૈ삂翿匐쁼翿㾀勐쁼翿獬͘退몰뭰ĸ9?砀消Ĺ 烠消Ĺ㼐淗Ĺ砰消Ĺ&#10;挶ⴸ㑢〶㠭㘱晣㜰㍤戳⹦攰㌸戴㝤㘭㠲ⵢ㈴㡣犛ѣ耀꿰쁻翿ꎘ쁻翿쀀 奘쁼翿妰쁼翿堸쁼翿塰쁼翿墨쁼翿壠쁼翿夘쁼翿ૈ삂翿匐쁼翿㾀勐쁼翿犆Ԣ耀꿰쁻翿ꎘ쁻翿쀀 奘쁼翿妰쁼翿堸쁼翿塰쁼翿墨쁼翿壠쁼翿夘쁼翿ૈ삂翿匐쁼翿㾀勐쁼翿犵ج蠀䶐⼾翿ĸ쭸⼾翿漶Ĺ$'佰섖ĸ侀섖ĸ侀섖ĸĂĸŤ⼿犠ݜ耀꿰쁻翿ﮀ쁻翿쀀 奘쁼翿妰쁼翿堸쁼翿塰쁼翿墨쁼翿壠쁼翿夘쁼翿ૈ삂翿泈쁼翿浨쁼翿硨쁼翿犯࠱耀꿰쁻翿ꎘ쁻翿쀀 奘쁼翿妰쁼翿堸쁼翿塰쁼翿墨쁼翿壠쁼翿夘쁼翿ૈ삂翿匐쁼翿㾀勐쁼翿狚ऺ退ꁀ뭰ĸ9?篰消Ĺ 翠消Ĺ芀消Ĺ&#10;SGC潬楧⹮業牣獯景潴汮湩⹥潣⽭攰㌸戴㝤㘭㠲ⵢ狉ਭ耀꿰쁻翿ﮀ쁻翿쀀 奘쁼翿妰쁼翿堸쁼翿塰쁼翿墨쁼翿壠쁼翿夘쁼翿ૈ삂翿泈쁼翿浨쁼翿硨쁼翿狴଴耀꿰쁻翿ﮀ쁻翿쀀 奘쁼翿妰쁼翿堸쁼翿塰쁼翿墨쁼翿壠쁼翿夘쁼翿ૈ삂翿泈쁼翿浨쁼翿硨쁼翿狣౲耀꿰쁻翿ꎘ쁻翿쀀 奘쁼翿妰쁼翿堸쁼翿塰쁼翿墨쁼翿壠쁼翿夘쁼翿ૈ삂翿匐쁼翿㾀勐쁼翿狮ര退鏀诏ĸ*/㵐淗ĹGeneral潠消Ĺ吀邑ĸARCHIVE楯甹伹䤵爝๋退ꬣ鎪ݑen-AEMaĂM爈཰退ꬣ鎪ݑes-CUĸĂ¦爷္耀꿰쁻翿ﮀ쁻翿쀀 奘쁼翿妰쁼翿堸쁼翿塰쁼翿墨쁼翿壠쁼翿夘쁼翿ૈ삂翿泈쁼翿浨쁼翿硨쁼翿爢ᄶ退괰뭰ĸ9?穰消Ĺ 蓰消Ĺ簠消Ĺ&#10;SGC鬐浅Ĺ趐浅Ĺ牑ሀ蠀䶐⼾翿翿쭸⼾翿澙Ĺ$'㽰澵Ĺ㾀澵Ĺ㾀澵ĹĂŤ牜ጹ耀꿰쁻翿ꎘ쁻翿쀀 奘쁼翿妰쁼翿堸쁼翿塰쁼翿墨쁼翿壠쁼翿夘쁼翿ૈ삂翿匐쁼翿㾀勐쁼翿牋᐀耀꿰쁻翿ﮀ쁻翿쀀 奘쁼翿妰쁼翿堸쁼翿塰쁼翿墨쁼翿壠쁼翿夘쁼翿ૈ삂翿泈쁼翿浨쁼翿硨쁼翿牶ᔀ耀꿰쁻翿ﮀ쁻翿쀀 奘쁼翿妰쁼翿堸쁼翿塰쁼翿墨쁼翿壠쁼翿夘쁼翿ૈ삂翿泈쁼翿浨쁼翿硨쁼翿牥ᘹ退骠뭰ĸ9?耐消Ĺ 紐消Ĺ冐淗Ĺ臀消Ĺ&#10;稐浅Ĺ濰诋ĸ綐ᜀ耀꿰쁻翿ﮀ쁻翿쀀 奘쁼翿妰쁼翿堸쁼翿塰쁼翿墨쁼翿壠쁼翿夘쁼翿ૈ삂翿泈쁼翿浨쁼翿硨쁼翿綟᠀退靀诏ĸ*/㩐淗ĹGeneral湀消Ĺጀ澊Ĺ17矐消Ĺ 綊ᤸ退贰诏ĸ*/㲐淗ĹGeneral盠消Ĺ䒰邑ĸARCHIVE∶紊0綹ᨲ退Edwin Calderon's OneDrive - Hedrick Brothers Construction ‏» ‎‎Documents ‏» ‎‎Attachments綤ᬸ退穠诏ĸ*/㤐淗ĹGeneral秠消ĹArchive勀邑ĸ緓ᰀ退딐뭰ĸ9?穀消Ĺ 燐消Ĺ喐淗Ĺ腠消Ĺ&#10;莐鄧ĸ侰赃ĸ緞ᴀ退ꐰ뭰ĸ9?芰消Ĺ 萰消Ĺ䞐淗Ĺ箐消Ĺ⢰赃ĸ緍Ḹ退ꇰ뭰ĸ9?煀消Ĺ 痰消Ĺ㽐淗Ĺ煰消Ĺ&#10;䂰赃ĸゐ鋖ĸ緸ἀ退頠诏ĸ*/㶐淗ĹGeneral硠消Ĺ䩐邑ĸ癐消Ĺ⽰赃ĸ緧 耀꿰쁻翿ꎘ쁻翿쀀 奘쁼翿妰쁼翿堸쁼翿塰쁼翿墨쁼翿壠쁼翿夘쁼翿ૈ삂翿匐쁼翿㾀勐쁼翿紒ℸ耀꿰쁻翿ﮀ쁻翿쀀 奘쁼翿妰쁼翿堸쁼翿塰쁼翿墨쁼翿壠쁼翿夘쁼翿ૈ삂翿泈쁼翿浨쁼翿硨쁼翿紁∀耀꿰쁻翿ꎘ쁻翿쀀 奘쁼翿妰쁼翿堸쁼翿塰쁼翿墨쁼翿壠쁼翿夘쁼翿ૈ삂翿匐쁼翿㾀勐쁼翿紌⍥退鬰诏ĸ*/㫐淗ĹGeneral湰消Ĺ儰邑ĸARCHIVE紻␀退饰诏ĸ*/㿐淗ĹGeneral玀消Ĺ删邑ĸARCHIVE紦─退ꃠ诏ĸ*/䂐淗ĹGeneral焐消Ĺ嘰邑ĸARCHIVE24-2絕☭退꒠讄ĸ9?瀠消Ĺ 炀消Ĺ㸐淗Ĺ畠消Ĺ&#10;xlsx컰붫ĸ츐붫ĸ櫪⺳즏ၯ劰賫ĸᾰ블ĸ╳䵜捩潲潳瑦홀ꕷĸੑ균붿ĸ즀ꕷĸਔ₀블ĸ&#10;਒㲰붋ĸ懲ꕷĸ6 ਵ⍀블ĸamFiਝ쫠빂ĸffic㙀ꕸĸ&#10;ਗᆐ솭ĸਐ秀ꕸĸ&#10;ਘ⅀블ĸ`ꀀX扨慬㕰㐲㇐꾦枆䀙㮛ꇩ皔呻敜ᇯ膘淴ᄿ晳㇐꾦枆䀙㮛ꇩ皔呻敜ᇯ膘淴ᄿ晳ÌÂ ꀀ匱卐諢䙘䲼䌸ﲻ錓頦칭a匱卐藠俹ၨ醫✫Eἀᨀ倀爀漀樀攀挀琀 䔀猀琀椀洀愀琀椀渀最 䴀愀琀爀椀檹璺쯎oᏀ솵ĸ粠불ĸꝈ䁈ꐮ砽ᶌ栀H辜䅱ឫథ⨊啂&#10;ഀ쯈o쎰솘ĸ嵐肠ĸ匱卐ᚱ䑭趭䡰䢧⹀㶤豸h䠀鰀鎏᧵燘ꭁ┗਌䈪U䈪U鎏᧵燘ꭁ؀쯃o玠郃ĸ뮊ĸЀ쯁o￐瀋Ĺ⦰ꖅĸ汸硳一打牺䙣䐶礷〶披枳쮝ၯ苐鉧ĸ㻰潳Ĺ타枱ﲺ䉒穎#銐鉸ĸ￻䅁䅁∰∬灡≰∺硅粻,耀缰起ĸ銰鉸ĸ老起ĸ堰肗ĸी鈲ĸ肗ĸච鈲ĸ肗ĸᠠ鈲ĸ肖ĸꑀꟌĸ¨Wⱀ鈲ĸ춰肖ĸ⿀鈲ĸ肗ĸㆀ鈲ĸ肗ĸਔਓਔ쵠鉧ĸ鈽ĸਔ傰肗ĸ쒰銩ĸ喰肗ĸ첐銩ĸ凰肗ĸ퇐銩ĸĸ銩ĸ嫘肗ĸ銩ĸ呰肗ĸ銩ĸ匰肗ĸ銩ĸ局肗ĸ⧠鋆ĸ뺠肖ĸ⫐鋆ĸ쎰肖ĸⶠ鋆ĸ襰먞翿㺀鋆ĸ䤰肗ĸ䧀鋆ĸ䮰肗ĸㄠ븂ĸ㷠肗ĸ肗ĸ宀涅Ĺ肗ĸ蟐涮Ĺ肖ĸ謰涮Ĺ肗ĸ뗰涮Ĺ肖ĸⓐ潅Ĺ쀈肖ĸ湥湡彴摩糲ť褀ǀ馘鉸ĸ陀鉸ĸ氾ꑀꟌĸW䔀㈻翿䕀㈻翿ઘઘ㶰붮ĸઘ랠澒Ĺ뤀澒Ĺ뤀澒Ĺ蘿式7ᣠ潂Ĺ襰먞翿襘㉹翿饈鉸ĸ꾀澝Ĺ愀≬∬楴簍Ⱥ退밀聶ĸƐ購ĸ뼠聶ĸ﵈賻ĸ좀聶ĸ駐鉸ĸྚ惠ಒ䯎쭺ﻅྏ⇉붔캐쐝᫷魳䀎耀骠鉸ĸ䔀㈻翿䕀㈻翿䔠㈻翿䖀㈻翿䖠㈻翿䕠㈻翿摯7縷摯7賭ĸ鹿븑ĸ襘㉹翿䵀淑Ĺ賻ĸ祡湟浡≥籄ͷ退到浢Ĺ̀劐浢Ĺ̂怐浢Ĺ̀櫰浢Ĺ̀抰浢Ĺ̀氐浢Ĺ̂挐浢Ĺ̀嬰浢Ĺ̂桐浢Ĺ̀敐浢Ĺ̀宐浢Ĺ̀洰浢Ĺ̂楰浢Ĺ̀昐浢Ĺ̂羟Т退㰰섬ĸ̀㪰섬ĸ̀㲐섬ĸ̀㚐섬ĸ̀㛰섬ĸ̀㝐섬ĸ̀浢Ĺ̂浢Ĺ̀０浢Ĺ̀浢Ĺ̂Ő浣Ĺ̀浢Ĺ̀殺浢Ĺ̂浢Ĺ̀"/>
        <Anchor>
          <Comment id="{1B392BB8-27F7-4159-85F4-8FEC9EC27E25}"/>
        </Anchor>
        <Assign userId="辐ĸ⿠鉸ĸ╀鉸ĸricﴀ露ĸ눀载ĸ眆и耀㙀鉸ĸ辐ĸ辐ĸhed瘀湥⹴敓畱湥散Ȏ眹Ը耀ᰀ辑ĸ䌀鉸ĸᰀ辑ĸdri豈露ĸ䤀I眨ظ耀㠀쐕翿掟7掟7㠰쐕翿掟7掟7㡠쐕翿掟7掟7㢐쐕翿掟7掟7睛ܸ耀ᰀ辑ĸ♐鉸ĸᰀ辑ĸrec猀牥吮湥湡䥴d睊࠸耀ﷰ赶ĸ赶ĸ줠赶ĸ펰赶ĸ赶ĸ赶ĸސ逐ĸݠ賞ĸᇰ賞ĸ賝ĸ賝ĸﳐ賝ĸ賝ĸ뼀섴ĸ즐섴ĸ齐섴ĸ둰섴ĸ퐠섴ĸꧠ섴ĸ炀샱ĸ輰鋹ĸ睽स耀Will do\USER\S-1-5-21-1885146800-136245460-3200162960-4388_Classes\CLSID\{88D96A05-F192-11D4-A65F-0040963251E5}\InprocHandler鋹ĸ睬ਸ耀⡰鉸ĸ辐ĸ㌐鉸ĸThaԀ霳ĸ猀牥扏敪瑣摉皟ସ耀ecalderon@hedrickbrothers.comeral/Projects/DO NOT USE 24-154-01 Bessemer Trust - One Flagler/One Flagler - Estimating Matrix2樰鋻ĸ皎స退S:\HB PROJECTS\2023\23-131-01 Arenz Res Phase 2\00-Estimating\03 EstSummary\Estimate Summary Template - Updated 08-01-2023.xlsx樰鋻ĸ皡സ耀㡠鉸ĸ⿠鉸ĸ♐鉸ĸ/24︀露ĸ漀浭牥楣污盐ุ耀/sites/2024Projects/Shared%20Documents/24-213-01%20Hibiscus%20House/00-Estimating/09%20Estimates/Project%20Estimating%20Matrix.xlsx盃༸耀%@Edwin Calderon Speak to David Bennet45460-3200162960-4388_Classes\CLSID\{88D96A05-F192-11D4-A65F-0040963251E5}\InprocServer32sx盲း耀UrlHash:&lt;PII_SCRUBBED&gt;; ServerType:5; SupportedProtocols:87; Version:16; Flags:7; CobaltMajor:1; CobaltMinor:6; MsDavExt:1; Shar盥ᄸ耀/sites/2024Projects/Shared%20Documents/24-213-01%20Hibiscus%20House/00-Estimating/09%20Estimates/Project%20Estimating%20Matrix.xlsx瘔ሸ耀ᰀ辑ĸ㌐鉸ĸᰀ辑ĸdri霳ĸ䰀䉏䱁瘇ጸ耀똈⽖翿뛘⽗翿ĸ㾀軀빅ĸ㾀軰빅ĸ瘶ᐸ耀⮠鉸ĸ辐ĸఐ辑ĸon瘀湥⹴楔敭Ή鑣팲ࣜ瘩ᔸ耀/sites/2024Projects/Shared%20Documents/24-213-01%20Hibiscus%20House/00-Estimating/09%20Estimates/Project%20Estimating%20Matrix.xlsx癘ᘸ退C:\Users\ecalderon\Downloads\SEMINOLE CLUB - LOCKER REMOVAL AND REINSTALLATION PROPOSAL - DLI INC - REVISED 11-09-23.xlsxsxٯ耀ퟐ鋮ĸ癋᜸耀/sites/2024Projects/Shared%20Documents/24-213-01%20Hibiscus%20House/00-Estimating/09%20Estimates/Project%20Estimating%20Matrix.xlsx発ᠸ耀@Chaitanya Banthia Call TomDocuments/24-213-01%20Hibiscus%20House/00-Estimating/09%20Estimates/Project%20Estimating%20Matrix.xlsx癭ᤸ耀똈⽖翿뛘⽗翿Ĺ㾀逐빅ĸ㾀鸀비ĸ熜ᨸ耀ᰀ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巠⼽翿%20C珜͢退恘⼽翿쀀庈⼽翿嶸⼽翿帘⼽翿擰鉸ĸ昸鉸ĸ朸鉸ĸ⛲锐賕ĸ锔賕ĸ锔賕ĸꎰ賕ĸꎸ賕ĸꎸ賕ĸ뿰뿰뿰뿰뿰뿰㾀攀鉸ĸ ČĀ诰鉗ĸ诠鉗ĸ噸⼽翿噘⼽翿攀鉸ĸ擸鉸ĸ험뮜ĸ뿰뿰뿰뿰漐鈙ĸ䈀쀀쀀巠⼽翿㈀옯翿珤Ѐ退恘⼽翿庈⼽翿嶸⼽翿帘⼽翿졀銼ĸ杰鉸ĸ梸鉸ĸ榸鉸ĸ⛹鈠賕ĸ鈤賕ĸ鈤賕ĸ䀸ĸ䀸䀸䀸㾀⿲枀鉸ĸⓘ肑ĸ䶠쾔ݐ㽰魰鉗ĸ魠鉗ĸ噸⼽翿噘⼽翿枀鉸ĸ杸鉸ĸ휸뮜ĸ㍈銦ĸ䀸䀸闀鈘ĸ䈀梠鉸ĸ䈀鉇ĸ巠⼽翿9猌׿耀槐⼿翿庈⼽翿嶸⼽翿자⽛翿槰鉸ĸ欸鉸ĸ永鉸ĸ⛽ĸ䂞翿렀䂈렀䂈䂞㾀㉥옯翸噸⼽翿噘⼽翿樀鉸ĸ槸鉸ĸ력貫柰鈙ĸ刀鉇ĸꏀ뭰ĸ巠⼽翿ments/Palm%20House%20Hotel%20-%20Take%20Off%20Sheet%20TOTALS%2004.12.24.xlsx晢偆䕟䍘䅈䝎彅剏䥇D瑨灴㩳⼯畯汴潯⹫梫涳쪏ၯꝀ쇖ĸ濁Ĺ&#10;타飱￺ĸ'浐鉸ĸｆ￸ༀ샭ĸ獇8退믐뭰ĸ9?莠消Ĺ僠邑ĸ胐消Ĺ 蒐消Ĺ≭ਬ†椢瑡㨢∠㜱㘲㐱〲㐹Ⱒ ∠摩祴≰›產獲Ĭ耀꿰쁻翿ꎘ쁻翿쀀 奘쁼翿妰쁼翿堸쁼翿塰쁼翿墨쁼翿壠쁼翿夘쁼翿ૈ삂翿匐쁼翿㾀勐쁼翿獡ɡ耀꿰쁻翿ꎘ쁻翿쀀 奘쁼翿妰쁼翿堸쁼翿塰쁼翿墨쁼翿壠쁼翿夘쁼翿ૈ삂翿匐쁼翿㾀勐쁼翿獬͘退몰뭰ĸ9?砀消Ĺ 烠消Ĺ㼐淗Ĺ砰消Ĺ&#10;挶ⴸ㑢〶㠭㘱晣㜰㍤戳⹦攰㌸戴㝤㘭㠲ⵢ㈴㡣犛ѣ耀꿰쁻翿ꎘ쁻翿쀀 奘쁼翿妰쁼翿堸쁼翿塰쁼翿墨쁼翿壠쁼翿夘쁼翿ૈ삂翿匐쁼翿㾀勐쁼翿犆Ԣ耀꿰쁻翿ꎘ쁻翿쀀 奘쁼翿妰쁼翿堸쁼翿塰쁼翿墨쁼翿壠쁼翿夘쁼翿ૈ삂翿匐쁼翿㾀勐쁼翿犵ج蠀䶐⼾翿ĸ쭸⼾翿漶Ĺ$'佰섖ĸ侀섖ĸ侀섖ĸĂĸŤ⼿犠ݜ耀꿰쁻翿ﮀ쁻翿쀀 奘쁼翿妰쁼翿堸쁼翿塰쁼翿墨쁼翿壠쁼翿夘쁼翿ૈ삂翿泈쁼翿浨쁼翿硨쁼翿犯࠱耀꿰쁻翿ꎘ쁻翿쀀 奘쁼翿妰쁼翿堸쁼翿塰쁼翿墨쁼翿壠쁼翿夘쁼翿ૈ삂翿匐쁼翿㾀勐쁼翿狚ऺ退ꁀ뭰ĸ9?篰消Ĺ 翠消Ĺ芀消Ĺ&#10;SGC潬楧⹮業牣獯景潴汮湩⹥潣⽭攰㌸戴㝤㘭㠲ⵢ狉ਭ耀꿰쁻翿ﮀ쁻翿쀀 奘쁼翿妰쁼翿堸쁼翿塰쁼翿墨쁼翿壠쁼翿夘쁼翿ૈ삂翿泈쁼翿浨쁼翿硨쁼翿狴଴耀꿰쁻翿ﮀ쁻翿쀀 奘쁼翿妰쁼翿堸쁼翿塰쁼翿墨쁼翿壠쁼翿夘쁼翿ૈ삂翿泈쁼翿浨쁼翿硨쁼翿狣౲耀꿰쁻翿ꎘ쁻翿쀀 奘쁼翿妰쁼翿堸쁼翿塰쁼翿墨쁼翿壠쁼翿夘쁼翿ૈ삂翿匐쁼翿㾀勐쁼翿狮ര退鏀诏ĸ*/㵐淗ĹGeneral潠消Ĺ吀邑ĸARCHIVE楯甹伹䤵爝๋退ꬣ鎪ݑen-AEMaĂM爈཰退ꬣ鎪ݑes-CUĸĂ¦爷္耀꿰쁻翿ﮀ쁻翿쀀 奘쁼翿妰쁼翿堸쁼翿塰쁼翿墨쁼翿壠쁼翿夘쁼翿ૈ삂翿泈쁼翿浨쁼翿硨쁼翿爢ᄶ退괰뭰ĸ9?穰消Ĺ 蓰消Ĺ簠消Ĺ&#10;SGC鬐浅Ĺ趐浅Ĺ牑ሀ蠀䶐⼾翿翿쭸⼾翿澙Ĺ$'㽰澵Ĺ㾀澵Ĺ㾀澵ĹĂŤ牜ጹ耀꿰쁻翿ꎘ쁻翿쀀 奘쁼翿妰쁼翿堸쁼翿塰쁼翿墨쁼翿壠쁼翿夘쁼翿ૈ삂翿匐쁼翿㾀勐쁼翿牋᐀耀꿰쁻翿ﮀ쁻翿쀀 奘쁼翿妰쁼翿堸쁼翿塰쁼翿墨쁼翿壠쁼翿夘쁼翿ૈ삂翿泈쁼翿浨쁼翿硨쁼翿牶ᔀ耀꿰쁻翿ﮀ쁻翿쀀 奘쁼翿妰쁼翿堸쁼翿塰쁼翿墨쁼翿壠쁼翿夘쁼翿ૈ삂翿泈쁼翿浨쁼翿硨쁼翿牥ᘹ退骠뭰ĸ9?耐消Ĺ 紐消Ĺ冐淗Ĺ臀消Ĺ&#10;稐浅Ĺ濰诋ĸ綐ᜀ耀꿰쁻翿ﮀ쁻翿쀀 奘쁼翿妰쁼翿堸쁼翿塰쁼翿墨쁼翿壠쁼翿夘쁼翿ૈ삂翿泈쁼翿浨쁼翿硨쁼翿綟᠀退靀诏ĸ*/㩐淗ĹGeneral湀消Ĺጀ澊Ĺ17矐消Ĺ 綊ᤸ退贰诏ĸ*/㲐淗ĹGeneral盠消Ĺ䒰邑ĸARCHIVE∶紊0綹ᨲ退Edwin Calderon's OneDrive - Hedrick Brothers Construction ‏» ‎‎Documents ‏» ‎‎Attachments綤ᬸ退穠诏ĸ*/㤐淗ĹGeneral秠消ĹArchive勀邑ĸ緓ᰀ退딐뭰ĸ9?穀消Ĺ 燐消Ĺ喐淗Ĺ腠消Ĺ&#10;莐鄧ĸ侰赃ĸ緞ᴀ退ꐰ뭰ĸ9?芰消Ĺ 萰消Ĺ䞐淗Ĺ箐消Ĺ⢰赃ĸ緍Ḹ退ꇰ뭰ĸ9?煀消Ĺ 痰消Ĺ㽐淗Ĺ煰消Ĺ&#10;䂰赃ĸゐ鋖ĸ緸ἀ退頠诏ĸ*/㶐淗ĹGeneral硠消Ĺ䩐邑ĸ癐消Ĺ⽰赃ĸ緧 耀꿰쁻翿ꎘ쁻翿쀀 奘쁼翿妰쁼翿堸쁼翿塰쁼翿墨쁼翿壠쁼翿夘쁼翿ૈ삂翿匐쁼翿㾀勐쁼翿紒ℸ耀꿰쁻翿ﮀ쁻翿쀀 奘쁼翿妰쁼翿堸쁼翿塰쁼翿墨쁼翿壠쁼翿夘쁼翿ૈ삂翿泈쁼翿浨쁼翿硨쁼翿紁∀耀꿰쁻翿ꎘ쁻翿쀀 奘쁼翿妰쁼翿堸쁼翿塰쁼翿墨쁼翿壠쁼翿夘쁼翿ૈ삂翿匐쁼翿㾀勐쁼翿紌⍥退鬰诏ĸ*/㫐淗ĹGeneral湰消Ĺ儰邑ĸARCHIVE紻␀退饰诏ĸ*/㿐淗ĹGeneral玀消Ĺ删邑ĸARCHIVE紦─退ꃠ诏ĸ*/䂐淗ĹGeneral焐消Ĺ嘰邑ĸARCHIVE24-2絕☭退꒠讄ĸ9?瀠消Ĺ 炀消Ĺ㸐淗Ĺ畠消Ĺ&#10;xlsx컰붫ĸ츐붫ĸ櫪⺳즏ၯ劰賫ĸᾰ블ĸ╳䵜捩潲潳瑦홀ꕷĸੑ균붿ĸ즀ꕷĸਔ₀블ĸ&#10;਒㲰붋ĸ懲ꕷĸ6 ਵ⍀블ĸamFiਝ쫠빂ĸffic㙀ꕸĸ&#10;ਗᆐ솭ĸਐ秀ꕸĸ&#10;ਘ⅀블ĸ`ꀀX扨慬㕰㐲㇐꾦枆䀙㮛ꇩ皔呻敜ᇯ膘淴ᄿ晳㇐꾦枆䀙㮛ꇩ皔呻敜ᇯ膘淴ᄿ晳ÌÂ ꀀ匱卐諢䙘䲼䌸ﲻ錓頦칭a匱卐藠俹ၨ醫✫Eἀᨀ倀爀漀樀攀挀琀 䔀猀琀椀洀愀琀椀渀最 䴀愀琀爀椀檹璺쯎oᏀ솵ĸ粠불ĸꝈ䁈ꐮ砽ᶌ栀H辜䅱ឫథ⨊啂&#10;ഀ쯈o쎰솘ĸ嵐肠ĸ匱卐ᚱ䑭趭䡰䢧⹀㶤豸h䠀鰀鎏᧵燘ꭁ┗਌䈪U䈪U鎏᧵燘ꭁ؀쯃o玠郃ĸ뮊ĸЀ쯁o￐瀋Ĺ⦰ꖅĸ汸硳一打牺䙣䐶礷〶披枳쮝ၯ苐鉧ĸ㻰潳Ĺ타枱ﲺ䉒穎#銐鉸ĸ￻䅁䅁∰∬灡≰∺硅粻,耀缰起ĸ銰鉸ĸ老起ĸ堰肗ĸी鈲ĸ肗ĸච鈲ĸ肗ĸᠠ鈲ĸ肖ĸꑀꟌĸ¨Wⱀ鈲ĸ춰肖ĸ⿀鈲ĸ肗ĸㆀ鈲ĸ肗ĸਔਓਔ쵠鉧ĸ鈽ĸਔ傰肗ĸ쒰銩ĸ喰肗ĸ첐銩ĸ凰肗ĸ퇐銩ĸĸ銩ĸ嫘肗ĸ銩ĸ呰肗ĸ銩ĸ匰肗ĸ銩ĸ局肗ĸ⧠鋆ĸ뺠肖ĸ⫐鋆ĸ쎰肖ĸⶠ鋆ĸ襰먞翿㺀鋆ĸ䤰肗ĸ䧀鋆ĸ䮰肗ĸㄠ븂ĸ㷠肗ĸ肗ĸ宀涅Ĺ肗ĸ蟐涮Ĺ肖ĸ謰涮Ĺ肗ĸ뗰涮Ĺ肖ĸⓐ潅Ĺ쀈肖ĸ湥湡彴摩糲ť褀ǀ馘鉸ĸ陀鉸ĸ氾ꑀꟌĸW䔀㈻翿䕀㈻翿ઘઘ㶰붮ĸઘ랠澒Ĺ뤀澒Ĺ뤀澒Ĺ蘿式7ᣠ潂Ĺ襰먞翿襘㉹翿饈鉸ĸ꾀澝Ĺ愀≬∬楴簍Ⱥ退밀聶ĸƐ購ĸ뼠聶ĸ﵈賻ĸ좀聶ĸ駐鉸ĸྚ惠ಒ䯎쭺ﻅྏ⇉붔캐쐝᫷魳䀎耀骠鉸ĸ䔀㈻翿䕀㈻翿䔠㈻翿䖀㈻翿䖠㈻翿䕠㈻翿摯7縷摯7賭ĸ鹿븑ĸ襘㉹翿䵀淑Ĺ賻ĸ祡湟浡≥籄ͷ退到浢Ĺ̀劐浢Ĺ̂怐浢Ĺ̀櫰浢Ĺ̀抰浢Ĺ̀氐浢Ĺ̂挐浢Ĺ̀嬰浢Ĺ̂桐浢Ĺ̀敐浢Ĺ̀宐浢Ĺ̀洰浢Ĺ̂楰浢Ĺ̀昐浢Ĺ̂羟Т退㰰섬ĸ̀㪰섬ĸ̀㲐섬ĸ̀㚐섬ĸ̀㛰섬ĸ̀㝐섬ĸ̀浢Ĺ̂浢Ĺ̀０浢Ĺ̀浢Ĺ̂Ő浣Ĺ̀浢Ĺ̀殺浢Ĺ̂浢Ĺ̀5Realtek USB GbE Family Controller #2㍻䉁㈳䉂ⵂ䐴㠰㐭㌸ⴰ㙂㠰䌭䔶㍆䕄㠳䌶紹攀獲翖ճ退ठ遟ĸ̀遞ĸ̀遞ĸ̀遞ĸ̂ﳀ遞ĸ̀р遟ĸ̀ՠ遟ĸ̂遞ĸ̂Ԁ遟ĸ̀遞ĸ̀遞ĸ̂遞ĸ̂遞ĸ̀遞ĸ̀㄰乔䡇㍑㝊契䡇䈴呏串奈㍐啕㌴啋㙔坚索∬桳牡灥楯瑮㐳摢ⴷ㈶戸㐭挲ⴸ㥢捥攭散换㜹㤱敢∴∬敷形摩㨢〢㝣缑١退⒐渠Ĺ̀➐渠Ĺ̀┐渠Ĺ̀⼐渠Ĺ̀㰐渠Ĺ̀㾐渠Ĺ̀⮐渠Ĺ̀㜐渠Ĺ̀㦐渠Ĺ̀⊐渠Ĺ̀⪐渠Ĺ̀⺐渠Ĺ̀▐渠Ĺ̀⠐渠Ĺ̀㨐渠Ĺ̀͐肘ĸ䄀븟ĸૐ肘ĸ䣠븟ĸঐ肘ĸ䮀븟ĸҐ肘ĸ敲摡牣浵缨ݛ退밀聶ĸ䍐肗ĸ뼠聶ĸꮠ鉸ĸ耀걠鉸ĸ䔀㈻翿䕀㈻翿䔠㈻翿䖀㈻翿䖠㈻翿䕠㈻翿襘㉹翿䵀淑Ĺ붠肖ĸ▰澦Ĺ姀肗ĸ氷瑹摮䝭罣ࡁ褀밀聶ĸ꼰鉸ĸ澯ꑀꟌĸW䔀㈻翿䕀㈻翿યયᾠ謼ĸય똰澒Ĺ랐澒Ĺ랐澒Ĺאּ敿7ꋐ瀛Ĺ襰먞翿襘㉹翿눈鉸ĸᰀ輔ĸ⣝ṑ欀涼Ĺ銰ĸ䵀淑Ĺ㼠赠ĸ▰澦Ĺ蚈赟ĸ纺॥退耷ĸ耷ĸ닀鉸ĸ萪旕ʛ섫⊐⽟迟踨ﭷ꺰ᵎ⒨栯罭耀뎠鉸ĸ䔀㈻翿䕀㈻翿䔠㈻翿䖀㈻翿䖠㈻翿䕠㈻翿襘㉹翿」ṑ绵ਵ退섫ĸ̀堰潄Ĺ̂ΐ섬ĸ̀섫ĸ̀侮섫ĸ̀ð섬ĸ̰̀섬ĸ̂섫ĸ̀熰潄Ĺ̀섫ĸ̀ﴰ섫ĸ̀Ȑ섬ĸ̀섫ĸ̂襘㉹翿.xls㨢≻灡≰∺硅縌ବ退놐뵖ĸ̀뉐뵖ĸ̀뙰뵖ĸ̀랐뵖ĸ̀륰뵖ĸ̂말뵖ĸ̀뼐뵖ĸ̀뭐뵖ĸ̀빐뵖ĸ̂뺰뵖ĸ̂뇰뵖ĸ̀늰뵖ĸ̂댐뵖ĸ̂데뵖ĸ̀돐뵖ĸ̀ (IKEv2)㑻䔵䌷㡂ⴱ㈲䕁㐭ぁⵆ㐸㕂䈭㑂䈲㠹䈱䈸細繇౥褀ꇐ鈋ĸ뵰鉸ĸ묁銒ĸ둠鈋ĸȟ뎐銒ĸ뙰鈋ĸধ筧ꑀꟌĸWᲰ鈊ĸ˦룠銒ĸᵠ鈊ĸꙖ翿૳૳䴀謼ĸ결銒ĸ૳갠澒Ĺ궀澒Ĺ궀澒Ĺʒ7젰銒ĸ㞀鈊ĸɮ쎀銒ĸ㣠鈊ĸʎ랠銒ĸ㐐鈊ĸʲꢠ銒ĸ厰鈊ĸǮ감銒ĸ䌰鈊ĸ襰먞翿⽀鈊ĸu뜀銒ĸ䰠鈊ĸ밗쁈鉸ĸ⏀輔ĸƫ껠銒ĸ嗀鈊ĸࣜ김銒ĸ〹ⵄ䈳䈳㐭㔶ⵁ㥂〲䔭䐵㔳㈸䕁㍆紲䔀捸汥Ⱒ禞ഢ退遞ĸ̀遞ĸ̀遞ĸ̀遞ĸ̀遞ĸ̂遞ĸ̀遞ĸ̂遞ĸ̂遞ĸ̀遞ĸ̂遞ĸ̂遞ĸ̀遞ĸ̀襰먞翿襘㉹翿偕Ⱒ昢楲秙๹退΀遟ĸ̀ŀ遟ĸ̀怒遞ĸ̀Ϡ遟ĸ̂䀐渠Ĺ̂㮐渠Ĺ̀遞ĸ̂﫠遞ĸ̀遟ĸ̀Ơ遟ĸ̂遞ĸ̂ࣀ遟ĸ̀נּ遞ĸ̀帰赻ĸ礐ུ退뛰浡Ĺ̀띐浡Ĺ̀룐浡Ĺ̀렐浡Ĺ̀롰浡Ĺ̂쮐浡Ĺ̀浡Ĺ̀혐浡Ĺ̀浡Ĺ̂컰浡Ĺ̀浡Ĺ̀힐浡Ĺ̀襘㉹翿䵀淑Ĺ쎠远ĸ▰澦Ĺ远ĸ獩灟湩敮礫ၡ退๠遟ĸ̀ᓀ遟ĸ̀ᅠ遟ĸ̀ᦠ遟ĸ̂ኀ遟ĸ̀ዠ遟ĸ̀⾐渠Ĺ̂⸐渠Ĺ̀ఠ遟ĸ̂Რ遟ĸ̀ᚠ遟ĸ̂ಀ遟ĸ̂Ẁ遟ĸ̀ៀ遟ĸ̀祢ᅌ退遞ĸ̀遞ĸ̀졀遞ĸ̂쉀遞ĸ̀유遞ĸ̀鲀셁ĸ̀蘀셁ĸ̀錠셁ĸ̂蛀셁ĸ̂鳠셁ĸ̀訠셁ĸ̀阠셁ĸ̀螀셁ĸ̂ቐ邘ĸ㫀鋆ĸ쾰邗ĸ㮰鋆ĸ䟠邘ĸ㶐鋆ĸ슸邗ĸ㺀鋆ĸ᎐邘ĸ䐠鋆ĸᬸ邘ĸ䣐鋆ĸ탰邗ĸ䧀鋆ĸᘐ邘ĸ䲐鋆ĸᲠ邘ĸㄠ븂ĸﷰ邗ĸ㼐潅Ĺ䋸邘ĸ敨牤捩扫碽ብ退밀聶ĸ⻐肗ĸ뼠聶ĸ⪈肗ĸ齐讈ĸ틐鉸ĸ耀펠鉸ĸ䔀㈻翿䕀㈻翿䔠㈻翿䖀㈻翿䖠㈻翿䕠㈻翿襘㉹翿▰澦Ĺ앨肖ĸ≻灵≮∺磴፴退譀셁ĸ̀賀셁ĸ̀销셁ĸ̀鯀셁ĸ̂玐渠Ĺ̀雠셁ĸ̀琐渠Ĺ̀碐渠Ĺ̀眐渠Ĺ̂贠셁ĸ̀걀셁ĸ̀뇠셁ĸ̀Ethernet 2Realtek USB GbE Family Controller㝻㜶㈳㉁ⴲㄱ䈵㐭㐲ⵁあ㐹㤭䈹㥆䈱䈱ㄴ細捵楴湯Ⱒ砏ᑬ退⢰浣Ĺ̀⤐浣Ĺ̀⥰浣Ĺ̀⪐浣Ĺ̂⫰浣Ĺ̀㲐浣Ĺ̀䄐浣Ĺ̀䜐浣Ĺ̀㋐浣Ĺ̀䔰浣Ĺ̀㚐浣Ĺ̀䎰浣Ĺ̀䖐浣Ĺ̀㈐浣Ĺ̀⯀潒Ĺ̂ (PPPOE)䑻䘴㝅〹ⵄ䈳䈳㐭㔶ⵁ㥂〲䔭䐵㔳㈸䕁㍆紲氀Ⱒ產汲硆ᕴ退ᑰ浣Ĺ̀ᔰ浣Ĺ̂ᖐ浣Ĺ̀ᝰ浣Ĺ̂័浣Ĺ̀ϰ浣Ĺ̂ѐ浣Ĺ̂⍰浣Ĺ̂➐浣Ĺ̂Ự浣Ĺ̀Ⱀ浣Ĺ̂ᬰ浣Ĺ̀䝀邊ĸ局肗ĸ䧠邊ĸ䐰肗ĸ啀邊ĸ乘肗ĸ嘠邊ĸ䆰肗ĸ崠邊ĸ塘肗ĸ廠邊ĸ僘肗ĸꞰ郋ĸ肗ĸ댐郋ĸ肗ĸ왐郋ĸ肗ĸ탐郋ĸ肗ĸ픰郋ĸ肗ĸퟐ郋ĸ肗ĸ䵀淑Ĺ㷠肗ĸ▰澦Ĺ肖ĸ䠠摥楲正箁ᙴ退검遞ĸ̀簐渠Ĺ̀꿠遞ĸ̀뗠遞ĸ̀뮀遞ĸ̀듀遞ĸ̂날遞ĸ̀됀遞ĸ̀砐渠Ĺ̀믠遞ĸ̂猐渠Ĺ̀礐渠Ĺ̀憐渠Ĺ̀檐渠Ĺ̀뚠遞ĸ̂troller #2㍻䉁㈳䉂ⵂ䐴㠰㐭㌸ⴰ㙂㠰䌭䔶㍆䕄㠳䌶紹漀桴篘ᝯ退https://outlook.office365.com/owa/wopi/files/35eb0f05-0ce7-47a3-ac54-b4a1fdf1a058@hedrickbrothers.com/AAMkADM1ZWIwZjA1LTBjZTctNDdhMy1hYzU0LWI0YTFmZGYxYTA1OABGAAAAAABgQTiRnxfNSbzrcF6D7y60BwC4RBNzVBL-S7lytndmGLfhAAAAAAEMAAC4RBNzVBL-S7lytndmGLfhAACebCUJAAABEgAQANhgMCn0eipFqWbx06pqjCU=_AADbmXo.MQkAAAAAAAA=/WOPIServiceId_FP_EXCHANGE_ORGID/WOPIUserId_c7317639-b8ef-46c8-b460-816cf07d33bf/8.5x11%20Final%20to%20Acct%20%20by%20Location%20CB%20Rev.xlsx楯挮浯猯瑩笓ᡥ退밀聶ĸ鉸ĸ耀鉸ĸ䔀㈻翿䕀㈻翿䔠㈻翿䖀㈻翿䖠㈻翿䕠㈻翿襘㉹翿ퟐ郋ĸꈐ迦ĸ䵀淑Ĺ胀迦ĸ▰澦Ĺ粐迦ĸ∬敷形摩笪ᥣ退鐀道ĸࣸ赲ĸ쁀⡖翿क़赲ĸ혈⡖翿Ԙ赲ĸ退⾨翿੸赲ĸ酀⾨翿घ赲ĸ⾩翿ᗸ赲ĸ⾩翿৘赲ĸ⾩翿સ赲ĸ⾩翿ᅘ赲ĸ⾩翿ኸ赲ĸ⾩翿੘赲ĸ⾩翿ᇸ赲ĸ⾩翿ᆸ赲ĸ⾩翿መ赲ĸ⾩翿׸赲ĸ⾩翿ᘘ赲ĸ⾩翿ઘ赲ĸ⾩翿ঘ赲ĸ⾩翿ሸ赲ĸ⾩翿ᕘ赲ĸ⾩翿ᄸ赲ĸ⾩翿ڸ赲ĸ⾩翿ט赲ĸ⾩翿ኘ赲ĸ⾩翿Ә赲ĸ⾩翿ᗘ赲ĸ⾩翿Ը赲ĸ⾩翿ո赲ĸ⾩翿૘赲ĸ⾩翿֘赲ĸ⾩翿ظ赲ĸ⾩翿ژ赲ĸ⾩翿ॸ赲ĸ⾩翿৸赲ĸ蘿⾩翿ਘ赲ĸ露⾩翿ᅸ赲ĸ怒⾩翿ዸ赲ĸ麗⾩翿ጘ赲ĸ喝⾩翿ᖘ赲ĸ猪⾩翿ᖸ赲ĸﲨ⾩翿Ӹ赲ĸﳸ⾩翿՘赲ĸﴠ⾩翿ָ赲ĸ﵈⾩翿ቘ赲ĸﵰ⾩翿ٸ赲ĸ︐⾩翿ᕸ赲ĸﻘ⾩翿ቸ赲ĸｐ⾩翿ዘ赲ĸｸ⾩翿ਸ赲ĸ￰⾩翿ؘ赲ĸ⾪翿স赲ĸƀ⾪翿ᘸ赲ĸƨ⾪翿ᆘ赲ĸǸ⾪翿स赲ĸظ⾪翿ᇘ赲ĸৠ⾪翿٘赲ĸㄺ絽第挢筥ᩯ退竰浡Ĺ̀糐浡Ĺ̀綐浡Ĺ̀繐浡Ĺ̀賰浡Ĺ̀鄐浡Ĺ̀衰浡Ĺ̀謐浡Ĺ̂螰浡Ĺ̀輰浡Ĺ̂蹰浡Ĺ̀趰浡Ĺ̂蒰浡Ĺ̂Local Area Connection* 6WAN Miniport (PPTP)䍻䔵ㅄ䐷ⵂ䕆䌸㐭ㅅⴸ䔸ㅅ㠭㉁ㄹ䘳㘹㌱紲〭ⴶ㜱ㅔ窼ᬺ退Ⴠ联ĸ̀ꩠ셄ĸ̀ꮀ셄ĸ̀ꯠ셄ĸ̀ਰ联ĸ̀鿠셄ĸ̀굠셄ĸ̀겠셄ĸ̀ۀ联ĸ̀덠셄ĸ̀鵀셄ĸ̀관셄ĸ̀Local Area Connection* 5WAN Miniport (L2TP)㑻ㅄ㈱〹ⵄ㡄㠰㐭㑆ⴶ㐹䙃㐭䙆㘵䔳䌷㠳紲㌶㈸ㄲ㠸竷ᰲ退浡Ĺ̀浡Ĺ̀콐浡Ĺ̀浡Ĺ̀췐浡Ĺ̀浡Ĺ̀琰潄Ĺ̀浡Ĺ̂浡Ĺ̂浡Ĺ̀浡Ĺ̀浡Ĺ̀浡Ĺ̂税ᵣ退∬楤灳慬役慮敭㨢䌢慨瑩湡慹䈠湡桴慩索∬楴敭瑳浡≰∺〲㐲〭切鉸ĸ耀﫠鉸ĸ䔀㈻翿䕀㈻翿䔠㈻翿䖀㈻翿䖠㈻翿䕠㈻翿襘㉹翿敤瑮慩⁬穉ṯ退遞ĸ̀遞ĸ̀遞ĸ̀遞ĸ̂遞ĸ̀遞ĸ̀遞ĸ̀⌐渠Ĺ̂⚐渠Ĺ̀遞ĸ̂遞ĸ̀遞ĸ̂遞ĸ̂遞ĸ̀遞ĸ̀肗ĸퟐ郋ĸ肗ĸ䵀淑Ĺ᷐肗ĸ▰澦Ĺ肖ĸ㔱ⴴ㄰㈥斀έ需ͱĀ侨⾪翿砈㵲Ｏ뀀浲Ｏ砀ꩍＯĀ缇㢐䀀ꩍＯĀ缊㢐㠀꩏Ｏ섀缇㢐瀀꩏Ｏ缇㢐뀀ꩍＯ℀缈㢐꩏Ｏ缎㢐저꩎Ｏ섀缍㢐Ȁ码ꧫＯȀꎠ⼽翿ꠑ鈍ĸ빐⽤翿ᓡ避ĸă酀⾨翿瀄㴶Ｏ퀀ඓ㢒砀㵲Ｏꠀ撓Ｏꠀ喺Ｏ᠀懲Ｏ退㳿Ｏ쀀㼉ＯȀ䀁ꢑＯЀ牸⼽翿鎨⽤翿모⽕翿⽡翿ﯰ⽗翿⽡翿ꎠ⼽翿༑避ĸă酀⾨翿砃㵲Ｏꠀ撓Ｏ䀀埼Ｏꠀ撓Ｏ埻Ｏ᠀懲ＯȀꨁＯԀ㙰⼽翿鎠鈍ĸ㝸⼽翿ᔑ避ĸX⼽翿鎨⽤翿ⷈ⼽翿๑避ĸⶀ⼽翿ற避ĸăǸ⾪翿瀅㴶Ｏ倀ඕ㢒砀㴷Ｏ缍㢐堀㴀Ｏꠀ撓Ｏ저㴭Ｏꄀ缌㢐耀㴭Ｏ缋㢐̀ꨁＯ؀㙰⼽翿醐鈍ĸ㝸⼽翿ᒁ避ĸX⼽翿鎨⽤翿⽕翿ী⼿翿ⷈ⼽翿఑避ĸⶀ⼽翿ᘁ避ĸăǸ⾪翿瀆㴶Ｏက඙㢒砀㴷Ｏ턀缕㢐堀㴀Ｏꠀ撓Ｏ㠀懖Ｏ᠀懲Ｏ저㴭Ｏ㄀缓㢐耀㴭Ｏ넀缎㢐̀ꨁＯԀ㙰⼽翿躐鈍ĸ㝸⼽翿ᙡ避ĸX⼽翿鎨⽤翿ⷈ⼽翿ม避ĸⶀ⼽翿ཁ避ĸ̃̃姀肗ĸ㘵〶㉥㘲旛‵退昸㤭㌱ⵥҰ鉹ĸ耀ՠ鉹ĸ䔀㈻翿䕀㈻翿䔠㈻翿䖀㈻翿䖠㈻翿䕠㈻翿襘㉹翿牯≹∺汐捡≥∬祴数㨢䌢慬獳捩牍≵∬牭彵摩㨢㌢㡥㥥㥦ⴳ攷户攒ℶ退Ґ联ĸ̀鸀셄ĸ̀ꬠ셄ĸ̀ꔠ셄ĸ̀联ĸ̀늠셄ĸ̀걀셄ĸ̀꣠셄ĸ̀ր联ĸ̀ꥀ셄ĸ̀ꦠ셄ĸ̀대셄ĸ̀Ethernet 2Realtek USB GbE Family Controller㝻㜶㈳㉁ⴲㄱ䈵㐭㐲ⵁあ㐹㤭䈹㥆䈱䈱ㄴ細ⴶ㠲㉔㨰攭∹耀牵楩䚀激Ĺ䚀激Ĺೈ鉹ĸௐ鉹ĸ뷌롒蝰ᗑ萍꼅실㋜嵨◺盭⾲촑ㆪ鴃耀䔀㈻翿䕀㈻翿䔠㈻翿䖀㈻翿䖠㈻翿䕠㈻翿恟7恟7쐰肸ĸ襘㉹翿425x340㈸ㄲ㠸㤷㤲㈲㜴㜳Ⱒ朢潲灵楟≤∺敢摢挴㝥㠭ㅢⴵ昴摣㠭㠷ⴵ摡㉢〰㙦戶昶Ⱒ椢彳整浡彳潣湮捥整≤琺畲絥∬整浡彳档湡敮彬湩潦㨢≻牵≬∺瑨灴㩳⼯敨牤捩扫潲桴牥捳浯献慨敲潰湩⹴潣⽭楳整⽳敒楳敤瑮慩偬敲潣獮牴捵楴湯匯慨敲╤〲潄畣敭瑮⽳敇敮慲≬∬楴汴≥∺敇敮慲≬絽∬桳牡湩彧湩潦㨢≻瑳瑡≥ㄺ絽第挢瑡来牯≹∺汐捡≥∬祴数㨢䌢慬獳捩牍≵∬牭彵摩㨢㠢扦㔵㕤ⴰ㈲晣㐭つⴱ愸㔴㌭㘸㐴㌴㤳㈱≣∬楴敭獟慴灭㨢㈢㈰ⴴ㜰ㄭ吲㤱㐺㨸㤰〮〰〰〰≚∬獩灟湩敮≤昺污敳∬畳獢牴瑡彥摩㨢刢䅧䅁䉁內楔湒晸华穢捲㙆㝄㙹䈰䍷刴乂噺䱂匭氷瑹摮䝭晌䅨䅁䅁䅊䅲䍁刴乂噺䱂匭氷瑹摮䝭晌䅨䍁䅔昶䅪䅁ぁⰢ愢灰㨢䔢捸汥Ⱒ產汲㨢栢瑴獰⼺栯摥楲正牢瑯敨獲潣⹭桳牡灥楯瑮挮浯猯瑩獥刯獥摩湥楴污牐捥湯瑳畲瑣潩⽮桓牡摥㈥䐰捯浵湥獴䜯湥牥污倯潲敪瑣⽳〴┴〲敗瑳潷摯㈥䌰物汣╥〲敗瑳∯∬楴汴≥∺〴‴敗瑳潷摯䌠物汣⁥敗瑳Ⱒ猢牥楶散楟普≯笺產敳彲摩㨢挢㌷㜱㌶ⴹ㡢晥㐭挶ⴸ㑢〶㠭梫涳쎏ၰ赒ĸ㻰潳Ĺ&#10;타﷫偅䥏አ鉹ĸ散湟浡≥∺桓牡健撺 退멸㉷翿몀㉷翿먰㉷翿〠㉺翿⽸㉺翿ares('u%21aHR0cHM6Ly9oZWRyaWNrYnJvdG§gjbϰ邿ĸhc〠㉺翿⽸㉺翿0vc2l0ZXMvUmVzaWRlbnRpYWxQcmVjb25zdH§WpbՐ邿ĸhc〠㉺翿⽸㉺翿1lbnRzL0dlbmVyYWwvUHJvamVjdHMvRE8lMj&amp;lMᐘ鉹ĸlM〠㉺翿⽸㉺翿ElMjBIaWJpc2N1cyUyMEhvdXNlL0NvbW1lcm&amp;lMᒘ鉹ĸoa&#10;]wQTIwR擆İ退멸㉷翿몀㉷翿먰㉷翿〠㉺翿⽸㉺翿s楍牣獯景╴擏š耀https://graph.microsoft.c§f.0䯰鉍ĸda〠㉺翿⽸㉺翿21aHR0cHM6Ly9oZWRyaWNrYnJvdGhlcnNjb2§Phcば鉍ĸud〠㉺翿⽸㉺翿MvUmVzaWRlbnRpYWxQcmVjb25zdHJ1Y3Rpb2&amp;hcᛘ鉹ĸwR〠㉺翿⽸㉺翿dlbmVyYWwvUHJvamVjdHMvRE8lMjBOT1QlMj&amp;lM᝘鉹ĸyM&#10;%=clMXZlL搒ɐ退멸㉷翿몀㉷翿먰㉷翿〠㉺翿⽸㉺翿ile:///Z:\sers\ecalderon\Downloads\§\eIڰ邿ĸum〠㉺翿⽸㉺翿:\sers\ecalderon\Downloads\m/v1.0/§Ldaૐ邿ĸre〠㉺翿⽸㉺翿M6Ly9oZWRyaWNrYnJvdGhlcnNjb20uc2hhcm&amp;udᦘ鉹ĸvc〠㉺翿⽸㉺翿RlbnRpYWxQcmVjb25zdHJ1Y3Rpb24vU2hhcm&amp;wRᨘ鉹ĸlb&#10;RlMTMtM搾ͬ退멸㉷翿몀㉷翿먰㉷翿〠㉺翿⽸㉺翿NoaXZlL0NPTU1FUkNJQUwlMjBIaWJpc2N1cy§Lvdİ邿ĸwQ〠㉺翿⽸㉺翿N0aW1hdGVfMTIuNS4yMy54bHN4')/driveIt§&lt;umᆰ邿ĸ牐〠㉺翿⽸㉺翿://graph.microsoft.com/v1.0/$metadat&amp;re᱘鉹ĸ1a〠㉺翿⽸㉺翿RyaWNrYnJvdGhlcnNjb20uc2hhcmVwb2ludC&amp;vc᳘鉹ĸvU&#10;BwRnRzL摊Ѭ退멸㉷翿몀㉷翿먰㉷翿〠㉺翿⽸㉺翿file:///C:\jBIaWJpc2N1cyUyMEhvdXNlL0&amp;lcḘ鉹ĸlM〠㉺翿⽸㉺翿C:\U1FUkNJQUwlMjBIaWJpc2N1cyUyMEhvdX&amp;wQẘ鉹ĸ0J〠㉺翿⽸㉺翿VfMTIuNS4yMy54bHN4')/driveItem/thumb&amp;%Ἐ鉹ĸњ耀〠㉺翿⽸㉺翿EC/Payroll/TIME.xlsxdrickbroth摬ੳ耀W&amp;H=ᾘ鉹ĸtp&#10;naron_枖դ退멸㉷翿몀㉷翿먰㉷翿〠㉺翿⽸㉺翿20-%20HB%20Cover%20Letter.docx枀੹耀h§Nଯ耀妰鉍ĸH=〠㉺翿⽸㉺翿edrickbrotherscom-my.sharepoint.com/§&gt;naฐ鉍ĸde〠㉺翿⽸㉺翿others_com/Documents/They%20were%20p&amp;ed⇘鉹ĸ0b〠㉺翿⽸㉺翿me.docxix.xlsx架ఀ耀W=425_H=340_https&amp;դ耀≘鉹ĸth&#10;%%Ktrhare枢ز退멸㉷翿몀㉷翿먰㉷翿〠㉺翿⽸㉺翿PE%20SHEET.xlsxᅡ耀\??\枭൜耀W=425_H=3§VtpẐ鉍ĸdr〠㉺翿⽸㉺翿m-my.sharepoint.com/personal/ecalder§Ddr᎐鉍ĸth〠㉺翿⽸㉺翿ents/Desktop/Subcontractor%20List%20&amp;.2⒘鉹ĸls〠㉺翿⽸㉺翿๜耀≻楓敺汃獡≳∺≣∬楗瑤≨㌺〴∬效杩瑨㨢㐳ⰰ唢汲㨢栢瑴獰⼺猯畯桴散瑮&amp;慩⹰┘鉹ĸ潦浲&#10;%-S٦耀╁䘲㈥框柎ݣ退멸㉷翿몀㉷翿먰㉷翿〠㉺翿⽸㉺翿渰c-8ed2柷༶耀≻摉㨢圢㐽㔲䡟㌽〴桟瑴獰⼺栯摥楲正牢瑯敨獲潣⹭桳牡§O猯瑩㳐鉍ĸ污牐〠㉺翿⽸㉺翿浵湥獴䜯湥牥污启慲正湩╧〲楔敭砮獬≸∬牕≬∺瑨灴㩳⼯敨牤捩扫潲桴牥捳浯献§?潣⽭塐鉍ĸ瑮慩〠㉺翿⽸㉺翿潄畣敭瑮⽳敇敮慲⽬牔捡楫杮㈥吰浩⹥汸硳Ⱒ䔢灸物瑡潩≮∺〲㐲〭ⴶ㈱ㅔ㨳㤵〺&amp;ma❘鉹ĸဧ耀〠㉺翿⽸㉺翿〴∬效杩瑨㨢㐳ⰰ唢汲㨢栢瑴獰⼺猯畯桴散瑮慲畬ㅳ洭摥慩⹰癳⹣獭琯慲獮潦浲琯&amp;潲楶⟘鉹ĸ䙴牯&#10;%&amp;L正牢楯瑮挮浯朚ࡡ退멸㉷翿몀㉷翿먰㉷翿〠㉺翿⽸㉺翿㔲䡟㌽〴桟瑴獰⼺栯摥楲正牢瑯敨獲潣⹭桳牡灥楯瑮挮浯猯瑩獥刯獥摩湥楴污牐捥§_⽮桓ࠐ邿ĸ湥獴〠㉺翿⽸㉺翿㐲ㄭ㐵〭┱〲敂獳浥牥㈥吰畲瑳㈥ⴰ㈥估敮㈥䘰慬汧牥伯敮㈥䘰慬汧牥㈥ⴰ㈥䔰瑳§O慍牴ඐ邿ĸ汧牥〠㉺翿⽸㉺翿瑴獰⼺栯摥楲正牢瑯敨獲潣⹭桳牡灥楯瑮挮浯猯瑩獥刯獥tion/_朴ቩ耀≻&amp;∺≣⨘鉹ĸ∬效〠㉺翿⽸㉺翿畯桴散瑮慲畬ㅳ洭摥慩⹰癳⹣獭琯慲獮潦浲琯畨扭慮汩瀿潲楶敤㵲灳♯湩異䙴牯慭&amp;䑚ㅍ⪘鉹ĸ祍〰&#10;U灡╩䘲Ⅲ畊杊朦४退멸㉷翿몀㉷翿먰㉷翿〠㉺翿⽸㉺翿file:///C:\Users\ecalderon\Downloads\&amp;%敪瑣⯘鉹ĸ࠲耀〠㉺翿⽸㉺翿C:\Users\ecalderon\Downloads\䴰瑡楲╸〲㈱〮&amp;∬牕ⱘ鉹ĸ敨牤〠㉺翿⽸㉺翿潣⽭楳整⽳敒楳敤瑮com/si杞ᑳ耀W=425_H=340_https&amp;drⳘ鉹ĸth〠㉺翿⽸㉺翿repoint.com/personal/ecalderon_hedri&amp;thⵘ鉹ĸm/&#10;luxth杲ੳ退멸㉷翿몀㉷翿먰㉷翿〠㉺翿⽸㉺翿file:///Z:\琯畨扭慮汩瀿潲楶敤㵲灳♯湩異䙴牯慭㵴汸硳挦㵳䑚ㅍ呏&amp;祍〰⺘鉹ĸ坙歆〠㉺翿⽸㉺翿Z:\╁䘲㈥框摥楲正牢瑯敨獲潣⹭桳牡灥楯瑮挮浯㈥彆灡╩䘲㉶〮㈥摆楲敶╳䘲&amp;な創⼘鉹ĸ睤噺〠㉺翿⽸㉺翿ᙫ耀≻摉㨢圢㐽㔲䡟㌽〴桟瑴獰⼺栯摥楲正牢瑯敨獲潣⹭桳牡灥楯瑮挮浯猯瑩獥&amp;污牐⾘鉹ĸ⽮桓〠㉺翿⽸㉺翿潲敪瑣⽳䑎╁〲┭〲㌲ㄭ㤴〭┱〲┭〲㐱┹〲╅〲湉敬╴〲牄㈯ⴳ㐱ⴹ㄰㈥ⴰ㈥䔰&amp;〲慍〘鉹ĸ牕≬&#10;≻摉㨢圢㐽㔲䡟㌽〴桟瑴獰⼺栯摥楲正牢瑯敨獲潣⹭桳牡灥楯瑮挮浯猯瑩獥刯獥摩湥楴污牐捥湯瑳畲瑣潩⽮桓牡摥㈥䐰捯浵湥獴䜯湥牥污倯潲敪瑣⽳楈楢捳獵㈥䠰畯敳䠯扩獩畣╳〲潈獵╥〲畂杤瑥㈥䔰瑳浩瑡彥㈱㔮㈮⸳汸硳Ⱒ唢汲㨢栢瑴獰⼺栯摥楲正牢瑯敨獲潣⹭桳牡灥楯瑮挮浯猯瑩獥刯獥摩湥楴污牐捥湯瑳畲瑣潩⽮桓牡摥㈥䐰捯浵湥獴䜯湥牥污倯潲敪瑣⽳21887929224737剩确书打牺䙣䐶礷〶睂㑃䉒穎䉖ⵌ㝓祬湴浤䱇殫溳즏ၰ堠붗ĸ㻰潳Ĺ타응︻灃挰㊰鉹ĸ잗牵≬∺瑨灴㩳⼯敨暽k退OneDrive - Hedrick Brothers Construction ‎» Attachments ‎» 8.5x11 Final to Acct  by Location CB Rev - ALLOWANCES 05.23.24.xlsx4쮠⽮翿暬Ŕ退https://hedrickbrotherscom-my.sharepoint.com/personal/eroot_hedrickbrothers_com/Documents/NDA%20Hardware%20-%20Copy_Rev.xlsx≯笺愢灰㨢䔢捸曟Ȣ退က䙊䙉Āā怀怀䌀ࠀ؆؇ࠅderon\AppData\Local\Microsoft\Office\16.0\aggmru\c7317639-b8ef-46c8-b460-816cf07d33bf_ADAL\x-swm-en-US-sr.jsonx摩㨢〢曎͈耀[F00000000][T01DAED94340F6DA0][O00000000]*C:\Users\ecalderon\Downloads\Hibiscus House - 08-02 Doors_ Frames _ Hardware.csv䄂ĸlsx曡ѥ退က䙊䙉Āā怀怀䌀ࠀ؆؇ࠅ漇湩⹴潣⽭楳整⽳敒楳敤瑮慩偬敲潣獮牴捵楴湯匯慨敲╤〲潄畣敭瑮⽳敇敮慲⽬牐橯捥獴䐯╏〲低╔〲单╅〲㐲㈭㌱〭┱〲楈楢捳獵㈥䠰畯敳䌯浯敭捲慩╬〲牁档癩⽥佃䵍剅䥃䱁㈥䠰扩獩畣╳〲潈獵╥〲畂杤瑥㈥䔰瑳浩瑡彥㈱㔮㈮⸳汸硳〮⸷㐲砮獬x昐Ԣ耀[F00000000][T01DAED931EC67930][O00000000]*C:\Users\ecalderon\Downloads\Hibiscus House - 06-01 Rough Carpentry - Framing.csv鄋xlsxx昃٥耀[F00000000][T01DADD0B33C52DB0][O00000000]*C:\Users\ecalderon\Downloads\TURNHAM GREEN - MILLWORK SCOPE OF WORK 07.16.24 (1).xlsxlsx昲ܳ退က䙊䙉Āā怀怀䌀ࠀ؆؇ࠅ春ࡩ退傉䝎਍ਚഀ䡉剄　　؈圀車Preconstruction-_api-GroupService-GetGroupImage-id='aa25ef1c-8ed2-46cd-9890-80c105600092'&amp;hash=638221887929224737晔ॳ退Residential Preconstruction ‎» General ‎» Projects ‎» Archive ‎» 23-368-01 - Turnham Green ‎» 23-368-01 - Estimating Matrix=晇੡退Residential Preconstruction ‎» General ‎» Projects ‎» Archive ‎» 23-368-01 - Turnham Green ‎» 23-368-01 - Estimating Matrix䄂lsx晶ଢ耀[F00000000][T01DAED93C30DAE00][O00000000]*C:\Users\ecalderon\Downloads\Hibiscus House - 07-02 Sprayed Foam Insulation.csvpꑁꕇNDlsx晩ష耀[F00000000][T01DAAAF4D7671490][O00000000]*C:\Users\ecalderon\Downloads\1000 Museum PH - Estimating Matrix(Lead Times).csve/ Dr憘൴耀[F00000000][T01DA7F7E6BD44050][O00000000]*C:\Users\ecalderon\OneDrive - Hedrick Brothers Construction\Division List .csvE/p/es/⼯敨牤捩扫潲桴牥捳浯献慨敲潰湩⹴潣⽭楳整⽳敒楳敤瑮慩偬敲潣獮牴捵楴湯匯慨敲╤〲潄畣敭瑮⽳敇敮慲≬∬楴汴≥∺敇敮慲≬絽∬桳牡湩彧湩潦㨢≻瑳瑡≥ㄺ絽第挢瑡来牯≹∺汐捡≥∬祴数㨢䌢慬獳捩牍≵∬牭彵摩㨢㈢敥㐹㘰ⵥ㄰㕦㐭㤵ⵦ㥡㔸㐭㔴〰⭲쪏ၰ膐鉧ĸហ鉬ĸĒ൰타띁뼻ㄺ㨳䋀鉹ĸﾏ昺污敳∬畳獢牴瑡憼&quot;退̗ࠃ§䠍呔⽐⸱‱〲‰䭏਍慃档ⵥ潃瑮潲㩬瀠楲慶整਍潃瑮湥⵴敌杮桴›㜱〰਍潃瑮湥⵴祔数›畭瑬灩牡⽴敲慬整㭤戠畯摮牡㵹產極㩤散㙤愵㜹〭〶ⴴ搴㠲愭搷ⴶ愲〶㠹晤攵㤵椫㵤∱※祴数∽灡汰捩瑡潩⽮潸⭰浸≬※瑳牡㵴㰢瑨灴⼺琯浥異楲漮杲〯∾※瑳牡⵴湩潦∽整瑸砯汭ഢ倊倳›偃∽䱁⁌义⁄卄⁐佃⁒䑁⁍佃潎䌠剕䌠单⁯噉潁䤠䑖⁯卐⁁卐⁄䅔⁉䕔潌传剕匠䵁⁯乃⁔佃⁍义⁔䅎⁖乏⁌䡐⁙剐⁅啐⁒乕≉਍ⵘ敎睴牯卫慴楴瑳捩㩳〠㔬㔲㘵ⰸⰰ㤵㈬㠴㈲ⰸⰰ㤱〶㔳㈬സ堊匭慨敲潐湩䡴慥瑬卨潣敲›റ匊ⵐ敓癲捩ⵥ潃瑮硥㩴丠瑯愠慶汩扡敬为瑯愠慶汩扡敬਍䥍䕍嘭牥楳湯›⸱ര堊䄭灳敎⵴敖獲潩㩮㐠〮㌮㌰㤱਍ⵘ慄慴潂湵慤祲›低䕎਍ⵘ䐱䍓汯敬瑣牯牕㩬栠瑴獰⼺洯扯汩⹥癥湥獴搮瑡⹡業牣獯景⹴潣⽭湏䍥汯敬瑣牯ㄯ〮യ堊䄭楲䍡汯敬瑣牯剕㩌栠瑴獰⼺戯潲獷牥瀮灩⹥牡慩洮捩潲潳瑦挮浯䌯汯敬瑣牯㌯〮യ匊剐煥敵瑳畇摩›㌲戸昴ㅡ㜭戰ⴱ〶〰㜭㐸ⴵ昰㘸摡愱㤵愹਍敲畱獥⵴摩›㌲戸昴ㅡ㜭戰ⴱ〶〰㜭㐸ⴵ昰㘸摡愱㤵愹਍卍䌭㩖漠⭕䥌䘷䅷䉇刴⭑片灒浚⹧ര堊刭獥潰獮卥慴獴›楖䅡䑆吽畲㭥䙁䕄癮䴽䅉〳㕲㭢਍瑓楲瑣吭慲獮潰瑲匭捥牵瑩㩹洠硡愭敧㌽㔱㘳〰ര堊䘭䅒䕍伭呐佉华›䅓䕍剏䝉义਍潃瑮湥⵴敓畣楲祴倭汯捩㩹映慲敭愭据獥潴獲✠敳晬‧整浡⹳業牣獯景⹴潣⁭⸪整浡⹳業牣獯景⹴潣⁭⸪歳灹⹥潣⁭⸪整浡⹳業牣獯景⹴獵氠捯污琮慥獭漮晦捩⹥潣⁭整浡⹳汣畯⹤業牣獯景⁴⸪景楦散㘳⸵潣⁭潧污⹳汣畯⹤業牣獯景⁴⸪潰敷慲灰⹳潣⁭灡⹰潰敷扲⹩潣⁭⸪慹浭牥挮浯攠杮条⹥汣畯⹤業牣獯景⁴潷摲挮潬摵洮捩潲潳瑦攠捸汥挮潬摵洮捩潲潳瑦瀠睯牥潰湩⹴汣畯⹤業牣獯景⁴⸪景楦散灡獰氮癩⹥潣⁭⸪景楦散挮浯⨠洮捩潲潳瑦㘳⸵潣⁭⸪瑳敲浡愮畺敲琭獥⹴敮⁴⸪業牣獯景獴牴慥⹭潣⁭⸪祤慮業獣挮浯⨠洮捩潲潳瑦挮浯漠敮牤癩⹥楬敶挮浯⨠漮敮牤癩⹥楬敶挮浯猠捥牵扥潲敫⹲桳牡灥楯瑮湯楬敮挮浯഻匊剐煥敵瑳畄慲楴湯›㐳਍偓楉䱳瑡湥祣›ര堊倭睯牥摥䈭㩹䄠偓丮呅਍楍牣獯景却慨敲潐湩呴慥卭牥楶散㩳ㄠ⸶⸰⸰㔲㈲സ堊䌭湯整瑮吭灹ⵥ灏楴湯㩳渠獯楮晦਍ⵘ卍䤭癮歯䅥灰›㬱删煥極敲敒摡湏祬਍ⵘ慃档㩥䌠乏䥆彇低䅃䡃൅堊䴭䕓杤ⵥ敒㩦删晥䄠›㝂㜲ㄹ㙃㤱㑃ㄴ㙅䙂䘷䑄㠲䉃㥄㝆㤶删晥䈠›䥍㍁㄰〰㄰㐰〰‹敒⁦㩃㈠㈰ⴴ㤰ㄭ吲㌱㔺㨶㘲൚䐊瑡㩥吠畨‬㈱匠灥㈠㈰‴㌱㔺㨶㘲䜠呍਍਍਍ⴭ畵摩挺摥㔶㥡ⴷ㘰㐰㐭㉤ⴸ㝡㙤㈭㙡㤰搸㕦㕥⬹摩ㄽ਍潃瑮湥⵴䑉›格瑴㩰⼯整灭牵⹩牯⽧㸰਍潃瑮湥⵴牔湡晳牥䔭据摯湩㩧㠠楢൴䌊湯整瑮吭灹㩥愠灰楬慣楴湯砯灯砫汭挻慨獲瑥甽晴㠭琻灹㵥琢硥⽴浸≬਍਍猼䔺癮汥灯⁥浸湬㩳㵳栢瑴㩰⼯捳敨慭⹳浸獬慯⹰牯⽧潳灡支癮汥灯⽥㸢猼䈺摯㹹刼獥潰獮噥牥楳湯嘠牥楳湯∽∲䴠湩牯敖獲潩㵮㌢•浸湬㵳栢瑴㩰⼯捳敨덫᷵喅﫭駟ሬ눏̗ԃx洎獡洮捩潲潳瑦挮浯猯慨敲潰湩⽴潳灡∯㸯刼獥潰獮䍥汯敬瑣潩⁮敗啢汲∽瑨灴㩳⼯敨牤捩扫潲桴牥捳浯献慨敲潰湩⹴潣⽭楳整⽳〲㐲牐橯捥獴•敗啢汲獉湅潣敤㵤䘢污敳•浸湬㵳栢瑴㩰⼯捳敨慭⹳業牣獯景⹴潣⽭桳牡灥楯瑮猯慯⽰㸢刼獥潰獮⁥牕㵬栢瑴獰⼺栯摥楲正牢瑯敨獲潣⹭桳牡灥楯瑮挮浯猯瑩獥㈯㈰倴潲敪瑣⽳桓牡摥䐠捯浵湥獴㈯ⴴㄲⴳ㄰䠠扩獩畣⁳潈獵⽥〰䔭瑳浩瑡湩⽧㤰䔠瑳浩瑡獥倯潲敪瑣䔠瑳浩瑡湩⁧慍牴硩砮獬≸唠汲獉湅潣敤㵤䘢污敳•敒畱獥呴歯湥∽∱䠠慥瑬卨潣敲∽∲删煥敵瑳摥汃敩瑮浉慰瑣∽∳䤠瑮牥慶佬敶牲摩㵥〢•敒潳牵散䑉∽戹愶戲慢㝡戴㘴慣㌸捣攵晦㙦慡搶〹•敔慮瑮摉∽攰㌸戴㝤㘭㠲ⵢ㈴㡣戭改ⵣ捥扥㥣ㄷ戹㑥㸢匼扵敒灳湯敳匠扵敒畱獥呴歯湥∽∱匠牥敶䍲牯敲慬楴湯摉∽㌲戸昴ㅡ㜭戰ⴱ〶〰㜭㐸ⴵ昰㘸摡愱㤵愹•牅潲䍲摯㵥匢捵散獳•剈獥汵㵴〢㸢匼扵敒灳湯敳慄慴䐾䅑䅌㍊䭐䵦氵慁䙢䵧䅃䍁䅳䅧噍穧䙧䴶呏⭯印欶睖㡚换瀷杌䅏潘㕷橏氶煌塒湂瑸畺獫䅃䅁䅁䅁䅁䵁噆㑑䉃䅧䉄䑑䄶奩䑁䅏潘㕷橏氶煌塒湂瑸畺獫䅁光允捑楂䕷㰽匯扵敒灳湯敳慄慴㰾匯扵敒灳湯敳㰾畓剢獥潰獮⁥畓剢煥敵瑳潔敫㵮㈢•牅潲䍲摯㵥匢捵散獳•剈獥汵㵴〢㸢匼扵敒灳湯敳慄慴䐾䅑䅌㍊䭐䵦氵慁䙢䵧䅃䍁䅳䅧噍穨䙧䴶呏⭯印欶睖㡚换瀷杌䅏潘㕷橏氶煌塒湂瑸畺獫䅅䅁䅁䅁䅁䵁噆㑑䉃䅧䉄䑑䄶奩䡁䅏潘㕷橏氶煌塒湂瑸畺獫䅁光允捑楂䕷㰽匯扵敒灳湯敳慄慴㰾匯扵敒灳湯敳㰾畓剢獥潰獮⁥畓剢煥敵瑳潔敫㵮㌢•牅潲䍲摯㵥匢捵散獳•剈獥汵㵴〢㸢匼扵敒灳湯敳慄慴䌠慯瑵卨慴畴㵳䌢慯瑵潨楲杮⼢㰾匯扵敒灳湯敳㰾刯獥潰獮㹥⼼敒灳湯敳潃汬捥楴湯㰾猯䈺摯㹹⼼㩳湅敶潬数ാⴊ甭極㩤散㙤愵㜹〭〶ⴴ搴㠲愭搷ⴶ愲〶㠹晤攵㤵椫㵤ⴱഭᨊ씍镝쯭⊹倔挰⽦⼫书䡂⽵挲佦卹瑁㙖㡒挴䑍婋湺䵩穩䍑捸坵㥄祚㥂⼯䝐硇橷げ据戳䰹ど挶呎敯故䝎歑㜹慩吴呗唹婇婥佐夷䉐湈畧歰浺䭔祕散捣癓杮㥌瑊橭慴癌䤸㥰⭚氫楅塊⬫堯ㅘ㥫䭚㕅䥃歱払浕䉭䵡偒塥漵㥁㉳奤灯刲丹券汷塈獭䤲獙䥃㍳根㑂㥈慺䅳㉒婥獨氰䜳で㑲煲楯楡摌癗楰䱢晪䩶兙瀳硅ㅇ䩇睬㍰䝨睚杸奖硓灡䍹愵究硸⭸癴㌳〰摕畲㙡⽔㌸ぐ㈷搷嘱晐慕摉穷㉓呖䑒獫剤ㅄ噒敂䑩穥敦夷礱㑧扵塣杈呭睮汃佡爹煡䝑䍮㑭塵㔷䙍⽺爷坆摫䥔楱噲票摇䉔獆瑑氰癱灙唷䴹婅剣刱㕎䱰昶湂㕲䘱䙭䈲奇杈捓坚楎㡣爹晷杔㉡䰸獥じ瘷湦䝇刷㘱愱瑶䐲㍬䅘䕡塨坴剉戵瑍䭺䩱呴朵㙮䭄吴欱南嘰䔳奣䍔娷佯ㅓ內䭔搲瘫戲湺㡹の健橈獷䉪坢䭱㤷㔫㑒䉥牂改攳灨㕅均潮䙑硚捙破湶⽘娷歶䭩剹塂睕㙪摂浵摏潂呱晱湂㕲伱摧䵏牤ㅒ湁⼯乤偐ㄱ瘳唷㝃䕤⭪汮嘲啶爲塎晆䅇牨朱湚㌯瀵䰫⼸浤場搫㜸䭍㑖㉰歒捤䱓癁穘㙤改べ㡨㈸㝤䰳睡䩋婴坙䙴煗⼯䥅䙐婨払偷ㅲ䭵瑎瑭瑔㥧⼫噚䔫偩捯堳䔹博升乂灃㈳㤫噬坙杆穙晵㑺愳敵䡶剩畓畃ね䩷礲㡄っ穕摮瘳䭶捋楰呂慒愵敉桰㉦堵兤⭦㑷灣㝏㝵桩牦煩䝅爳汰㡱浴灈收杪伳捗⽐慦穷䝸䘱睥⭣䝂㥴坘挸昸敋啸睍洲噉呌ㄲく汇剳⬵㝐䑭潗䘲䨶礸潘呕䨫㜷䈷䱣捳䐹噔䌲眫汣〹䩆甶煲娱㑱噃䙯祗獐杘丱浴伴䉏歄㍆头睯⬰嘲⼸䴸㥐歊坙⽗橦剱浤㌷卢牁关畈祈啖歌䩹䭤䩌㑔呂獵昲㙐䡏元爯砲晲㌰㍡䅶㡲瑸湳佥确慙歡扑䥌副癏䥰䑌㑢眶男塃潒⼵汗潉扑㉩㥋㥸瑯夰摒㍓楒橉摢灉娲浘䙆㑨坳䡎㡹䡋瑄⽈⽦䉳究扌㑊呄硅浬慖浆㝷䭭潚㜫火⽦祑灳歹摎割塩睡䩍椱摬假灬塡䩌畅瀯搸づ别㐴潣㉖搷噧挫稳㕧扵噮捘ば畁䙐䰫䘱㌲午䡌眹䵏呮祺硄睲䠴稫䉆核㘷䘱栫ㅩ䡨穩祅丸㔰䡤剄儸丳ㄹ㍤呦㡥摦硯㐴杤⽖⽪祴楣㉕灇⽔潭塵奡兆〱䝮潎祑㑤祮敷晏兖塣䩎欶牒剨塶剕呢申硋瑘㠰杇卯唴䩮祷档䡪ぉ桳䝂捆硖普㍶啴硖䥪塴扌桓獰戳楸剚䙖琴䔵汋氫瘹摚䙺⼸娸敤畲樫睯䡎穁㠸歈瑱ㅢ兑潇䡓灈桂扔䡫㙁䕙六硇⭧灶由扮匱䱱乒䱪卨䙶ㅹ㍊⭹獪捘⽥⼸ㅚ㑑坪礰䅢托甲浕㌷煷婍㝔䠰潧ㅭ敭煴兹做扉䵹牖呯䬷㉺䉈奈睚潪畎硶䙌獭㝑瀯佯㔶䕺橈偋桓搷⭵乨瘯潥敋倯㑗吱祒摚畸换塅払牕數慮挱吹㝴づ⽎煂楱敬汓䔵员䵳が㙙䡯允㉄䔱畊愰杄倴㝗⬸偦收橮⼵獑唵㕖㌱䠫晣楮牪獩橮㈵嘱㍗晙䝆夹六估歏桗䭌敳慆慷䡵䱙䉃敔卦㝹扁桔坤穈汹慊晘捲楍楃㈹椱䭆嘸㉲剗灋䔲湧偎啁䭕歔堵䕫汊䉬䔲婩㉍桧㡍䙨㘹⭴ㅆ捅䙨倹渴㡲㈲㙊洴ぬ䐳㙇⼫㝳䱢䝈愱䈸扪博奅䉤坏䝓佷啌湕欯㑦偎潓慵⽮㘵㘵畸㕄䱪㙵佄捄瀷眷㉭㉲㝦䙴塘㠳⭖浐〵敥兴搴单⬳潳䡮㉷䙌欶䭵㉒户㝹呗噓欹睕噬䡥汙䥮氳䩩桹奣獇䥣瑱圯夹㜸噒䡸剖吱乧支临㕩氲獰浳慅歄湂娵牒䄷䑊䩫噊⭒䕅㍓䩘牨坒噧渶䩋剎橌䅹䌳㕸浭䙊㑁兗瑴䉫瑫欯硵捰㕈䝒海摋橬䥮楇歏䥸瘷乤汑啧琶噢䡷䱥㉖六乸儫䭫㝤䡐⽢卦楕㈰汵杣䘵㙊䉓啙搯祤煰䥫瑧㙺橧佨睰㕇契⽑ぇ䥏㜱桄睰湫婁偮㉪杖杇䠵䙖坵噸瑇畇㕂塖畬歔䍮䰳䭱䙏㡋䩦噊灎汫㡩牙䴹䩷捂硇婯塣灎䥍坬煉晷䍂摦㥗㘷湭卄楱丳呢䩖楌灑楘数氯㝚穦䅌低婘〰祚歯兑捡灵硓ㅁ䕆摒㉆䭱穣噪偙ㅡ䔱楆洴睮㠫坣楲瑑楘摲楃慳䭌灂䑹牎硺塵啍硰爵㕩䝎塂湩村奱敏㡓奬㝙敆摨䉒䴴䑙兇橡㝅䍓剫橲椲潅浡砶䭑剉䝹睧捡婩瑩浍䑭䭎奅浓匸⽢汩偓楇牏桺氫㑂呈济䉩䙓伲歮特啇乩䕣收⽨㌫唫扄婚扪祫呂䕨地䵡呏卉癷睫㤫䱖浓刳眵ぷ洷潇㍱浉啯䩹睖塰㙪礵㉯潫椱瀳湭䭚䨱䝍氰牲硰礵䡪䝣㥬ぬ刲佊瑙し匳㕶橍剢儳兏ㅩ䉊䙹眱塰㕩乒噗歔奎獘䑡煊楫䔰换兵㐱䥯䙷摉敯呙歨奓湯㕊剰歲坰乡灑塯捲灂䙩㡗䑣浔䡹䠲扡㐳ぱ具⽩挹㥺㉲㍫摎㘵㉏〱䵪䑆䩤㠴歚牓卨捶乩䡰牲佃で䩇硶啚瘵捍塚倵湐奦㙶塕䜹均䩖㙵䍩潫救㝨兙硲瑡䜰杴䑅伹㑑估䨸㕫祄䙔湫䰯嘵㝳䘴㍇䩯坥夶穳橱㜰摊㑋佊潕捚丷㉺㉱畂㉁㉓䝹㡄捭塒兒卢癤剒畢瑒睅䩖共な偃䔳㑯⭕塓穹癇䱴伲浙䕢⽔祺䭨愸捱剫䑍癖䩓睬䘵噆ぉ䐵䍄匯䕃噴ぇ䩪㡱坮瀶橩䬶䤹䵫ㅰひ义卑琵啯汹档伹䱧䩁朴㑖浙砸䥷洲ぴ䈸噒穴䙋㡅呺硗祌浨噄捤慺䅘㉑䩩捖啋睎特偸牐䕴㉖搹噰ㅗ㡱㥱噕乡䬵㥗祴祷䕫啉稴楸塋牰啥牒㡹硴桖剢硆㕈均㑘穚態䉔扯慆硓㉯歫砱牓䉨佴㉡呩ㅢ灷楘橴剡㑖㉵桁票慮汐䔱ㅬ㝓䝬灍牘㑦兤ㅌ㙺灑湇ぉ呢䭥䕥婉䍩楇橢牘㍗欲䱮浊㉣穥ふ㑙牔牗歘塏㉥欫剘污印奌㍺䑗灰汯栴䩲㑎㌲栰朶周乥⭢獶㍁癨桃㕖䍓契潴睤で塮ふ住㉥欴剘汗剰噮桲癓塈乓协〰戰坓灖湓湭卨䕶ね䅰㥔戰坓瑖湓湮卨䕶乱䰵桭睰戰卹硤塓䕬㕏奌㥴㉉䑳湯儵㥩獏婧㕇佊卙㌷湭乑卵㉅楕敡䙷獩歍畹兡督㍴乯呌剎䩴塚䥬㑏奢扗眫卢癗捗歭欳奮䭴⽗䅋偲䵭噺䙒乭塰䥬㑏奢䱗獷ㅧ㉯䑫瑒卹潧杈乡杴㜱教㉘㙹礫橏䤲牷杇搳歕栵獏㍴䡪㉓升㤸灄灭䠶啫穙へ異䕱獃㥌祰临ㅤ楦㕫啦㑨塬剤嘵塇坏兦塱奂䙘乷㉦㍤穵䥵堫㥯つ㥎⼱挴㙕步慑楙摓汬橓楯摲煸䝕氰え䍚䭪䉋晋乮剮䡥噘歄ㅭ摵潴塹䕬㙋敚摄䥲洫游欰㡊睔䑎䜸步⽖癁灍㙂兌桥睅ㅌ券奰䩇祳䕐摔㍤㕃硔漰䭆橰䡊㙃㌲䩈塥捉㍣坆⬵湢偗瑸卲㝰慉䅣癏畗䝎版栵䕙偅甹䱹䙹煢戲㉩㡱睬畄煎當婶佢塂卩攱䑖歕㑅慢敮瑇癃晃潊偷㍌橫礶啲晲㙰䬲剁甲噯唷䍃佦⽹楋畍㈷祫剚㕵堲䥖䩥湔䍋䭅倸偌佬䵗㑖灈塲䭭䉌浌㈯充噲到樳䕔㉨䙯偏㤵䭢瑄癅䡚瘰䨲瘫晹⽤䘸祌㉧獋䥘呗婭桭畇欶単桌票煶潄㡕猱捥獪㝉㙢䡫䥍䱎㑴慇慤瑴䑢㉊扊潱〴捺湮摈䙱灒歷浆癦㕗瑥敘⼱䱲瑙歩坯潚戹穘栶焲佯㙑穒汘㡥歏䰲睬煣䙺牚昶灍䜲婴坹浓啯敕器瘰伶㍲⽹畢ㅶ畘塭扖䥮䭵摇灂ぉ䑚㉪楫猶奚噫潹䭎兖䄷⭧㑬偏獕扩穡婅剣含塓湴㘹䝌佪㉣牑祲块督乒愯汲佅㘴啒塶圫焸橉慏硤敄塆㙭偑瑴潪煘䩕挰䙌樲剨块牖摦娱祆刳塬噢浹㍋卋慊兘䈯⭊佢け摲祤䭚䅄䅁䅁䅁䅁䅁䅁䅁䅁䅁䅁䅁䅁䅁䅁䅁䅁䅁䅁䅁䅁䅁䅁䅁䅁䅁䅁䅁䅁䅁䅁䅁䅁䅁䅁䅁䅁䅁䅁䅁䅁䅁䅁䅁䅁䅁⽭⭆䅁䅑䜱䱷乕㙈〰䅧䅁䉁削㕕牅䩫杧㵧∽㸯⼼楤㹶搼癩挠慬獳∽楴汴≥匾浯瑥楨杮眠湥⁴牷湯㱧搯癩㰾楤⁶汣獡㵳猢彣牥潲≲㰾㹰桔獩椠⁳⁡整灭牯牡⁹獩畳ⱥ猠⁯牴⁹条楡⁮湩愠映睥洠湩瑵獥㰮瀯㰾搯癩ਾ搼癩挠慬獳∽捳敟牲≄搠瑡ⵡ慴㵧爢晥潣敤㸢瀼吾捥湨捩污搠瑥楡獬㰺㸯瀼刾晥䄠›㌵㤳㜱䍃㕅㜷㤴䄴㍂〷㡅㥁㍂䈴あ㜲删晥䈠›䥍㍁㄰〰㄰㐰〰‹敒⁦㩃㈠㈰ⴴ㤰ㄭ吲㌱㔺㨵㔵㱚瀯㰾搯癩㰾楤⁶汣獡㵳戢湩彧潬潧㸢⼼楤㹶⼼楤㹶ℼⴭ灁印牥敶⵲㸭⼼潢祤㰾栯浴㹬⼼潢祤㰾栯浴㹬뙾댂笂뢄쁍馹⩳ڧ菞》迢冟⧃煐著逸죍鉢㝞䢉႒౷㺞榙ㅎ㐇넂쓋୼ꊷ쒵～ᒚ䈨㑧뛀赈㣜源辔ᵤሿ锾嫮蔧忴䈎툣츭툰餁鏇훹磅䮙⩊濞꙳搘⎾胗㿼員끖ླٴ퐍ÿꜼ竨琅凔㵞덊⺩뭩ꖳ锤冐ᕅ슘⢊ʠ⢊ʠ⢊ʠ⢊ʠ⢊ྠ뺙䔧엱퇌䁭ꩽ琼络￸븀㾁꺈븆ꋛÿ硨㴾ፉ۳ᰧ濹澅懗⯼嫧ﳺ랺쎵絚鷇㱚枳鿒ﰆ署ÿ멋뫉헒蹿鴣袟进뷊ᤶ刌ຫ꾃뻒紋磤諸軉냌ꯧణ蕾⿄噧⤺栾潪᠂㤂阆뵍朌嗺충⩎禔艝⢊⒫ꈨꈨꈨꈨꈨꈨꈨꈨꈨꈨꈨꈨꈨꈨꈨꈨꈨꈨꈨꈨꈨ栲踂㚡쓘绝鶕佒鬧㼳蹊窼㧵빃禔捣옋祥毸竂ꪆ蠢䞈趬迂賌曻䊾᥉话␹➖綒흫㝾껸䘭ⱓ媑阱ꇤպ꣺翎ㆯ듐떙盍䯏㺃챥ẫ칀肾﹤誆䶧廎⎿뒞ꖹ筤셿യ菽齀鵜㴱泻㶇厢寽꿈꩕囶楰㛶囶닉砋⣖퇗恔評峹杍걚㺪沧쬣舔⢊犮誂ꀨꈂ랸䯚衫墒別䚒⇣ᕁᔭ끗㘟䑼濸蝋낿魇酆纸ƭ숿稞ꕽㄴ䉜쿰䤚訔텕䏆퐃帑莿囗䥓碨ݦ뒹陬厴⊙ÿ㱷ꆯ曀楪걓ﯬ㣳킪놶簰쑯὞띅鞝덑ў౷꡷埴匿뷦䠯믡⏹搜봋몫趇ﭏÿ꼝斞䢊栦䚥၉闡ࣆ萾啔寙쌯헕㾫㠣鳖르緶ꆮ띬眶｀瘀鱈鼲嗄쟖뽔듳妋뼿ꔄ걫ᰛ뢠ﱁ့웱훯몼ⲙ鿤螮煄ꨫ鸾벢휒컣ᢳ欟Ⳓ잦ፓ礼쯼噻꟝췇켹曺疅꼏㊓ﳉퟂ눬䳌쵾᫽圭益솞祅꟝鿆췣㿗鳜ꬅ흮㿢홫龋彌᣺켕┬ꨖꛎꆊ굫㟩﮸ꤦ煥麞쉕缾圣߫ⴙⴚ蔻儔ŒᑅŐᑅŐᑅŐᑅŐᑅŐᑅŐⅅ䄡耤햞ꦅ㫃繎귛⏙ꠎ঒缜埀↭獎詶鲸ꋞ랼ꃧ㙍蟹汆蝂㧱ﱯ롶挝䟣㖊줭홦泺轇⛜쟧㚻䁿똫垖ꦈ劦үཽ꡽욶﫢௮䝘♙⊐曾㯝穴獬獪렼ﻳ᧱臼龯뗯応佞ㅳ㧾⺤駟芪㪽㔹䛰쐒ﳉ眧粯롆㐞宻瘋㊭辄ﭷ釟䨟䞚顙鋤䥲䵇樭淺捘輭촽遺产綌鋔爰麔馺ꏔ᜚멬籚網㬸흇鵞粡膶엓ÿ긭⏱푧먏Ŀ啜䲳㴽彾槦ሚ殺㸟Ứ褗孙퍎ﬤＹ需䚉蟈ࣼﳵ欲㳖丿⦳봾潴Ქ黽ꐜ镾⃫　⧬졫骯꧖綤썴᠏ꧯ쩞폆땎孋栫ꂭ뭏䠜䜕⫠ᓅ顗췮諂ꐨ䔁倔䔁倔䔁倔䔁倔䔁倔䔁倔䔁倔അ䵫杍비擓寀Ẩ鸬臅︀騇훆㢎꼹段࿤椓䉇㛱ꚣ䀐鶷㎑㏝㾕醊﹞㽉Ẏⷅꞙ﹓ꎁᙝ귚ⅰ穲䁢﫾緍彧윒씣줪⨙䏨ᴩ恟磘쎳媷뵅뻼툡奡夡娝Ǳ䝂舠ࡲ戼Ჽ⥝ꝍ䔔ꠙ馦ಹ⦆읕뽮㈄㦂ꔇ๹솣岺⯆譫䦽쇁填䅀ÿ爂崃脇⣾篸Ꮖ鶶뜖ொ봭藚i듫䆂Ꟈ江砊周풅蒖铖ꩥؽ⢊뎮ꈐ⢊ꈀ⢊ꈀ⢊ꈀ⢊ꈀ⢊ꈀ⢊ꈀ⢊ꈀ⢊ꈀ⢊ꈀ⢊ꈀ⢊ꈀ⢊ꈀ⢊ꈀ⢊ꈀ⢊ꈀ⢊ꈀ⢊ꈀ⢊ꈀ⢊ꈀ⢊⨁↻࿚ᵾ뉹쑌ผ鼫㜑椘㒻ᮥ勋憵쭸㹙꥾ꎩ阅࠘麈㟒鿊☕஭棃뙿㠵弭ᄙ찱箄쬠쨟⾼柢嵼ᙯꖕ㓃籚퉈ᨀᵦܸᲅ纟戺梸铑껤㪴呪孑秪뮋댻ᚻ㥦윬鼤臯὾䛻綥쪯䮙ﭥм陡ܮૼ纼꺾篸ජ섃攚⚣黙㸿嵯縐膀囸ꖙ杯镃ⵯ栌掿ꊨ⮊以ꋰ⢊ꈀ⢊ꈀ⢊ꈀ⢊ᜃ螦㣢沚렳መ泣荡ퟺſ译ꅉ뭪ℽᦼ迚雽ꊽ趣䞯雡몝⨑陱裡噛毸췢錜輾턼憐歩꽇鋋ဿ锫➒䚊䒎略ℸࢆ⯼㫭綥榤ꊺ푬הּ땛觩埡팫鶧ﰵ싐啘鿑턚偟ﳟ﹭ￜᔀ겼ﲘ輳맒쿛餤稶ﲭ䤨ﰀ힂㍤㱼몷᧹㰼쟖冀읞金積忚㙏鏝᛹讬膏⫾ﺄ巪然쓾㿬◴턕縜嬚၍䷩㱴껎橛篫ٱ겔좿寗숿ᩏ㋀焴踢翄리῾뛸㯛㿼Შ콿䬸ÿ㧨喭፺駓騿␗䆗ﰭ澻绵퐡ᴈ錄ﾳ굙㹈ᇖ것 ◭䞴㲮갿柚㫭ﱅ實ᗳ쪞었䩝풑茑ꍃ罂㽥ຒ깩ꎧ얿ᅱ㒽뿹ꓫ㌌ÿ끼ࢭ㵾譫믾퍉辟⻠ﺼ欬棉ง싾딟玟ﷸ⬸♺鷣䖷署鏯卖ﳣ祿Პ竛；搀更禳ᕮ鿽迅퓛篮ﲗאָ著ꘗÿꇀÿ퇄ÿ︋ﻗ缨㗱듡﹒싋ÿ矪씽㾾藬ڻ»娕轟鿲廵贝ﹸ숫ﯟ꼠ꈗ쮚ꭰﻬ㴬亽꿧輟꺚㐎⁛፻ᨣ뺁砼莀䶷ᓓ◶㽤㗻䕹欕쌯뀯瞪☽護츦懁缆鳧﫾塣翷㰔穣錈驜笰ᩃ轇䃅융坳䚭述佝麞ⱔﳙ媅懃꿡䐪䧻ꎾ痯厭⑓霷ｙ鸀돳ÿ夳퓵ﱚ⼂ﴯ轶ￊ퀀寱徶簅瑝齇鴝峧較㤵ぢ헴銜ꃹ鯤秨ᗕ雭ᶵུ띔㾃幝쉯᠖󜿜ㅳ细뒉畾友쌵晇ꋟ場덹죦秢塤䛣捧ꪀ伲巡覆뿰嫅補䵗㡻鍛b쟼ᗰ黴ꆝ嫩洺瓓寫豁別ꑾ歲롂㙎㗵ᦎ꙽轹뺇昺뗙摙⟕묿ᾈ䇷ﳉ赞敧ꝩⷛ閵㚴⿐軝ࠔ戕扫홪鱷璮ᅆ좎ꈨ삊ꊠ殊ꈲ皖ꀊ鉤հ䀽ᕵ㴾껰䢔ힻ쌬ꬎ邏㺬㊡ѫ槼翰Ӛ畞䏡忖鶳画闾炼᢯렿劇瘫ᕺ윕씯ԯ舲䞰摸ꘟꇚ솛ꂶ꺘꺮묅ﴏ洏茵ᾔỜ௒圔繼䦴椱李侥湙杄૲컟ᾝ윒탌ᐮꩣ⧜ÿ䗙ﵭ誛例⽿⟳폛篮ᔕ㿤뿰뼴˺罞헟ﺣﾗ䀀콋﫻뾴놳쥟翹箘絪廏벢ﺃﾗ䀀콋﫻㲵ṟ⍴춷︕辍첧礨⭶Όﻡ戽绉⹰퍢䚵䙯푈签旍ﱜ衾婤緸﷛溩૰鵿쬑佱ﻬ딎퐵諶뾻뺎頣딕펱솭⋾绬쾕ﳞ땕⊙ﱃ䘰ϱ괿䍴긧닷￹鄀ጏ蜎擔㊀N毮﬚黅팝滍⛂倝ꗎ玐基㟊캚ꦧ㜱跺훕ÿ헌휌㉔﵈ﶹ蟈ꚏ빯팺⬢诋㮲湁췟誶⿧㸾깘蹅熅ꄯ疞뼁碝Ὅ疅⥃䟃췌⛢埏꿱䡈펵ᷞ￈윀ﶀ츫嫄웍纫럏앾뿚蔪Ἐ⭀訲ꗬꖇ婇녱Ꞝ温ꋄ튊嬽顛ꗃ럩뉗ꈎ餈俇뛆촠⛮뢵譋幹ꌩ쥠氤鑕閎㟙⿂윞ﳙ㎰隅ﴲ湃⯽₈䆂⌘᪌切씟ड़殢⨲凫鐮与븿儇꣟迯꽜涂⼬묡閵룡쒅좑և᱘⮂鿫ḽ䯳縼ꕞ噦뀻ࢣ菄徇荣揇檟ꉨꈨꈨꈨꈨꈨꈨꈨꈨꈨꈨꈨꈨꈨꈨꈨꈨꈨꈨ蟢裄׼슥톖煇ⅅ挻핑Ϝ皜调ͨ夛䛱쯘᫫ꖵᦧⰉ箣᝽ﲩ簅궣奼껱릻혧럦뾅闥႘窌繥岓鉜툼鈴㮻쮱ᰳ綒Í⥽ﺯ𢡄阍ᬻ䪝쁁侒엜㼖ੌ迲簐뺞缊ｨ最翀鷥ㆀⷹퟺ喟㶻齑뇉뢴鞺秾Ꮑ縻偀ሄ㮻㎳쮱ᰳ纒ᶵ셇Ჿ榯놈ÿ㼁᝛ÿⶍ甓盆灁㼊Zꫲ淨濼询ࡌ䅼肨⬺㍜䔒뽛槸巣輵㳚꠳疜䔰࿧㋍鸫펺沯洛鷥믅ᡧ㚚齃範刚斌⯱㚍㪶㻈砬Ò혀轋ⵉ濢滗ﱪ᩟嶼㜞敉ᠯÿ࡞㦯놢䩸砏렯榯䞨폱ࣅ혰咚摨軾缩篡鿸糾輴Ｏᰀ⺯Ꞣ㣪決Ჟ勼闭펷ᠣ냨关얷춑얽ꮄ웽膀ヺ괿땹純ཋ裼갽黻槍員ᤆ瘏ｔ㨀럙낡椟뗒켈Ɀﾣ㈀쀫갨陥敡淶旳北㚾䫸뱏࠵ﺸܸ援捗쇸럠믛陒毝ἧ͜ㅟ홒❏뻃ÿ役饙⫵啼䳰₮抵褿༞䆕穝ː彮⯦⫥帪䝍羣ﺀ⺳퟇砱싓ᳳ蠧건ᣧ둫쭟됦㩭臰ꡭ칚住攪毬䳣髑ﴡ휾뺢됸뗖㽍戟꿔넭ÿ朼﹤ꕆÿ鮄｝ꀀꏞÿ侁㗾즓䤟뢯궯윮哘읗殓퐛Ｉ였땉﫯４וֹ弖뻎﫠蕽籅ﾉऀ誟핣ÿ㫰﹏ꔪᱏ꧸⠔ᛱ辩Ꝼ霦⳶䷺浽콐խ࢞忥၉ﴰ︸砠⚶簥ꡁ谜퉼ﺖ❵⳼᡿큿﫾וֹ눞䯚៱揖齃봙켇㓐⟖藸⮲恾끦ﻮ槤ͭ줓瞆ꄟ縤ﲱ｡䄀쿻蕿녣䜝툧ݲ⯤敨룘园㛟굋﵍ÿ䯡㽸磾翞䇠ÿ뀊฾⳸㼀＾椀ﲓ糙옩휥䧵ꌇ죝굿絑韷윎䢻﹉멵홺ﭤ罚緊Ａ਀셷鬎ÿꐂÿ儚翰櫁鷀刲指♵️弽㴴틄⒀鬎骘㺋ﻴ袡ÿ쾟狀떇䶟쉿ｻ䀀㿘㫰﹟䬹ÿ⼈裃榛펲⦃ퟨ舘䫦礨坽榽彿ﺱ絔㐾蘏컖䅃⮠ቷ蝊⛴冧苑ꍅ捬溓Ἁ뻎ꉙ筣郕繻䟑迢↾듕轈썜缴槍萟쩑뾶酥퟽ﳈ糅䖟㜽ῠ靘Ⓟ瘝茌⏎ﾐ嶵ⷾ⓸〈⹙멿뎶﹤彩턯摍㫴避扽轝쯸퓠駋ﴳ曛埅赿Ꮎ⁆ꈮ矠٘뻂ꉰ断缘밿댾㹙⽬嗽ꎏᩇÿ즪щ嫹焌톹왿Ꮌ昴斩啘﷑﷤杢㾸Ṁ蝟輝흽羁䏶敕ﯸ睴㹹蔟㜽雜퟇ᗥ㓣걕ષ쾾엢㵷佪媏柣틉跣ﮟ囨ﰚ㕛Ꮴ넡㢆媎␻ÿ⑻祅ᖽ炤砸ӭ嘧ꥯ忼跱嗮䊵䔰⪼匿望⧗殨꺚ᶵ￬팀饹變砂⛚ꮫ띉퍍⼯툛۞煉崃鮎寰嫇횎웾⳻ﱭ卷砤껺繋떕㐺ﲩ䬱䯤麜⯚ÿ믙靘儇곗ﵭ뱅㝏啝肨Ꞧ썲斴匢淸ভ显뺢뎼⟸⯠杌歆ᾆ㷅跌ۺ뢭ᴾ㛸燕蔟鏴ÿⵝ켑샦ߐᓅ硑䉳ᆀ謖䚧崏ꢖ盧霊௻ｇꀀ轕Ͼݐᓂꇋ㇩Ⓢ⹍擉᠝ꁛ廅䡄⋐ꨪ膎Fྠ〈⹕ꆌ咆우땇彇푿䕲쬜䒶彗᥆Ĕ◰몌饆ة㩝䋒ᘺ亁䨿➭ﲅ⬿荮䵕鄳ȥ୉셚ᝫ̃ᠠԀㆰ嘇⹴ૅᲾ읁继ꕿ懪ْ블撍ꏄ페쵌䇊鴃㥥晝ᱬ⾅¶㫩줴ೌ₹ᑶ層ꏙ趾왝뢼₆轑孪犅ꄍ肵︾℔桓ᾚ⦦亥緛鞩᪉ꍵ쾑즅ㅿϟ먶슈旣鉱닣㤊奦䔉䘻䮸┳ᝯ࿗㦹쩀첆㩳分甎╫汝ꛬ뵂ཕఽ쥢햇䫆嵨왳㰡밃凃Ꮋ搷￻ɉ녱ﬃ렄騺ຬ藟녣埣ᇵ෿杄合薲魹摍먤筗鑾띜ㆵ旕鄠䥲ぇᩬ鄭⓭த㶂䞦྽鞜༦⟝度ു겟▀治珏꒸⛏挨뿎鲘쓉隠⣰뛉䰊请㵭딩ᗦꔡ뫌聬첞奁穤芹㍌嫐㆘腉醦⣡⋽怈ި毼䴾আ㧺慢硫ﴮ惛ꋮﳪ㘘㚚锡ﹼ⏾摭惛椷킋諁⊧ዛ鑐蛾ꛫꧩ꓋퉆㜬᫛싃롿ࠣ挞ֿ龸륳ʒ杈郘毾⌝뙫癬㙂쯼ꊪ鐠丅孤鮄젒薝᜷돠疦퉶よ줽乊跔⺞歕㩏╃럖౻관ꊢꞍ댴뉤䪛㪘⢸꠪≱鰷簦夵藬품ꮁ镃オ빰ꯏ㞎卸ꤰ螦ꓼ竟㵹࿟駔㸹ᮮ⻝গˑ횵뗵ෘⓉ胭寭쭶᪏㕇躒Κ则ཀ⹬㴖怯젆鼆蓕⁕驮編涖ў䦴䨭뭮즛ᒼ「徇㳱᳸⦖襕늟瞲녀䐳⡫ㆱƊ皔㧧咼纡㉰록Ĉ旉䈵ꑆ軫う巘ݪ봎퓊몢৾囆鉓瘇ౙ콗ꘄ㞦靖톭嚗뢸罶턋퓌렱逾ၑ훣锻볱蹐斏Δ摁畨駸ﾔ仧쪊ᦩ䭗萅ￜ텝覈셆⾛˗㗦풄똪킝罺ꉶ꺥얘恈끕䟌咄ຑ囿浡齳╸ᢗ싃ᕹ峎쁁櫚억儵ꏃ蟍΂ఴ祣菄ৢ쵻喁휊ြ䘩饽仛瘑瓎궐翓ኅ繆䫂쀺䭓䣐뫒嬇Ѕʃ뺔㡐犊䎹襉칎좀ᆳ៑ص䵌就沎伊넃얖챰⊱஖嚻ᨻꯦ딥扃㹫ႈ더Ⴂ䎩탣Y휝ꈊ옠ԓﺠ悃皶䙙﮻ṋⲘ筯븿巛콯㮵掣੿㉆裊깙౻㦱仗沦怐ⓣꤹ싘뿾↮⃟硗쯊ᤣ䦑릇煎靈毖䗩﹫躥焕츔쿰ᴾ砛龏贳⥻ꃊᠩ䭧䮽堵씊ĳ㻴䎢ﲰ埳裀㹁ᯣꆼ釈譏쾶鈮Ǟ辡㲂䄑쎵㢭言궅륗텘톒쌁㈄ﾴ엱畒哠ꈕ鿨멌眢잜풙铽뇞꿴ꓒ鵞럚쐔惏巤╨⺰养鷤릖隊➅䧰܅殛ꅘ醇ߺ笹퀺幋汬쬦㎧ﱃﲟ쳤稷﮸䬺⻨쨱㜼埛▐⾋ࠐ䊠蜪歠⤆Ş큠⟽ᚐ⸱ើ욡엛᳞俗鿠ȍ揓쩷뛂⎒裰㲶ヌ挑턑ﳶﶥ᷿驥牼協配쩎幩꿙镬앷譣쉨㝞ᯁ钽Ꮍ塊⯡ꖛ놠྅ꜭ纨鼼⭤럽▲辻꺤쁘餕㭊굋쫴냫쇷ꮣ▕辉絕씑㩟⇢ퟋ樆⯮ㅵ듪댭멅瘟꽒쿸粢鵷尨옰舷꺿ꤥ仦损蒣籦⯊黛틸䠅痪﯀ퟘ儯ꃖ譬ﬢ渍ﲢ픂핝㋾샜쒳眓䓼浍㨠퀌ꚕꝈ磻ሥ൒꥟ꉍ펏ꂯﻡ塹ʌ箧膪㼈⻗鷗승棶ᄒ∊㦹彞顴抿꠽❆쮻彁숬멧첦쮒蒐ᘇ㦲ⳤﴹ㸇〕埸媩ꍉꅗ㻪گ쓯뀱㜮䰻脟쀓ॉ볕朁ᥑ懹⭛흄풞買髤䨖沽న㈂Ϙ㵱Ḉ䶼␠࣊欟菓Ყ◛๡‫珠㩴飯䏁凐쬣醴퍥᳭ퟺꯌ蟳鳻ꩺꌳ괹升஬剒ʄ漖䂖瀑㔐ṱ胆쪹㖟㕆譏㚾炜᱁陳ֈ醂Ǩ⤁늓ꑾ恬杮팸쳙綺﫨✽ិゝՉ㩕럃ݭ⢑둬子쒑䔼稳蔎镌锷泽ᴬ섗⅔됉Ṏ殝ᆖ槒颭鬺ᭇꑛ렒凼걞蟣&#10;뫼奁郤몺ﲼ׈薼鷝履軆ꍙ豄톋䓱茺⒋ 鄔惆ㄿ嫔瞎珝絷ް㨿顱ሌ六㤰澜䅵伾Ὺ蕸ﴷ䖫眪⽮ቴ⁌쇥磱脼怞⪆Ց裈⤖뺉園ਇѼ蜖ට恢褒턉澉ꐟ鐆ᶇ㈠좲ၴ♢按륾٨୒포珈仡룫ꯨ鬜㪲濆伀藄౏ᘘ䩋訞ᆋ䣄드䚶燥ᝐ㮆ⵯ冱⻅꘿鸗彎柅뱎浇䔌ꊢ馵䷃ḉ䣕疥뾊ෙ듳凕菪蔳욟牧ႚ݀⍥ዦ褻ꙻ尬䚔玐㤳吙噰♸쟕ᱮ瀃빧尗浹憬衐㪖꿋ꜷ१뺟⩷Å釔徦抔卐ጻ橏퓶₿་믖蛻뵳節訿蹞춁ฉꙃ킾建㭹荠鬖埻踾薏✥純涿ŀ退̗ఃF䠍呔⽐⸱‱〲‰䭏਍慃档ⵥ潃瑮潲㩬瀠楲慶整਍潃瑮湥⵴敌杮桴›㈱ㄵ਍潃瑮湥⵴祔数›畭瑬灩牡⽴敲慬整㭤戠畯摮牡㵹產極㩤〶㡢㐹〰㠭㍢ⵣ愴㔰㠭愳ⴵ晡戵㍥㑡㥤散椫㵤∱※祴数∽灡汰捩瑡潩⽮潸⭰浸≬※瑳牡㵴㰢瑨灴⼺琯浥異楲漮杲〯∾※瑳牡⵴湩潦∽整瑸砯汭ഢ倊倳›偃∽䱁⁌义⁄卄⁐佃⁒䑁⁍佃潎䌠剕䌠单⁯噉潁䤠䑖⁯卐⁁卐⁄䅔⁉䕔潌传剕匠䵁⁯乃⁔佃⁍义⁔䅎⁖乏⁌䡐⁙剐⁅啐⁒乕≉਍ⵘ敎睴牯卫慴楴瑳捩㩳〠㔬㔲㘵ⰸⰰ㤲㜬㜵㈴ⰹⰰ㜲㈲〵㈬സ堊匭慨敲潐湩䡴慥瑬卨潣敲›ള匊ⵐ敓癲捩ⵥ潃瑮硥㩴丠瑯愠慶汩扡敬为瑯愠慶汩扡敬਍䥍䕍嘭牥楳湯›⸱ര堊䄭灳敎⵴敖獲潩㩮㐠〮㌮㌰㤱਍ⵘ慄慴潂湵慤祲›低䕎਍ⵘ䐱䍓汯敬瑣牯牕㩬栠瑴獰⼺洯扯汩⹥癥湥獴搮瑡⹡業牣獯景⹴潣⽭湏䍥汯敬瑣牯ㄯ〮യ堊䄭楲䍡汯敬瑣牯剕㩌栠瑴獰⼺戯潲獷牥瀮灩⹥牡慩洮捩潲潳瑦挮浯䌯汯敬瑣牯㌯〮യ匊剐煥敵瑳畇摩›㐲戸昴ㅡ㜭㘰ⴷ〶〰㔭㜶ⵣ㕢ぢ㜸㔸捣㔸਍敲畱獥⵴摩›㐲戸昴ㅡ㜭㘰ⴷ〶〰㔭㜶ⵣ㕢ぢ㜸㔸捣㔸਍卍䌭㩖漠⭕䩌摇䅷䉇晗坌桷場桍⹑ര堊刭獥潰獮卥慴獴›楖䅡䑆吽畲㭥䙁䕄癮䴽䅉〳㕲㭣਍瑓楲瑣吭慲獮潰瑲匭捥牵瑩㩹洠硡愭敧㌽㔱㘳〰ര堊䘭䅒䕍伭呐佉华›䅓䕍剏䝉义਍潃瑮湥⵴敓畣楲祴倭汯捩㩹映慲敭愭据獥潴獲✠敳晬‧整浡⹳業牣獯景⹴潣⁭⸪整浡⹳業牣獯景⹴潣⁭⸪歳灹⹥潣⁭⸪整浡⹳業牣獯景⹴獵氠捯污琮慥獭漮晦捩⹥潣⁭整浡⹳汣畯⹤業牣獯景⁴⸪景楦散㘳⸵潣⁭潧污⹳汣畯⹤業牣獯景⁴⸪潰敷慲灰⹳潣⁭灡⹰潰敷扲⹩潣⁭⸪慹浭牥挮浯攠杮条⹥汣畯⹤業牣獯景⁴潷摲挮潬摵洮捩潲潳瑦攠捸汥挮潬摵洮捩潲潳瑦瀠睯牥潰湩⹴汣畯⹤業牣獯景⁴⸪景楦散灡獰氮癩⹥潣⁭⸪景楦散挮浯⨠洮捩潲潳瑦㘳⸵潣⁭⸪瑳敲浡愮畺敲琭獥⹴敮⁴⸪業牣獯景獴牴慥⹭潣⁭⸪祤慮業獣挮浯⨠洮捩潲潳瑦挮浯漠敮牤癩⹥楬敶挮浯⨠漮敮牤癩⹥楬敶挮浯猠捥牵扥潲敫⹲桳牡灥楯瑮湯楬敮挮浯഻匊剐煥敵瑳畄慲楴湯›ㄷ਍偓楉䱳瑡湥祣›ര堊倭睯牥摥䈭㩹䄠偓丮呅਍楍牣獯景却慨敲潐湩呴慥卭牥楶散㩳ㄠ⸶⸰⸰㔲㈲സ堊䌭湯整瑮吭灹ⵥ灏楴湯㩳渠獯楮晦਍ⵘ卍䤭癮歯䅥灰›㬱删煥極敲敒摡湏祬਍ⵘ慃档㩥䌠乏䥆彇低䅃䡃൅堊䴭䕓杤ⵥ敒㩦删晥䄠›䐶䅆䔶䔶䈹㉄㈴㘵㍂䉅䍄䄰䐸㉆㝄㡁删晥䈠›䥍㍁㄰〰㄰㔰㌰″敒⁦㩃㈠㈰ⴴ㤰ㄭ吲㌱㔺㨶㤲൚䐊瑡㩥吠畨‬㈱匠灥㈠㈰‴㌱㔺㨶㤲䜠呍਍਍਍ⴭ畵摩㘺戰㤸〴ⴰ戸挳㐭ちⴵ㌸㕡愭㕦敢愳搴挹⭥摩ㄽ਍潃瑮湥⵴䑉›格瑴㩰⼯整灭牵⹩牯⽧㸰਍潃瑮湥⵴牔湡晳牥䔭据摯湩㩧㠠楢൴䌊湯整瑮吭灹㩥愠灰楬慣楴湯砯灯砫汭挻慨獲瑥甽晴㠭琻灹㵥琢硥⽴浸≬਍਍猼䔺癮汥灯⁥浸湬㩳㵳栢瑴㩰⼯捳敨慭⹳浸獬慯⹰牯⽧潳灡支癮汥灯⽥㸢猼䈺摯㹹刼獥潰獮噥牥楳湯嘠牥楳湯∽∲䴠湩牯敖獲潩㵮㌢•浸湬㵳栢瑴㩰⼯捳敨慭⹳業牣獯景⹴潣⽭桳牡灥楯瑮猯慯⽰⼢㰾敒灳湯敳潃汬捥楴湯圠扥牕㵬栢瑴獰⼺栯摥楲正牢瑯敨獲潣⹭桳牡灥楯瑮挮浯猯瑩獥㈯㈰倴潲敪瑣≳圠扥牕䥬䕳据摯摥∽慆獬≥砠汭獮∽瑨灴⼺猯档浥獡洮捩潲潳瑦挮浯猯慨敲潰湩⽴潳灡∯㰾敒灳湯敳唠汲∽瑨灴㩳⼯敨牤捩扫潲桴牥捳浯献慨敲潰湩⹴潣⽭楳整⽳〲㐲牐橯捥獴匯慨敲⁤潄畣敭瑮⽳㐲㈭㌱〭‱楈楢捳獵䠠畯敳〯ⴰ獅楴慭楴杮〯‹獅楴慭整⽳牐橯捥⁴獅楴慭楴杮䴠瑡楲⹸汸硳•牕䥬䕳据摯摥∽慆獬≥删煥敵瑳潔敫㵮ㄢ•效污桴捓牯㵥㈢•敒畱獥整䍤楬湥䥴灭捡㵴㌢•湉整癲污癏牥楲敤∽∰删獥畯捲䥥㵄㤢㙢㉡扢慡㐷㑢挶㡡挳㕣晥晦愶㙡㥤∰吠湥湡䥴㵤〢㡥㐳摢ⴷ㈶戸㐭挲ⴸ㥢捥攭散换㜹㤱敢∴㰾畓剢獥潰獮⁥畓剢煥敵瑳潔敫㵮ㄢ•牅潲䍲摯㵥匢捵散獳•剈獥汵㵴〢㸢匼扵敒灳湯敳慄慴㸯⼼畓剢獥潰獮㹥匼扵敒灳湯敳匠扵敒畱獥呴歯湥∽∲䔠牲牯潃敤∽敄数摮湥佴汮佹乮瑯畓灰牯整剤煥敵瑳敇却灵潰瑲摥•剈獥汵㵴㈢㐱㔷〰㌰∷㰾畓剢獥潰獮䑥瑡⽡㰾匯扵敒灳湯敳㰾刯獥潰獮㹥⼼敒灳湯敳潃汬捥楴湯㰾猯䈺摯㹹⼼㩳湅敶潬数ാⴊ甭極㩤〶㡢㐹〰㠭㍢ⵣ愴㔰㠭愳ⴵ晡戵㍥㑡㥤散椫㵤ⴱഭ礊꼬あ泆唨俥呫歯湥∽∳䔠牲牯潃敤∽敆瑡牵䑥獩扡敬佤卮牥敶呲湥湡乴瑯畓灰牯整≤䠠敒畳瑬∽ㄲ㜴〵〰㜳㸢匼扵敒灳湯敳慄慴㸯⼼畓剢獥潰獮㹥⼼敒灳湯敳㰾刯獥潰獮䍥汯敬瑣潩㹮⼼㩳潂祤㰾猯䔺癮汥灯㹥਍ⴭ畵摩挺㤹愴晥ⴱ㜹昷㐭昹ⵣ㔹㤱㐭㔰摥ㅢ收搹⬱摩ㄽⴭ਍ᙟꩰﾅ征薂僒籫㼖Հ儔Հ儔Հ儔Հ儔Հ儔Հ儔Հ儔Հ儔Հ儔Հ儔Հ儔Հ儔Հ儔Հ儔Հ儔Հ儔Հ儔Հ儔Հ儔Հ儔Հ儔Հ儔Հ儔Հ嘕ﻶ俓㎷州流億黸蠫ﻕ䠟뿜遭쭿⠻駌㟺廓ߐ풠켳됍奆䣥ᶣ䙞܊毢糀סּ쵆䴬蜟罴鸤蠾枼쟪廩긷轸횻ॵ◯輧븱᱕倀혇ힺ㿅譀皭姚匫뇧臨ܲ䗢ﮱ塈륅崴쥋恄염E⹺욫掴䵑ؾ㇈⟘羖돯ﲖ炍촒쐭ⳍ㓒㦒츬䧬ꡉꁨꘂᦆ☮ᢎꑑ䚖蠈▣㢉ༀпོ糕楏꜎㌍鑏贇潶喚쀽⣠褽꯼糜슿࿾롵뎰꽩恔嵝虜팇ក˰㦀蔯ޟ蟠䤄꼶ꇷ㢷뙤㻴ﶅ໺앞ᑅ儀ᑅ儀ᑅ儀ᑅ儀ᑅ儀ᑅ儀ᑅ儀ᑅ儀ᑅ儀ᑅ儀ᑅ儀ᑅ儀ᑅ儀ᑅ儀ᑅ儀ᑅ儀ᑅ儀ᑅ儀ᑅ儀ᑅጁፃ赵魑༸揰䷨ꉙ誋㏅쒧㍺욏龸ﾈഀ蒦滉ừ沩썈鸀쟨ﻐڇઽ瞊摡ᕼ慿꙳쵟筣섋ͳ隔ᠧ쌪㊵뢶箎幹ꌩ쥠氤鑕蒎접쒯薏Ỗ딺ᄗ娲ᅫ∮죲뤿㤦퀣ỵ࿽뻍੿鎦ﲯ얼죻ﲏ稉๽ℍ鮞鿠읛蜕↋葻Șþ脷潴高씓༺↉栒귺⬙贛쐏썗⑕㱲⭒ꞎ鐡菠棬⮺翣ﰊ蘯塵踮箥橽ⲿ瞖Ⱇ䢐눛胷뷖㼹孩荢ꪼ식苞㴿肂￘椀〽﯇࿏⭞ⱺ쏪샳쮮忁琖᠏蒋﷝疟촏ᬸ输㞘ꝎÅպ鼕믽ﾣ퀀읖ÿጂ櫼㏔㫃蛮酔兽ᾁ¥䕍倔䔁倔䔁倔䔁倔䔁倔䔁倔䔁倔䔁倔䔁倔䔁倔䔁倔䔁倔䔁倔䔁倔䔁倔䔁倔䔁倔䔁倔䔁倔䔁倔䔁倔䔁倔䔁뱓緝浻롪柎傕찵籟鸶缿䯢윧ﯼ龖ÿـ㮀⬺栿ؿ鋛೽⩐ﾃ紀㼰犥᫭ᙉꎇ᜴ᬇ먧ゐ鹑䁾胞舾㎦⤪恧㦪鰤弁樟ᠿ睼ከ꾯ˋ謞ᩭ轅䛅婿鷵呓墳ꖎ硹럞됓ﾇḀ耦쨾ﳔ‭똟诸䙎儝ሧＸ耀侮峩ꕮ䃻㫸狋귙ꃾ싟荢齢犩ⱟ䁑ﺪ㫒릌⍝땁톃ꗮ䥩៼㽮尳ꭆ蟱㫇撰牽塛꩙迃⢣﫝ߗE뭙몽鲿矏㕳췌䧖⺤피홪볒괻轫䪷濒祯チ챂퐇膁ퟸ¿彼閨䁽槚ṱ榢으닇䞦䗦礀ᕅᛵﮅ砾也見걚ꢣ｣븀ÿ꼞끅웰ꚃ遀棙ზ爢ⶡ惔켙½佼ꍡ穪麼魞㻞뙱ᛞﺐ뮂߽忠떌굲海霎狷䗶쿉ᗗ狵䖨ꀊ̅Āᓀú췱飝핗꿯⤵啇罆阁ÿꯇ낹燸췠ȹ䵧稻퀴頉⽾嶓ᑕ퀀老⤽凔Հ儔Հ儔Հ儔Հ儔Հ儔Հ儔Հ儔Հ儔Հ儔Հ儔Հ儔Հ儔Հ儔Հ儔Հ儔Հ儔Հ儔Հ儔Հ儔Հ儔Հ儔Հ儔Հ耴сὤ畚Ĕ磀ÿ粄빉퍆藅珛诶䘜ꕾ둱姾꿷휥ÿ齧堐鎗뱄풶ᷢ猣쯤㿥탷ꚯꁨ蜏漵䊇㕢ᩍ헶ꭗ৉䌷훹紝ÿ静Ἶ濑찟튺✬뭾뚥㽆ꂨ萏꿨펹贞쟃榡쎈ⶣ悤튏舧괵巆⬒孙嫾ፙἉﲂ颿ྠ殎䝋ȭ喺훬㮗礊Ბ꜒直⭰뗝즶㛷꾑៏䜜ࡷ㾓◰輫퟈ꠗ|귱䶞墲著⸈鼶糼ﴨͨᾝ㰕ࡲ쿱ἤ叩쉿ﷷ猌ÿ꣟ÿ髸綡嫆㽱ꗎ햁肢ߊ駢켕닉὘닻厡᫹ද繼໱㒟欱ⷂ푆뫏䑩댊퐆唊ࡲ⏏ᦹ迩뙌ﷸ觠뼥풖ﶟ騄䛹᫻谏Ȟ㢹ᅏꝂ陡﴿䔉䍩࿱돁ꞌ㒊욁祿襸ÿᆡ፟䃑生੝良홚⚝䎺횏얮海ȹ蠫⒤Ѥ硰芯ꀨ뼏꿨ꊁ麸䐐䥓㴘ㅂ꬙ꐺ뉋䨽៱柑㽠籅Ἥ떉䇸땘䫍礰⸡ῤꗖᙟ闸㈘譸噖舜搯缄퓣嘥瘗௚뺈Ꮠ蝹ꚷ뷇卼ÿﾋ흫㝣ÿ夕俞⵵ퟜ䥳ㅱ氾↯冷鏫骜ﬀ퉜孬斩쁮觠ᆮ缎缼玗ꝸ⍆露ꍯ⡊﹘＋ꄀ䪣ÿ闀ÿ脚⢾⇸匉寢輌⑇恾왗倔胯ꋌ紻맇䂎㴿ꮸ섣⁲씣帚괏菂᫹껸任褟ా⛱暞酡肙ﲼ瓍俐쐍塂䤥㵣᠝㼰꾈ꮁ䱋痗᝽ﻌ헊갯챼ﭯ쌭믅묞쵈紀䗛卼ÿᬋ菆㕊ﱟ漊꧱趏א☞삿烵E齽籅꞉歼컱ᾟﶗ랬␃猕猵៾軯辽˾ྠ鎯軏㙙뮋✴雸狕㸿ꐪᮟ⃾䙈됵窌鰥︼桨⮺姣ⰾ뽯寢辱⫮ꠂ옋⠲녎玀鼺ᫌﬀ試菸᏾ឿÿퟐ羮웠﹯鴪ÿƌﳏ娥ủ蒺ﲿU뭽籅ꝱ孼뻱힣枮ﳏ´༴돁牚睼嚶踱梋ﶘꁁ괏꼨ま䣭쒓⡓ÿ傦῅ꫪ猍ﺗ갆璣趧嶳༻鳈ݐ嫙讯㧼⮡橿癫찶掽靹鎣培礟뛀裍⺯௞Vÿ篟⣚뾹ซ툢蟵䬜ÿ骳믊ꗽ吭ꅿ櫸潧깙ǂ׸ᓍ縳嫒쾡㓫跣돳﹠嘀콥ᗭ⁲튱ᴠ蚈㽆꿴ꈡ㶀濣溏۲뚲竪ᚬ近꧔괿靳㢾囱龥咏侕ﭔ蕓ÿ䆾᱉㑯㢂鷑䃏⒣ᓾ踀⏭瘖윬➩팤ꈫ訿෵竃説㽺᳙ﴯ䛴휻ꝁᙼ쎢㜺揙윿㩳ἠ䮆鑾垴榹뎿ꭶฮ꾩귺䶴ﰩ淛冀屋ꗖ쁺ೲ᪋섟罆Z竹媬峚쳞딡骷ཹ襄ጋ૸᯻⾝雃䝌蕻鼳캯畍홖횶衰涭苢턱䀢纠耂㤾结砖嗟惚櫤詿䓥笀敗约黎뤥딡䬝뉎푃椡繜Āퟺ瓓ݐ榌덟螟뚭Ꞷ㡟⏪਋쌟㿦瞭䜚⿃栆㚘Ṿ枳鉞⥜뎙韫㿎ꃨ∆栬ᐑ꠪ÀŠꉏꈨꈨꈨꈨꈨꈨꈨꈨꈨꈨꈨꈨꈨꈨꈨꈨꈨꈨꈨꈨꈨꈨꈨꈨꈨꈨꈨꈨꈨꈨꈨ㤪䤣ꑐ꺊ꪧ좰┵Ĕ疇￠ఀ鏞꿶椏ፓ廆㋎㱿뉦縮研朾겆㿗죳羴৺䃑洞쀿ƿ齍䬯ಞÿ㯏ູ殢弶닁쭽庝献峲᫊뫵̨鯽㎴ꟾ푝轓䓣昅﯍ꤴ菉ⳅ踥繲侢廩䗽簀㿡꺫콾䋦ﳩ妳ᾗ잳텒楝踳ꭰ舻㩽ᾠ維䕅簀熍㟰⎶⋒窜秇ἐ樊ᅼ胸蛭훐踱禭㼎㕇Ĕ俲⣼ếÿ⫐ﰏ輋ÿꎊᓾ轟ܕ׾ￇ씀홗僔줇ﲢｻ䀀㾨⻰︿輪凸㵾ÿ咠἗ÿ引兛ὀ䬣㯰嶹⤞︜⪬罒뼐廨ÿﹿ弹텟ὀ줞柰㝠ꒇ︹쳥ﰭꊞÿ㾅៺Ｇ뼀ﾱᐽ䢐ÿ檄迻ὅ䣣ᙾ伂꾆﹑ᑽ㲅ꙃÿꦃ腛寞兗釹좊ꬠ䄐瀄繟篕஋찻ꩽ᧖폱賍ྠ⢂랯蕟䉧䙧Ͷ딀䒄ÿ㗨꟡岂䵣ែ價씇埔￙ﲪ＋䈀迍왿繕％ꄀ읦茶ὀ儘束薏ڞÿ暡ﻇ㿹団菧偒蕇菴䛇䊴∿̨竢௯蘏磴옖鼡盼抴㓒ᧈ鶼툺輼臠Ĕ鳰䭰簶麨界ꓘ듢뷎ﹱ䎣ꗔÿ퉲﹆빂èȘ肖✾賟㾧蔧燵输嫞缺䃨葖࠿筼赱ᶞᦸﴸ釤ﺧ슄좾肢䘾轷᧤ṽ뤨Ệῲ蛏瘵ÿ틆ᤒ窮䃾헗傔쬇ﺱ田廋뇨햌侻쏙淄ᜰ뺚ಕ㊡煈⫴캿鞾肢䈼텮濓뗛粽銈ﴬ묳뫞ྛẂ넃劉♍띋䋦ᝒ꿴ꉆ㦀佋뺆눊蟁᫃⍩隡⼁蟾瑭㯻ﰈ⮻ⵈﮓ우縐궂䁑ᐅ䁑ᐅ䁑ᐅ䁑ᐅ䁑ᐅ䁑ᐅ䁑ᐅ䁑ᐅ䁑ᐅ䁑ᐅ䁑ᐅ䁑ᐅ䁑ᐅ䁑ᐅ䁑ᐅ䁑？컙ּ퍬ʞ캣醽뵾㔚騈잙ᒝ賩ﵵ㟛쯾᝝⇭卨竅阸엄ÿ㭼ﴟ뢞蕏ꮷ쌻믳؅䗨羒ાǔ緶儔Հ儔Հ儔Հ儔ᑀꝯЪ祊笿姩⓵磪걄凘ᑅ⠈誢⠀誢⠀誢⠀誢⠀誢⠀誢⠀誢⠀誢⠀誢⠀誢⠀誢⠀誢⠀誢⬀俧뾏㷲ｘ㼲᯽紭帗﬇穹跞ﯻ聧泻僻雒軃跧ࠟ棣ᖾ૨䳝皁藍웗쉿樂︥＞꼀ﱁ䇍歕ꮞ橖잵忞㒥䈦퀺ᐨꢢ乁ᒤ肴党䭉胚刔䪊䁑䝒櫷刱頔ꈎ⦊⠌誢⠀誢⠀誢⠀誢豈蔧쓧ᇶꥧ嶻雠甹蛺輧㵂ཫ탡ﲔ闧鄙뒿쨡톁起㼙綅౏㹩투鿎媬๮ኤ責ꤻ茜౞䚆絴혞䳖㝕䝈玡ﶖͨꊠ⢊ꈀ⢊ꈀ⢊ꈀ⢊ꈀ⢊ꈀ⢊ꈀ⢊ꈀ⢊ꈀ⢊ꈀ⢊ꈀ⢊ꈀ⢊ꈀ⢊ꈀ⢊ꈀ⢊ꈀ⢊ꈀ⢊ꈀ⢊ꈀ⢊ꈀ⢊쨃◾⁼욇䏗퍔⎮햱奸䕚㤦烔挷삐㺎㺕簜引欉괩띪쑞蘈倨挤佶炜帱䖿᐀䕑᐀䕑᐀䕑᐀䕑砀ꘝﰙꐱ橪뙛醰齳㇎ퟹノ╏쒭쉓◥쎉ຣ膡㗈䟶ⷅ欬ട쭵㉠泩፮㇗ﲐﰸ棻ಎ択꼩ᨫ⫨濰ꤡ៻̃縝ऀ賏牁䙵캡煨↫㐭塁⊱鞱贆៸﹈祪῵麏谱句䄹᪥瘛忺䮳北弱ᦠⅬ쉶詬䃡벶ᘸꕤ쯤ុ綛臅徉ߺꮃ瘳гឣ㇟ँ鰜厙玩왊ជ鴠ᖋ铸춀ᔌᄶꥒ늝暀͊鍽羍쇲ೇ였〾懝誘患봟죘㠍芃荾㠨껃㛮⭓枤抒䕾泊焆뽣喢齦ߋѵꍍꃁ⪙൰ԖᲞ㠬ᒒ喊쉏൚쩥멲蹋ᐿ遪%㹝畼ᷠ鸮읂欐筽⹃꩸㧊㧱畘퉜㪆ꝇ鏤㘄狂埦ᲁ奼䥺ᬿ㎺ﰣ盞㣵뮳ꕼ尳ꄓﳘ趆پ秡한빁争꽚옇첻냐叆摙袜섗示胣껨ﴫ⊬洶锷껑ꄤ컜徭쉪틪䓘捣う䡏弔툍텞휍䗔芲龐Ạՠ留ἓؘ挴ว뛼䅥ϕ샩஘곁拪힑ᰓ똖넆蜢⬘쭒咑⋟㓧乧㥧轚흤Ⳋ槊彴겼䠩䡖艽䜾᬴腓橚흌圝Ǿʭ亣ᇠǱ㰀沊໬뀟࠭Ԇ㝅뭻퍹શ踧혫堿鶘嘵剻鱊뺓ṊὣἽ镆䞷ἵ쬰췔䴮쀲昴챻ꔘֳ凟製촑ﺅ㥅餵竈蹆ཛ嚯嗧鄬럅擈夹뜬诳丌ᱺǇ䔡䱁愅挱ޭ됅겣蕍憥Ӿ㎭㗒剖榛롙얜쟊땭쭳뿍ꦷ땚䎐赯㣞ڱᡇ饝삒뤏只㷸畯亓竂䧟벿㼰鮳⫳뭙㲘鄳蔪᳟鰝糉佉唔皳Ҙߟ൤ⴼᖚ犉薳磆ਙ匌婶렀嶋粳结ﵨ뎴ⷳ鹞뭯邫鶟鄈䨵䙯쾮鬽ꚛ㔎䵲鼑ʈ㧣ᖥ骣꿒镖䇘좹뷾索໌뵨磌玾꛻鞮⡴ṹ᣼긊⸋ධ୷弿왘茜翐ा慧ȋ襣䴆펚躾㮝瓱穘囊ῆ䢽襘壩톅䘻ˢㇳﯞ䭋폑ั鈯▻㞌働㘧㑸瞛讍兆₟귡女픇⣛艺뭠戮ᖒ떋ﰿ醟㷞蹓妎櫡ꭨ겜槳ᓢ쿇鵳፲췏ᆳ∂滓ᙽ૘承嫇孛㋼㈾䪀૕釚䴦錞ҠҜ옾援Ѱ閪謙þ黈ಊ얎뚨呹ᠣ뽺寊䟬阺츬Ʈꍰ꧳僷碑䷕䟾䑳清㝄씐鑓戒饈龕쟕ꌖꇆ䥉勞鈼Ί雝雮ꟍ⪨淏筦약ᵲ㡖阭﯋↎焢뤖ﱲ謦ᾦ꘬ꚪ囲蟛뼯閫멷誩䅐ꡝ鋑ຖ熇諒ㅔ㘁⑰璨叭녿䤮肴樍᭢꼹稭걑⩘䵉藒鱼鷂癓漢㓶窎北뉟㊗⧺䀠㚪ᆥ놶ᗙǤ풑⇫娹ปΩ늩좔᚛묛ᕒ헚ǒ嵒宁ꙛ걸㤼뼩䗽䫈粕玤藏ảഖ病堒ˢᚔ雯迲ꯝ拺ƪ⁋浧덜൞琭뼸ᓕᣐ鐗ӣﯚ휳쌬첏䗭෽发椸硁ﲐ볭᝹ࢌ锆뼱傲柱뉢驱쾁爌暋⏗쵧곯ṗ㒡毥蠉뒡褌⃛ປ앉輐ॡ혾럈꽢纝썂篟됵⥉篂㠅뱈喇묠ᷘ溛ຑ헀얅ꦣ峊匊覎銲泑ᵥᒡܝ釫마鴟桝⯲帘핵囟ⵕជ洯ᅏ줵㵠诵࿈豰㇙굤觉켳❨⚴ᑣﺺ闠Ⰵ닧䳾᨟饙滥೺뮹垼郭粵뚹᠙㶱ꢘ䀗䥉둝쫯黟ࣹ⎀捤흻ධ铛쌸벍亪辸윣㔹萎ꠂ鍣豪퓈翁ⱂ빲㳚䍟뻏諶驴Ｊ찲ڞ↣떨ۀ삞똀镦翾˗ꉺ띻궪ǲܰ阬팢뭆퀧竐㽛멨䄆똶吒ᚠ뿰㦵녛튉쇼ࢌ숸쇕ᚓ᫧尫ᤑ硝ĸ쵦齓쐪⦾ϰ죬裂ẅ︺뺷눩ᡏ童炒銪ᣖꄫ忀꡾Პ䊈쬖週豟ﲌ蝜Ǟ龇簎郫慹翶ﴱ挧䫵ထ葧肳挝⊦ࠨ䜢젨ᶩ혷齟㲱㌀볗궊⣵砯欱㮟獻㙭┌㘀戝ࣆ귏ﭩ욙⯔︵穐늚얳罠፵藸䎦쉗ￆ큤偡꼿毄蝛ꀲ鯅圢鞣䞓䧧㴯哞ꭚ쀕䠠뎪﷖罎⛍轙觎츏꽗威囻꽆ꕎᔇݔ㞛⟀ҷ駊絧䁛䔄๬ꐇ㍖Ꭶ蝀閯捿뼴ࠊ縚쨪蟮鶒쮻㎇㒘䏎䪟ꕷ兺勖硱縸Ղ臧坪纶ſꫴ瑔쮂⯼륁⓼኱쇓꿛ݥ쳮컠帊쥪嫊Ჲ樨更깑铣퓴Ȿ쏄޴讳臣鞟엷歁㾛廓淝햑磧㧌렆뼑喙桼⵿傃薴꫼⃘翈꿰ㅟ帙♱늽맮㞢騋怍᪖踈鉁씴⸃郞⦡݅顎즍섎獫춠䱖苘镌疏㲶﹂ﳏ練⺳꿻튐렃떜밳㮍揕蚠焇㍅铍斀砂촖륾嵫抶贞꯰幟餂숇ⴰᡆິ뗨鑔魜ᇕ⨼ྛ媟䜈櫤ꈯ༌肹ҩ琔픋粻Ⲇᷠ쭅離暅쨝᥼㲕఼䴬ሞ쩅굻䶦鋰빴㉧鳠䷸と㤥쎥練㊗㿒諕禧ު諾㹨ｘ徜狭溕鳇狉ꞯ꜡谅꿫ጿ菖ꭻ钇❖ꄄ蔠볹夰떬秗鸃罞䃄黃턗ퟗ효〯᝿鐩錟䲣輩봎탌ㄹ⸩䒆슾䝽暉晷뾴㤴א몂䴔陪ᖃ讬ꄘ辚໵ч䮲鎰ꂤ⭃䘴ᘒᩋ䖎拯ѥ頍扶㎣Ჾ斴䏶ꓦ㌙⬾좁鸱뫑솋ヱ䟍㜏壀蒬샷ﱙ缩殅᎞᠓뷨蔳諒匛䑛毼딎퓣ꬁ襋뺯몜겂ᑟ㱰빧ꚽ湎㝤梅ࣅ✿䞮뽕仼䑬㋜렋鴩읓㮑퍿ﺉ춛땆拪펮縅辦桓ᔃ垌天홞瞑♮놉算䚙Ⴋ烥ł겸刴㟓즏ｦ撮㉄ꭕ聼㙂裌棡Ꮣ蔟箏즑ʾ슏렕˥薐ꃨ鯛귐䞛ꞰẴ凛肍阸噻蔩熫晞퇀⩥柔ᘼ捷銻娚驇꓃朖℁ꜫ絥彳㗄ꗸ什導헱⍂꽍ბꇭ緥뎫溝㦖Ƀ蟁ᜬ๜뤳鿒蔙㱘輽뉽滛꼗ᜪ浄쐙峧찒铖掍৯ⓠϕ⠯인鹿읙靖荋쵎瓈隹蛘뫡礚敹蹤斒霑샧煏땖韞댱ഃ廤泅憉ᇐᄹ吚牴崀坌泈猪鋚隨띝ਘ灎宩켬胶樂譅坱魌䲘컟濯꯸騺ꚴ粗暡巻៱䮣淗ﺺ梚㴾ລ袺ᛛ≋첫ஓꮛ仛䐎褭ኤ眖궞ꯚ⫠ꬉ⹑躽捏籘ꬓ钿ꈯ眔ꡂ∼⫳屻⒲䤘띰볃뺴掳≑휙聤器ᶊ橴帤殮䑜훯렘䢗剐ҽ鏪⌐볜긽᪦㮸鴖扻賷ǿਦ獣迼ꇛ鴑ၹꨯ↔뭝ࡅ螷寃蒨ﮥퟨ蠂ꍫ틺䠅猎䖑聞򧍺炔軸昹觐⃳綿旒逫誠剻崀芫췾쐻ၤ䬋뻺㋜垫덗⃭煛䱛摾샮䈗쒊瀚ꭴ㽲諤꼖붒䨴ৡצ정䢔怎਷⍭ﴇㆭꡱ㑫⩲掫ᾐ椭⡄駍镚㾚㒋蘯쾓뎞樸徟핞쪻螡ꝼ犧ꒃ㼨䢝ꔠ뮋겱暂靸矜䄴歔鷽頸푮짂⊞ᕞ훉욪㖝㤚듓爆昙깍肓铌龛眡滁홍䩆ᨓ卬롐쳚㴅ﻞ尫郢⻎ᚒ蒙弣䯛↍ꪥ糾鐾긑䵞㗙䦉䓈᯺玻簡޿埈ᛢ宫㋞ﻕ㴬㘎鸷腻챚෩婾䧣聆뉻軎᧔ᐋ㨃₴먁藏ᥢ鐀푤ꨤ匹澽䧌ᤙ秒⊶僦ꝦᏴ衐Ѳ鶤恈렓⒖袠ⶴ豔뎿⎷䐯ዥܽ渺棁෩獞튌៷ర쟵傞꾟霢轘灾ꢓᒝꖊ浈찹끳䡃౦仙ᑵ躶빃䍅㙒얌뱳鷊ᗒ矖⑘鈓ᡣ腶ିẼⰷ骕珸듡力■䳜恗ᝮ٢ゃ䟄뷱諚Ỽ킬湜尻퓳藩ໞ넔१♻铹뵐췳ﻘϭ벭壿쳷ＯΫ錍誳拇⼻廮ﵿ夛찂獕꘾꣮蛼㰎덜ﭠ濖㔤ʴ쎱⭠灿៑ᴣ㹰뢲싓黇춖躦鶑럸氺↧옘ବ쑟꙱脷კ폪㊼棁뭪喝✫ᖊ谜沒ⲟ♗⇆뿨꘦앞蔃昧麣꘴ෂ᫔鲩喓∟鐦柸⑎诋묇㐨늗诉⽋ꀻ穑윇ଆᤝ賒䍔뽌z⮤㧻畣슿⢋浖凢뫘庑吝⇔祴奋뭁螛吠ﳌ깿斶굏ᬨ။欢ᔂ迤ꫢ惢Ξ먮읒햙߆쭏랾꺴艾మ똗揕籄멼攜㐌ㇴ謔𢡄ኾ敝뽳펡眼뎳঴픹㲔泞㭑뵚ஏ滨橠䘴″୭ゑ煇듖苤ᙻ蕆静䩿Ǘࣶ耻特㠑玉灙⦾䒡싼쭑療妽䴖妏ᑂፘࡡꋄ쌷餖㯓뤷嶳临﬛㝊挏ꦶ뫅礓ᡝ἞ⷽ㥆肀䮄ҏ횴栓骺넰쁾䑧뼽àퟧỿ❤儦ⴥª䍟愳쓲瑹똂੔巒痨㞴痆퓉誘꟯꒘節ꩢ蛤滝㩕횲孅섃跨柂嫴爥㙑駉ā凭䃁緼䞿곴춎䛂ㅡክ궵摄㿿䪗ឃ吣년셆ꍬ高㠇慪㊒Ⴊ⏮葡謘㚛ﴧख़▦㖛蛷뽣횻꯳녖⁇焳୏洇왧뫘鈵褹咫너䶃瓧䒉닡윱䐞膃赱眬똫Ḋ䟙䕵嫷톈寭З缆ᵂ舑ፋᅗ苦訢⪙働ᲀᤅ閞拺礬嚄섢꞊ຫ쬛Ꟑ綼퐂롃䭩䤚㻺譽徯爅ඦ쐃衤乹ָ晎킪⩝뿵뤧䆵赡㨹㪽㕓⻔잃࿣㊱깞憅㕬쮔❤㊹฻口뛃旀ﾏ뽒磱㣻ủ㻰⎣꾞奵햿䍪꼊੖옴鰃㴈穣䬐羨囌偳ທ琰뀬跿߬싳第膭퍊ㄡ叨탈͂卙Ἁ䌄埌ᱞퟳꋹ㳱㼳契ꟗ딄⊔됞燹쀥⥝䉓萶읤卄춝砶臭ᰔȡﰛ䓧⠊깛쐀ꜿ䌵奒楲껆꣌轟략萧묜䑓Ꞇ虛媆ᮂ诂쵦ꀹ㛲훸鬎攑ﳘ幢฽죫ୄ纴嶡区톥獀߽쌹ྖ䩠ꘌ㼟皓閁蝻櫰ዩ尒⡧蒕㷑഑琁ხꤍ䑘뉚侠裱碑椚핏퐍ҏ່㟪蚭殧Β伭芮㪀竎ই훖쒟㶖릗쵔嫶뙾㪎ҹ഼தᫌ⍧垎딓伧ꌖ饄ㄚ厧骵Ῑ䚄ꆱ鮌搥ऄ새࢈귑䅟퓛픀솬뼤Ფ䪤枤ﬁĻ쪒裢㢳݊垵㞔⽱俺⡆恢枾銕ㄲ橏䰷ᚢ햯쵑훭˵渫닲쎴잞헡厀옕㈅㿨ꮶ㴴圽ᅨ艫泱Ϟ얏댘볮見Ᏻഁᮂ柩˺澬䩔㽭힤福䀋捔擬휋䷙杤티࢘꺽ᐅ䖓ꊷ凒⒒㢋鿞㌛쉆輩臸ꫧ롙╞喗諸宅珟뾘밠壏쨔䘳鋵⧰⋥哲釤逅ꋴ⯻몖䞰墲༔雑㑓慈찆ၶԷ鼒⺅䮤ᡠ旚⊽㕩ᄚꭳ秢ꉳ홀팫揘漹甡⬒ひ㨦΋弦揲㴺Ꞻ㕺瓼塏闧烊᳚氄밷蠦ᴁ㗜湟⤑䳤譃ꟕ诎뺁勌ӌ侻␱ཕ⍅说껙眾揎论箅퐊䝟垥嚂⎧ꊼ梨禪⌜⺐⪂⹐᪽섇轧瘑鑕쪭ቾ딆ፌﻓᖃ䣹䈼⎧葇笴縎ⴧय़Ꚕ₱⠓虐⯎㴳兕쭪麗ᐠ숆䰰᪂蛠╙묁ꌶភ䒼ᴊ〮䰣矔礸Ҧ旒춠⵰⇡ꙫᇴ羚䗐쿢깞鵧욹鞴䭩퐵ਔậ焥ꍯ槊ﾉ⣛ⓙ࣋⌈킢蚯拰劎ϩ⃈龩ད홄۽䤡도ꏢ젦⭤莔ԃ䧾睭뙵ꡜ為᠒௟脇悧㧟ꖘᠴ馜ꯅ㼣擢㨍趏든蚫풾䤐﷢렑波撝‑粹ۺὨ늞䁞腤ႚ預뙽㾙ᙷ⠢勯脌쾼⍴䠎રꂸ㢚铎ﯺ䜐쩒쩶걔㨔噦낮どꎃ菧踋眘綾苉屧枞椤ꁌ勢ﰕ鈁쿿풠餞포䁽ⴏொ醃쏭官ꙛཥ샯欓犣䩚榍칁᳈㾕䒗폟鍅䱩ႏꐂ⟏⦷豐ꎤ៭뉀䦴㜝픞䓄䥸㴣뾚蹭塾ꑛ髕丌㭕㱴殆벏것琅袶ᚸ䇧騁✤돗罐뭓璙荤ᑎ謆왿柴睪钌ཁ瘪␉닭跦ᅜꐼᾲ직㜋樊ﻁ㐒ⴤ鎣歕⒆阇秜澹鷱㏹擰䉣艮앆観䝐錤⌮囅홴쨩凾❮ข볦ӑᓷꭀ푧왨р퇰䨘缁춫輕踂㴞ꁟＮ껗ꐮ㽇曁轓슋䏅ධર꒩저䲳輸㷆ⶾ䈎ﻁ練ꝧ趫큕虈ܩ譅埜ㄤ郌΄ဳद碫潙㌞∽㎞꽾ꉏ᭫ⳛૻ啪㐷壈韧㚪鋷앾燢欄ﵚ뒋담᭠틧潡懵넎蓝袒苎脃䆛쬂읞㜢쾱粡洗䂧撫땂햞蕐៸괙㢙㖆螣듨凮᭢貥揙嬦勲膴๨൑侼靰뱷虷럣ࢪ结鴏䁳癄䄕슉친襌나跞㣹뫀迊㫀酶阹洟꯶㗲䣳䬸ǣ亂蝭摪什泆䛏쌯᫹紸о藊ꨣ绳䙓ꝣ彼츋롱삀ᷡ뿫졗龚諔Ზ⺞핮彫㞍Ꭴ蝈ꖹ摢㇏緥檊⇉ꮈꉆ嫛꧝噎갆똒⋿퇂쓀歜嶅㡠䴳ᾪ藫ᕐ丏❀湡ꋍ﷎䷱䔄邐樮⣮㶊ꬹ邽迊뾂摆䙣軧ݧᦽ藣蒲鸰墿間㯬芾㚞鄇䊙輊쉛复䒕차媅徟甶例칝멞ꠚ䰠ᇲ筥ᜈ죦⽼턾췭쩍㚺䱬䉙땵蹙鷊釥欫妡ꭝ╁垮்椂ꭾჇ鰙솔⥤쀸䧦痷៏㌈㢦◌ớ⮀炤̊ɶ洱༵帖炰뫦֚蔺꼐㫡퉽᫸ⰴ䰄诃尣탂蕮⺶ﷲ紕閽䃔潙锥臺͔驾㦲䪭涂乛쫀뾼甯᫷ꦤࡣꖄ梅ៅ꾑뮄몱聠鞕꺬礍聯릴녶鎅좦㏕訉蒽侃฻䞝ﲅ਴ꅟ㜵柕퍵忢凫ᲈ猸꺡㗝끀꿳씕ጋ⡫ᒗ쒰戽㲦䞃䲘ị㣥䯋┟稁랛쥍ᚎ䊢籹鎔䎒蠫ꅼ㓍呋썷יּ⦶䳮䠣拊륨㗻灊蒢嚳㻍ꆤᒷ㊆㹏瀹㕯믷潈ᾈ뤙へ౺鰱䫑羄㏀Ἶ솤҉藿㖠㑩귴횕끖䷻ꢦ䦼ṷ羠凅눎Ꮙ옋✃蕃籛距⯘䂕䌭虍힇鋣ꫪ픯ꆉؔ栴⡨멊⮖初㗄鬶嫖콨ᄲ堼Ꝫ䃔᥹讄⯉뫔鸪䳑ᅈ큜솉훍⮃ᗋ톡駱ퟘ叁炌ᙳ熔ﰴخ㶺곉뽽怘隀냁퍁犻᭥淯ꣃ曞潋ᶍ헂娭퓞׮鿼흘四稂馟ꪝ裶顤懲Ａ㵱뿮蓠灓뛆刳⬛梑廠ڇꑪ཯彣廯볋﵏ᄉ肝Ҁ섙틲쏶㋲靮鏉⒵櫗ࠆ녱ឍ隳戱䑖ꀻঢ᦮㈷ʬ⣀䏤濫것ዲ謆䞷吆栉猥ꔧ䀂ᳫ嗅㼻䙿ᢤ÷缒ꇣⶂ矿寵땚勔䶜⿂縲ٝ弴㽟Ⳏ࠵瘼뵹횈䁛믞旕র炃ꋱ᷆͌⎭뼓쫻怼鿤᯵훅헮갣㫉붋ꪔ䜸ᝃ硜趧뙑珡훅⎷צּ壛Ʂᓦ뼿፟親芃ᑼೌ兄巆ퟥ帲哿꟢킻ര鋎曶綠䗍볣罩婼⾮汶讚鿭眢횅龨줘疧哭輀墝苿ꛡꭐ㯹➅赩얦킢㘗蔜ᄵ膎芔ⷌ鶀ś絖䜧鏎鹵뢫䝆䪛䩮Ѥ턑ꡲ網⃠䑇ᶽ㶸ﰢፖ폖ꅺ䥶醰Ɣ뽿掱㐦ঢ䓸秛㥠柬ԍ贲∷턛攉뉡⡌䦳ʨ쇵◯횳홰뵭㟥褘ꈡ鲠᫶폙㶬੮㝀攙잢尦騲좥屄熡黷⼞㑦埙凬佹꫃䔾䶖냀מּ쮝ꆈ燘郇⾎嵎೭䎾³ᒊ딗㽿긊ꖄ뢅檰䜈榿春댯鰑嶟颇טּ𤋮䪿ᠷⅬꃛ鹳뺣뎺盲彉욠ဈ萖❠禊َṬ꾕擈毎啋⪆쮽ჽ堜彫㢃㜕刚쒲἗柎ົ羶㸨鶟疳॰堸姥䛺뿽氛Ụㄤ㡓崭㒁긣髊椨獽⇒뾖탹የ篰쟰벓俖닁砒⎒㜒⻇뎲ꤣ⾫㤒鞑䆨ⱅ䕲ᗧ试⸢緀Իẟ䅜䧊塎奩託⻇통ង奅較熧顭愶畽쫾射芋､늱㼃䀀븁燘웓辝뤻버撯病훱濨贁狤眜旼許傖뵛䞝爼䈁螤ռ녠茹艰ᶣ⧱ﶛ캝ᐲ쀟霦脙㭓獥㶮娊⧟丠쫂Р﨑멄๘ᒬ臁搆蛊鶈泦J۽㊽꫅횅饴㕴㶗턌瞺鵋徻㎰㗩鐖索∬潭楤榾ɴ退̗ଃí䠎呔⽐⸱‱〲‰䭏਍慃档ⵥ潃瑮潲㩬瀠楲慶整਍潃瑮湥⵴敌杮桴›ㄱ㈶റ䌊湯整瑮吭灹㩥洠汵楴慰瑲爯汥瑡摥※潢湵慤祲∽畵摩㈺捥愵扤ⴴ愴㍥㐭㈸ⴲ敡昸昭〴㔸攲㠸㕢⬶摩ㄽ㬢琠灹㵥愢灰楬慣楴湯砯灯砫汭㬢猠慴瑲∽格瑴㩰⼯整灭牵⹩牯⽧㸰㬢猠慴瑲椭普㵯琢硥⽴浸≬਍㍐㩐䌠㵐䄢䱌䤠䑎䐠偓䌠剏䄠䵄䌠乏⁯啃⁒啃潓䤠䅖⁯噉潄倠䅓倠䑓吠䥁吠䱅⁯問⁒䅓潍䌠呎䌠䵏䤠呎丠噁传䱎倠奈倠䕒倠剕唠䥎ഢ堊中瑥潷歲瑓瑡獩楴獣›ⰰㄲ㈰㜲ⰲ〲㠬ⰴ㜷〲㈱〬ㄬ㐹㐵〱㈬സ堊匭慨敲潐湩䡴慥瑬卨潣敲›റ匊ⵐ敓癲捩ⵥ潃瑮硥㩴丠瑯愠慶汩扡敬为瑯愠慶汩扡敬਍䥍䕍嘭牥楳湯›⸱ര堊䄭灳敎⵴敖獲潩㩮㐠〮㌮㌰㤱਍ⵘ慄慴潂湵慤祲›低䕎਍ⵘ䐱䍓汯敬瑣牯牕㩬栠瑴獰⼺洯扯汩⹥癥湥獴搮瑡⹡業牣獯景⹴潣⽭湏䍥汯敬瑣牯ㄯ〮യ堊䄭楲䍡汯敬瑣牯剕㩌栠瑴獰⼺戯潲獷牥瀮灩⹥牡慩洮捩潲潳瑦挮浯䌯汯敬瑣牯㌯〮യ匊剐煥敵瑳畇摩›搱戸昴ㅡ昭㐰ⴹ〶〰㔭㜶ⵣ晢晣捡㥢攵ㅡ਍敲畱獥⵴摩›搱戸昴ㅡ昭㐰ⴹ〶〰㔭㜶ⵣ晢晣捡㥢攵ㅡ਍卍䌭㩖漠⭕䡌湕䅷䉇晗⽌牐汌潥⹑ര堊刭獥潰獮卥慴獴›楖䅡䑆吽畲㭥䙁䕄癮䴽䅉〳㕲㭣਍瑓楲瑣吭慲獮潰瑲匭捥牵瑩㩹洠硡愭敧㌽㔱㘳〰ര堊䘭䅒䕍伭呐佉华›䅓䕍剏䝉义਍潃瑮湥⵴敓畣楲祴倭汯捩㩹映慲敭愭据獥潴獲✠敳晬‧整浡⹳業牣獯景⹴潣⁭⸪整浡⹳業牣獯景⹴潣⁭⸪歳灹⹥潣⁭⸪整浡⹳業牣獯景⹴獵氠捯污琮慥獭漮晦捩⹥潣⁭整浡⹳汣畯⹤業牣獯景⁴⸪景楦散㘳⸵潣⁭潧污⹳汣畯⹤業牣獯景⁴⸪潰敷慲灰⹳潣⁭灡⹰潰敷扲⹩潣⁭⸪慹浭牥挮浯攠杮条⹥汣畯⹤業牣獯景⁴潷摲挮潬摵洮捩潲潳瑦攠捸汥挮潬摵洮捩潲潳瑦瀠睯牥潰湩⹴汣畯⹤業牣獯景⁴⸪景楦散灡獰氮癩⹥潣⁭⸪景楦散挮浯⨠洮捩潲潳瑦㘳⸵潣⁭⸪瑳敲浡愮畺敲琭獥⹴敮⁴⸪業牣獯景獴牴慥⹭潣⁭⸪祤慮業獣挮浯⨠洮捩潲潳瑦挮浯漠敮牤癩⹥楬敶挮浯⨠漮敮牤癩⹥楬敶挮浯猠捥牵扥潲敫⹲桳牡灥楯瑮湯楬敮挮浯഻匊剐煥敵瑳畄慲楴湯›㈷ഴ匊䥐獩慌整据㩹ㄠ਍ⵘ潐敷敲ⵤ祂›十⹐䕎ൔ䴊捩潲潳瑦桓牡健楯瑮敔浡敓癲捩獥›㘱〮〮㈮㈵㠲਍ⵘ潃瑮湥⵴祔数伭瑰潩獮›潮湳晩൦堊䴭ⵓ湉潶敫灁㩰ㄠ※敒畱物剥慥佤汮൹堊䌭捡敨›佃䙎䝉也䍏䍁䕈਍ⵘ卍摅敧刭晥›敒⁦㩁ㄠ䕄㝆䌶䈸㍃㑁䔴䈰䄴䅃㍅䉁䌴㐱㑅‹敒⁦㩂䴠䅉〳〱〰〱〵㜳删晥䌠›〲㐲〭ⴹ㈱ㅔ㨳㘵〺娰਍慄整›桔Ⱶㄠ′敓⁰〲㐲ㄠ㨳㘵〺‱䵇ൔഊഊⴊ甭極㩤攲㕣摡㑢㐭敡ⴳ㠴㈲愭㡥ⵦ㑦㠰㈵㡥戸㘵椫㵤റ䌊湯整瑮䤭㩄㰠瑨灴⼺琯浥異楲漮杲〯ാ䌊湯整瑮吭慲獮敦⵲湅潣楤杮›戸瑩਍潃瑮湥⵴祔数›灡汰捩瑡潩⽮潸⭰浸㭬档牡敳㵴瑵ⵦ㬸祴数∽整瑸砯汭ഢഊ㰊㩳湅敶潬数砠汭獮猺∽瑨灴⼺猯档浥獡砮汭潳灡漮杲猯慯⽰湥敶潬数∯㰾㩳潂祤㰾敒灳湯敳敖獲潩⁮敖獲潩㵮㈢•楍潮噲牥楳湯∽∳砠汭獮∽瑨灴⼺猯档浥獡洮捩潲潳瑦挮浯猯慨敲潰湩⽴潳灡∯㸯刼獥潰獮䍥汯敬瑣潩⁮敗啢汲∽瑨灴㩳⼯敨牤捩扫潲桴牥捳浯献慨敲潰湩⹴潣⽭楳整⽳〲㐲牐橯捥獴•敗啢汲獉湅潣敤㵤䘢污敳•浸湬㵳栢瑴㩰⼯捳敨慭⹳業牣獯景⹴潣⽭桳牡灥楯瑮猯慯⽰㸢刼獥潰獮⁥牕㵬栢瑴獰⼺栯摥楲正牢瑯敨獲潣⹭桳牡灥楯瑮挮浯猯瑩獥㈯㈰倴潲敪瑣⽳桓牡摥䐠捯浵湥獴㈯ⴴㄲⴳ㄰䠠扩獩畣⁳潈獵⽥〰䔭瑳浩瑡湩⽧㤰䔠瑳浩瑡獥倯潲敪瑣䔠瑳浩瑡湩⁧慍牴硩砮獬≸唠汲獉湅潣敤㵤䘢污敳•敒畱獥呴歯湥∽∱䠠慥瑬卨潣敲∽∲删煥敵瑳摥汃敩瑮浉慰瑣∽∳䤠瑮牥慶佬敶牲摩㵥〢•敒潳牵散䑉∽戹愶戲慢㝡戴㘴慣㌸捣攵晦㙦慡搶〹•敔慮瑮摉∽攰㌸戴㝤㘭㠲ⵢ㈴㡣戭改ⵣ捥扥㥣ㄷ戹㑥㸢匼扵敒灳湯敳匠扵敒畱獥呴歯湥∽∱匠牥敶䍲牯敲慬楴湯摉∽搱戸昴ㅡ昭㐰ⴹ〶〰㔭㜶ⵣ晢晣捡㥢攵ㅡ•牅潲䍲摯㵥匢捵散獳•剈獥汵㵴〢㸢匼扵敒灳湯敳慄慴䔠慴㵧☢畱瑯笻䈹䄶䈲䅂䄭㐷ⵂ㘴䅃㠭䌳ⵃ䔵䙆㙆䅁䐶〹ⱽ㌵☴畱瑯∻䌠敲瑡呥浩㵥ㄢ㌳〷㌱㜰㐶〰〰〰∰䰠獡䵴摯晩敩呤浩㵥ㄢ㌳睊紘뻚ჟ籖뢩歬̗ 㜏㘰㈲〹〷〰〰〰•潍楤楦摥祂∽摅楷⁮慃摬牥湯•獉祈牢摩潃慢瑬∽牔敵㸢兄䱁䩁倳晋㕍䅬扡杆䍍䅁獃杁噂杄䝉䅁䱍䑁䕯杗䅅捄硁㑁〱䕐具䈷䑂䉲浫敁免扙䄳睍乏䑤䵸佅具㙑婷杊橈䝅㥇䑑䑅塪㡑䉔獄䕅獏升䉙破桂啶祁㑁〱䕐具䈷䑂䉲浫敁免扙䄳杍乏䑤䵸佅具㙑婷杊橈䝅㥇佄㑔䅢䕴㉉䡒扵杨湋牒䨵㔴杋桮湚䉳ぎ㡹桱㔳儴浢来歕䅁䙍䅚獄匴䅷䅁㕑杋桮湚䉳ぎ㡹桱㔳儴浢来歕䅁䙍䅚啁礶䅷䥁䅑杊杉偁ㅙ橥桊硂䕒潬剚儶浂步欲䡁潧㥺睇灱甶步猶灰䙇獙瘫䅖䵁礶㑸䑋畁ㅔ桖奕硗ㅕ畬灥眰䭕䅳佄獳剕䉍杊杉䅁瀷橤祯䅧乸摵稳汸灁穑䴵十煁䕄啘坬こ䑗㕗䑦桏䅁噬浫欯礸䅷䍉啯摒噓䱚奒扎㡬㙍䅅噃南⭢穔䅌汃睅浅楁䅁硅䨸䥅䥌〫奃浨穕含䍔坈䉷䕣䵫橃灶桖䑶䅁欸ㅙ攴畄坂卢硕䅁兰噂䑑䉣䝱ㅧ䍍䅗兂䅁ㅃ睅浅楁䅁敷卉ぶ洯啗䍭湧㕏歯㡰䝒䕉杏㕁杋桮湚䉳ぎ㡹桱㔳儴浢来歕䅁䙍䅚歄礸䅷䉁䉍兑䉣睩㵅⼼畓剢獥潰獮䑥瑡㹡⼼畓剢獥潰獮㹥匼扵敒灳湯敳匠扵敒畱獥呴歯湥∽∲䔠牲牯潃敤∽畓捣獥≳䠠敒畳瑬∽∰㰾畓剢獥潰獮䑥瑡㹡䐼捯牐灯㹳值潲数瑲⁹敋㵹瘢楴瑟瑩敬•慖畬㵥∢㸯值潲数瑲⁹敋㵹瘢楴灟畬杧扡敬慰獲牥敶獲潩≮嘠污敵∽㘱〮〮㈮㈵㠲⼢㰾牐灯牥祴䬠祥∽瑶彩瑳敲浡祓据潔敫卮煥敵据乥浵敢≲嘠污敵∽㘳㤷〷⼢㰾牐灯牥祴䬠祥∽瑶彩楴敭慬瑳牷瑩整≮嘠污敵∽〲㐲〭ⴹ㈱ㅔ㨳㘵〺∱㸯值潲数瑲⁹敋㵹瘢楴摟牵扡敬瑳敲浡敭慴慤慴敮瑸獢≮嘠污敵∽㈳∰㸯值潲数瑲⁹敋㵹瘢楴楟汰扡汥摩•慖畬㵥∢㸯值潲数瑲⁹敋㵹瘢楴呟浩佥䱦獡䍴扯污噴牥楳湯牃慥楴湯•慖畬㵥㈢㈰ⴴ㤰ㄭ吲㌱㔺㨴㈰⼢㰾牐灯牥祴䬠祥∽瑶彩楴敭慬瑳湷獳湥≴嘠污敵∽〲㐲〭ⴹ㈱ㅔ㨳㔵㔺∸㸯值潲数瑲⁹敋㵹弢瑓瑡獵•慖畬㵥∢㸯值潲数瑲⁹敋㵹瘢楴摟捯楶湺硥扴湳•慖畬㵥ㄢ〰⼢㰾牐灯牥祴䬠祥∽瑶彩牷瑩癥污摩瑡潩瑮歯湥•慖畬㵥昢畤䡰䅒䥆㙷䉋婒卥㡳父䕄䙩ぴ∽㸯值潲数瑲⁹敋㵹瘢楴獟畯捲捥湯牴汯潬正硥楰敲≳嘠污敵∽〲㐲〭ⴹ㈱ㅔ㨴㤳㔺∶㸯值潲数瑲⁹敋㵹瘢楴损湯整瑮敶獲潩楮摳物祴•慖畬㵥昢污敳⼢㰾牐灯牥祴䬠祥∽瑶彩牰癥敩湷硥扴湳污潬≣嘠污敵∽㐸ㄳ⼢㰾牐灯牥祴䬠祥∽瑶彩桳牡晥慬獧•慖畬㵥〢⼢㰾牐灯牥祴䬠祥∽瑶彩楦敬楳敺•慖畬㵥㜢㜰ㄹ∰㸯值潲数瑲⁹敋㵹瘢楴损湯整瑮慴≧嘠污敵∽㥻㙂㉁䉂ⵁ㝁䈴㐭䌶ⵁ㌸䍃㔭䙅䙆䄶㙁㥄細㔬㐳㔬㜱⼢㰾牐灯牥祴䬠祥∽瑶彩瑳捩祫慣档摥汰杵慧汢灥牡敳灲潲獰•慖畬㵥匢扵敪瑣䬠祥潷摲⁳卟慴畴⁳敍楤卡牥楶散浉条呥条⁳瑶彩楴汴⁥䅟瑵潨⁲䍟瑡来牯⁹潃瑮湥呴灹⁥潃瑮湥呴灹䥥⁤䍟浯敭瑮⁳捬㝦昶㔱挵摥搴捤㑢㤰ㄷ㐳晦挳㌳昲吠硡慃捴䅨汬⼢㰾牐灯牥祴䬠祥∽瑶彩潳牵散潣瑮潲捬敨正摥畯扴≹嘠污敵∽㩩⌰昮浼浥敢獲楨籰捥污敤潲䁮敨牤捩扫潲桴牥⹳潣≭㸯值潲数瑲⁹敋㵹瘢楴灟牡敳癲牥楳湯•慖畬㵥ㄢ⸶⸰⸰㔲㈲∸㸯值潲数瑲⁹敋㵹瘢楴敟瑲浩捥敲瑡摥•慖畬㵥㈢㈰ⴴ㤰〭吶ㄲㄺ㨲㐴⼢㰾牐灯牥祴䬠祥∽瑶彩楬瑳灩慬敢楬≤嘠污敵∽⼢㰾牐灯牥祴䬠祥∽瑶彩慣档摥畳灰牯獴潰湵汤湩獫•慖畬㵥ㄢ⼢㰾牐灯牥祴䬠祥∽敋睹牯獤•慖畬㵥∢㸯值潲数瑲⁹敋㵹瘢楴损睯瑡档敮瑸獢≮嘠污敵∽〱∰㸯值潲数瑲⁹敋㵹瘢楴摟捯瑳牯癥牥楳湯•慖畬㵥㔢㐳⼢㰾牐灯牥祴䬠祥∽瑶彩畳灰牯獴楚䥰≴嘠污敵∽牴敵⼢㰾牐灯牥祴䬠祥∽瑶彩敤牣灹摴晥牥敲≤嘠污敵∽慦獬≥㸯值潲数瑲⁹敋㵹瘢楴獟牴慥桭獡≨嘠污敵∽砰㈰䐷䉄㥁䐱〱㔰㌲䔰䄸㔰㘱䔵䄴䙃䄳䍁ㄳ㈲㘱䑄⼢㰾牐灯牥祴䬠祥∽瑶彩敭楤獡牥楶散敭慴慤慴獡湹≣嘠污敵∽♻畱瑯挻慴♧畱瑯㨻焦潵㭴♜畱瑯挻笺戹愶戲慢愭㐷ⵢ㘴慣㠭挳ⵣ攵晦㙦慡搶〹ⱽㄵ尴焦潵㭴焦潵㭴☬畱瑯朻湥牥瑡潩呮浩♥畱瑯㨻焦潵㭴〲㐲〭ⴹ㈱ㅔ㨳ㄵ㈺⸵㈰㐶㘶娲焦潵㭴☬畱瑯戻極摬敖獲潩♮畱瑯㨻焦潵㭴㐳㠹㠲㐲た㈸㈶⸴弱㠰㈭ⴲ〲㐲焦潵㭴☬畱瑯氻獡却牴慥啭摰瑡呥浩♥畱瑯㨻焦潵㭴〲㐲〭ⴹ㈱ㅔ㨳ㄵ㈺⸵㈰㐶㘶娲焦潵㭴☬畱瑯活摯汵獥焦潵㭴嬺♻畱瑯活摯汵♥畱瑯㨻焦潵㭴䥁䱐扡汥硅牴捡♴畱瑯ⰻ焦潵㭴敶獲潩♮畱瑯㨻紳第焦潵㭴潭畤敬焦潵㭴☺畱瑯䌻獵潴呭畨扭慮汩焦潵㭴☬畱瑯瘻牥楳湯焦潵㭴ㄺⱽ♻畱瑯活摯汵♥畱瑯㨻焦潵㭴晏楦散畂摮敬敇敮慲楴湯焦潵㭴☬畱瑯瘻牥楳湯焦潵㭴ㄺ嵽☬畱瑯戻汩敬䕤敶瑮♳畱瑯㨻嵛☬畱瑯攻瑸牥慮䩬扯♳畱瑯㨻嵛☬畱瑯漻晦捩䉥湵汤♥畱瑯㨻♻畱瑯挻慴♧畱瑯㨻焦潵㭴♜畱瑯挻笺戹愶戲慢愭㐷ⵢ㘴慣㠭挳ⵣ攵晦㙦慡搶〹ⱽㄵ尴焦潵㭴焦潵㭴☬畱瑯昻瑡污牅潲♲畱瑯㨻慦獬ⱥ焦潵㭴敶獲潩♮畱瑯㨻焦潵㭴⸲☳畱瑯ⰻ焦潵㭴敧敮慲楴湯楔敭焦潵㭴☺畱瑯㈻㈰ⴴ㤰ㄭ吲㌱㔺㨱㐲㔮㐲㐵㐳♚畱瑯ⰻ焦潵㭴敧敮慲楴湯敒獡湯焦潵㭴☺畱瑯䄻慮祬楳偳灩汥湩♥畱瑯紻☬畱瑯愻灩慌敢䕬瑸慲瑣潩卮慴畴♳畱瑯㨻紱⼢㰾牐灯牥祴䬠祥∽瑶彩潣汬扡敮瑸獢≮嘠污敵∽〱∰㸯值潲数瑲⁹敋㵹瘢楴楟汰扡汥牰浯瑯潩浮摯汵癥牥楳湯•慖畬㵥㌢⼢㰾牐灯牥祴䬠祥∽瑶彩灩慬敢灬潲潭楴湯敶獲潩≮嘠污敵∽ㄵ∶㸯值潲数瑲⁹敋㵹瘢楴江獩晴慬獧•慖畬㵥㌢〶㠲㤷〷㜲㔳㠶㈱⼢㰾牐灯牥祴䬠祥∽瑶彩楺䥰却潴敲敖獲潩≮嘠污敵∽㐱⼢㰾牐灯牥祴䬠祥∽瑶彩潳牵散潣瑮潲汬捯楫≤嘠污敵∽㤲㔳攸ㅣ攭ㄸⴳ㜴㌹㠭㝥ⴰ摥㌰㐴㝥㝢挳⼢㰾牐灯牥祴䬠祥∽瑶彩敧敮楲捣湯整瑮整灭敮瑸獢≮嘠污敵∽〱∰㸯值潲数瑲⁹敋㵹瘢楴江癥汥•慖畬㵥ㄢ⼢㰾牐灯牥祴䬠祥∽瑶彩楺楰整灭敲楶睥敮瑸獢慮汬捯•慖畬㵥ㄢ〰⼢㰾牐灯牥祴䬠祥∽瑶彩瑳敲浡捳敨慭•慖畬㵥㘢∶㸯值潲数瑲⁹敋㵹瘢楴畟楮敶獲污湡潮慴楴湯敮瑸獢慮汬捯•慖畬㵥ㄢ〰⼢㰾牐灯牥祴䬠祥∽瑶彩楬瑳慢敳祴数•慖畬㵥ㄢ⼢㰾牐灯牥祴䬠祥∽瑶彩敶獲潩慮瑵潨楲獤•慖畬㵥㔢㈵㘹⌣㜸⼢㰾牐灯牥祴䬠祥∽瑶彩敳畴灰瑡癨牥楳湯•慖畬㵥ㄢ∶㸯值潲数瑲⁹敋㵹弢慃整潧祲•慖畬㵥∢㸯值潲数瑲⁹敋㵹瘢楴穟灩瑩浥牰癥敩湷硥扴湳•慖畬㵥ㄢ〰⼢㰾牐灯牥祴䬠祥∽瑶彩敲汰摩•慖畬㵥爢摩笺䈹䄶䈲䅂䄭㐷ⵂ㘴䅃㠭䌳ⵃ䔵䙆㙆䅁䐶〹≽㸯值潲数瑲⁹敋㵹瘢楴敟慴≧嘠污敵∽焦潵㭴㥻㙂㉁䉂ⵁ㝁䈴㐭䌶ⵁ㌸䍃㔭䙅䙆䄶㙁㥄細㔬㐳焦潵㭴⼢㰾牐灯牥祴䬠祥∽瑶彩潳牵散潣瑮潲瑬浩捥敨正摥畯≴嘠污敵∽〲㐲〭ⴹㄱㅔ㨱㔲ㄺ∳㸯值潲数瑲⁹敋㵹瘢楴灟牡湥楴≤嘠污敵∽ほㅆ㑄䔰ⴰ䅄㤲㐭㤰ⵁ䄹䔰㔭㐲䅅䌷㡄㌳紷⼢㰾牐灯牥祴䬠祥∽瑶彩潦摬牥瑩浥潣湵≴嘠污敵∽∰㸯值潲数瑲⁹敋㵹瘢楴慟摤瑩潩慮獬牴慥獭楳敺•慖畬㵥〢⼢㰾牐灯牥祴䬠祥∽瑶彩牰癥敩湷硥扴湳•慖畬㵥㠢㌴∱㸯值潲数瑲⁹敋㵹瘢楴摟捯楬牢睯摩•慖畬㵥ㄢ〳㘷∹㸯值潲数瑲⁹敋㵹瘢楴江獩獴牥敶瑲浥汰瑡≥嘠污敵∽〱∱㸯值潲数瑲⁹敋㵹匢扵敪瑣•慖畬㵥∢㸯值潲数瑲⁹敋㵹弢畁桴牯•慖畬㵥䴢牡獩慳䴠污潬祲⼢㰾牐灯牥祴䬠祥∽潃瑮湥呴灹≥嘠污敵∽⼢㰾牐灯牥祴䬠祥∽瑶彩慣摮汥瑥癥牥楳湯•慖畬㵥琢畲≥㸯值潲数瑲⁹敋㵹瘢楴瑟浩汥獡浴摯晩敩≤嘠污敵∽〲㐲〭ⴹ㈱ㅔ㨳㔵〺∷㸯值潲数瑲⁹敋㵹瘢楴牟慴≧嘠污敵∽瑲㤺㙂㉁䉂ⵁ㝁䈴㐭䌶ⵁ㌸䍃㔭䙅䙆䄶㙁㥄䀰〰〰〰〰㌵∴㸯值潲数瑲⁹敋㵹瘢楴潟灲慨湮硥扴湳•慖畬㵥ㄢ〰⼢㰾牐灯牥祴䬠祥∽瑶彩潭楤楦摥祢•慖畬㵥椢〺⸣籦敭扭牥桳灩敼慣摬牥湯桀摥楲正牢瑯敨獲挮浯⼢㰾牐灯牥祴䬠祥∽瑶彩牰癥敩敷楸瑳≳嘠污敵∽慦獬≥㸯值潲数瑲⁹敋㵹瘢楴慟敲祈牢摩牏桰湡慈桳摥求扯䍳敬湡摥•慖畬㵥琢畲≥㸯值潲数瑲⁹敋㵹瘢楴灟楲牯敶獲潩据敲瑡潩瑮浩≥嘠污敵∽〲㐲〭ⴹ㈱ㅔ㨳㐵〺∴㸯值潲数瑲⁹敋㵹瘢楴獟畯捲捥湯牴汯潣歯敩•慖畬㵥昢彰湩整湲污⼢㰾牐灯牥祴䬠祥∽瑶彩潳牵散潣瑮潲浬汵楴獵牥档潫瑵祢•慖畬㵥椢〺⸣籦敭扭牥桳灩敼慣摬牥湯桀摥楲正牢瑯敨獲挮浯⼢㰾牐灯牥祴䬠祥∽瑶彩敮瑸潴慬瑳楴敭潭楤楦摥•慖畬㵥㈢㈰ⴴ㤰ㄭ吲㌱㔺㨴㘴⼢㰾牐灯牥祴䬠祥∽瑶彩獢≮嘠污敵∽㘳㈸㈵⼢㰾牐灯牥祴䬠祥∽瑶彩獡湹灣敲楶睥敮瑸獢≮嘠污敵∽㜲㠱⼢㰾牐灯牥祴䬠祥∽瑶彩硥散牬癥獩潩汮杯敮瑸獢≮嘠污敵∽〱∰㸯值潲数瑲⁹敋㵹瘢楴浟瑥摡瑡湡硥扴湳•慖畬㵥㜢㈷⼢㰾牐灯牥祴䬠祥∽瑶彩敭楤獡牥楶散景楦散畢摮敬敧敮慲整≤嘠污敵∽剔䕕⼢㰾牐灯牥祴䬠祥∽慔䍸瑡档汁≬嘠污敵∽⼢㰾牐灯牥祴䬠祥∽瑶彩潣瑮湥捴慨杮略楮≴嘠污敵∽⼢㰾牐灯牥祴䬠祥∽敍楤卡牥楶散浉条呥条≳嘠污敵∽⼢㰾牐灯牥祴䬠祥∽瑶彩扤捳敨慭敶獲潩≮嘠污敵∽㘱〮㐮㘱〮⼢㰾牐灯牥祴䬠祥∽瑶彩牰癥敩楷癮污摩楴敭•慖畬㵥㈢㈰ⴴ㤰ㄭ吲㌱㔺㨴㈰⼢㰾牐灯牥祴䬠祥∽瑶彩湩整湲污敶獲潩≮嘠污敵∽㌱㜶㔰⼢㰾牐灯牥祴䬠祥∽捬㝦昶㔱挵摥搴捤㑢㤰ㄷ㐳晦挳㌳昲•慖畬㵥∢㸯值潲数瑲⁹敋㵹瘢楴损湯整瑮敶獲潩≮嘠污敵∽ㄵ∷㸯值潲数瑲⁹敋㵹瘢楴束湥牥捩潣瑮湥瑴浥湰硥扴湳污潬≣嘠污敵∽〱∰㸯值潲数瑲⁹敋㵹瘢楴瑟浩捥敲瑡摥•慖畬㵥㈢㈰ⴴ㤰〭吶ㄲㄺ㨲㐴⼢㰾牐灯牥祴䬠祥∽瑶彩敮瑸獢≮嘠污敵∽㘳㈸㈵⼢㰾牐灯牥祴䬠祥∽瑶彩灳潲獣捳敨慭敶獲潩≮嘠污敵∽㘱〮ㄮ㠱⸳∰㸯值潲数瑲⁹敋㵹瘢楴敟瑲浩汥獡浴摯晩敩≤嘠污敵∽〲㐲〭ⴹ㈱ㅔ㨳㔵〺∷㸯值潲数瑲⁹敋㵹瘢楴畟楮敶獲污湡潮慴楴湯敮瑸獢≮嘠污敵∽〱∰㸯值潲数瑲⁹敋㵹瘢楴损湡慭批敥楤≴嘠污敵∽牴敵⼢㰾牐灯牥祴䬠祥∽瑶彩敚潲祂整楆敬獉癏牥牷瑩慥汢≥嘠污敵∽慦獬≥㸯值潲数瑲⁹敋㵹瘢楴獟畯捲捥湯牴汯敶獲潩≮嘠污敵∽ㅖ㠰〮⼢㰾牐灯牥祴䬠祥∽瑶彩敤牣灹獴楫牰慥潳≮嘠污敵∽∰㸯值潲数瑲⁹敋㵹瘢楴灟楲据灩污潣湵≴嘠污敵∽∳㸯值潲数瑲⁹敋㵹瘢楴瑟畨扭慮汩硥獩獴•慖畬㵥昢污敳⼢㰾牐灯牥祴䬠祥∽瑶彩潳牵散潣瑮潲汬捯敫灸物獥慶畬≥嘠污敵∽〲㐲〭ⴹ㈱ㅔ㨴㤳㔺∶㸯值潲数瑲⁹敋㵹瘢楴湟硥扴湳污潬慣整≤嘠污敵∽㘳㈸㈵⼢㰾牐灯牥祴䬠祥∽潃瑮湥呴灹䥥≤嘠污敵∽砰㄰㄰〰䑅㤱㥄㌷㤶㍁㐱䐴䈸㌰㔹ㄱ㤳䘴ㄶ䐳⼢㰾牐灯牥祴䬠祥∽瑶彩潣灭楬湡散牰癥敩湷硥扴湳•慖畬㵥ㄢ〰⼢㰾牐灯牥祴䬠祥∽瑶彩潤獣潴敲祴数•慖畬㵥〢⼢㰾牐灯牥祴䬠祥∽瑶彩潳牵散潣瑮潲汬捯瑫灹≥嘠污敵∽∱㸯值潲数瑲⁹敋㵹瘢楴晟汯敤獲扵潦摬牥瑩浥潣湵≴嘠污敵∽∰㸯值潲数瑲⁹敋㵹瘢楴江獩晴慬獧∲嘠污敵∽㈲㌹㈹⼢㰾牐灯牥祴䬠祥∽瑶彩敭慴湩潦敶獲潩≮嘠污敵∽㐸∵㸯值潲数瑲⁹敋㵹弢潃浭湥獴•慖畬㵥∢㸯值潲数瑲⁹敋㵹瘢楴江獩楴≤嘠污敵∽ㅻ㜳㈹㘴ⵄ䌱䘶㐭䄳ⴱ䙁ㅄ㜭㕆䅁䑂䘰㤶紸⼢㰾牐灯牥祴䬠祥∽瑶彩獡硰慰敧湳硥扴湳•慖畬㵥ㄢ〰⼢㰾牐灯牥祴䬠祥∽瑶彩慬瑳楢獴潣浭瑩•慖畬㵥㈢⌻昰搱〴づ搭㉡ⴹ〴愹㤭ちⵥ㈵攴㝡摣㌸㜳⌻牐橯捥⁴獅楴慭楴杮䴠瑡楲⹸汸硳⌻挹㐳㥣㐶愭㜲ⴳ㐴㠲愭㑦ⵢ㐹㔶〵〰搷㔱⌻焦潵㭴꽻颓➚䥆캋䐊㽲蔸ᝢ̃က䈹䄶䈲䅂䄭㐷ⵂ㘴䅃㠭䌳ⵃ䔵䙆㙆䅁䐶〹ⱽ㈴☳畱瑯㬻☣畱瑯笻䈹䄶䈲䅂䄭㐷ⵂ㘴䅃㠭䌳ⵃ䔵䙆㙆䅁䐶〹ⱽ㈴☴畱瑯㬻〣へ㘲㔴䘰䈷㍂䐱㤲〹䌸㤱㜶䔱㜵㌸〹㤸䕂㜰䘸㘵㬳㜣㐰㐳㬸〣⼢㰾牐灯牥祴䬠祥∽瑶彩潣汬扡敮瑸獢慮汬捯•慖畬㵥ㄢ〰⼢㰾牐灯牥祴䬠祥∽瑶彩畡桴牯•慖畬㵥椢〺⸣籦敭扭牥桳灩捼慢瑮楨䁡敨牤捩扫潲桴牥⹳潣≭㸯值潲数瑲⁹敋㵹瘢楴损浯汰慩据晥慬獧•慖畬㵥〢⼢㰾䐯捯牐灯㹳䘼汯敤偲潲獰㰾牐灯牥祴䬠祥∽瑶彩潦摬牥瑩浥潣湵≴嘠污敵∽∲㸯值潲数瑲⁹敋㵹瘢楴摟捯瑳牯瑥灹≥嘠污敵∽∱㸯值潲数瑲⁹敋㵹瘢楴牟慴≧嘠污敵∽瑲〺ㅆ㑄䔰ⴰ䅄㤲㐭㤰ⵁ䄹䔰㔭㐲䅅䌷㡄㌳䀷〰〰〰〰〰∱㸯值潲数瑲⁹敋㵹瘢楴瑟浩捥敲瑡摥•慖畬㵥㈢㈰ⴴ㤰〭吶㤱㌺㨱㜵⼢㰾牐灯牥祴䬠祥∽瑶彩獩捳楲瑰扡敬•慖畬㵥昢污敳⼢㰾牐灯牥祴䬠祥∽瑶彩敬敶≬嘠污敵∽∱㸯值潲数瑲⁹敋㵹瘢楴灟楲据灩污潣湵≴嘠污敵∽∳㸯值潲数瑲⁹敋㵹瘢楴江獩牴煥極敲档捥潫瑵•慖畬㵥昢污敳⼢㰾牐灯牥祴䬠祥∽瑶彩潤獣潴敲敶獲潩≮嘠污敵∽∱㸯值潲数瑲⁹敋㵹瘢楴獟慨敲汦条≳嘠污敵∽∰㸯值潲数瑲⁹敋㵹瘢楴江獩整慮汢浥湩牯敶獲潩獮•慖畬㵥昢污敳⼢㰾牐灯牥祴䬠祥∽瑶彩楬瑳慮敭•慖畬㵥笢㌱㤷㐲䐶ㄭ㙃ⵆ㌴ㅁ䄭䑆ⴱ䘷䄵䉁い㙆㠹≽㸯值潲数瑲⁹敋㵹瘢楴晟汯敤獲扵潦摬牥瑩浥潣湵≴嘠污敵∽∱㸯值潲数瑲⁹敋㵹瘢楴江獩獴牥敶瑲浥汰瑡≥嘠污敵∽〱∱㸯值潲数瑲⁹敋㵹瘢楴江獩晴慬獧•慖畬㵥㌢〶㠲㤷〷㜲㔳㠶㈱⼢㰾牐灯牥祴䬠祥∽瑶彩楬瑳摩•慖畬㵥笢㌱㤷㐲䐶ㄭ㙃ⵆ㌴ㅁ䄭䑆ⴱ䘷䄵䉁い㙆㠹≽㸯值潲数瑲⁹敋㵹瘢楴敟慴≧嘠污敵∽焦潵㭴ほㅆ㑄䔰ⴰ䅄㤲㐭㤰ⵁ䄹䔰㔭㐲䅅䌷㡄㌳紷ㄬ焦潵㭴⼢㰾牐灯牥祴䬠祥∽瑶彩楬瑳汦条㉳•慖畬㵥㈢㤲㤳∲㸯值潲数瑲⁹敋㵹瘢楴摟物慬整瑳瑳浡≰嘠污敵∽〲㐲〭ⴹ㈱ㅔ㨳〵㔺∷㸯值潲数瑲⁹敋㵹瘢楴灟牡湥楴≤嘠污敵∽㍻㐰䐵䘲ⴴ㈱㜱㐭䐹ⵁ䉂㥅㔭㘸㤵㈳䐵㔰絃⼢㰾牐灯牥祴䬠祥∽瑶彩楬瑳慢敳祴数•慖畬㵥ㄢ⼢㰾牐灯牥祴䬠祥∽瑶彩楬瑳湥扡敬潭敤慲楴湯•慖畬㵥昢污敳⼢㰾牐灯牥祴䬠祥∽瑶彩敭慴湩潦敶獲潩≮嘠污敵∽∱㸯值潲数瑲⁹敋㵹瘢楴摟捯楬牢睯摩•慖畬㵥ㄢ〳㌵∹㸯值潲数瑲⁹敋㵹瘢楴瑟浩汥獡浴摯晩敩≤嘠污敵∽〲㐲〭ⴹ㠰㉔㨲㈴㔺∵㸯值潲数瑲⁹敋㵹瘢楴楟扳潲獷扡敬•慖畬㵥琢畲≥㸯值潲数瑲⁹敋㵹瘢楴损湡敤敬整敶獲潩≮嘠污敵∽牴敵⼢㰾牐灯牥祴䬠祥∽瑶彩敲汰摩•慖畬㵥爢摩笺䘰䐱〴ぅ䐭㉁ⴹ〴䄹㤭ぁⵅ㈵䔴㝁䑃㌸㜳≽㸯值潲数瑲⁹敋㵹瘢楴桟獡畳摢物≳嘠污敵∽牴敵⼢㰾牐灯牥祴䬠祥∽瑶彩獩硥捥瑵扡敬•慖畬㵥昢污敳⼢㰾牐灯牥祴䬠祥∽瑶彩楬瑳湥扡敬敶獲潩楮杮•慖畬㵥琢畲≥㸯⼼潆摬牥牐灯㹳⼼畓剢獥潰獮䑥瑡㹡⼼畓剢獥潰獮㹥⼼敒灳湯敳㰾刯獥潰獮䍥汯敬瑣潩㹮⼼㩳潂祤㰾猯䔺癮汥灯㹥਍ⴭ畵摩㈺捥愵扤ⴴ愴㍥㐭㈸ⴲ敡昸昭〴㔸攲㠸㕢⬶摩ㄽⴭ਍걧꿱㱚䑖⠨츭衼倔瑥灹≥嘠污敵∽∱㸯值潲数瑲⁹敋㵹瘢楴江獩晴慬獧∲嘠污敵∽㈲㌹㈹⼢㰾牐灯牥祴䬠祥∽瑶彩潤獣潴敲敶獲潩≮嘠污敵∽∴㸯值潲数瑲⁹敋㵹瘢楴江獩整慮汢癥牥楳湯湩≧嘠污敵∽牴敵⼢㰾䘯汯敤偲潲獰㰾匯扵敒灳湯敳慄慴㰾匯扵敒灳湯敳㰾畓剢獥潰獮⁥畓剢煥敵瑳潔敫㵮㌢•牅潲䍲摯㵥匢捵散獳•剈獥汵㵴〢㸢䜼瑥敖獲潩獮敒灳湯敳㰾敇噴牥楳湯剳獥汵㹴爼獥汵獴㰾楬瑳椠㵤笢䙃㜹䄱䍂㜭䔷ⴲ㌴㥆䄭䄳ⴶ䐸䅃㘹䑄㙅㝁≽㸯瘼牥楳湯湩⁧湥扡敬㵤ㄢ⼢㰾敳瑴湩獧甠汲∽瑨灴㩳⼯敨牤捩扫潲桴牥捳浯献慨敲潰湩⹴潣⽭楳整⽳敒楳敤瑮慩偬敲潣獮牴捵楴湯弯慬潹瑵⽳㔱䰯瑳敓湴⹧獡硰䰿獩㵴䍻㥆ㄷ䉁ⵃ㜷㉅㐭䘳ⴹ㍁㙁㠭䍄㥁䐶䕄䄶紷⼢㰾敲畳瑬瘠牥楳湯∽㍀〮•牵㵬栢瑴獰⼺栯摥楲正牢瑯敨獲潣⹭桳牡灥楯瑮挮浯猯瑩獥刯獥摩湥楴污牐捥湯瑳畲瑣潩⽮桓牡摥䐠捯浵湥獴䜯湥牥污丯睥倠潲敪瑣匠瑥唠⽰潃祰漠⁦敎⁷牐橯捥⁴獅楴慭楴杮䴠瑡楲⹸汸硳•牣慥整㵤㠢㈯⼰〲㐲㜠㈺‸䵁•牣慥整剤睡∽〲㐲〭ⴸ〲ㅔ㨴㠲〺娲•牣慥整䉤㵹椢〺⸣籦敭扭牥桳灩敼潲瑯桀摥楲正牢瑯敨獲挮浯•牣慥整䉤乹浡㵥䔢桴湡删潯≴猠穩㵥㔢㠵㘳∴挠浯敭瑮㵳∢㸯爼獥汵⁴敶獲潩㵮ㄢ〮•牵㵬栢瑴獰⼺栯摥楲正牢瑯敨獲潣⹭桳牡灥楯瑮挮浯猯瑩獥刯獥摩湥楴污牐捥湯瑳畲瑣潩⽮癟楴桟獩潴祲㔯㈱匯慨敲⁤潄畣敭瑮⽳敇敮慲⽬敎⁷牐橯捥⁴敓⁴灕䌯灯⁹景丠睥倠潲敪瑣䔠瑳浩瑡湩⁧慍牴硩砮獬≸挠敲瑡摥∽⼶㈱㈯㈰‴〱ㄺ‴䵁•牣慥整剤睡∽〲㐲〭ⴶ㈱ㅔ㨷㐱〺娹•牣慥整䉤㵹椢〺⸣籦敭扭牥桳灩敼潲瑯桀摥楲正牢瑯敨獲挮浯•牣慥整䉤乹浡㵥䔢桴湡删潯≴猠穩㵥㔢〶㈴∱挠浯敭瑮㵳∢㸯爼獥汵⁴敶獲潩㵮㈢〮•牵㵬栢瑴獰⼺栯摥楲正牢瑯敨獲潣⹭桳牡灥楯瑮挮浯猯瑩獥刯獥摩湥楴污牐捥湯瑳畲瑣潩⽮癟楴桟獩潴祲ㄯ㈰⼴桓牡摥䐠捯浵湥獴䜯湥牥污丯睥倠潲敪瑣匠瑥唠⽰潃祰漠⁦敎⁷牐橯捥⁴獅楴慭楴杮䴠瑡楲⹸汸硳•牣慥整㵤㜢ㄯ⼲〲㐲㘠㌺‱䵁•牣慥整剤睡∽〲㐲〭ⴷ㈱ㅔ㨳ㄳ㈺娸•牣慥整䉤㵹椢〺⸣籦敭扭牥桳灩敼潲瑯桀摥楲正牢瑯敨獲挮浯•牣慥整䉤乹浡㵥䔢桴湡删潯≴猠穩㵥㔢㤵〷∹挠浯敭瑮㵳∢㸯⼼敲畳瑬㹳⼼敇噴牥楳湯剳獥汵㹴⼼敇噴牥楳湯剳獥潰獮㹥⼼畓剢獥潰獮㹥匼扵敒灳湯敳匠扵敒畱獥呴歯湥∽∴䔠牲牯潃敤∽畓捣獥≳䠠敒畳瑬∽∰㰾畓剢獥潰獮䑥瑡⁡敓癲牥楔敭∽㌶㘸㜱㘴ㄱ㜱㈷ㄱ㔳⼢㰾匯扵敒灳湯敳㰾刯獥潰獮㹥⼼敒灳湯敳潃汬捥楴湯㰾猯䈺摯㹹⼼㩳湅敶潬数ാⴊ甭極㩤㈱ㄱ挹戱㌭散ⵢ昴㝢㤭散ⴷ敡㥦㌵㙣昵㝥椫㵤ⴱഭ鐊ඪ䌟㙯泲뿵ぺ騗閾夌ꇥ䠲뼪뻎ꊗ㲀콂滶폑﮵뷩衼Ⲓ㏽鮺舏̞覱䵒䬦ᾷ훲읂勰䚯肢䬹虏ા솲쎇椚ꄣƖ︯骇淨ﭴ࠻민䠫錭냻჆艾冭Հ儔Հ儔Հ儔Հ儔Հ儔Հ儔Հ儔Հ儔Հ儔Հ儔Հ儔Հ儔Հ儔Հ儔Հ儔ὀ浵॒毖䠊埕條᭤萅銓ꆄ꜓ဌ妌끘ꐰ흜榔渷嶫퐓㗘옩浻磽⳸껿諒夬䒡㎁夷꺜风웳絧剳膩迕游ㆾ贳꠨쀩祐罥떤皫䂤枫ꞽ새➕첤ീ軒൨᫕趻쿞ி⽽瑺⺵⹳崿ὅ桎醰轟但⤑噇另㥷暽䤱떅녵岻䫯琝ဍ቉ࢌ鶳䟼檷푗䁭鎤朹ጣ闊굙傛납縗ŵꩾೄᙈ틨ₖ∻╅勆귯坈뛔괕髧琑钏ꖷ꺅锳晻揕買∷ｒ劊瘾ﭛ贪堢腳∮텽ㆪ෢੖ꢻᶭ挬尗孿ᜋ萶ꪮ낛姲鎷ᖎ讃칧䟍㴡黨闵䶃꒸缢趎躐瀫ꥸ澔縉噋攑ᗤ캨䪺೩ⴚ蚟妚꽟밯᫠蛊풏✞氛﻾䎉旷ꇅ땍᭙鵥裭셧碈剿閻蕵ⴖ헛銥ᡨﻃ썄펔蠫婦ᶺ험ꬬ榚妖￞估Ө侌懂㵕䁖ᷞ봲깯巛鍓准᤟븭찶㡴⌶솺屐ﶍ墺⢄쎿洋嘁㽎㕬傃⯜뀓胣銣׼ၮ篖帾෬褙秈Ⴉ/횐仮晓䷄녣㿕嚼릯폿焉㸖伥쌚ᗓ큶떩臞釾췑Ｑ愄饭搿ᵨ湯瑳畲瑣喡̬退̗ဃH䠌呔⽐⸱‱〲‰䭏਍慃档ⵥ潃瑮潲㩬瀠楲慶整਍潃瑮湥⵴敌杮桴›㠲㠶਍潃瑮湥⵴祔数›畭瑬灩牡⽴敲慬整㭤戠畯摮牡㵹產極㩤ㄸ㘷㝢戹㠭慣ⵡ㜴㌹愭ちⴱ㑦搸㔸㐲昴㤱椫㵤∱※祴数∽灡汰捩瑡潩⽮潸⭰浸≬※瑳牡㵴㰢瑨灴⼺琯浥異楲漮杲〯∾※瑳牡⵴湩潦∽整瑸砯汭ഢ倊倳›偃∽䱁⁌义⁄卄⁐佃⁒䑁⁍佃潎䌠剕䌠单⁯噉潁䤠䑖⁯卐⁁卐⁄䅔⁉䕔潌传剕匠䵁⁯乃⁔佃⁍义⁔䅎⁖乏⁌䡐⁙剐⁅啐⁒乕≉਍ⵘ敎睴牯卫慴楴瑳捩㩳〠㔬㔲㘵ⰸⰰㄱⰹ㠳㤳㌲〬㐬㠵ㄱⰴ㠲਍ⵘ桓牡健楯瑮效污桴捓牯㩥㈠਍偓匭牥楶散䌭湯整瑸›潎⁴癡楡慬汢㩥潎⁴癡楡慬汢൥䴊䵉ⵅ敖獲潩㩮" userName="辑ĸ♐鉸ĸᰀ辑ĸrec猀牥吮湥湡䥴d睊࠸耀ﷰ赶ĸ赶ĸ줠赶ĸ펰赶ĸ赶ĸ赶ĸސ逐ĸݠ賞ĸᇰ賞ĸ賝ĸ賝ĸﳐ賝ĸ賝ĸ뼀섴ĸ즐섴ĸ齐섴ĸ둰섴ĸ퐠섴ĸꧠ섴ĸ炀샱ĸ輰鋹ĸ睽स耀Will do\USER\S-1-5-21-1885146800-136245460-3200162960-4388_Classes\CLSID\{88D96A05-F192-11D4-A65F-0040963251E5}\InprocHandler鋹ĸ睬ਸ耀⡰鉸ĸ辐ĸ㌐鉸ĸThaԀ霳ĸ猀牥扏敪瑣摉皟ସ耀ecalderon@hedrickbrothers.comeral/Projects/DO NOT USE 24-154-01 Bessemer Trust - One Flagler/One Flagler - Estimating Matrix2樰鋻ĸ皎స退S:\HB PROJECTS\2023\23-131-01 Arenz Res Phase 2\00-Estimating\03 EstSummary\Estimate Summary Template - Updated 08-01-2023.xlsx樰鋻ĸ皡സ耀㡠鉸ĸ⿠鉸ĸ♐鉸ĸ/24︀露ĸ漀浭牥楣污盐ุ耀/sites/2024Projects/Shared%20Documents/24-213-01%20Hibiscus%20House/00-Estimating/09%20Estimates/Project%20Estimating%20Matrix.xlsx盃༸耀%@Edwin Calderon Speak to David Bennet45460-3200162960-4388_Classes\CLSID\{88D96A05-F192-11D4-A65F-0040963251E5}\InprocServer32sx盲း耀UrlHash:&lt;PII_SCRUBBED&gt;; ServerType:5; SupportedProtocols:87; Version:16; Flags:7; CobaltMajor:1; CobaltMinor:6; MsDavExt:1; Shar盥ᄸ耀/sites/2024Projects/Shared%20Documents/24-213-01%20Hibiscus%20House/00-Estimating/09%20Estimates/Project%20Estimating%20Matrix.xlsx瘔ሸ耀ᰀ辑ĸ㌐鉸ĸᰀ辑ĸdri霳ĸ䰀䉏䱁瘇ጸ耀똈⽖翿뛘⽗翿ĸ㾀軀빅ĸ㾀軰빅ĸ瘶ᐸ耀⮠鉸ĸ辐ĸఐ辑ĸon瘀湥⹴楔敭Ή鑣팲ࣜ瘩ᔸ耀/sites/2024Projects/Shared%20Documents/24-213-01%20Hibiscus%20House/00-Estimating/09%20Estimates/Project%20Estimating%20Matrix.xlsx癘ᘸ退C:\Users\ecalderon\Downloads\SEMINOLE CLUB - LOCKER REMOVAL AND REINSTALLATION PROPOSAL - DLI INC - REVISED 11-09-23.xlsxsxٯ耀ퟐ鋮ĸ癋᜸耀/sites/2024Projects/Shared%20Documents/24-213-01%20Hibiscus%20House/00-Estimating/09%20Estimates/Project%20Estimating%20Matrix.xlsx発ᠸ耀@Chaitanya Banthia Call TomDocuments/24-213-01%20Hibiscus%20House/00-Estimating/09%20Estimates/Project%20Estimating%20Matrix.xlsx癭ᤸ耀똈⽖翿뛘⽗翿Ĺ㾀逐빅ĸ㾀鸀비ĸ熜ᨸ耀ᰀ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 userProvider="辑ĸ㐠鉸ĸᰀ辑ĸdri瘀湥⹴慎敭묀载ĸ眗̸耀辐ĸ⿠鉸ĸ╀鉸ĸricﴀ露ĸ눀载ĸ眆и耀㙀鉸ĸ辐ĸ辐ĸhed瘀湥⹴敓畱湥散Ȏ眹Ը耀ᰀ辑ĸ䌀鉸ĸᰀ辑ĸdri豈露ĸ䤀I眨ظ耀㠀쐕翿掟7掟7㠰쐕翿掟7掟7㡠쐕翿掟7掟7㢐쐕翿掟7掟7睛ܸ耀ᰀ辑ĸ♐鉸ĸᰀ辑ĸrec猀牥吮湥湡䥴d睊࠸耀ﷰ赶ĸ赶ĸ줠赶ĸ펰赶ĸ赶ĸ赶ĸސ逐ĸݠ賞ĸᇰ賞ĸ賝ĸ賝ĸﳐ賝ĸ賝ĸ뼀섴ĸ즐섴ĸ齐섴ĸ둰섴ĸ퐠섴ĸꧠ섴ĸ炀샱ĸ輰鋹ĸ睽स耀Will do\USER\S-1-5-21-1885146800-136245460-3200162960-4388_Classes\CLSID\{88D96A05-F192-11D4-A65F-0040963251E5}\InprocHandler鋹ĸ睬ਸ耀⡰鉸ĸ辐ĸ㌐鉸ĸThaԀ霳ĸ猀牥扏敪瑣摉皟ସ耀ecalderon@hedrickbrothers.comeral/Projects/DO NOT USE 24-154-01 Bessemer Trust - One Flagler/One Flagler - Estimating Matrix2樰鋻ĸ皎స退S:\HB PROJECTS\2023\23-131-01 Arenz Res Phase 2\00-Estimating\03 EstSummary\Estimate Summary Template - Updated 08-01-2023.xlsx樰鋻ĸ皡സ耀㡠鉸ĸ⿠鉸ĸ♐鉸ĸ/24︀露ĸ漀浭牥楣污盐ุ耀/sites/2024Projects/Shared%20Documents/24-213-01%20Hibiscus%20House/00-Estimating/09%20Estimates/Project%20Estimating%20Matrix.xlsx盃༸耀%@Edwin Calderon Speak to David Bennet45460-3200162960-4388_Classes\CLSID\{88D96A05-F192-11D4-A65F-0040963251E5}\InprocServer32sx盲း耀UrlHash:&lt;PII_SCRUBBED&gt;; ServerType:5; SupportedProtocols:87; Version:16; Flags:7; CobaltMajor:1; CobaltMinor:6; MsDavExt:1; Shar盥ᄸ耀/sites/2024Projects/Shared%20Documents/24-213-01%20Hibiscus%20House/00-Estimating/09%20Estimates/Project%20Estimating%20Matrix.xlsx瘔ሸ耀ᰀ辑ĸ㌐鉸ĸᰀ辑ĸdri霳ĸ䰀䉏䱁瘇ጸ耀똈⽖翿뛘⽗翿ĸ㾀軀빅ĸ㾀軰빅ĸ瘶ᐸ耀⮠鉸ĸ辐ĸఐ辑ĸon瘀湥⹴楔敭Ή鑣팲ࣜ瘩ᔸ耀/sites/2024Projects/Shared%20Documents/24-213-01%20Hibiscus%20House/00-Estimating/09%20Estimates/Project%20Estimating%20Matrix.xlsx癘ᘸ退C:\Users\ecalderon\Downloads\SEMINOLE CLUB - LOCKER REMOVAL AND REINSTALLATION PROPOSAL - DLI INC - REVISED 11-09-23.xlsxsxٯ耀ퟐ鋮ĸ癋᜸耀/sites/2024Projects/Shared%20Documents/24-213-01%20Hibiscus%20House/00-Estimating/09%20Estimates/Project%20Estimating%20Matrix.xlsx発ᠸ耀@Chaitanya Banthia Call TomDocuments/24-213-01%20Hibiscus%20House/00-Estimating/09%20Estimates/Project%20Estimating%20Matrix.xlsx癭ᤸ耀똈⽖翿뛘⽗翿Ĺ㾀逐빅ĸ㾀鸀비ĸ熜ᨸ耀ᰀ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
      </Event>
      <Event time="2024-09-03T18:35:17.27" id="{78246E9A-6906-48E8-9252-604BED990F86}">
        <Attribution userId="sites/2024Projects/Shared%20Documents/24-213-01" userName="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巠⼽翿%20C珜͢退恘⼽翿쀀庈⼽翿嶸⼽翿帘⼽翿擰鉸ĸ昸鉸ĸ朸鉸ĸ⛲锐賕ĸ锔賕ĸ锔賕ĸꎰ賕ĸꎸ賕ĸꎸ賕ĸ뿰뿰뿰뿰뿰뿰㾀攀鉸ĸ ČĀ诰鉗ĸ诠鉗ĸ噸⼽翿噘⼽翿攀鉸ĸ擸鉸ĸ험뮜ĸ뿰뿰뿰뿰漐鈙ĸ䈀쀀쀀巠⼽翿㈀옯翿珤Ѐ退恘⼽翿庈⼽翿嶸⼽翿帘⼽翿졀銼ĸ杰鉸ĸ梸鉸ĸ榸鉸ĸ⛹鈠賕ĸ鈤賕ĸ鈤賕ĸ䀸ĸ䀸䀸䀸㾀⿲枀鉸ĸⓘ肑ĸ䶠쾔ݐ㽰魰鉗ĸ魠鉗ĸ噸⼽翿噘⼽翿枀鉸ĸ杸鉸ĸ휸뮜ĸ㍈銦ĸ䀸䀸闀鈘ĸ䈀梠鉸ĸ䈀鉇ĸ巠⼽翿9猌׿耀槐⼿翿庈⼽翿嶸⼽翿자⽛翿槰鉸ĸ欸鉸ĸ永鉸ĸ⛽ĸ䂞翿렀䂈렀䂈䂞㾀㉥옯翸噸⼽翿噘⼽翿樀鉸ĸ槸鉸ĸ력貫柰鈙ĸ刀鉇ĸꏀ뭰ĸ巠⼽翿ments/Palm%20House%20Hotel%20-%20Take%20Off%20Sheet%20TOTALS%2004.12.24.xlsx晢偆䕟䍘䅈䝎彅剏䥇D瑨灴㩳⼯畯汴潯⹫梫涳쪏ၯꝀ쇖ĸ濁Ĺ&#10;타飱￺ĸ'浐鉸ĸｆ￸ༀ샭ĸ獇8退믐뭰ĸ9?莠消Ĺ僠邑ĸ胐消Ĺ 蒐消Ĺ≭ਬ†椢瑡㨢∠㜱㘲㐱〲㐹Ⱒ ∠摩祴≰›產獲Ĭ耀꿰쁻翿ꎘ쁻翿쀀 奘쁼翿妰쁼翿堸쁼翿塰쁼翿墨쁼翿壠쁼翿夘쁼翿ૈ삂翿匐쁼翿㾀勐쁼翿獡ɡ耀꿰쁻翿ꎘ쁻翿쀀 奘쁼翿妰쁼翿堸쁼翿塰쁼翿墨쁼翿壠쁼翿夘쁼翿ૈ삂翿匐쁼翿㾀勐쁼翿獬͘退몰뭰ĸ9?砀消Ĺ 烠消Ĺ㼐淗Ĺ砰消Ĺ&#10;挶ⴸ㑢〶㠭㘱晣㜰㍤戳⹦攰㌸戴㝤㘭㠲ⵢ㈴㡣犛ѣ耀꿰쁻翿ꎘ쁻翿쀀 奘쁼翿妰쁼翿堸쁼翿塰쁼翿墨쁼翿壠쁼翿夘쁼翿ૈ삂翿匐쁼翿㾀勐쁼翿犆Ԣ耀꿰쁻翿ꎘ쁻翿쀀 奘쁼翿妰쁼翿堸쁼翿塰쁼翿墨쁼翿壠쁼翿夘쁼翿ૈ삂翿匐쁼翿㾀勐쁼翿犵ج蠀䶐⼾翿ĸ쭸⼾翿漶Ĺ$'佰섖ĸ侀섖ĸ侀섖ĸĂĸŤ⼿犠ݜ耀꿰쁻翿ﮀ쁻翿쀀 奘쁼翿妰쁼翿堸쁼翿塰쁼翿墨쁼翿壠쁼翿夘쁼翿ૈ삂翿泈쁼翿浨쁼翿硨쁼翿犯࠱耀꿰쁻翿ꎘ쁻翿쀀 奘쁼翿妰쁼翿堸쁼翿塰쁼翿墨쁼翿壠쁼翿夘쁼翿ૈ삂翿匐쁼翿㾀勐쁼翿狚ऺ退ꁀ뭰ĸ9?篰消Ĺ 翠消Ĺ芀消Ĺ&#10;SGC潬楧⹮業牣獯景潴汮湩⹥潣⽭攰㌸戴㝤㘭㠲ⵢ狉ਭ耀꿰쁻翿ﮀ쁻翿쀀 奘쁼翿妰쁼翿堸쁼翿塰쁼翿墨쁼翿壠쁼翿夘쁼翿ૈ삂翿泈쁼翿浨쁼翿硨쁼翿狴଴耀꿰쁻翿ﮀ쁻翿쀀 奘쁼翿妰쁼翿堸쁼翿塰쁼翿墨쁼翿壠쁼翿夘쁼翿ૈ삂翿泈쁼翿浨쁼翿硨쁼翿狣౲耀꿰쁻翿ꎘ쁻翿쀀 奘쁼翿妰쁼翿堸쁼翿塰쁼翿墨쁼翿壠쁼翿夘쁼翿ૈ삂翿匐쁼翿㾀勐쁼翿狮ര退鏀诏ĸ*/㵐淗ĹGeneral潠消Ĺ吀邑ĸARCHIVE楯甹伹䤵爝๋退ꬣ鎪ݑen-AE" userProvider="鉸ĸ⿠鉸ĸ♐鉸ĸ/24︀露ĸ漀浭牥楣污盐ุ耀/sites/2024Projects/Shared%20Documents/24-213-01%20Hibiscus%20House/00-Estimating/09%20Estimates/Project%20Estimating%20Matrix.xlsx盃༸耀%@Edwin Calderon Speak to David Bennet45460-3200162960-4388_Classes\CLSID\{88D96A05-F192-11D4-A65F-0040963251E5}\InprocServer32sx盲း耀UrlHash:&lt;PII_SCRUBBED&gt;; ServerType:5; SupportedProtocols:87; Version:16; Flags:7; CobaltMajor:1; CobaltMinor:6; MsDavExt:1; Shar盥ᄸ耀/sites/2024Projects/Shared%20Documents/24-213-01%20Hibiscus%20House/00-Estimating/09%20Estimates/Project%20Estimating%20Matrix.xlsx瘔ሸ耀ᰀ辑ĸ㌐鉸ĸᰀ辑ĸdri霳ĸ䰀䉏䱁瘇ጸ耀똈⽖翿뛘⽗翿ĸ㾀軀빅ĸ㾀軰빅ĸ瘶ᐸ耀⮠鉸ĸ辐ĸఐ辑ĸon瘀湥⹴楔敭Ή鑣팲ࣜ瘩ᔸ耀/sites/2024Projects/Shared%20Documents/24-213-01%20Hibiscus%20House/00-Estimating/09%20Estimates/Project%20Estimating%20Matrix.xlsx癘ᘸ退C:\Users\ecalderon\Downloads\SEMINOLE CLUB - LOCKER REMOVAL AND REINSTALLATION PROPOSAL - DLI INC - REVISED 11-09-23.xlsxsxٯ耀ퟐ鋮ĸ癋᜸耀/sites/2024Projects/Shared%20Documents/24-213-01%20Hibiscus%20House/00-Estimating/09%20Estimates/Project%20Estimating%20Matrix.xlsx発ᠸ耀@Chaitanya Banthia Call TomDocuments/24-213-01%20Hibiscus%20House/00-Estimating/09%20Estimates/Project%20Estimating%20Matrix.xlsx癭ᤸ耀똈⽖翿뛘⽗翿Ĺ㾀逐빅ĸ㾀鸀비ĸ熜ᨸ耀ᰀ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巠⼽翿%20C珜͢退恘⼽翿쀀庈⼽翿嶸⼽翿帘⼽翿擰鉸ĸ昸鉸ĸ朸鉸ĸ⛲锐賕ĸ锔賕ĸ锔賕ĸꎰ賕ĸꎸ賕ĸꎸ賕ĸ뿰뿰뿰뿰뿰뿰㾀攀鉸ĸ ČĀ诰鉗ĸ诠鉗ĸ噸⼽翿噘⼽翿攀鉸ĸ擸鉸ĸ험뮜ĸ뿰뿰뿰뿰漐鈙ĸ䈀쀀쀀巠⼽翿㈀옯翿珤Ѐ退恘⼽翿庈⼽翿嶸⼽翿帘⼽翿졀銼ĸ杰鉸ĸ梸鉸ĸ榸鉸ĸ⛹鈠賕ĸ鈤賕ĸ鈤賕ĸ䀸ĸ䀸䀸䀸㾀⿲枀鉸ĸⓘ肑ĸ䶠쾔ݐ㽰魰鉗ĸ魠鉗ĸ噸⼽翿噘⼽翿枀鉸ĸ杸鉸ĸ휸뮜ĸ㍈銦ĸ䀸䀸闀鈘ĸ䈀梠鉸ĸ䈀鉇ĸ巠⼽翿9猌׿耀槐⼿翿庈⼽翿嶸⼽翿자⽛翿槰鉸ĸ欸鉸ĸ永鉸ĸ⛽ĸ䂞翿렀䂈렀䂈䂞㾀㉥옯翸噸⼽翿噘⼽翿樀鉸ĸ槸鉸ĸ력貫柰鈙ĸ刀鉇ĸꏀ뭰ĸ巠⼽翿ments/Palm%20House%20Hotel%20-%20Take%20Off%20Sheet%20TOTALS%2004.12.24.xlsx晢偆䕟䍘䅈䝎彅剏䥇D瑨灴㩳⼯畯汴潯⹫梫涳쪏ၯꝀ쇖ĸ濁Ĺ&#10;타飱￺ĸ'浐鉸ĸｆ￸ༀ샭ĸ獇8退믐뭰ĸ9?莠消Ĺ僠邑ĸ胐消Ĺ 蒐消Ĺ≭ਬ†椢瑡㨢∠㜱㘲㐱〲㐹Ⱒ ∠摩祴≰›產獲Ĭ耀꿰쁻翿ꎘ쁻翿쀀 奘쁼翿妰쁼翿堸쁼翿塰쁼翿墨쁼翿壠쁼翿夘쁼翿ૈ삂翿匐쁼翿㾀勐쁼翿獡ɡ耀꿰쁻翿ꎘ쁻翿쀀 奘쁼翿妰쁼翿堸쁼翿塰쁼翿墨쁼翿壠쁼翿夘쁼翿ૈ삂翿匐쁼翿㾀勐쁼翿獬͘退몰뭰ĸ9?砀消Ĺ 烠消Ĺ㼐淗Ĺ砰消Ĺ&#10;挶ⴸ㑢〶㠭㘱晣㜰㍤戳⹦攰㌸戴㝤㘭㠲ⵢ㈴㡣犛ѣ耀꿰쁻翿ꎘ쁻翿쀀 奘쁼翿妰쁼翿堸쁼翿塰쁼翿墨쁼翿壠쁼翿夘쁼翿ૈ삂翿匐쁼翿㾀勐쁼翿犆Ԣ耀꿰쁻翿ꎘ쁻翿쀀 奘쁼翿妰쁼翿堸쁼翿塰쁼翿墨쁼翿壠쁼翿夘쁼翿ૈ삂翿匐쁼翿㾀勐쁼翿犵ج蠀䶐⼾翿ĸ쭸⼾翿漶Ĺ$'佰섖ĸ侀섖ĸ侀섖ĸĂĸŤ⼿犠ݜ耀꿰쁻翿ﮀ쁻翿쀀 奘쁼翿妰쁼翿堸쁼翿塰쁼翿墨쁼翿壠쁼翿夘쁼翿ૈ삂翿泈쁼翿浨쁼翿硨쁼翿犯࠱耀꿰쁻翿ꎘ쁻翿쀀 奘쁼翿妰쁼翿堸쁼翿塰쁼翿墨쁼翿壠쁼翿夘쁼翿ૈ삂翿匐쁼翿㾀勐쁼翿狚ऺ退ꁀ뭰ĸ9?篰消Ĺ 翠消Ĺ芀消Ĺ&#10;SGC潬楧⹮業牣獯景潴汮湩⹥潣⽭攰㌸戴㝤㘭㠲ⵢ狉ਭ耀꿰쁻翿ﮀ쁻翿쀀 奘쁼翿妰쁼翿堸쁼翿塰쁼翿墨쁼翿壠쁼翿夘쁼翿ૈ삂翿泈쁼翿浨쁼翿硨쁼翿狴଴耀꿰쁻翿ﮀ쁻翿쀀 奘쁼翿妰쁼翿堸쁼翿塰쁼翿墨쁼翿壠쁼翿夘쁼翿ૈ삂翿泈쁼翿浨쁼翿硨쁼翿狣౲耀꿰쁻翿ꎘ쁻翿쀀 奘쁼翿妰쁼翿堸쁼翿塰쁼翿墨쁼翿壠쁼翿夘쁼翿ૈ삂翿匐쁼翿㾀勐쁼翿狮ര退鏀诏ĸ*/㵐淗ĹGeneral潠消Ĺ吀邑ĸARCHIVE楯甹伹䤵爝๋退ꬣ鎪ݑen-AEMaĂM爈཰退ꬣ鎪ݑes-CUĸĂ¦爷္耀꿰쁻翿ﮀ쁻翿쀀 奘쁼翿妰쁼翿堸쁼翿塰쁼翿墨쁼翿壠쁼翿夘쁼翿ૈ삂翿泈쁼翿浨쁼翿硨쁼翿爢ᄶ退괰뭰ĸ9?穰消Ĺ 蓰消Ĺ簠消Ĺ&#10;SGC鬐浅Ĺ趐浅Ĺ牑ሀ蠀䶐⼾翿翿쭸⼾翿澙Ĺ$'㽰澵Ĺ㾀澵Ĺ㾀澵ĹĂŤ牜ጹ耀꿰쁻翿ꎘ쁻翿쀀 奘쁼翿妰쁼翿堸쁼翿塰쁼翿墨쁼翿壠쁼翿夘쁼翿ૈ삂翿匐쁼翿㾀勐쁼翿牋᐀耀꿰쁻翿ﮀ쁻翿쀀 奘쁼翿妰쁼翿堸쁼翿塰쁼翿墨쁼翿壠쁼翿夘쁼翿ૈ삂翿泈쁼翿浨쁼翿硨쁼翿牶ᔀ耀꿰쁻翿ﮀ쁻翿쀀 奘쁼翿妰쁼翿堸쁼翿塰쁼翿墨쁼翿壠쁼翿夘쁼翿ૈ삂翿泈쁼翿浨쁼翿硨쁼翿牥ᘹ退骠뭰ĸ9?耐消Ĺ 紐消Ĺ冐淗Ĺ臀消Ĺ&#10;稐浅Ĺ濰诋ĸ綐ᜀ耀꿰쁻翿ﮀ쁻翿쀀 奘쁼翿妰쁼翿堸쁼翿塰쁼翿墨쁼翿壠쁼翿夘쁼翿ૈ삂翿泈쁼翿浨쁼翿硨쁼翿綟᠀退靀诏ĸ*/㩐淗ĹGeneral湀消Ĺጀ澊Ĺ17矐消Ĺ 綊ᤸ退贰诏ĸ*/㲐淗ĹGeneral盠消Ĺ䒰邑ĸARCHIVE∶紊0綹ᨲ退Edwin Calderon's OneDrive - Hedrick Brothers Construction ‏» ‎‎Documents ‏» ‎‎Attachments綤ᬸ退穠诏ĸ*/㤐淗ĹGeneral秠消ĹArchive勀邑ĸ緓ᰀ退딐뭰ĸ9?穀消Ĺ 燐消Ĺ喐淗Ĺ腠消Ĺ&#10;莐鄧ĸ侰赃ĸ緞ᴀ退ꐰ뭰ĸ9?芰消Ĺ 萰消Ĺ䞐淗Ĺ箐消Ĺ⢰赃ĸ緍Ḹ退ꇰ뭰ĸ9?煀消Ĺ 痰消Ĺ㽐淗Ĺ煰消Ĺ&#10;䂰赃ĸゐ鋖ĸ緸ἀ退頠诏ĸ*/㶐淗ĹGeneral硠消Ĺ䩐邑ĸ癐消Ĺ⽰赃ĸ緧 耀꿰쁻翿ꎘ쁻翿쀀 奘쁼翿妰쁼翿堸쁼翿塰쁼翿墨쁼翿壠쁼翿夘쁼翿ૈ삂翿匐쁼翿㾀勐쁼翿紒ℸ耀꿰쁻翿ﮀ쁻翿쀀 奘쁼翿妰쁼翿堸쁼翿塰쁼翿墨쁼翿壠쁼翿夘쁼翿ૈ삂翿泈쁼翿浨쁼翿硨쁼翿紁∀耀꿰쁻翿ꎘ쁻翿쀀 奘쁼翿妰쁼翿堸쁼翿塰쁼翿墨쁼翿壠쁼翿夘쁼翿ૈ삂翿匐쁼翿㾀勐쁼翿紌⍥退鬰诏ĸ*/㫐淗ĹGeneral湰消Ĺ儰邑ĸARCHIVE紻␀退饰诏ĸ*/㿐淗ĹGeneral玀消Ĺ删邑ĸARCHIVE紦─退ꃠ诏ĸ*/䂐淗ĹGeneral焐消Ĺ嘰邑ĸARCHIVE24-2絕☭退꒠讄ĸ9?瀠消Ĺ 炀消Ĺ㸐淗Ĺ畠消Ĺ&#10;xlsx컰붫ĸ츐붫ĸ櫪⺳즏ၯ劰賫ĸᾰ블ĸ╳䵜捩潲潳瑦홀ꕷĸੑ균붿ĸ즀ꕷĸਔ₀블ĸ&#10;਒㲰붋ĸ懲ꕷĸ6 ਵ⍀블ĸamFiਝ쫠빂ĸffic㙀ꕸĸ&#10;ਗᆐ솭ĸਐ秀ꕸĸ&#10;ਘ⅀블ĸ`ꀀX扨慬㕰㐲㇐꾦枆䀙㮛ꇩ皔呻敜ᇯ膘淴ᄿ晳㇐꾦枆䀙㮛ꇩ皔呻敜ᇯ膘淴ᄿ晳ÌÂ ꀀ匱卐諢䙘䲼䌸ﲻ錓頦칭a匱卐藠俹ၨ醫✫Eἀᨀ倀爀漀樀攀挀琀 䔀猀琀椀洀愀琀椀渀最 䴀愀琀爀椀檹璺쯎oᏀ솵ĸ粠불ĸꝈ䁈ꐮ砽ᶌ栀H辜䅱ឫథ⨊啂&#10;ഀ쯈o쎰솘ĸ嵐肠ĸ匱卐ᚱ䑭趭䡰䢧⹀㶤豸h䠀鰀鎏᧵燘ꭁ┗਌䈪U䈪U鎏᧵燘ꭁ؀쯃o玠郃ĸ뮊ĸЀ쯁o￐瀋Ĺ⦰ꖅĸ汸硳一打牺䙣䐶礷〶披枳쮝ၯ苐鉧ĸ㻰潳Ĺ타枱ﲺ䉒穎#銐鉸ĸ￻䅁䅁∰∬灡≰∺硅粻,耀缰起ĸ銰鉸ĸ老起ĸ堰肗ĸी鈲ĸ肗ĸච鈲ĸ肗ĸᠠ鈲ĸ肖ĸꑀꟌĸ¨Wⱀ鈲ĸ춰肖ĸ⿀鈲ĸ肗ĸㆀ鈲ĸ肗ĸਔਓਔ쵠鉧ĸ鈽ĸਔ傰肗ĸ쒰銩ĸ喰肗ĸ첐銩ĸ凰肗ĸ퇐銩ĸĸ銩ĸ嫘肗ĸ銩ĸ呰肗ĸ銩ĸ匰肗ĸ銩ĸ局肗ĸ⧠鋆ĸ뺠肖ĸ⫐鋆ĸ쎰肖ĸⶠ鋆ĸ襰먞翿㺀鋆ĸ䤰肗ĸ䧀鋆ĸ䮰肗ĸㄠ븂ĸ㷠肗ĸ肗ĸ宀涅Ĺ肗ĸ蟐涮Ĺ肖ĸ謰涮Ĺ肗ĸ뗰涮Ĺ肖ĸⓐ潅Ĺ쀈肖ĸ湥湡彴摩糲ť褀ǀ馘鉸ĸ陀鉸ĸ氾ꑀꟌĸW䔀㈻翿䕀㈻翿ઘઘ㶰붮ĸઘ랠澒Ĺ뤀澒Ĺ뤀澒Ĺ蘿式7ᣠ潂Ĺ襰먞翿襘㉹翿饈鉸ĸ꾀澝Ĺ愀≬∬楴簍Ⱥ退밀聶ĸƐ購ĸ뼠聶ĸ﵈賻ĸ좀聶ĸ駐鉸ĸྚ惠ಒ䯎쭺ﻅྏ⇉붔캐쐝᫷魳䀎耀骠鉸ĸ䔀㈻翿䕀㈻翿䔠㈻翿䖀㈻翿䖠㈻翿䕠㈻翿摯7縷摯7賭ĸ鹿븑ĸ襘㉹翿䵀淑Ĺ賻ĸ祡湟浡≥籄ͷ退到浢Ĺ̀劐浢Ĺ̂怐浢Ĺ̀櫰浢Ĺ̀抰浢Ĺ̀氐浢Ĺ̂挐浢Ĺ̀嬰浢Ĺ̂桐浢Ĺ̀敐浢Ĺ̀宐浢Ĺ̀洰浢Ĺ̂楰浢Ĺ̀昐浢Ĺ̂羟Т退㰰섬ĸ̀㪰섬ĸ̀㲐섬ĸ̀㚐섬ĸ̀㛰섬ĸ̀㝐섬ĸ̀浢Ĺ̂浢Ĺ̀０浢Ĺ̀浢Ĺ̂Ő浣Ĺ̀浢Ĺ̀殺浢Ĺ̂浢Ĺ̀"/>
        <Anchor>
          <Comment id="{1B392BB8-27F7-4159-85F4-8FEC9EC27E25}"/>
        </Anchor>
        <SetTitle title="@Ethan Root Add new sub to bidders please. TY!"/>
      </Event>
    </History>
  </Task>
  <Task id="{B76F3831-6788-4EE8-BC58-658274856990}">
    <Anchor>
      <Comment id="{E0774219-88EF-43B9-8825-84992240F92D}"/>
    </Anchor>
    <History>
      <Event time="2024-09-06T12:18:06.23" id="{31F8D2FD-3A14-4102-8E48-0D127F8F284E}">
        <Attribution userId="sites/2024Projects/Shared%20Documents/24-213-01" userName="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巠⼽翿%20C珜͢退恘⼽翿쀀庈⼽翿嶸⼽翿帘⼽翿擰鉸ĸ昸鉸ĸ朸鉸ĸ⛲锐賕ĸ锔賕ĸ锔賕ĸꎰ賕ĸꎸ賕ĸꎸ賕ĸ뿰뿰뿰뿰뿰뿰㾀攀鉸ĸ ČĀ诰鉗ĸ诠鉗ĸ噸⼽翿噘⼽翿攀鉸ĸ擸鉸ĸ험뮜ĸ뿰뿰뿰뿰漐鈙ĸ䈀쀀쀀巠⼽翿㈀옯翿珤Ѐ退恘⼽翿庈⼽翿嶸⼽翿帘⼽翿졀銼ĸ杰鉸ĸ梸鉸ĸ榸鉸ĸ⛹鈠賕ĸ鈤賕ĸ鈤賕ĸ䀸ĸ䀸䀸䀸㾀⿲枀鉸ĸⓘ肑ĸ䶠쾔ݐ㽰魰鉗ĸ魠鉗ĸ噸⼽翿噘⼽翿枀鉸ĸ杸鉸ĸ휸뮜ĸ㍈銦ĸ䀸䀸闀鈘ĸ䈀梠鉸ĸ䈀鉇ĸ巠⼽翿9猌׿耀槐⼿翿庈⼽翿嶸⼽翿자⽛翿槰鉸ĸ欸鉸ĸ永鉸ĸ⛽ĸ䂞翿렀䂈렀䂈䂞㾀㉥옯翸噸⼽翿噘⼽翿樀鉸ĸ槸鉸ĸ력貫柰鈙ĸ刀鉇ĸꏀ뭰ĸ巠⼽翿ments/Palm%20House%20Hotel%20-%20Take%20Off%20Sheet%20TOTALS%2004.12.24.xlsx晢偆䕟䍘䅈䝎彅剏䥇D瑨灴㩳⼯畯汴潯⹫梫涳쪏ၯꝀ쇖ĸ濁Ĺ&#10;타飱￺ĸ'浐鉸ĸｆ￸ༀ샭ĸ獇8退믐뭰ĸ9?莠消Ĺ僠邑ĸ胐消Ĺ 蒐消Ĺ≭ਬ†椢瑡㨢∠㜱㘲㐱〲㐹Ⱒ ∠摩祴≰›產獲Ĭ耀꿰쁻翿ꎘ쁻翿쀀 奘쁼翿妰쁼翿堸쁼翿塰쁼翿墨쁼翿壠쁼翿夘쁼翿ૈ삂翿匐쁼翿㾀勐쁼翿獡ɡ耀꿰쁻翿ꎘ쁻翿쀀 奘쁼翿妰쁼翿堸쁼翿塰쁼翿墨쁼翿壠쁼翿夘쁼翿ૈ삂翿匐쁼翿㾀勐쁼翿獬͘退몰뭰ĸ9?砀消Ĺ 烠消Ĺ㼐淗Ĺ砰消Ĺ&#10;挶ⴸ㑢〶㠭㘱晣㜰㍤戳⹦攰㌸戴㝤㘭㠲ⵢ㈴㡣犛ѣ耀꿰쁻翿ꎘ쁻翿쀀 奘쁼翿妰쁼翿堸쁼翿塰쁼翿墨쁼翿壠쁼翿夘쁼翿ૈ삂翿匐쁼翿㾀勐쁼翿犆Ԣ耀꿰쁻翿ꎘ쁻翿쀀 奘쁼翿妰쁼翿堸쁼翿塰쁼翿墨쁼翿壠쁼翿夘쁼翿ૈ삂翿匐쁼翿㾀勐쁼翿犵ج蠀䶐⼾翿ĸ쭸⼾翿漶Ĺ$'佰섖ĸ侀섖ĸ侀섖ĸĂĸŤ⼿犠ݜ耀꿰쁻翿ﮀ쁻翿쀀 奘쁼翿妰쁼翿堸쁼翿塰쁼翿墨쁼翿壠쁼翿夘쁼翿ૈ삂翿泈쁼翿浨쁼翿硨쁼翿犯࠱耀꿰쁻翿ꎘ쁻翿쀀 奘쁼翿妰쁼翿堸쁼翿塰쁼翿墨쁼翿壠쁼翿夘쁼翿ૈ삂翿匐쁼翿㾀勐쁼翿狚ऺ退ꁀ뭰ĸ9?篰消Ĺ 翠消Ĺ芀消Ĺ&#10;SGC潬楧⹮業牣獯景潴汮湩⹥潣⽭攰㌸戴㝤㘭㠲ⵢ狉ਭ耀꿰쁻翿ﮀ쁻翿쀀 奘쁼翿妰쁼翿堸쁼翿塰쁼翿墨쁼翿壠쁼翿夘쁼翿ૈ삂翿泈쁼翿浨쁼翿硨쁼翿狴଴耀꿰쁻翿ﮀ쁻翿쀀 奘쁼翿妰쁼翿堸쁼翿塰쁼翿墨쁼翿壠쁼翿夘쁼翿ૈ삂翿泈쁼翿浨쁼翿硨쁼翿狣౲耀꿰쁻翿ꎘ쁻翿쀀 奘쁼翿妰쁼翿堸쁼翿塰쁼翿墨쁼翿壠쁼翿夘쁼翿ૈ삂翿匐쁼翿㾀勐쁼翿狮ര退鏀诏ĸ*/㵐淗ĹGeneral潠消Ĺ吀邑ĸARCHIVE楯甹伹䤵爝๋退ꬣ鎪ݑen-AE" userProvider="鉸ĸ⿠鉸ĸ♐鉸ĸ/24︀露ĸ漀浭牥楣污盐ุ耀/sites/2024Projects/Shared%20Documents/24-213-01%20Hibiscus%20House/00-Estimating/09%20Estimates/Project%20Estimating%20Matrix.xlsx盃༸耀%@Edwin Calderon Speak to David Bennet45460-3200162960-4388_Classes\CLSID\{88D96A05-F192-11D4-A65F-0040963251E5}\InprocServer32sx盲း耀UrlHash:&lt;PII_SCRUBBED&gt;; ServerType:5; SupportedProtocols:87; Version:16; Flags:7; CobaltMajor:1; CobaltMinor:6; MsDavExt:1; Shar盥ᄸ耀/sites/2024Projects/Shared%20Documents/24-213-01%20Hibiscus%20House/00-Estimating/09%20Estimates/Project%20Estimating%20Matrix.xlsx瘔ሸ耀ᰀ辑ĸ㌐鉸ĸᰀ辑ĸdri霳ĸ䰀䉏䱁瘇ጸ耀똈⽖翿뛘⽗翿ĸ㾀軀빅ĸ㾀軰빅ĸ瘶ᐸ耀⮠鉸ĸ辐ĸఐ辑ĸon瘀湥⹴楔敭Ή鑣팲ࣜ瘩ᔸ耀/sites/2024Projects/Shared%20Documents/24-213-01%20Hibiscus%20House/00-Estimating/09%20Estimates/Project%20Estimating%20Matrix.xlsx癘ᘸ退C:\Users\ecalderon\Downloads\SEMINOLE CLUB - LOCKER REMOVAL AND REINSTALLATION PROPOSAL - DLI INC - REVISED 11-09-23.xlsxsxٯ耀ퟐ鋮ĸ癋᜸耀/sites/2024Projects/Shared%20Documents/24-213-01%20Hibiscus%20House/00-Estimating/09%20Estimates/Project%20Estimating%20Matrix.xlsx発ᠸ耀@Chaitanya Banthia Call TomDocuments/24-213-01%20Hibiscus%20House/00-Estimating/09%20Estimates/Project%20Estimating%20Matrix.xlsx癭ᤸ耀똈⽖翿뛘⽗翿Ĺ㾀逐빅ĸ㾀鸀비ĸ熜ᨸ耀ᰀ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巠⼽翿%20C珜͢退恘⼽翿쀀庈⼽翿嶸⼽翿帘⼽翿擰鉸ĸ昸鉸ĸ朸鉸ĸ⛲锐賕ĸ锔賕ĸ锔賕ĸꎰ賕ĸꎸ賕ĸꎸ賕ĸ뿰뿰뿰뿰뿰뿰㾀攀鉸ĸ ČĀ诰鉗ĸ诠鉗ĸ噸⼽翿噘⼽翿攀鉸ĸ擸鉸ĸ험뮜ĸ뿰뿰뿰뿰漐鈙ĸ䈀쀀쀀巠⼽翿㈀옯翿珤Ѐ退恘⼽翿庈⼽翿嶸⼽翿帘⼽翿졀銼ĸ杰鉸ĸ梸鉸ĸ榸鉸ĸ⛹鈠賕ĸ鈤賕ĸ鈤賕ĸ䀸ĸ䀸䀸䀸㾀⿲枀鉸ĸⓘ肑ĸ䶠쾔ݐ㽰魰鉗ĸ魠鉗ĸ噸⼽翿噘⼽翿枀鉸ĸ杸鉸ĸ휸뮜ĸ㍈銦ĸ䀸䀸闀鈘ĸ䈀梠鉸ĸ䈀鉇ĸ巠⼽翿9猌׿耀槐⼿翿庈⼽翿嶸⼽翿자⽛翿槰鉸ĸ欸鉸ĸ永鉸ĸ⛽ĸ䂞翿렀䂈렀䂈䂞㾀㉥옯翸噸⼽翿噘⼽翿樀鉸ĸ槸鉸ĸ력貫柰鈙ĸ刀鉇ĸꏀ뭰ĸ巠⼽翿ments/Palm%20House%20Hotel%20-%20Take%20Off%20Sheet%20TOTALS%2004.12.24.xlsx晢偆䕟䍘䅈䝎彅剏䥇D瑨灴㩳⼯畯汴潯⹫梫涳쪏ၯꝀ쇖ĸ濁Ĺ&#10;타飱￺ĸ'浐鉸ĸｆ￸ༀ샭ĸ獇8退믐뭰ĸ9?莠消Ĺ僠邑ĸ胐消Ĺ 蒐消Ĺ≭ਬ†椢瑡㨢∠㜱㘲㐱〲㐹Ⱒ ∠摩祴≰›產獲Ĭ耀꿰쁻翿ꎘ쁻翿쀀 奘쁼翿妰쁼翿堸쁼翿塰쁼翿墨쁼翿壠쁼翿夘쁼翿ૈ삂翿匐쁼翿㾀勐쁼翿獡ɡ耀꿰쁻翿ꎘ쁻翿쀀 奘쁼翿妰쁼翿堸쁼翿塰쁼翿墨쁼翿壠쁼翿夘쁼翿ૈ삂翿匐쁼翿㾀勐쁼翿獬͘退몰뭰ĸ9?砀消Ĺ 烠消Ĺ㼐淗Ĺ砰消Ĺ&#10;挶ⴸ㑢〶㠭㘱晣㜰㍤戳⹦攰㌸戴㝤㘭㠲ⵢ㈴㡣犛ѣ耀꿰쁻翿ꎘ쁻翿쀀 奘쁼翿妰쁼翿堸쁼翿塰쁼翿墨쁼翿壠쁼翿夘쁼翿ૈ삂翿匐쁼翿㾀勐쁼翿犆Ԣ耀꿰쁻翿ꎘ쁻翿쀀 奘쁼翿妰쁼翿堸쁼翿塰쁼翿墨쁼翿壠쁼翿夘쁼翿ૈ삂翿匐쁼翿㾀勐쁼翿犵ج蠀䶐⼾翿ĸ쭸⼾翿漶Ĺ$'佰섖ĸ侀섖ĸ侀섖ĸĂĸŤ⼿犠ݜ耀꿰쁻翿ﮀ쁻翿쀀 奘쁼翿妰쁼翿堸쁼翿塰쁼翿墨쁼翿壠쁼翿夘쁼翿ૈ삂翿泈쁼翿浨쁼翿硨쁼翿犯࠱耀꿰쁻翿ꎘ쁻翿쀀 奘쁼翿妰쁼翿堸쁼翿塰쁼翿墨쁼翿壠쁼翿夘쁼翿ૈ삂翿匐쁼翿㾀勐쁼翿狚ऺ退ꁀ뭰ĸ9?篰消Ĺ 翠消Ĺ芀消Ĺ&#10;SGC潬楧⹮業牣獯景潴汮湩⹥潣⽭攰㌸戴㝤㘭㠲ⵢ狉ਭ耀꿰쁻翿ﮀ쁻翿쀀 奘쁼翿妰쁼翿堸쁼翿塰쁼翿墨쁼翿壠쁼翿夘쁼翿ૈ삂翿泈쁼翿浨쁼翿硨쁼翿狴଴耀꿰쁻翿ﮀ쁻翿쀀 奘쁼翿妰쁼翿堸쁼翿塰쁼翿墨쁼翿壠쁼翿夘쁼翿ૈ삂翿泈쁼翿浨쁼翿硨쁼翿狣౲耀꿰쁻翿ꎘ쁻翿쀀 奘쁼翿妰쁼翿堸쁼翿塰쁼翿墨쁼翿壠쁼翿夘쁼翿ૈ삂翿匐쁼翿㾀勐쁼翿狮ര退鏀诏ĸ*/㵐淗ĹGeneral潠消Ĺ吀邑ĸARCHIVE楯甹伹䤵爝๋退ꬣ鎪ݑen-AEMaĂM爈཰退ꬣ鎪ݑes-CUĸĂ¦爷္耀꿰쁻翿ﮀ쁻翿쀀 奘쁼翿妰쁼翿堸쁼翿塰쁼翿墨쁼翿壠쁼翿夘쁼翿ૈ삂翿泈쁼翿浨쁼翿硨쁼翿爢ᄶ退괰뭰ĸ9?穰消Ĺ 蓰消Ĺ簠消Ĺ&#10;SGC鬐浅Ĺ趐浅Ĺ牑ሀ蠀䶐⼾翿翿쭸⼾翿澙Ĺ$'㽰澵Ĺ㾀澵Ĺ㾀澵ĹĂŤ牜ጹ耀꿰쁻翿ꎘ쁻翿쀀 奘쁼翿妰쁼翿堸쁼翿塰쁼翿墨쁼翿壠쁼翿夘쁼翿ૈ삂翿匐쁼翿㾀勐쁼翿牋᐀耀꿰쁻翿ﮀ쁻翿쀀 奘쁼翿妰쁼翿堸쁼翿塰쁼翿墨쁼翿壠쁼翿夘쁼翿ૈ삂翿泈쁼翿浨쁼翿硨쁼翿牶ᔀ耀꿰쁻翿ﮀ쁻翿쀀 奘쁼翿妰쁼翿堸쁼翿塰쁼翿墨쁼翿壠쁼翿夘쁼翿ૈ삂翿泈쁼翿浨쁼翿硨쁼翿牥ᘹ退骠뭰ĸ9?耐消Ĺ 紐消Ĺ冐淗Ĺ臀消Ĺ&#10;稐浅Ĺ濰诋ĸ綐ᜀ耀꿰쁻翿ﮀ쁻翿쀀 奘쁼翿妰쁼翿堸쁼翿塰쁼翿墨쁼翿壠쁼翿夘쁼翿ૈ삂翿泈쁼翿浨쁼翿硨쁼翿綟᠀退靀诏ĸ*/㩐淗ĹGeneral湀消Ĺጀ澊Ĺ17矐消Ĺ 綊ᤸ退贰诏ĸ*/㲐淗ĹGeneral盠消Ĺ䒰邑ĸARCHIVE∶紊0綹ᨲ退Edwin Calderon's OneDrive - Hedrick Brothers Construction ‏» ‎‎Documents ‏» ‎‎Attachments綤ᬸ退穠诏ĸ*/㤐淗ĹGeneral秠消ĹArchive勀邑ĸ緓ᰀ退딐뭰ĸ9?穀消Ĺ 燐消Ĺ喐淗Ĺ腠消Ĺ&#10;莐鄧ĸ侰赃ĸ緞ᴀ退ꐰ뭰ĸ9?芰消Ĺ 萰消Ĺ䞐淗Ĺ箐消Ĺ⢰赃ĸ緍Ḹ退ꇰ뭰ĸ9?煀消Ĺ 痰消Ĺ㽐淗Ĺ煰消Ĺ&#10;䂰赃ĸゐ鋖ĸ緸ἀ退頠诏ĸ*/㶐淗ĹGeneral硠消Ĺ䩐邑ĸ癐消Ĺ⽰赃ĸ緧 耀꿰쁻翿ꎘ쁻翿쀀 奘쁼翿妰쁼翿堸쁼翿塰쁼翿墨쁼翿壠쁼翿夘쁼翿ૈ삂翿匐쁼翿㾀勐쁼翿紒ℸ耀꿰쁻翿ﮀ쁻翿쀀 奘쁼翿妰쁼翿堸쁼翿塰쁼翿墨쁼翿壠쁼翿夘쁼翿ૈ삂翿泈쁼翿浨쁼翿硨쁼翿紁∀耀꿰쁻翿ꎘ쁻翿쀀 奘쁼翿妰쁼翿堸쁼翿塰쁼翿墨쁼翿壠쁼翿夘쁼翿ૈ삂翿匐쁼翿㾀勐쁼翿紌⍥退鬰诏ĸ*/㫐淗ĹGeneral湰消Ĺ儰邑ĸARCHIVE紻␀退饰诏ĸ*/㿐淗ĹGeneral玀消Ĺ删邑ĸARCHIVE紦─退ꃠ诏ĸ*/䂐淗ĹGeneral焐消Ĺ嘰邑ĸARCHIVE24-2絕☭退꒠讄ĸ9?瀠消Ĺ 炀消Ĺ㸐淗Ĺ畠消Ĺ&#10;xlsx컰붫ĸ츐붫ĸ櫪⺳즏ၯ劰賫ĸᾰ블ĸ╳䵜捩潲潳瑦홀ꕷĸੑ균붿ĸ즀ꕷĸਔ₀블ĸ&#10;਒㲰붋ĸ懲ꕷĸ6 ਵ⍀블ĸamFiਝ쫠빂ĸffic㙀ꕸĸ&#10;ਗᆐ솭ĸਐ秀ꕸĸ&#10;ਘ⅀블ĸ`ꀀX扨慬㕰㐲㇐꾦枆䀙㮛ꇩ皔呻敜ᇯ膘淴ᄿ晳㇐꾦枆䀙㮛ꇩ皔呻敜ᇯ膘淴ᄿ晳ÌÂ ꀀ匱卐諢䙘䲼䌸ﲻ錓頦칭a匱卐藠俹ၨ醫✫Eἀᨀ倀爀漀樀攀挀琀 䔀猀琀椀洀愀琀椀渀最 䴀愀琀爀椀檹璺쯎oᏀ솵ĸ粠불ĸꝈ䁈ꐮ砽ᶌ栀H辜䅱ឫథ⨊啂&#10;ഀ쯈o쎰솘ĸ嵐肠ĸ匱卐ᚱ䑭趭䡰䢧⹀㶤豸h䠀鰀鎏᧵燘ꭁ┗਌䈪U䈪U鎏᧵燘ꭁ؀쯃o玠郃ĸ뮊ĸЀ쯁o￐瀋Ĺ⦰ꖅĸ汸硳一打牺䙣䐶礷〶披枳쮝ၯ苐鉧ĸ㻰潳Ĺ타枱ﲺ䉒穎#銐鉸ĸ￻䅁䅁∰∬灡≰∺硅粻,耀缰起ĸ銰鉸ĸ老起ĸ堰肗ĸी鈲ĸ肗ĸච鈲ĸ肗ĸᠠ鈲ĸ肖ĸꑀꟌĸ¨Wⱀ鈲ĸ춰肖ĸ⿀鈲ĸ肗ĸㆀ鈲ĸ肗ĸਔਓਔ쵠鉧ĸ鈽ĸਔ傰肗ĸ쒰銩ĸ喰肗ĸ첐銩ĸ凰肗ĸ퇐銩ĸĸ銩ĸ嫘肗ĸ銩ĸ呰肗ĸ銩ĸ匰肗ĸ銩ĸ局肗ĸ⧠鋆ĸ뺠肖ĸ⫐鋆ĸ쎰肖ĸⶠ鋆ĸ襰먞翿㺀鋆ĸ䤰肗ĸ䧀鋆ĸ䮰肗ĸㄠ븂ĸ㷠肗ĸ肗ĸ宀涅Ĺ肗ĸ蟐涮Ĺ肖ĸ謰涮Ĺ肗ĸ뗰涮Ĺ肖ĸⓐ潅Ĺ쀈肖ĸ湥湡彴摩糲ť褀ǀ馘鉸ĸ陀鉸ĸ氾ꑀꟌĸW䔀㈻翿䕀㈻翿ઘઘ㶰붮ĸઘ랠澒Ĺ뤀澒Ĺ뤀澒Ĺ蘿式7ᣠ潂Ĺ襰먞翿襘㉹翿饈鉸ĸ꾀澝Ĺ愀≬∬楴簍Ⱥ退밀聶ĸƐ購ĸ뼠聶ĸ﵈賻ĸ좀聶ĸ駐鉸ĸྚ惠ಒ䯎쭺ﻅྏ⇉붔캐쐝᫷魳䀎耀骠鉸ĸ䔀㈻翿䕀㈻翿䔠㈻翿䖀㈻翿䖠㈻翿䕠㈻翿摯7縷摯7賭ĸ鹿븑ĸ襘㉹翿䵀淑Ĺ賻ĸ祡湟浡≥籄ͷ退到浢Ĺ̀劐浢Ĺ̂怐浢Ĺ̀櫰浢Ĺ̀抰浢Ĺ̀氐浢Ĺ̂挐浢Ĺ̀嬰浢Ĺ̂桐浢Ĺ̀敐浢Ĺ̀宐浢Ĺ̀洰浢Ĺ̂楰浢Ĺ̀昐浢Ĺ̂羟Т退㰰섬ĸ̀㪰섬ĸ̀㲐섬ĸ̀㚐섬ĸ̀㛰섬ĸ̀㝐섬ĸ̀浢Ĺ̂浢Ĺ̀０浢Ĺ̀浢Ĺ̂Ő浣Ĺ̀浢Ĺ̀殺浢Ĺ̂浢Ĺ̀"/>
        <Anchor>
          <Comment id="{E0774219-88EF-43B9-8825-84992240F92D}"/>
        </Anchor>
        <Create/>
      </Event>
      <Event time="2024-09-06T12:18:06.23" id="{D07D820B-188F-4593-A2FF-AEA39ABFB209}">
        <Attribution userId="sites/2024Projects/Shared%20Documents/24-213-01" userName="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巠⼽翿%20C珜͢退恘⼽翿쀀庈⼽翿嶸⼽翿帘⼽翿擰鉸ĸ昸鉸ĸ朸鉸ĸ⛲锐賕ĸ锔賕ĸ锔賕ĸꎰ賕ĸꎸ賕ĸꎸ賕ĸ뿰뿰뿰뿰뿰뿰㾀攀鉸ĸ ČĀ诰鉗ĸ诠鉗ĸ噸⼽翿噘⼽翿攀鉸ĸ擸鉸ĸ험뮜ĸ뿰뿰뿰뿰漐鈙ĸ䈀쀀쀀巠⼽翿㈀옯翿珤Ѐ退恘⼽翿庈⼽翿嶸⼽翿帘⼽翿졀銼ĸ杰鉸ĸ梸鉸ĸ榸鉸ĸ⛹鈠賕ĸ鈤賕ĸ鈤賕ĸ䀸ĸ䀸䀸䀸㾀⿲枀鉸ĸⓘ肑ĸ䶠쾔ݐ㽰魰鉗ĸ魠鉗ĸ噸⼽翿噘⼽翿枀鉸ĸ杸鉸ĸ휸뮜ĸ㍈銦ĸ䀸䀸闀鈘ĸ䈀梠鉸ĸ䈀鉇ĸ巠⼽翿9猌׿耀槐⼿翿庈⼽翿嶸⼽翿자⽛翿槰鉸ĸ欸鉸ĸ永鉸ĸ⛽ĸ䂞翿렀䂈렀䂈䂞㾀㉥옯翸噸⼽翿噘⼽翿樀鉸ĸ槸鉸ĸ력貫柰鈙ĸ刀鉇ĸꏀ뭰ĸ巠⼽翿ments/Palm%20House%20Hotel%20-%20Take%20Off%20Sheet%20TOTALS%2004.12.24.xlsx晢偆䕟䍘䅈䝎彅剏䥇D瑨灴㩳⼯畯汴潯⹫梫涳쪏ၯꝀ쇖ĸ濁Ĺ&#10;타飱￺ĸ'浐鉸ĸｆ￸ༀ샭ĸ獇8退믐뭰ĸ9?莠消Ĺ僠邑ĸ胐消Ĺ 蒐消Ĺ≭ਬ†椢瑡㨢∠㜱㘲㐱〲㐹Ⱒ ∠摩祴≰›產獲Ĭ耀꿰쁻翿ꎘ쁻翿쀀 奘쁼翿妰쁼翿堸쁼翿塰쁼翿墨쁼翿壠쁼翿夘쁼翿ૈ삂翿匐쁼翿㾀勐쁼翿獡ɡ耀꿰쁻翿ꎘ쁻翿쀀 奘쁼翿妰쁼翿堸쁼翿塰쁼翿墨쁼翿壠쁼翿夘쁼翿ૈ삂翿匐쁼翿㾀勐쁼翿獬͘退몰뭰ĸ9?砀消Ĺ 烠消Ĺ㼐淗Ĺ砰消Ĺ&#10;挶ⴸ㑢〶㠭㘱晣㜰㍤戳⹦攰㌸戴㝤㘭㠲ⵢ㈴㡣犛ѣ耀꿰쁻翿ꎘ쁻翿쀀 奘쁼翿妰쁼翿堸쁼翿塰쁼翿墨쁼翿壠쁼翿夘쁼翿ૈ삂翿匐쁼翿㾀勐쁼翿犆Ԣ耀꿰쁻翿ꎘ쁻翿쀀 奘쁼翿妰쁼翿堸쁼翿塰쁼翿墨쁼翿壠쁼翿夘쁼翿ૈ삂翿匐쁼翿㾀勐쁼翿犵ج蠀䶐⼾翿ĸ쭸⼾翿漶Ĺ$'佰섖ĸ侀섖ĸ侀섖ĸĂĸŤ⼿犠ݜ耀꿰쁻翿ﮀ쁻翿쀀 奘쁼翿妰쁼翿堸쁼翿塰쁼翿墨쁼翿壠쁼翿夘쁼翿ૈ삂翿泈쁼翿浨쁼翿硨쁼翿犯࠱耀꿰쁻翿ꎘ쁻翿쀀 奘쁼翿妰쁼翿堸쁼翿塰쁼翿墨쁼翿壠쁼翿夘쁼翿ૈ삂翿匐쁼翿㾀勐쁼翿狚ऺ退ꁀ뭰ĸ9?篰消Ĺ 翠消Ĺ芀消Ĺ&#10;SGC潬楧⹮業牣獯景潴汮湩⹥潣⽭攰㌸戴㝤㘭㠲ⵢ狉ਭ耀꿰쁻翿ﮀ쁻翿쀀 奘쁼翿妰쁼翿堸쁼翿塰쁼翿墨쁼翿壠쁼翿夘쁼翿ૈ삂翿泈쁼翿浨쁼翿硨쁼翿狴଴耀꿰쁻翿ﮀ쁻翿쀀 奘쁼翿妰쁼翿堸쁼翿塰쁼翿墨쁼翿壠쁼翿夘쁼翿ૈ삂翿泈쁼翿浨쁼翿硨쁼翿狣౲耀꿰쁻翿ꎘ쁻翿쀀 奘쁼翿妰쁼翿堸쁼翿塰쁼翿墨쁼翿壠쁼翿夘쁼翿ૈ삂翿匐쁼翿㾀勐쁼翿狮ര退鏀诏ĸ*/㵐淗ĹGeneral潠消Ĺ吀邑ĸARCHIVE楯甹伹䤵爝๋退ꬣ鎪ݑen-AE" userProvider="鉸ĸ⿠鉸ĸ♐鉸ĸ/24︀露ĸ漀浭牥楣污盐ุ耀/sites/2024Projects/Shared%20Documents/24-213-01%20Hibiscus%20House/00-Estimating/09%20Estimates/Project%20Estimating%20Matrix.xlsx盃༸耀%@Edwin Calderon Speak to David Bennet45460-3200162960-4388_Classes\CLSID\{88D96A05-F192-11D4-A65F-0040963251E5}\InprocServer32sx盲း耀UrlHash:&lt;PII_SCRUBBED&gt;; ServerType:5; SupportedProtocols:87; Version:16; Flags:7; CobaltMajor:1; CobaltMinor:6; MsDavExt:1; Shar盥ᄸ耀/sites/2024Projects/Shared%20Documents/24-213-01%20Hibiscus%20House/00-Estimating/09%20Estimates/Project%20Estimating%20Matrix.xlsx瘔ሸ耀ᰀ辑ĸ㌐鉸ĸᰀ辑ĸdri霳ĸ䰀䉏䱁瘇ጸ耀똈⽖翿뛘⽗翿ĸ㾀軀빅ĸ㾀軰빅ĸ瘶ᐸ耀⮠鉸ĸ辐ĸఐ辑ĸon瘀湥⹴楔敭Ή鑣팲ࣜ瘩ᔸ耀/sites/2024Projects/Shared%20Documents/24-213-01%20Hibiscus%20House/00-Estimating/09%20Estimates/Project%20Estimating%20Matrix.xlsx癘ᘸ退C:\Users\ecalderon\Downloads\SEMINOLE CLUB - LOCKER REMOVAL AND REINSTALLATION PROPOSAL - DLI INC - REVISED 11-09-23.xlsxsxٯ耀ퟐ鋮ĸ癋᜸耀/sites/2024Projects/Shared%20Documents/24-213-01%20Hibiscus%20House/00-Estimating/09%20Estimates/Project%20Estimating%20Matrix.xlsx発ᠸ耀@Chaitanya Banthia Call TomDocuments/24-213-01%20Hibiscus%20House/00-Estimating/09%20Estimates/Project%20Estimating%20Matrix.xlsx癭ᤸ耀똈⽖翿뛘⽗翿Ĺ㾀逐빅ĸ㾀鸀비ĸ熜ᨸ耀ᰀ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巠⼽翿%20C珜͢退恘⼽翿쀀庈⼽翿嶸⼽翿帘⼽翿擰鉸ĸ昸鉸ĸ朸鉸ĸ⛲锐賕ĸ锔賕ĸ锔賕ĸꎰ賕ĸꎸ賕ĸꎸ賕ĸ뿰뿰뿰뿰뿰뿰㾀攀鉸ĸ ČĀ诰鉗ĸ诠鉗ĸ噸⼽翿噘⼽翿攀鉸ĸ擸鉸ĸ험뮜ĸ뿰뿰뿰뿰漐鈙ĸ䈀쀀쀀巠⼽翿㈀옯翿珤Ѐ退恘⼽翿庈⼽翿嶸⼽翿帘⼽翿졀銼ĸ杰鉸ĸ梸鉸ĸ榸鉸ĸ⛹鈠賕ĸ鈤賕ĸ鈤賕ĸ䀸ĸ䀸䀸䀸㾀⿲枀鉸ĸⓘ肑ĸ䶠쾔ݐ㽰魰鉗ĸ魠鉗ĸ噸⼽翿噘⼽翿枀鉸ĸ杸鉸ĸ휸뮜ĸ㍈銦ĸ䀸䀸闀鈘ĸ䈀梠鉸ĸ䈀鉇ĸ巠⼽翿9猌׿耀槐⼿翿庈⼽翿嶸⼽翿자⽛翿槰鉸ĸ欸鉸ĸ永鉸ĸ⛽ĸ䂞翿렀䂈렀䂈䂞㾀㉥옯翸噸⼽翿噘⼽翿樀鉸ĸ槸鉸ĸ력貫柰鈙ĸ刀鉇ĸꏀ뭰ĸ巠⼽翿ments/Palm%20House%20Hotel%20-%20Take%20Off%20Sheet%20TOTALS%2004.12.24.xlsx晢偆䕟䍘䅈䝎彅剏䥇D瑨灴㩳⼯畯汴潯⹫梫涳쪏ၯꝀ쇖ĸ濁Ĺ&#10;타飱￺ĸ'浐鉸ĸｆ￸ༀ샭ĸ獇8退믐뭰ĸ9?莠消Ĺ僠邑ĸ胐消Ĺ 蒐消Ĺ≭ਬ†椢瑡㨢∠㜱㘲㐱〲㐹Ⱒ ∠摩祴≰›產獲Ĭ耀꿰쁻翿ꎘ쁻翿쀀 奘쁼翿妰쁼翿堸쁼翿塰쁼翿墨쁼翿壠쁼翿夘쁼翿ૈ삂翿匐쁼翿㾀勐쁼翿獡ɡ耀꿰쁻翿ꎘ쁻翿쀀 奘쁼翿妰쁼翿堸쁼翿塰쁼翿墨쁼翿壠쁼翿夘쁼翿ૈ삂翿匐쁼翿㾀勐쁼翿獬͘退몰뭰ĸ9?砀消Ĺ 烠消Ĺ㼐淗Ĺ砰消Ĺ&#10;挶ⴸ㑢〶㠭㘱晣㜰㍤戳⹦攰㌸戴㝤㘭㠲ⵢ㈴㡣犛ѣ耀꿰쁻翿ꎘ쁻翿쀀 奘쁼翿妰쁼翿堸쁼翿塰쁼翿墨쁼翿壠쁼翿夘쁼翿ૈ삂翿匐쁼翿㾀勐쁼翿犆Ԣ耀꿰쁻翿ꎘ쁻翿쀀 奘쁼翿妰쁼翿堸쁼翿塰쁼翿墨쁼翿壠쁼翿夘쁼翿ૈ삂翿匐쁼翿㾀勐쁼翿犵ج蠀䶐⼾翿ĸ쭸⼾翿漶Ĺ$'佰섖ĸ侀섖ĸ侀섖ĸĂĸŤ⼿犠ݜ耀꿰쁻翿ﮀ쁻翿쀀 奘쁼翿妰쁼翿堸쁼翿塰쁼翿墨쁼翿壠쁼翿夘쁼翿ૈ삂翿泈쁼翿浨쁼翿硨쁼翿犯࠱耀꿰쁻翿ꎘ쁻翿쀀 奘쁼翿妰쁼翿堸쁼翿塰쁼翿墨쁼翿壠쁼翿夘쁼翿ૈ삂翿匐쁼翿㾀勐쁼翿狚ऺ退ꁀ뭰ĸ9?篰消Ĺ 翠消Ĺ芀消Ĺ&#10;SGC潬楧⹮業牣獯景潴汮湩⹥潣⽭攰㌸戴㝤㘭㠲ⵢ狉ਭ耀꿰쁻翿ﮀ쁻翿쀀 奘쁼翿妰쁼翿堸쁼翿塰쁼翿墨쁼翿壠쁼翿夘쁼翿ૈ삂翿泈쁼翿浨쁼翿硨쁼翿狴଴耀꿰쁻翿ﮀ쁻翿쀀 奘쁼翿妰쁼翿堸쁼翿塰쁼翿墨쁼翿壠쁼翿夘쁼翿ૈ삂翿泈쁼翿浨쁼翿硨쁼翿狣౲耀꿰쁻翿ꎘ쁻翿쀀 奘쁼翿妰쁼翿堸쁼翿塰쁼翿墨쁼翿壠쁼翿夘쁼翿ૈ삂翿匐쁼翿㾀勐쁼翿狮ര退鏀诏ĸ*/㵐淗ĹGeneral潠消Ĺ吀邑ĸARCHIVE楯甹伹䤵爝๋退ꬣ鎪ݑen-AEMaĂM爈཰退ꬣ鎪ݑes-CUĸĂ¦爷္耀꿰쁻翿ﮀ쁻翿쀀 奘쁼翿妰쁼翿堸쁼翿塰쁼翿墨쁼翿壠쁼翿夘쁼翿ૈ삂翿泈쁼翿浨쁼翿硨쁼翿爢ᄶ退괰뭰ĸ9?穰消Ĺ 蓰消Ĺ簠消Ĺ&#10;SGC鬐浅Ĺ趐浅Ĺ牑ሀ蠀䶐⼾翿翿쭸⼾翿澙Ĺ$'㽰澵Ĺ㾀澵Ĺ㾀澵ĹĂŤ牜ጹ耀꿰쁻翿ꎘ쁻翿쀀 奘쁼翿妰쁼翿堸쁼翿塰쁼翿墨쁼翿壠쁼翿夘쁼翿ૈ삂翿匐쁼翿㾀勐쁼翿牋᐀耀꿰쁻翿ﮀ쁻翿쀀 奘쁼翿妰쁼翿堸쁼翿塰쁼翿墨쁼翿壠쁼翿夘쁼翿ૈ삂翿泈쁼翿浨쁼翿硨쁼翿牶ᔀ耀꿰쁻翿ﮀ쁻翿쀀 奘쁼翿妰쁼翿堸쁼翿塰쁼翿墨쁼翿壠쁼翿夘쁼翿ૈ삂翿泈쁼翿浨쁼翿硨쁼翿牥ᘹ退骠뭰ĸ9?耐消Ĺ 紐消Ĺ冐淗Ĺ臀消Ĺ&#10;稐浅Ĺ濰诋ĸ綐ᜀ耀꿰쁻翿ﮀ쁻翿쀀 奘쁼翿妰쁼翿堸쁼翿塰쁼翿墨쁼翿壠쁼翿夘쁼翿ૈ삂翿泈쁼翿浨쁼翿硨쁼翿綟᠀退靀诏ĸ*/㩐淗ĹGeneral湀消Ĺጀ澊Ĺ17矐消Ĺ 綊ᤸ退贰诏ĸ*/㲐淗ĹGeneral盠消Ĺ䒰邑ĸARCHIVE∶紊0綹ᨲ退Edwin Calderon's OneDrive - Hedrick Brothers Construction ‏» ‎‎Documents ‏» ‎‎Attachments綤ᬸ退穠诏ĸ*/㤐淗ĹGeneral秠消ĹArchive勀邑ĸ緓ᰀ退딐뭰ĸ9?穀消Ĺ 燐消Ĺ喐淗Ĺ腠消Ĺ&#10;莐鄧ĸ侰赃ĸ緞ᴀ退ꐰ뭰ĸ9?芰消Ĺ 萰消Ĺ䞐淗Ĺ箐消Ĺ⢰赃ĸ緍Ḹ退ꇰ뭰ĸ9?煀消Ĺ 痰消Ĺ㽐淗Ĺ煰消Ĺ&#10;䂰赃ĸゐ鋖ĸ緸ἀ退頠诏ĸ*/㶐淗ĹGeneral硠消Ĺ䩐邑ĸ癐消Ĺ⽰赃ĸ緧 耀꿰쁻翿ꎘ쁻翿쀀 奘쁼翿妰쁼翿堸쁼翿塰쁼翿墨쁼翿壠쁼翿夘쁼翿ૈ삂翿匐쁼翿㾀勐쁼翿紒ℸ耀꿰쁻翿ﮀ쁻翿쀀 奘쁼翿妰쁼翿堸쁼翿塰쁼翿墨쁼翿壠쁼翿夘쁼翿ૈ삂翿泈쁼翿浨쁼翿硨쁼翿紁∀耀꿰쁻翿ꎘ쁻翿쀀 奘쁼翿妰쁼翿堸쁼翿塰쁼翿墨쁼翿壠쁼翿夘쁼翿ૈ삂翿匐쁼翿㾀勐쁼翿紌⍥退鬰诏ĸ*/㫐淗ĹGeneral湰消Ĺ儰邑ĸARCHIVE紻␀退饰诏ĸ*/㿐淗ĹGeneral玀消Ĺ删邑ĸARCHIVE紦─退ꃠ诏ĸ*/䂐淗ĹGeneral焐消Ĺ嘰邑ĸARCHIVE24-2絕☭退꒠讄ĸ9?瀠消Ĺ 炀消Ĺ㸐淗Ĺ畠消Ĺ&#10;xlsx컰붫ĸ츐붫ĸ櫪⺳즏ၯ劰賫ĸᾰ블ĸ╳䵜捩潲潳瑦홀ꕷĸੑ균붿ĸ즀ꕷĸਔ₀블ĸ&#10;਒㲰붋ĸ懲ꕷĸ6 ਵ⍀블ĸamFiਝ쫠빂ĸffic㙀ꕸĸ&#10;ਗᆐ솭ĸਐ秀ꕸĸ&#10;ਘ⅀블ĸ`ꀀX扨慬㕰㐲㇐꾦枆䀙㮛ꇩ皔呻敜ᇯ膘淴ᄿ晳㇐꾦枆䀙㮛ꇩ皔呻敜ᇯ膘淴ᄿ晳ÌÂ ꀀ匱卐諢䙘䲼䌸ﲻ錓頦칭a匱卐藠俹ၨ醫✫Eἀᨀ倀爀漀樀攀挀琀 䔀猀琀椀洀愀琀椀渀最 䴀愀琀爀椀檹璺쯎oᏀ솵ĸ粠불ĸꝈ䁈ꐮ砽ᶌ栀H辜䅱ឫథ⨊啂&#10;ഀ쯈o쎰솘ĸ嵐肠ĸ匱卐ᚱ䑭趭䡰䢧⹀㶤豸h䠀鰀鎏᧵燘ꭁ┗਌䈪U䈪U鎏᧵燘ꭁ؀쯃o玠郃ĸ뮊ĸЀ쯁o￐瀋Ĺ⦰ꖅĸ汸硳一打牺䙣䐶礷〶披枳쮝ၯ苐鉧ĸ㻰潳Ĺ타枱ﲺ䉒穎#銐鉸ĸ￻䅁䅁∰∬灡≰∺硅粻,耀缰起ĸ銰鉸ĸ老起ĸ堰肗ĸी鈲ĸ肗ĸච鈲ĸ肗ĸᠠ鈲ĸ肖ĸꑀꟌĸ¨Wⱀ鈲ĸ춰肖ĸ⿀鈲ĸ肗ĸㆀ鈲ĸ肗ĸਔਓਔ쵠鉧ĸ鈽ĸਔ傰肗ĸ쒰銩ĸ喰肗ĸ첐銩ĸ凰肗ĸ퇐銩ĸĸ銩ĸ嫘肗ĸ銩ĸ呰肗ĸ銩ĸ匰肗ĸ銩ĸ局肗ĸ⧠鋆ĸ뺠肖ĸ⫐鋆ĸ쎰肖ĸⶠ鋆ĸ襰먞翿㺀鋆ĸ䤰肗ĸ䧀鋆ĸ䮰肗ĸㄠ븂ĸ㷠肗ĸ肗ĸ宀涅Ĺ肗ĸ蟐涮Ĺ肖ĸ謰涮Ĺ肗ĸ뗰涮Ĺ肖ĸⓐ潅Ĺ쀈肖ĸ湥湡彴摩糲ť褀ǀ馘鉸ĸ陀鉸ĸ氾ꑀꟌĸW䔀㈻翿䕀㈻翿ઘઘ㶰붮ĸઘ랠澒Ĺ뤀澒Ĺ뤀澒Ĺ蘿式7ᣠ潂Ĺ襰먞翿襘㉹翿饈鉸ĸ꾀澝Ĺ愀≬∬楴簍Ⱥ退밀聶ĸƐ購ĸ뼠聶ĸ﵈賻ĸ좀聶ĸ駐鉸ĸྚ惠ಒ䯎쭺ﻅྏ⇉붔캐쐝᫷魳䀎耀骠鉸ĸ䔀㈻翿䕀㈻翿䔠㈻翿䖀㈻翿䖠㈻翿䕠㈻翿摯7縷摯7賭ĸ鹿븑ĸ襘㉹翿䵀淑Ĺ賻ĸ祡湟浡≥籄ͷ退到浢Ĺ̀劐浢Ĺ̂怐浢Ĺ̀櫰浢Ĺ̀抰浢Ĺ̀氐浢Ĺ̂挐浢Ĺ̀嬰浢Ĺ̂桐浢Ĺ̀敐浢Ĺ̀宐浢Ĺ̀洰浢Ĺ̂楰浢Ĺ̀昐浢Ĺ̂羟Т退㰰섬ĸ̀㪰섬ĸ̀㲐섬ĸ̀㚐섬ĸ̀㛰섬ĸ̀㝐섬ĸ̀浢Ĺ̂浢Ĺ̀０浢Ĺ̀浢Ĺ̂Ő浣Ĺ̀浢Ĺ̀殺浢Ĺ̂浢Ĺ̀"/>
        <Anchor>
          <Comment id="{E0774219-88EF-43B9-8825-84992240F92D}"/>
        </Anchor>
        <Assign userId="辐ĸ⿠鉸ĸ╀鉸ĸricﴀ露ĸ눀载ĸ眆и耀㙀鉸ĸ辐ĸ辐ĸhed瘀湥⹴敓畱湥散Ȏ眹Ը耀ᰀ辑ĸ䌀鉸ĸᰀ辑ĸdri豈露ĸ䤀I眨ظ耀㠀쐕翿掟7掟7㠰쐕翿掟7掟7㡠쐕翿掟7掟7㢐쐕翿掟7掟7睛ܸ耀ᰀ辑ĸ♐鉸ĸᰀ辑ĸrec猀牥吮湥湡䥴d睊࠸耀ﷰ赶ĸ赶ĸ줠赶ĸ펰赶ĸ赶ĸ赶ĸސ逐ĸݠ賞ĸᇰ賞ĸ賝ĸ賝ĸﳐ賝ĸ賝ĸ뼀섴ĸ즐섴ĸ齐섴ĸ둰섴ĸ퐠섴ĸꧠ섴ĸ炀샱ĸ輰鋹ĸ睽स耀Will do\USER\S-1-5-21-1885146800-136245460-3200162960-4388_Classes\CLSID\{88D96A05-F192-11D4-A65F-0040963251E5}\InprocHandler鋹ĸ睬ਸ耀⡰鉸ĸ辐ĸ㌐鉸ĸThaԀ霳ĸ猀牥扏敪瑣摉皟ସ耀ecalderon@hedrickbrothers.comeral/Projects/DO NOT USE 24-154-01 Bessemer Trust - One Flagler/One Flagler - Estimating Matrix2樰鋻ĸ皎స退S:\HB PROJECTS\2023\23-131-01 Arenz Res Phase 2\00-Estimating\03 EstSummary\Estimate Summary Template - Updated 08-01-2023.xlsx樰鋻ĸ皡സ耀㡠鉸ĸ⿠鉸ĸ♐鉸ĸ/24︀露ĸ漀浭牥楣污盐ุ耀/sites/2024Projects/Shared%20Documents/24-213-01%20Hibiscus%20House/00-Estimating/09%20Estimates/Project%20Estimating%20Matrix.xlsx盃༸耀%@Edwin Calderon Speak to David Bennet45460-3200162960-4388_Classes\CLSID\{88D96A05-F192-11D4-A65F-0040963251E5}\InprocServer32sx盲း耀UrlHash:&lt;PII_SCRUBBED&gt;; ServerType:5; SupportedProtocols:87; Version:16; Flags:7; CobaltMajor:1; CobaltMinor:6; MsDavExt:1; Shar盥ᄸ耀/sites/2024Projects/Shared%20Documents/24-213-01%20Hibiscus%20House/00-Estimating/09%20Estimates/Project%20Estimating%20Matrix.xlsx瘔ሸ耀ᰀ辑ĸ㌐鉸ĸᰀ辑ĸdri霳ĸ䰀䉏䱁瘇ጸ耀똈⽖翿뛘⽗翿ĸ㾀軀빅ĸ㾀軰빅ĸ瘶ᐸ耀⮠鉸ĸ辐ĸఐ辑ĸon瘀湥⹴楔敭Ή鑣팲ࣜ瘩ᔸ耀/sites/2024Projects/Shared%20Documents/24-213-01%20Hibiscus%20House/00-Estimating/09%20Estimates/Project%20Estimating%20Matrix.xlsx癘ᘸ退C:\Users\ecalderon\Downloads\SEMINOLE CLUB - LOCKER REMOVAL AND REINSTALLATION PROPOSAL - DLI INC - REVISED 11-09-23.xlsxsxٯ耀ퟐ鋮ĸ癋᜸耀/sites/2024Projects/Shared%20Documents/24-213-01%20Hibiscus%20House/00-Estimating/09%20Estimates/Project%20Estimating%20Matrix.xlsx発ᠸ耀@Chaitanya Banthia Call TomDocuments/24-213-01%20Hibiscus%20House/00-Estimating/09%20Estimates/Project%20Estimating%20Matrix.xlsx癭ᤸ耀똈⽖翿뛘⽗翿Ĺ㾀逐빅ĸ㾀鸀비ĸ熜ᨸ耀ᰀ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巠⼽翿%20C珜͢退恘⼽翿쀀庈⼽翿嶸⼽翿帘⼽翿擰鉸ĸ昸鉸ĸ朸鉸ĸ⛲锐賕ĸ锔賕ĸ锔賕ĸꎰ賕ĸꎸ賕ĸꎸ賕ĸ뿰뿰뿰뿰뿰뿰㾀攀鉸ĸ ČĀ诰鉗ĸ诠鉗ĸ噸⼽翿噘⼽翿攀鉸ĸ擸鉸ĸ험뮜ĸ뿰뿰뿰뿰漐鈙ĸ䈀쀀쀀巠⼽翿㈀옯翿珤Ѐ退恘⼽翿庈⼽翿嶸⼽翿帘⼽翿졀銼ĸ杰鉸ĸ梸鉸ĸ榸鉸ĸ⛹鈠賕ĸ鈤賕ĸ鈤賕ĸ䀸ĸ䀸䀸䀸㾀⿲枀鉸ĸⓘ肑ĸ䶠쾔ݐ㽰魰鉗ĸ魠鉗ĸ噸⼽翿噘⼽翿枀鉸ĸ杸鉸ĸ휸뮜ĸ㍈銦ĸ䀸䀸闀鈘ĸ䈀梠鉸ĸ䈀鉇ĸ巠⼽翿9猌׿耀槐⼿翿庈⼽翿嶸⼽翿자⽛翿槰鉸ĸ欸鉸ĸ永鉸ĸ⛽ĸ䂞翿렀䂈렀䂈䂞㾀㉥옯翸噸⼽翿噘⼽翿樀鉸ĸ槸鉸ĸ력貫柰鈙ĸ刀鉇ĸꏀ뭰ĸ巠⼽翿ments/Palm%20House%20Hotel%20-%20Take%20Off%20Sheet%20TOTALS%2004.12.24.xlsx晢偆䕟䍘䅈䝎彅剏䥇D瑨灴㩳⼯畯汴潯⹫梫涳쪏ၯꝀ쇖ĸ濁Ĺ&#10;타飱￺ĸ'浐鉸ĸｆ￸ༀ샭ĸ獇8退믐뭰ĸ9?莠消Ĺ僠邑ĸ胐消Ĺ 蒐消Ĺ≭ਬ†椢瑡㨢∠㜱㘲㐱〲㐹Ⱒ ∠摩祴≰›產獲Ĭ耀꿰쁻翿ꎘ쁻翿쀀 奘쁼翿妰쁼翿堸쁼翿塰쁼翿墨쁼翿壠쁼翿夘쁼翿ૈ삂翿匐쁼翿㾀勐쁼翿獡ɡ耀꿰쁻翿ꎘ쁻翿쀀 奘쁼翿妰쁼翿堸쁼翿塰쁼翿墨쁼翿壠쁼翿夘쁼翿ૈ삂翿匐쁼翿㾀勐쁼翿獬͘退몰뭰ĸ9?砀消Ĺ 烠消Ĺ㼐淗Ĺ砰消Ĺ&#10;挶ⴸ㑢〶㠭㘱晣㜰㍤戳⹦攰㌸戴㝤㘭㠲ⵢ㈴㡣犛ѣ耀꿰쁻翿ꎘ쁻翿쀀 奘쁼翿妰쁼翿堸쁼翿塰쁼翿墨쁼翿壠쁼翿夘쁼翿ૈ삂翿匐쁼翿㾀勐쁼翿犆Ԣ耀꿰쁻翿ꎘ쁻翿쀀 奘쁼翿妰쁼翿堸쁼翿塰쁼翿墨쁼翿壠쁼翿夘쁼翿ૈ삂翿匐쁼翿㾀勐쁼翿犵ج蠀䶐⼾翿ĸ쭸⼾翿漶Ĺ$'佰섖ĸ侀섖ĸ侀섖ĸĂĸŤ⼿犠ݜ耀꿰쁻翿ﮀ쁻翿쀀 奘쁼翿妰쁼翿堸쁼翿塰쁼翿墨쁼翿壠쁼翿夘쁼翿ૈ삂翿泈쁼翿浨쁼翿硨쁼翿犯࠱耀꿰쁻翿ꎘ쁻翿쀀 奘쁼翿妰쁼翿堸쁼翿塰쁼翿墨쁼翿壠쁼翿夘쁼翿ૈ삂翿匐쁼翿㾀勐쁼翿狚ऺ退ꁀ뭰ĸ9?篰消Ĺ 翠消Ĺ芀消Ĺ&#10;SGC潬楧⹮業牣獯景潴汮湩⹥潣⽭攰㌸戴㝤㘭㠲ⵢ狉ਭ耀꿰쁻翿ﮀ쁻翿쀀 奘쁼翿妰쁼翿堸쁼翿塰쁼翿墨쁼翿壠쁼翿夘쁼翿ૈ삂翿泈쁼翿浨쁼翿硨쁼翿狴଴耀꿰쁻翿ﮀ쁻翿쀀 奘쁼翿妰쁼翿堸쁼翿塰쁼翿墨쁼翿壠쁼翿夘쁼翿ૈ삂翿泈쁼翿浨쁼翿硨쁼翿狣౲耀꿰쁻翿ꎘ쁻翿쀀 奘쁼翿妰쁼翿堸쁼翿塰쁼翿墨쁼翿壠쁼翿夘쁼翿ૈ삂翿匐쁼翿㾀勐쁼翿狮ര退鏀诏ĸ*/㵐淗ĹGeneral潠消Ĺ吀邑ĸARCHIVE楯甹伹䤵爝๋退ꬣ鎪ݑen-AEMaĂM爈཰退ꬣ鎪ݑes-CUĸĂ¦爷္耀꿰쁻翿ﮀ쁻翿쀀 奘쁼翿妰쁼翿堸쁼翿塰쁼翿墨쁼翿壠쁼翿夘쁼翿ૈ삂翿泈쁼翿浨쁼翿硨쁼翿爢ᄶ退괰뭰ĸ9?穰消Ĺ 蓰消Ĺ簠消Ĺ&#10;SGC鬐浅Ĺ趐浅Ĺ牑ሀ蠀䶐⼾翿翿쭸⼾翿澙Ĺ$'㽰澵Ĺ㾀澵Ĺ㾀澵ĹĂŤ牜ጹ耀꿰쁻翿ꎘ쁻翿쀀 奘쁼翿妰쁼翿堸쁼翿塰쁼翿墨쁼翿壠쁼翿夘쁼翿ૈ삂翿匐쁼翿㾀勐쁼翿牋᐀耀꿰쁻翿ﮀ쁻翿쀀 奘쁼翿妰쁼翿堸쁼翿塰쁼翿墨쁼翿壠쁼翿夘쁼翿ૈ삂翿泈쁼翿浨쁼翿硨쁼翿牶ᔀ耀꿰쁻翿ﮀ쁻翿쀀 奘쁼翿妰쁼翿堸쁼翿塰쁼翿墨쁼翿壠쁼翿夘쁼翿ૈ삂翿泈쁼翿浨쁼翿硨쁼翿牥ᘹ退骠뭰ĸ9?耐消Ĺ 紐消Ĺ冐淗Ĺ臀消Ĺ&#10;稐浅Ĺ濰诋ĸ綐ᜀ耀꿰쁻翿ﮀ쁻翿쀀 奘쁼翿妰쁼翿堸쁼翿塰쁼翿墨쁼翿壠쁼翿夘쁼翿ૈ삂翿泈쁼翿浨쁼翿硨쁼翿綟᠀退靀诏ĸ*/㩐淗ĹGeneral湀消Ĺጀ澊Ĺ17矐消Ĺ 綊ᤸ退贰诏ĸ*/㲐淗ĹGeneral盠消Ĺ䒰邑ĸARCHIVE∶紊0綹ᨲ退Edwin Calderon's OneDrive - Hedrick Brothers Construction ‏» ‎‎Documents ‏» ‎‎Attachments綤ᬸ退穠诏ĸ*/㤐淗ĹGeneral秠消ĹArchive勀邑ĸ緓ᰀ退딐뭰ĸ9?穀消Ĺ 燐消Ĺ喐淗Ĺ腠消Ĺ&#10;莐鄧ĸ侰赃ĸ緞ᴀ退ꐰ뭰ĸ9?芰消Ĺ 萰消Ĺ䞐淗Ĺ箐消Ĺ⢰赃ĸ緍Ḹ退ꇰ뭰ĸ9?煀消Ĺ 痰消Ĺ㽐淗Ĺ煰消Ĺ&#10;䂰赃ĸゐ鋖ĸ緸ἀ退頠诏ĸ*/㶐淗ĹGeneral硠消Ĺ䩐邑ĸ癐消Ĺ⽰赃ĸ緧 耀꿰쁻翿ꎘ쁻翿쀀 奘쁼翿妰쁼翿堸쁼翿塰쁼翿墨쁼翿壠쁼翿夘쁼翿ૈ삂翿匐쁼翿㾀勐쁼翿紒ℸ耀꿰쁻翿ﮀ쁻翿쀀 奘쁼翿妰쁼翿堸쁼翿塰쁼翿墨쁼翿壠쁼翿夘쁼翿ૈ삂翿泈쁼翿浨쁼翿硨쁼翿紁∀耀꿰쁻翿ꎘ쁻翿쀀 奘쁼翿妰쁼翿堸쁼翿塰쁼翿墨쁼翿壠쁼翿夘쁼翿ૈ삂翿匐쁼翿㾀勐쁼翿紌⍥退鬰诏ĸ*/㫐淗ĹGeneral湰消Ĺ儰邑ĸARCHIVE紻␀退饰诏ĸ*/㿐淗ĹGeneral玀消Ĺ删邑ĸARCHIVE紦─退ꃠ诏ĸ*/䂐淗ĹGeneral焐消Ĺ嘰邑ĸARCHIVE24-2絕☭退꒠讄ĸ9?瀠消Ĺ 炀消Ĺ㸐淗Ĺ畠消Ĺ&#10;xlsx컰붫ĸ츐붫ĸ櫪⺳즏ၯ劰賫ĸᾰ블ĸ╳䵜捩潲潳瑦홀ꕷĸੑ균붿ĸ즀ꕷĸਔ₀블ĸ&#10;਒㲰붋ĸ懲ꕷĸ6 ਵ⍀블ĸamFiਝ쫠빂ĸffic㙀ꕸĸ&#10;ਗᆐ솭ĸਐ秀ꕸĸ&#10;ਘ⅀블ĸ`ꀀX扨慬㕰㐲㇐꾦枆䀙㮛ꇩ皔呻敜ᇯ膘淴ᄿ晳㇐꾦枆䀙㮛ꇩ皔呻敜ᇯ膘淴ᄿ晳ÌÂ ꀀ匱卐諢䙘䲼䌸ﲻ錓頦칭a匱卐藠俹ၨ醫✫Eἀᨀ倀爀漀樀攀挀琀 䔀猀琀椀洀愀琀椀渀最 䴀愀琀爀椀檹璺쯎oᏀ솵ĸ粠불ĸꝈ䁈ꐮ砽ᶌ栀H辜䅱ឫథ⨊啂&#10;ഀ쯈o쎰솘ĸ嵐肠ĸ匱卐ᚱ䑭趭䡰䢧⹀㶤豸h䠀鰀鎏᧵燘ꭁ┗਌䈪U䈪U鎏᧵燘ꭁ؀쯃o玠郃ĸ뮊ĸЀ쯁o￐瀋Ĺ⦰ꖅĸ汸硳一打牺䙣䐶礷〶披枳쮝ၯ苐鉧ĸ㻰潳Ĺ타枱ﲺ䉒穎#銐鉸ĸ￻䅁䅁∰∬灡≰∺硅粻,耀缰起ĸ銰鉸ĸ老起ĸ堰肗ĸी鈲ĸ肗ĸච鈲ĸ肗ĸᠠ鈲ĸ肖ĸꑀꟌĸ¨Wⱀ鈲ĸ춰肖ĸ⿀鈲ĸ肗ĸㆀ鈲ĸ肗ĸਔਓਔ쵠鉧ĸ鈽ĸਔ傰肗ĸ쒰銩ĸ喰肗ĸ첐銩ĸ凰肗ĸ퇐銩ĸĸ銩ĸ嫘肗ĸ銩ĸ呰肗ĸ銩ĸ匰肗ĸ銩ĸ局肗ĸ⧠鋆ĸ뺠肖ĸ⫐鋆ĸ쎰肖ĸⶠ鋆ĸ襰먞翿㺀鋆ĸ䤰肗ĸ䧀鋆ĸ䮰肗ĸㄠ븂ĸ㷠肗ĸ肗ĸ宀涅Ĺ肗ĸ蟐涮Ĺ肖ĸ謰涮Ĺ肗ĸ뗰涮Ĺ肖ĸⓐ潅Ĺ쀈肖ĸ湥湡彴摩糲ť褀ǀ馘鉸ĸ陀鉸ĸ氾ꑀꟌĸW䔀㈻翿䕀㈻翿ઘઘ㶰붮ĸઘ랠澒Ĺ뤀澒Ĺ뤀澒Ĺ蘿式7ᣠ潂Ĺ襰먞翿襘㉹翿饈鉸ĸ꾀澝Ĺ愀≬∬楴簍Ⱥ退밀聶ĸƐ購ĸ뼠聶ĸ﵈賻ĸ좀聶ĸ駐鉸ĸྚ惠ಒ䯎쭺ﻅྏ⇉붔캐쐝᫷魳䀎耀骠鉸ĸ䔀㈻翿䕀㈻翿䔠㈻翿䖀㈻翿䖠㈻翿䕠㈻翿摯7縷摯7賭ĸ鹿븑ĸ襘㉹翿䵀淑Ĺ賻ĸ祡湟浡≥籄ͷ退到浢Ĺ̀劐浢Ĺ̂怐浢Ĺ̀櫰浢Ĺ̀抰浢Ĺ̀氐浢Ĺ̂挐浢Ĺ̀嬰浢Ĺ̂桐浢Ĺ̀敐浢Ĺ̀宐浢Ĺ̀洰浢Ĺ̂楰浢Ĺ̀昐浢Ĺ̂羟Т退㰰섬ĸ̀㪰섬ĸ̀㲐섬ĸ̀㚐섬ĸ̀㛰섬ĸ̀㝐섬ĸ̀浢Ĺ̂浢Ĺ̀０浢Ĺ̀浢Ĺ̂Ő浣Ĺ̀浢Ĺ̀殺浢Ĺ̂浢Ĺ̀5Realtek USB GbE Family Controller #2㍻䉁㈳䉂ⵂ䐴㠰㐭㌸ⴰ㙂㠰䌭䔶㍆䕄㠳䌶紹攀獲翖ճ退ठ遟ĸ̀遞ĸ̀遞ĸ̀遞ĸ̂ﳀ遞ĸ̀р遟ĸ̀ՠ遟ĸ̂遞ĸ̂Ԁ遟ĸ̀遞ĸ̀遞ĸ̂遞ĸ̂遞ĸ̀遞ĸ̀㄰乔䡇㍑㝊契䡇䈴呏串奈㍐啕㌴啋㙔坚索∬桳牡灥楯瑮㐳摢ⴷ㈶戸㐭挲ⴸ㥢捥攭散换㜹㤱敢∴∬敷形摩㨢〢㝣缑١退⒐渠Ĺ̀➐渠Ĺ̀┐渠Ĺ̀⼐渠Ĺ̀㰐渠Ĺ̀㾐渠Ĺ̀⮐渠Ĺ̀㜐渠Ĺ̀㦐渠Ĺ̀⊐渠Ĺ̀⪐渠Ĺ̀⺐渠Ĺ̀▐渠Ĺ̀⠐渠Ĺ̀㨐渠Ĺ̀͐肘ĸ䄀븟ĸૐ肘ĸ䣠븟ĸঐ肘ĸ䮀븟ĸҐ肘ĸ敲摡牣浵缨ݛ退밀聶ĸ䍐肗ĸ뼠聶ĸꮠ鉸ĸ耀걠鉸ĸ䔀㈻翿䕀㈻翿䔠㈻翿䖀㈻翿䖠㈻翿䕠㈻翿襘㉹翿䵀淑Ĺ붠肖ĸ▰澦Ĺ姀肗ĸ氷瑹摮䝭罣ࡁ褀밀聶ĸ꼰鉸ĸ澯ꑀꟌĸW䔀㈻翿䕀㈻翿યયᾠ謼ĸય똰澒Ĺ랐澒Ĺ랐澒Ĺאּ敿7ꋐ瀛Ĺ襰먞翿襘㉹翿눈鉸ĸᰀ輔ĸ⣝ṑ欀涼Ĺ銰ĸ䵀淑Ĺ㼠赠ĸ▰澦Ĺ蚈赟ĸ纺॥退耷ĸ耷ĸ닀鉸ĸ萪旕ʛ섫⊐⽟迟踨ﭷ꺰ᵎ⒨栯罭耀뎠鉸ĸ䔀㈻翿䕀㈻翿䔠㈻翿䖀㈻翿䖠㈻翿䕠㈻翿襘㉹翿」ṑ绵ਵ退섫ĸ̀堰潄Ĺ̂ΐ섬ĸ̀섫ĸ̀侮섫ĸ̀ð섬ĸ̰̀섬ĸ̂섫ĸ̀熰潄Ĺ̀섫ĸ̀ﴰ섫ĸ̀Ȑ섬ĸ̀섫ĸ̂襘㉹翿.xls㨢≻灡≰∺硅縌ବ退놐뵖ĸ̀뉐뵖ĸ̀뙰뵖ĸ̀랐뵖ĸ̀륰뵖ĸ̂말뵖ĸ̀뼐뵖ĸ̀뭐뵖ĸ̀빐뵖ĸ̂뺰뵖ĸ̂뇰뵖ĸ̀늰뵖ĸ̂댐뵖ĸ̂데뵖ĸ̀돐뵖ĸ̀ (IKEv2)㑻䔵䌷㡂ⴱ㈲䕁㐭ぁⵆ㐸㕂䈭㑂䈲㠹䈱䈸細繇౥褀ꇐ鈋ĸ뵰鉸ĸ묁銒ĸ둠鈋ĸȟ뎐銒ĸ뙰鈋ĸধ筧ꑀꟌĸWᲰ鈊ĸ˦룠銒ĸᵠ鈊ĸꙖ翿૳૳䴀謼ĸ결銒ĸ૳갠澒Ĺ궀澒Ĺ궀澒Ĺʒ7젰銒ĸ㞀鈊ĸɮ쎀銒ĸ㣠鈊ĸʎ랠銒ĸ㐐鈊ĸʲꢠ銒ĸ厰鈊ĸǮ감銒ĸ䌰鈊ĸ襰먞翿⽀鈊ĸu뜀銒ĸ䰠鈊ĸ밗쁈鉸ĸ⏀輔ĸƫ껠銒ĸ嗀鈊ĸࣜ김銒ĸ〹ⵄ䈳䈳㐭㔶ⵁ㥂〲䔭䐵㔳㈸䕁㍆紲䔀捸汥Ⱒ禞ഢ退遞ĸ̀遞ĸ̀遞ĸ̀遞ĸ̀遞ĸ̂遞ĸ̀遞ĸ̂遞ĸ̂遞ĸ̀遞ĸ̂遞ĸ̂遞ĸ̀遞ĸ̀襰먞翿襘㉹翿偕Ⱒ昢楲秙๹退΀遟ĸ̀ŀ遟ĸ̀怒遞ĸ̀Ϡ遟ĸ̂䀐渠Ĺ̂㮐渠Ĺ̀遞ĸ̂﫠遞ĸ̀遟ĸ̀Ơ遟ĸ̂遞ĸ̂ࣀ遟ĸ̀נּ遞ĸ̀帰赻ĸ礐ུ退뛰浡Ĺ̀띐浡Ĺ̀룐浡Ĺ̀렐浡Ĺ̀롰浡Ĺ̂쮐浡Ĺ̀浡Ĺ̀혐浡Ĺ̀浡Ĺ̂컰浡Ĺ̀浡Ĺ̀힐浡Ĺ̀襘㉹翿䵀淑Ĺ쎠远ĸ▰澦Ĺ远ĸ獩灟湩敮礫ၡ退๠遟ĸ̀ᓀ遟ĸ̀ᅠ遟ĸ̀ᦠ遟ĸ̂ኀ遟ĸ̀ዠ遟ĸ̀⾐渠Ĺ̂⸐渠Ĺ̀ఠ遟ĸ̂Რ遟ĸ̀ᚠ遟ĸ̂ಀ遟ĸ̂Ẁ遟ĸ̀ៀ遟ĸ̀祢ᅌ退遞ĸ̀遞ĸ̀졀遞ĸ̂쉀遞ĸ̀유遞ĸ̀鲀셁ĸ̀蘀셁ĸ̀錠셁ĸ̂蛀셁ĸ̂鳠셁ĸ̀訠셁ĸ̀阠셁ĸ̀螀셁ĸ̂ቐ邘ĸ㫀鋆ĸ쾰邗ĸ㮰鋆ĸ䟠邘ĸ㶐鋆ĸ슸邗ĸ㺀鋆ĸ᎐邘ĸ䐠鋆ĸᬸ邘ĸ䣐鋆ĸ탰邗ĸ䧀鋆ĸᘐ邘ĸ䲐鋆ĸᲠ邘ĸㄠ븂ĸﷰ邗ĸ㼐潅Ĺ䋸邘ĸ敨牤捩扫碽ብ退밀聶ĸ⻐肗ĸ뼠聶ĸ⪈肗ĸ齐讈ĸ틐鉸ĸ耀펠鉸ĸ䔀㈻翿䕀㈻翿䔠㈻翿䖀㈻翿䖠㈻翿䕠㈻翿襘㉹翿▰澦Ĺ앨肖ĸ≻灵≮∺磴፴退譀셁ĸ̀賀셁ĸ̀销셁ĸ̀鯀셁ĸ̂玐渠Ĺ̀雠셁ĸ̀琐渠Ĺ̀碐渠Ĺ̀眐渠Ĺ̂贠셁ĸ̀걀셁ĸ̀뇠셁ĸ̀Ethernet 2Realtek USB GbE Family Controller㝻㜶㈳㉁ⴲㄱ䈵㐭㐲ⵁあ㐹㤭䈹㥆䈱䈱ㄴ細捵楴湯Ⱒ砏ᑬ退⢰浣Ĺ̀⤐浣Ĺ̀⥰浣Ĺ̀⪐浣Ĺ̂⫰浣Ĺ̀㲐浣Ĺ̀䄐浣Ĺ̀䜐浣Ĺ̀㋐浣Ĺ̀䔰浣Ĺ̀㚐浣Ĺ̀䎰浣Ĺ̀䖐浣Ĺ̀㈐浣Ĺ̀⯀潒Ĺ̂ (PPPOE)䑻䘴㝅〹ⵄ䈳䈳㐭㔶ⵁ㥂〲䔭䐵㔳㈸䕁㍆紲氀Ⱒ產汲硆ᕴ退ᑰ浣Ĺ̀ᔰ浣Ĺ̂ᖐ浣Ĺ̀ᝰ浣Ĺ̂័浣Ĺ̀ϰ浣Ĺ̂ѐ浣Ĺ̂⍰浣Ĺ̂➐浣Ĺ̂Ự浣Ĺ̀Ⱀ浣Ĺ̂ᬰ浣Ĺ̀䝀邊ĸ局肗ĸ䧠邊ĸ䐰肗ĸ啀邊ĸ乘肗ĸ嘠邊ĸ䆰肗ĸ崠邊ĸ塘肗ĸ廠邊ĸ僘肗ĸꞰ郋ĸ肗ĸ댐郋ĸ肗ĸ왐郋ĸ肗ĸ탐郋ĸ肗ĸ픰郋ĸ肗ĸퟐ郋ĸ肗ĸ䵀淑Ĺ㷠肗ĸ▰澦Ĺ肖ĸ䠠摥楲正箁ᙴ退검遞ĸ̀簐渠Ĺ̀꿠遞ĸ̀뗠遞ĸ̀뮀遞ĸ̀듀遞ĸ̂날遞ĸ̀됀遞ĸ̀砐渠Ĺ̀믠遞ĸ̂猐渠Ĺ̀礐渠Ĺ̀憐渠Ĺ̀檐渠Ĺ̀뚠遞ĸ̂troller #2㍻䉁㈳䉂ⵂ䐴㠰㐭㌸ⴰ㙂㠰䌭䔶㍆䕄㠳䌶紹漀桴篘ᝯ退https://outlook.office365.com/owa/wopi/files/35eb0f05-0ce7-47a3-ac54-b4a1fdf1a058@hedrickbrothers.com/AAMkADM1ZWIwZjA1LTBjZTctNDdhMy1hYzU0LWI0YTFmZGYxYTA1OABGAAAAAABgQTiRnxfNSbzrcF6D7y60BwC4RBNzVBL-S7lytndmGLfhAAAAAAEMAAC4RBNzVBL-S7lytndmGLfhAACebCUJAAABEgAQANhgMCn0eipFqWbx06pqjCU=_AADbmXo.MQkAAAAAAAA=/WOPIServiceId_FP_EXCHANGE_ORGID/WOPIUserId_c7317639-b8ef-46c8-b460-816cf07d33bf/8.5x11%20Final%20to%20Acct%20%20by%20Location%20CB%20Rev.xlsx楯挮浯猯瑩笓ᡥ退밀聶ĸ鉸ĸ耀鉸ĸ䔀㈻翿䕀㈻翿䔠㈻翿䖀㈻翿䖠㈻翿䕠㈻翿襘㉹翿ퟐ郋ĸꈐ迦ĸ䵀淑Ĺ胀迦ĸ▰澦Ĺ粐迦ĸ∬敷形摩笪ᥣ退鐀道ĸࣸ赲ĸ쁀⡖翿क़赲ĸ혈⡖翿Ԙ赲ĸ退⾨翿੸赲ĸ酀⾨翿घ赲ĸ⾩翿ᗸ赲ĸ⾩翿৘赲ĸ⾩翿સ赲ĸ⾩翿ᅘ赲ĸ⾩翿ኸ赲ĸ⾩翿੘赲ĸ⾩翿ᇸ赲ĸ⾩翿ᆸ赲ĸ⾩翿መ赲ĸ⾩翿׸赲ĸ⾩翿ᘘ赲ĸ⾩翿ઘ赲ĸ⾩翿ঘ赲ĸ⾩翿ሸ赲ĸ⾩翿ᕘ赲ĸ⾩翿ᄸ赲ĸ⾩翿ڸ赲ĸ⾩翿ט赲ĸ⾩翿ኘ赲ĸ⾩翿Ә赲ĸ⾩翿ᗘ赲ĸ⾩翿Ը赲ĸ⾩翿ո赲ĸ⾩翿૘赲ĸ⾩翿֘赲ĸ⾩翿ظ赲ĸ⾩翿ژ赲ĸ⾩翿ॸ赲ĸ⾩翿৸赲ĸ蘿⾩翿ਘ赲ĸ露⾩翿ᅸ赲ĸ怒⾩翿ዸ赲ĸ麗⾩翿ጘ赲ĸ喝⾩翿ᖘ赲ĸ猪⾩翿ᖸ赲ĸﲨ⾩翿Ӹ赲ĸﳸ⾩翿՘赲ĸﴠ⾩翿ָ赲ĸ﵈⾩翿ቘ赲ĸﵰ⾩翿ٸ赲ĸ︐⾩翿ᕸ赲ĸﻘ⾩翿ቸ赲ĸｐ⾩翿ዘ赲ĸｸ⾩翿ਸ赲ĸ￰⾩翿ؘ赲ĸ⾪翿স赲ĸƀ⾪翿ᘸ赲ĸƨ⾪翿ᆘ赲ĸǸ⾪翿स赲ĸظ⾪翿ᇘ赲ĸৠ⾪翿٘赲ĸㄺ絽第挢筥ᩯ退竰浡Ĺ̀糐浡Ĺ̀綐浡Ĺ̀繐浡Ĺ̀賰浡Ĺ̀鄐浡Ĺ̀衰浡Ĺ̀謐浡Ĺ̂螰浡Ĺ̀輰浡Ĺ̂蹰浡Ĺ̀趰浡Ĺ̂蒰浡Ĺ̂Local Area Connection* 6WAN Miniport (PPTP)䍻䔵ㅄ䐷ⵂ䕆䌸㐭ㅅⴸ䔸ㅅ㠭㉁ㄹ䘳㘹㌱紲〭ⴶ㜱ㅔ窼ᬺ退Ⴠ联ĸ̀ꩠ셄ĸ̀ꮀ셄ĸ̀ꯠ셄ĸ̀ਰ联ĸ̀鿠셄ĸ̀굠셄ĸ̀겠셄ĸ̀ۀ联ĸ̀덠셄ĸ̀鵀셄ĸ̀관셄ĸ̀Local Area Connection* 5WAN Miniport (L2TP)㑻ㅄ㈱〹ⵄ㡄㠰㐭㑆ⴶ㐹䙃㐭䙆㘵䔳䌷㠳紲㌶㈸ㄲ㠸竷ᰲ退浡Ĺ̀浡Ĺ̀콐浡Ĺ̀浡Ĺ̀췐浡Ĺ̀浡Ĺ̀琰潄Ĺ̀浡Ĺ̂浡Ĺ̂浡Ĺ̀浡Ĺ̀浡Ĺ̀浡Ĺ̂税ᵣ退∬楤灳慬役慮敭㨢䌢慨瑩湡慹䈠湡桴慩索∬楴敭瑳浡≰∺〲㐲〭切鉸ĸ耀﫠鉸ĸ䔀㈻翿䕀㈻翿䔠㈻翿䖀㈻翿䖠㈻翿䕠㈻翿襘㉹翿敤瑮慩⁬穉ṯ退遞ĸ̀遞ĸ̀遞ĸ̀遞ĸ̂遞ĸ̀遞ĸ̀遞ĸ̀⌐渠Ĺ̂⚐渠Ĺ̀遞ĸ̂遞ĸ̀遞ĸ̂遞ĸ̂遞ĸ̀遞ĸ̀肗ĸퟐ郋ĸ肗ĸ䵀淑Ĺ᷐肗ĸ▰澦Ĺ肖ĸ㔱ⴴ㄰㈥斀έ需ͱĀ侨⾪翿砈㵲Ｏ뀀浲Ｏ砀ꩍＯĀ缇㢐䀀ꩍＯĀ缊㢐㠀꩏Ｏ섀缇㢐瀀꩏Ｏ缇㢐뀀ꩍＯ℀缈㢐꩏Ｏ缎㢐저꩎Ｏ섀缍㢐Ȁ码ꧫＯȀꎠ⼽翿ꠑ鈍ĸ빐⽤翿ᓡ避ĸă酀⾨翿瀄㴶Ｏ퀀ඓ㢒砀㵲Ｏꠀ撓Ｏꠀ喺Ｏ᠀懲Ｏ退㳿Ｏ쀀㼉ＯȀ䀁ꢑＯЀ牸⼽翿鎨⽤翿모⽕翿⽡翿ﯰ⽗翿⽡翿ꎠ⼽翿༑避ĸă酀⾨翿砃㵲Ｏꠀ撓Ｏ䀀埼Ｏꠀ撓Ｏ埻Ｏ᠀懲ＯȀꨁＯԀ㙰⼽翿鎠鈍ĸ㝸⼽翿ᔑ避ĸX⼽翿鎨⽤翿ⷈ⼽翿๑避ĸⶀ⼽翿ற避ĸăǸ⾪翿瀅㴶Ｏ倀ඕ㢒砀㴷Ｏ缍㢐堀㴀Ｏꠀ撓Ｏ저㴭Ｏꄀ缌㢐耀㴭Ｏ缋㢐̀ꨁＯ؀㙰⼽翿醐鈍ĸ㝸⼽翿ᒁ避ĸX⼽翿鎨⽤翿⽕翿ী⼿翿ⷈ⼽翿఑避ĸⶀ⼽翿ᘁ避ĸăǸ⾪翿瀆㴶Ｏက඙㢒砀㴷Ｏ턀缕㢐堀㴀Ｏꠀ撓Ｏ㠀懖Ｏ᠀懲Ｏ저㴭Ｏ㄀缓㢐耀㴭Ｏ넀缎㢐̀ꨁＯԀ㙰⼽翿躐鈍ĸ㝸⼽翿ᙡ避ĸX⼽翿鎨⽤翿ⷈ⼽翿ม避ĸⶀ⼽翿ཁ避ĸ̃̃姀肗ĸ㘵〶㉥㘲旛‵退昸㤭㌱ⵥҰ鉹ĸ耀ՠ鉹ĸ䔀㈻翿䕀㈻翿䔠㈻翿䖀㈻翿䖠㈻翿䕠㈻翿襘㉹翿牯≹∺汐捡≥∬祴数㨢䌢慬獳捩牍≵∬牭彵摩㨢㌢㡥㥥㥦ⴳ攷户攒ℶ退Ґ联ĸ̀鸀셄ĸ̀ꬠ셄ĸ̀ꔠ셄ĸ̀联ĸ̀늠셄ĸ̀걀셄ĸ̀꣠셄ĸ̀ր联ĸ̀ꥀ셄ĸ̀ꦠ셄ĸ̀대셄ĸ̀Ethernet 2Realtek USB GbE Family Controller㝻㜶㈳㉁ⴲㄱ䈵㐭㐲ⵁあ㐹㤭䈹㥆䈱䈱ㄴ細ⴶ㠲㉔㨰攭∹耀牵楩䚀激Ĺ䚀激Ĺೈ鉹ĸௐ鉹ĸ뷌롒蝰ᗑ萍꼅실㋜嵨◺盭⾲촑ㆪ鴃耀䔀㈻翿䕀㈻翿䔠㈻翿䖀㈻翿䖠㈻翿䕠㈻翿恟7恟7쐰肸ĸ襘㉹翿425x340㈸ㄲ㠸㤷㤲㈲㜴㜳Ⱒ朢潲灵楟≤∺敢摢挴㝥㠭ㅢⴵ昴摣㠭㠷ⴵ摡㉢〰㙦戶昶Ⱒ椢彳整浡彳潣湮捥整≤琺畲絥∬整浡彳档湡敮彬湩潦㨢≻牵≬∺瑨灴㩳⼯敨牤捩扫潲桴牥捳浯献慨敲潰湩⹴潣⽭楳整⽳敒楳敤瑮慩偬敲潣獮牴捵楴湯匯慨敲╤〲潄畣敭瑮⽳敇敮慲≬∬楴汴≥∺敇敮慲≬絽∬桳牡湩彧湩潦㨢≻瑳瑡≥ㄺ絽第挢瑡来牯≹∺汐捡≥∬祴数㨢䌢慬獳捩牍≵∬牭彵摩㨢㠢扦㔵㕤ⴰ㈲晣㐭つⴱ愸㔴㌭㘸㐴㌴㤳㈱≣∬楴敭獟慴灭㨢㈢㈰ⴴ㜰ㄭ吲㤱㐺㨸㤰〮〰〰〰≚∬獩灟湩敮≤昺污敳∬畳獢牴瑡彥摩㨢刢䅧䅁䉁內楔湒晸华穢捲㙆㝄㙹䈰䍷刴乂噺䱂匭氷瑹摮䝭晌䅨䅁䅁䅊䅲䍁刴乂噺䱂匭氷瑹摮䝭晌䅨䍁䅔昶䅪䅁ぁⰢ愢灰㨢䔢捸汥Ⱒ產汲㨢栢瑴獰⼺栯摥楲正牢瑯敨獲潣⹭桳牡灥楯瑮挮浯猯瑩獥刯獥摩湥楴污牐捥湯瑳畲瑣潩⽮桓牡摥㈥䐰捯浵湥獴䜯湥牥污倯潲敪瑣⽳〴┴〲敗瑳潷摯㈥䌰物汣╥〲敗瑳∯∬楴汴≥∺〴‴敗瑳潷摯䌠物汣⁥敗瑳Ⱒ猢牥楶散楟普≯笺產敳彲摩㨢挢㌷㜱㌶ⴹ㡢晥㐭挶ⴸ㑢〶㠭梫涳쎏ၰ赒ĸ㻰潳Ĺ&#10;타﷫偅䥏አ鉹ĸ散湟浡≥∺桓牡健撺 退멸㉷翿몀㉷翿먰㉷翿〠㉺翿⽸㉺翿ares('u%21aHR0cHM6Ly9oZWRyaWNrYnJvdG§gjbϰ邿ĸhc〠㉺翿⽸㉺翿0vc2l0ZXMvUmVzaWRlbnRpYWxQcmVjb25zdH§WpbՐ邿ĸhc〠㉺翿⽸㉺翿1lbnRzL0dlbmVyYWwvUHJvamVjdHMvRE8lMj&amp;lMᐘ鉹ĸlM〠㉺翿⽸㉺翿ElMjBIaWJpc2N1cyUyMEhvdXNlL0NvbW1lcm&amp;lMᒘ鉹ĸoa&#10;]wQTIwR擆İ退멸㉷翿몀㉷翿먰㉷翿〠㉺翿⽸㉺翿s楍牣獯景╴擏š耀https://graph.microsoft.c§f.0䯰鉍ĸda〠㉺翿⽸㉺翿21aHR0cHM6Ly9oZWRyaWNrYnJvdGhlcnNjb2§Phcば鉍ĸud〠㉺翿⽸㉺翿MvUmVzaWRlbnRpYWxQcmVjb25zdHJ1Y3Rpb2&amp;hcᛘ鉹ĸwR〠㉺翿⽸㉺翿dlbmVyYWwvUHJvamVjdHMvRE8lMjBOT1QlMj&amp;lM᝘鉹ĸyM&#10;%=clMXZlL搒ɐ退멸㉷翿몀㉷翿먰㉷翿〠㉺翿⽸㉺翿ile:///Z:\sers\ecalderon\Downloads\§\eIڰ邿ĸum〠㉺翿⽸㉺翿:\sers\ecalderon\Downloads\m/v1.0/§Ldaૐ邿ĸre〠㉺翿⽸㉺翿M6Ly9oZWRyaWNrYnJvdGhlcnNjb20uc2hhcm&amp;udᦘ鉹ĸvc〠㉺翿⽸㉺翿RlbnRpYWxQcmVjb25zdHJ1Y3Rpb24vU2hhcm&amp;wRᨘ鉹ĸlb&#10;RlMTMtM搾ͬ退멸㉷翿몀㉷翿먰㉷翿〠㉺翿⽸㉺翿NoaXZlL0NPTU1FUkNJQUwlMjBIaWJpc2N1cy§Lvdİ邿ĸwQ〠㉺翿⽸㉺翿N0aW1hdGVfMTIuNS4yMy54bHN4')/driveIt§&lt;umᆰ邿ĸ牐〠㉺翿⽸㉺翿://graph.microsoft.com/v1.0/$metadat&amp;re᱘鉹ĸ1a〠㉺翿⽸㉺翿RyaWNrYnJvdGhlcnNjb20uc2hhcmVwb2ludC&amp;vc᳘鉹ĸvU&#10;BwRnRzL摊Ѭ退멸㉷翿몀㉷翿먰㉷翿〠㉺翿⽸㉺翿file:///C:\jBIaWJpc2N1cyUyMEhvdXNlL0&amp;lcḘ鉹ĸlM〠㉺翿⽸㉺翿C:\U1FUkNJQUwlMjBIaWJpc2N1cyUyMEhvdX&amp;wQẘ鉹ĸ0J〠㉺翿⽸㉺翿VfMTIuNS4yMy54bHN4')/driveItem/thumb&amp;%Ἐ鉹ĸњ耀〠㉺翿⽸㉺翿EC/Payroll/TIME.xlsxdrickbroth摬ੳ耀W&amp;H=ᾘ鉹ĸtp&#10;naron_枖դ退멸㉷翿몀㉷翿먰㉷翿〠㉺翿⽸㉺翿20-%20HB%20Cover%20Letter.docx枀੹耀h§Nଯ耀妰鉍ĸH=〠㉺翿⽸㉺翿edrickbrotherscom-my.sharepoint.com/§&gt;naฐ鉍ĸde〠㉺翿⽸㉺翿others_com/Documents/They%20were%20p&amp;ed⇘鉹ĸ0b〠㉺翿⽸㉺翿me.docxix.xlsx架ఀ耀W=425_H=340_https&amp;դ耀≘鉹ĸth&#10;%%Ktrhare枢ز退멸㉷翿몀㉷翿먰㉷翿〠㉺翿⽸㉺翿PE%20SHEET.xlsxᅡ耀\??\枭൜耀W=425_H=3§VtpẐ鉍ĸdr〠㉺翿⽸㉺翿m-my.sharepoint.com/personal/ecalder§Ddr᎐鉍ĸth〠㉺翿⽸㉺翿ents/Desktop/Subcontractor%20List%20&amp;.2⒘鉹ĸls〠㉺翿⽸㉺翿๜耀≻楓敺汃獡≳∺≣∬楗瑤≨㌺〴∬效杩瑨㨢㐳ⰰ唢汲㨢栢瑴獰⼺猯畯桴散瑮&amp;慩⹰┘鉹ĸ潦浲&#10;%-S٦耀╁䘲㈥框柎ݣ退멸㉷翿몀㉷翿먰㉷翿〠㉺翿⽸㉺翿渰c-8ed2柷༶耀≻摉㨢圢㐽㔲䡟㌽〴桟瑴獰⼺栯摥楲正牢瑯敨獲潣⹭桳牡§O猯瑩㳐鉍ĸ污牐〠㉺翿⽸㉺翿浵湥獴䜯湥牥污启慲正湩╧〲楔敭砮獬≸∬牕≬∺瑨灴㩳⼯敨牤捩扫潲桴牥捳浯献§?潣⽭塐鉍ĸ瑮慩〠㉺翿⽸㉺翿潄畣敭瑮⽳敇敮慲⽬牔捡楫杮㈥吰浩⹥汸硳Ⱒ䔢灸物瑡潩≮∺〲㐲〭ⴶ㈱ㅔ㨳㤵〺&amp;ma❘鉹ĸဧ耀〠㉺翿⽸㉺翿〴∬效杩瑨㨢㐳ⰰ唢汲㨢栢瑴獰⼺猯畯桴散瑮慲畬ㅳ洭摥慩⹰癳⹣獭琯慲獮潦浲琯&amp;潲楶⟘鉹ĸ䙴牯&#10;%&amp;L正牢楯瑮挮浯朚ࡡ退멸㉷翿몀㉷翿먰㉷翿〠㉺翿⽸㉺翿㔲䡟㌽〴桟瑴獰⼺栯摥楲正牢瑯敨獲潣⹭桳牡灥楯瑮挮浯猯瑩獥刯獥摩湥楴污牐捥§_⽮桓ࠐ邿ĸ湥獴〠㉺翿⽸㉺翿㐲ㄭ㐵〭┱〲敂獳浥牥㈥吰畲瑳㈥ⴰ㈥估敮㈥䘰慬汧牥伯敮㈥䘰慬汧牥㈥ⴰ㈥䔰瑳§O慍牴ඐ邿ĸ汧牥〠㉺翿⽸㉺翿瑴獰⼺栯摥楲正牢瑯敨獲潣⹭桳牡灥楯瑮挮浯猯瑩獥刯獥tion/_朴ቩ耀≻&amp;∺≣⨘鉹ĸ∬效〠㉺翿⽸㉺翿畯桴散瑮慲畬ㅳ洭摥慩⹰癳⹣獭琯慲獮潦浲琯畨扭慮汩瀿潲楶敤㵲灳♯湩異䙴牯慭&amp;䑚ㅍ⪘鉹ĸ祍〰&#10;U灡╩䘲Ⅲ畊杊朦४退멸㉷翿몀㉷翿먰㉷翿〠㉺翿⽸㉺翿file:///C:\Users\ecalderon\Downloads\&amp;%敪瑣⯘鉹ĸ࠲耀〠㉺翿⽸㉺翿C:\Users\ecalderon\Downloads\䴰瑡楲╸〲㈱〮&amp;∬牕ⱘ鉹ĸ敨牤〠㉺翿⽸㉺翿潣⽭楳整⽳敒楳敤瑮com/si杞ᑳ耀W=425_H=340_https&amp;drⳘ鉹ĸth〠㉺翿⽸㉺翿repoint.com/personal/ecalderon_hedri&amp;thⵘ鉹ĸm/&#10;luxth杲ੳ退멸㉷翿몀㉷翿먰㉷翿〠㉺翿⽸㉺翿file:///Z:\琯畨扭慮汩瀿潲楶敤㵲灳♯湩異䙴牯慭㵴汸硳挦㵳䑚ㅍ呏&amp;祍〰⺘鉹ĸ坙歆〠㉺翿⽸㉺翿Z:\╁䘲㈥框摥楲正牢瑯敨獲潣⹭桳牡灥楯瑮挮浯㈥彆灡╩䘲㉶〮㈥摆楲敶╳䘲&amp;な創⼘鉹ĸ睤噺〠㉺翿⽸㉺翿ᙫ耀≻摉㨢圢㐽㔲䡟㌽〴桟瑴獰⼺栯摥楲正牢瑯敨獲潣⹭桳牡灥楯瑮挮浯猯瑩獥&amp;污牐⾘鉹ĸ⽮桓〠㉺翿⽸㉺翿潲敪瑣⽳䑎╁〲┭〲㌲ㄭ㤴〭┱〲┭〲㐱┹〲╅〲湉敬╴〲牄㈯ⴳ㐱ⴹ㄰㈥ⴰ㈥䔰&amp;〲慍〘鉹ĸ牕≬&#10;≻摉㨢圢㐽㔲䡟㌽〴桟瑴獰⼺栯摥楲正牢瑯敨獲潣⹭桳牡灥楯瑮挮浯猯瑩獥刯獥摩湥楴污牐捥湯瑳畲瑣潩⽮桓牡摥㈥䐰捯浵湥獴䜯湥牥污倯潲敪瑣⽳楈楢捳獵㈥䠰畯敳䠯扩獩畣╳〲潈獵╥〲畂杤瑥㈥䔰瑳浩瑡彥㈱㔮㈮⸳汸硳Ⱒ唢汲㨢栢瑴獰⼺栯摥楲正牢瑯敨獲潣⹭桳牡灥楯瑮挮浯猯瑩獥刯獥摩湥楴污牐捥湯瑳畲瑣潩⽮桓牡摥㈥䐰捯浵湥獴䜯湥牥污倯潲敪瑣⽳21887929224737剩确书打牺䙣䐶礷〶睂㑃䉒穎䉖ⵌ㝓祬湴浤䱇殫溳즏ၰ堠붗ĸ㻰潳Ĺ타응︻灃挰㊰鉹ĸ잗牵≬∺瑨灴㩳⼯敨暽k退OneDrive - Hedrick Brothers Construction ‎» Attachments ‎» 8.5x11 Final to Acct  by Location CB Rev - ALLOWANCES 05.23.24.xlsx4쮠⽮翿暬Ŕ退https://hedrickbrotherscom-my.sharepoint.com/personal/eroot_hedrickbrothers_com/Documents/NDA%20Hardware%20-%20Copy_Rev.xlsx≯笺愢灰㨢䔢捸曟Ȣ退က䙊䙉Āā怀怀䌀ࠀ؆؇ࠅderon\AppData\Local\Microsoft\Office\16.0\aggmru\c7317639-b8ef-46c8-b460-816cf07d33bf_ADAL\x-swm-en-US-sr.jsonx摩㨢〢曎͈耀[F00000000][T01DAED94340F6DA0][O00000000]*C:\Users\ecalderon\Downloads\Hibiscus House - 08-02 Doors_ Frames _ Hardware.csv䄂ĸlsx曡ѥ退က䙊䙉Āā怀怀䌀ࠀ؆؇ࠅ漇湩⹴潣⽭楳整⽳敒楳敤瑮慩偬敲潣獮牴捵楴湯匯慨敲╤〲潄畣敭瑮⽳敇敮慲⽬牐橯捥獴䐯╏〲低╔〲单╅〲㐲㈭㌱〭┱〲楈楢捳獵㈥䠰畯敳䌯浯敭捲慩╬〲牁档癩⽥佃䵍剅䥃䱁㈥䠰扩獩畣╳〲潈獵╥〲畂杤瑥㈥䔰瑳浩瑡彥㈱㔮㈮⸳汸硳〮⸷㐲砮獬x昐Ԣ耀[F00000000][T01DAED931EC67930][O00000000]*C:\Users\ecalderon\Downloads\Hibiscus House - 06-01 Rough Carpentry - Framing.csv鄋xlsxx昃٥耀[F00000000][T01DADD0B33C52DB0][O00000000]*C:\Users\ecalderon\Downloads\TURNHAM GREEN - MILLWORK SCOPE OF WORK 07.16.24 (1).xlsxlsx昲ܳ退က䙊䙉Āā怀怀䌀ࠀ؆؇ࠅ春ࡩ退傉䝎਍ਚഀ䡉剄　　؈圀車Preconstruction-_api-GroupService-GetGroupImage-id='aa25ef1c-8ed2-46cd-9890-80c105600092'&amp;hash=638221887929224737晔ॳ退Residential Preconstruction ‎» General ‎» Projects ‎» Archive ‎» 23-368-01 - Turnham Green ‎» 23-368-01 - Estimating Matrix=晇੡退Residential Preconstruction ‎» General ‎» Projects ‎» Archive ‎» 23-368-01 - Turnham Green ‎» 23-368-01 - Estimating Matrix䄂lsx晶ଢ耀[F00000000][T01DAED93C30DAE00][O00000000]*C:\Users\ecalderon\Downloads\Hibiscus House - 07-02 Sprayed Foam Insulation.csvpꑁꕇNDlsx晩ష耀[F00000000][T01DAAAF4D7671490][O00000000]*C:\Users\ecalderon\Downloads\1000 Museum PH - Estimating Matrix(Lead Times).csve/ Dr憘൴耀[F00000000][T01DA7F7E6BD44050][O00000000]*C:\Users\ecalderon\OneDrive - Hedrick Brothers Construction\Division List .csvE/p/es/⼯敨牤捩扫潲桴牥捳浯献慨敲潰湩⹴潣⽭楳整⽳敒楳敤瑮慩偬敲潣獮牴捵楴湯匯慨敲╤〲潄畣敭瑮⽳敇敮慲≬∬楴汴≥∺敇敮慲≬絽∬桳牡湩彧湩潦㨢≻瑳瑡≥ㄺ絽第挢瑡来牯≹∺汐捡≥∬祴数㨢䌢慬獳捩牍≵∬牭彵摩㨢㈢敥㐹㘰ⵥ㄰㕦㐭㤵ⵦ㥡㔸㐭㔴〰⭲쪏ၰ膐鉧ĸហ鉬ĸĒ൰타띁뼻ㄺ㨳䋀鉹ĸﾏ昺污敳∬畳獢牴瑡憼&quot;退̗ࠃ§䠍呔⽐⸱‱〲‰䭏਍慃档ⵥ潃瑮潲㩬瀠楲慶整਍潃瑮湥⵴敌杮桴›㜱〰਍潃瑮湥⵴祔数›畭瑬灩牡⽴敲慬整㭤戠畯摮牡㵹產極㩤散㙤愵㜹〭〶ⴴ搴㠲愭搷ⴶ愲〶㠹晤攵㤵椫㵤∱※祴数∽灡汰捩瑡潩⽮潸⭰浸≬※瑳牡㵴㰢瑨灴⼺琯浥異楲漮杲〯∾※瑳牡⵴湩潦∽整瑸砯汭ഢ倊倳›偃∽䱁⁌义⁄卄⁐佃⁒䑁⁍佃潎䌠剕䌠单⁯噉潁䤠䑖⁯卐⁁卐⁄䅔⁉䕔潌传剕匠䵁⁯乃⁔佃⁍义⁔䅎⁖乏⁌䡐⁙剐⁅啐⁒乕≉਍ⵘ敎睴牯卫慴楴瑳捩㩳〠㔬㔲㘵ⰸⰰ㤵㈬㠴㈲ⰸⰰ㤱〶㔳㈬സ堊匭慨敲潐湩䡴慥瑬卨潣敲›റ匊ⵐ敓癲捩ⵥ潃瑮硥㩴丠瑯愠慶汩扡敬为瑯愠慶汩扡敬਍䥍䕍嘭牥楳湯›⸱ര堊䄭灳敎⵴敖獲潩㩮㐠〮㌮㌰㤱਍ⵘ慄慴潂湵慤祲›低䕎਍ⵘ䐱䍓汯敬瑣牯牕㩬栠瑴獰⼺洯扯汩⹥癥湥獴搮瑡⹡業牣獯景⹴潣⽭湏䍥汯敬瑣牯ㄯ〮യ堊䄭楲䍡汯敬瑣牯剕㩌栠瑴獰⼺戯潲獷牥瀮灩⹥牡慩洮捩潲潳瑦挮浯䌯汯敬瑣牯㌯〮യ匊剐煥敵瑳畇摩›㌲戸昴ㅡ㜭戰ⴱ〶〰㜭㐸ⴵ昰㘸摡愱㤵愹਍敲畱獥⵴摩›㌲戸昴ㅡ㜭戰ⴱ〶〰㜭㐸ⴵ昰㘸摡愱㤵愹਍卍䌭㩖漠⭕䥌䘷䅷䉇刴⭑片灒浚⹧ര堊刭獥潰獮卥慴獴›楖䅡䑆吽畲㭥䙁䕄癮䴽䅉〳㕲㭢਍瑓楲瑣吭慲獮潰瑲匭捥牵瑩㩹洠硡愭敧㌽㔱㘳〰ര堊䘭䅒䕍伭呐佉华›䅓䕍剏䝉义਍潃瑮湥⵴敓畣楲祴倭汯捩㩹映慲敭愭据獥潴獲✠敳晬‧整浡⹳業牣獯景⹴潣⁭⸪整浡⹳業牣獯景⹴潣⁭⸪歳灹⹥潣⁭⸪整浡⹳業牣獯景⹴獵氠捯污琮慥獭漮晦捩⹥潣⁭整浡⹳汣畯⹤業牣獯景⁴⸪景楦散㘳⸵潣⁭潧污⹳汣畯⹤業牣獯景⁴⸪潰敷慲灰⹳潣⁭灡⹰潰敷扲⹩潣⁭⸪慹浭牥挮浯攠杮条⹥汣畯⹤業牣獯景⁴潷摲挮潬摵洮捩潲潳瑦攠捸汥挮潬摵洮捩潲潳瑦瀠睯牥潰湩⹴汣畯⹤業牣獯景⁴⸪景楦散灡獰氮癩⹥潣⁭⸪景楦散挮浯⨠洮捩潲潳瑦㘳⸵潣⁭⸪瑳敲浡愮畺敲琭獥⹴敮⁴⸪業牣獯景獴牴慥⹭潣⁭⸪祤慮業獣挮浯⨠洮捩潲潳瑦挮浯漠敮牤癩⹥楬敶挮浯⨠漮敮牤癩⹥楬敶挮浯猠捥牵扥潲敫⹲桳牡灥楯瑮湯楬敮挮浯഻匊剐煥敵瑳畄慲楴湯›㐳਍偓楉䱳瑡湥祣›ര堊倭睯牥摥䈭㩹䄠偓丮呅਍楍牣獯景却慨敲潐湩呴慥卭牥楶散㩳ㄠ⸶⸰⸰㔲㈲സ堊䌭湯整瑮吭灹ⵥ灏楴湯㩳渠獯楮晦਍ⵘ卍䤭癮歯䅥灰›㬱删煥極敲敒摡湏祬਍ⵘ慃档㩥䌠乏䥆彇低䅃䡃൅堊䴭䕓杤ⵥ敒㩦删晥䄠›㝂㜲ㄹ㙃㤱㑃ㄴ㙅䙂䘷䑄㠲䉃㥄㝆㤶删晥䈠›䥍㍁㄰〰㄰㐰〰‹敒⁦㩃㈠㈰ⴴ㤰ㄭ吲㌱㔺㨶㘲൚䐊瑡㩥吠畨‬㈱匠灥㈠㈰‴㌱㔺㨶㘲䜠呍਍਍਍ⴭ畵摩挺摥㔶㥡ⴷ㘰㐰㐭㉤ⴸ㝡㙤㈭㙡㤰搸㕦㕥⬹摩ㄽ਍潃瑮湥⵴䑉›格瑴㩰⼯整灭牵⹩牯⽧㸰਍潃瑮湥⵴牔湡晳牥䔭据摯湩㩧㠠楢൴䌊湯整瑮吭灹㩥愠灰楬慣楴湯砯灯砫汭挻慨獲瑥甽晴㠭琻灹㵥琢硥⽴浸≬਍਍猼䔺癮汥灯⁥浸湬㩳㵳栢瑴㩰⼯捳敨慭⹳浸獬慯⹰牯⽧潳灡支癮汥灯⽥㸢猼䈺摯㹹刼獥潰獮噥牥楳湯嘠牥楳湯∽∲䴠湩牯敖獲潩㵮㌢•浸湬㵳栢瑴㩰⼯捳敨덫᷵喅﫭駟ሬ눏̗ԃx洎獡洮捩潲潳瑦挮浯猯慨敲潰湩⽴潳灡∯㸯刼獥潰獮䍥汯敬瑣潩⁮敗啢汲∽瑨灴㩳⼯敨牤捩扫潲桴牥捳浯献慨敲潰湩⹴潣⽭楳整⽳〲㐲牐橯捥獴•敗啢汲獉湅潣敤㵤䘢污敳•浸湬㵳栢瑴㩰⼯捳敨慭⹳業牣獯景⹴潣⽭桳牡灥楯瑮猯慯⽰㸢刼獥潰獮⁥牕㵬栢瑴獰⼺栯摥楲正牢瑯敨獲潣⹭桳牡灥楯瑮挮浯猯瑩獥㈯㈰倴潲敪瑣⽳桓牡摥䐠捯浵湥獴㈯ⴴㄲⴳ㄰䠠扩獩畣⁳潈獵⽥〰䔭瑳浩瑡湩⽧㤰䔠瑳浩瑡獥倯潲敪瑣䔠瑳浩瑡湩⁧慍牴硩砮獬≸唠汲獉湅潣敤㵤䘢污敳•敒畱獥呴歯湥∽∱䠠慥瑬卨潣敲∽∲删煥敵瑳摥汃敩瑮浉慰瑣∽∳䤠瑮牥慶佬敶牲摩㵥〢•敒潳牵散䑉∽戹愶戲慢㝡戴㘴慣㌸捣攵晦㙦慡搶〹•敔慮瑮摉∽攰㌸戴㝤㘭㠲ⵢ㈴㡣戭改ⵣ捥扥㥣ㄷ戹㑥㸢匼扵敒灳湯敳匠扵敒畱獥呴歯湥∽∱匠牥敶䍲牯敲慬楴湯摉∽㌲戸昴ㅡ㜭戰ⴱ〶〰㜭㐸ⴵ昰㘸摡愱㤵愹•牅潲䍲摯㵥匢捵散獳•剈獥汵㵴〢㸢匼扵敒灳湯敳慄慴䐾䅑䅌㍊䭐䵦氵慁䙢䵧䅃䍁䅳䅧噍穧䙧䴶呏⭯印欶睖㡚换瀷杌䅏潘㕷橏氶煌塒湂瑸畺獫䅃䅁䅁䅁䅁䵁噆㑑䉃䅧䉄䑑䄶奩䑁䅏潘㕷橏氶煌塒湂瑸畺獫䅁光允捑楂䕷㰽匯扵敒灳湯敳慄慴㰾匯扵敒灳湯敳㰾畓剢獥潰獮⁥畓剢煥敵瑳潔敫㵮㈢•牅潲䍲摯㵥匢捵散獳•剈獥汵㵴〢㸢匼扵敒灳湯敳慄慴䐾䅑䅌㍊䭐䵦氵慁䙢䵧䅃䍁䅳䅧噍穨䙧䴶呏⭯印欶睖㡚换瀷杌䅏潘㕷橏氶煌塒湂瑸畺獫䅅䅁䅁䅁䅁䵁噆㑑䉃䅧䉄䑑䄶奩䡁䅏潘㕷橏氶煌塒湂瑸畺獫䅁光允捑楂䕷㰽匯扵敒灳湯敳慄慴㰾匯扵敒灳湯敳㰾畓剢獥潰獮⁥畓剢煥敵瑳潔敫㵮㌢•牅潲䍲摯㵥匢捵散獳•剈獥汵㵴〢㸢匼扵敒灳湯敳慄慴䌠慯瑵卨慴畴㵳䌢慯瑵潨楲杮⼢㰾匯扵敒灳湯敳㰾刯獥潰獮㹥⼼敒灳湯敳潃汬捥楴湯㰾猯䈺摯㹹⼼㩳湅敶潬数ാⴊ甭極㩤散㙤愵㜹〭〶ⴴ搴㠲愭搷ⴶ愲〶㠹晤攵㤵椫㵤ⴱഭᨊ씍镝쯭⊹倔挰⽦⼫书䡂⽵挲佦卹瑁㙖㡒挴䑍婋湺䵩穩䍑捸坵㥄祚㥂⼯䝐硇橷げ据戳䰹ど挶呎敯故䝎歑㜹慩吴呗唹婇婥佐夷䉐湈畧歰浺䭔祕散捣癓杮㥌瑊橭慴癌䤸㥰⭚氫楅塊⬫堯ㅘ㥫䭚㕅䥃歱払浕䉭䵡偒塥漵㥁㉳奤灯刲丹券汷塈獭䤲獙䥃㍳根㑂㥈慺䅳㉒婥獨氰䜳で㑲煲楯楡摌癗楰䱢晪䩶兙瀳硅ㅇ䩇睬㍰䝨睚杸奖硓灡䍹愵究硸⭸癴㌳〰摕畲㙡⽔㌸ぐ㈷搷嘱晐慕摉穷㉓呖䑒獫剤ㅄ噒敂䑩穥敦夷礱㑧扵塣杈呭睮汃佡爹煡䝑䍮㑭塵㔷䙍⽺爷坆摫䥔楱噲票摇䉔獆瑑氰癱灙唷䴹婅剣刱㕎䱰昶湂㕲䘱䙭䈲奇杈捓坚楎㡣爹晷杔㉡䰸獥じ瘷湦䝇刷㘱愱瑶䐲㍬䅘䕡塨坴剉戵瑍䭺䩱呴朵㙮䭄吴欱南嘰䔳奣䍔娷佯ㅓ內䭔搲瘫戲湺㡹の健橈獷䉪坢䭱㤷㔫㑒䉥牂改攳灨㕅均潮䙑硚捙破湶⽘娷歶䭩剹塂睕㙪摂浵摏潂呱晱湂㕲伱摧䵏牤ㅒ湁⼯乤偐ㄱ瘳唷㝃䕤⭪汮嘲啶爲塎晆䅇牨朱湚㌯瀵䰫⼸浤場搫㜸䭍㑖㉰歒捤䱓癁穘㙤改べ㡨㈸㝤䰳睡䩋婴坙䙴煗⼯䥅䙐婨払偷ㅲ䭵瑎瑭瑔㥧⼫噚䔫偩捯堳䔹博升乂灃㈳㤫噬坙杆穙晵㑺愳敵䡶剩畓畃ね䩷礲㡄っ穕摮瘳䭶捋楰呂慒愵敉桰㉦堵兤⭦㑷灣㝏㝵桩牦煩䝅爳汰㡱浴灈收杪伳捗⽐慦穷䝸䘱睥⭣䝂㥴坘挸昸敋啸睍洲噉呌ㄲく汇剳⬵㝐䑭潗䘲䨶礸潘呕䨫㜷䈷䱣捳䐹噔䌲眫汣〹䩆甶煲娱㑱噃䙯祗獐杘丱浴伴䉏歄㍆头睯⬰嘲⼸䴸㥐歊坙⽗橦剱浤㌷卢牁关畈祈啖歌䩹䭤䩌㑔呂獵昲㙐䡏元爯砲晲㌰㍡䅶㡲瑸湳佥确慙歡扑䥌副癏䥰䑌㑢眶男塃潒⼵汗潉扑㉩㥋㥸瑯夰摒㍓楒橉摢灉娲浘䙆㑨坳䡎㡹䡋瑄⽈⽦䉳究扌㑊呄硅浬慖浆㝷䭭潚㜫火⽦祑灳歹摎割塩睡䩍椱摬假灬塡䩌畅瀯搸づ别㐴潣㉖搷噧挫稳㕧扵噮捘ば畁䙐䰫䘱㌲午䡌眹䵏呮祺硄睲䠴稫䉆核㘷䘱栫ㅩ䡨穩祅丸㔰䡤剄儸丳ㄹ㍤呦㡥摦硯㐴杤⽖⽪祴楣㉕灇⽔潭塵奡兆〱䝮潎祑㑤祮敷晏兖塣䩎欶牒剨塶剕呢申硋瑘㠰杇卯唴䩮祷档䡪ぉ桳䝂捆硖普㍶啴硖䥪塴扌桓獰戳楸剚䙖琴䔵汋氫瘹摚䙺⼸娸敤畲樫睯䡎穁㠸歈瑱ㅢ兑潇䡓灈桂扔䡫㙁䕙六硇⭧灶由扮匱䱱乒䱪卨䙶ㅹ㍊⭹獪捘⽥⼸ㅚ㑑坪礰䅢托甲浕㌷煷婍㝔䠰潧ㅭ敭煴兹做扉䵹牖呯䬷㉺䉈奈睚潪畎硶䙌獭㝑瀯佯㔶䕺橈偋桓搷⭵乨瘯潥敋倯㑗吱祒摚畸换塅払牕數慮挱吹㝴づ⽎煂楱敬汓䔵员䵳が㙙䡯允㉄䔱畊愰杄倴㝗⬸偦收橮⼵獑唵㕖㌱䠫晣楮牪獩橮㈵嘱㍗晙䝆夹六估歏桗䭌敳慆慷䡵䱙䉃敔卦㝹扁桔坤穈汹慊晘捲楍楃㈹椱䭆嘸㉲剗灋䔲湧偎啁䭕歔堵䕫汊䉬䔲婩㉍桧㡍䙨㘹⭴ㅆ捅䙨倹渴㡲㈲㙊洴ぬ䐳㙇⼫㝳䱢䝈愱䈸扪博奅䉤坏䝓佷啌湕欯㑦偎潓慵⽮㘵㘵畸㕄䱪㙵佄捄瀷眷㉭㉲㝦䙴塘㠳⭖浐〵敥兴搴单⬳潳䡮㉷䙌欶䭵㉒户㝹呗噓欹睕噬䡥汙䥮氳䩩桹奣獇䥣瑱圯夹㜸噒䡸剖吱乧支临㕩氲獰浳慅歄湂娵牒䄷䑊䩫噊⭒䕅㍓䩘牨坒噧渶䩋剎橌䅹䌳㕸浭䙊㑁兗瑴䉫瑫欯硵捰㕈䝒海摋橬䥮楇歏䥸瘷乤汑啧琶噢䡷䱥㉖六乸儫䭫㝤䡐⽢卦楕㈰汵杣䘵㙊䉓啙搯祤煰䥫瑧㙺橧佨睰㕇契⽑ぇ䥏㜱桄睰湫婁偮㉪杖杇䠵䙖坵噸瑇畇㕂塖畬歔䍮䰳䭱䙏㡋䩦噊灎汫㡩牙䴹䩷捂硇婯塣灎䥍坬煉晷䍂摦㥗㘷湭卄楱丳呢䩖楌灑楘数氯㝚穦䅌低婘〰祚歯兑捡灵硓ㅁ䕆摒㉆䭱穣噪偙ㅡ䔱楆洴睮㠫坣楲瑑楘摲楃慳䭌灂䑹牎硺塵啍硰爵㕩䝎塂湩村奱敏㡓奬㝙敆摨䉒䴴䑙兇橡㝅䍓剫橲椲潅浡砶䭑剉䝹睧捡婩瑩浍䑭䭎奅浓匸⽢汩偓楇牏桺氫㑂呈济䉩䙓伲歮特啇乩䕣收⽨㌫唫扄婚扪祫呂䕨地䵡呏卉癷睫㤫䱖浓刳眵ぷ洷潇㍱浉啯䩹睖塰㙪礵㉯潫椱瀳湭䭚䨱䝍氰牲硰礵䡪䝣㥬ぬ刲佊瑙し匳㕶橍剢儳兏ㅩ䉊䙹眱塰㕩乒噗歔奎獘䑡煊楫䔰换兵㐱䥯䙷摉敯呙歨奓湯㕊剰歲坰乡灑塯捲灂䙩㡗䑣浔䡹䠲扡㐳ぱ具⽩挹㥺㉲㍫摎㘵㉏〱䵪䑆䩤㠴歚牓卨捶乩䡰牲佃で䩇硶啚瘵捍塚倵湐奦㙶塕䜹均䩖㙵䍩潫救㝨兙硲瑡䜰杴䑅伹㑑估䨸㕫祄䙔湫䰯嘵㝳䘴㍇䩯坥夶穳橱㜰摊㑋佊潕捚丷㉺㉱畂㉁㉓䝹㡄捭塒兒卢癤剒畢瑒睅䩖共な偃䔳㑯⭕塓穹癇䱴伲浙䕢⽔祺䭨愸捱剫䑍癖䩓睬䘵噆ぉ䐵䍄匯䕃噴ぇ䩪㡱坮瀶橩䬶䤹䵫ㅰひ义卑琵啯汹档伹䱧䩁朴㑖浙砸䥷洲ぴ䈸噒穴䙋㡅呺硗祌浨噄捤慺䅘㉑䩩捖啋睎特偸牐䕴㉖搹噰ㅗ㡱㥱噕乡䬵㥗祴祷䕫啉稴楸塋牰啥牒㡹硴桖剢硆㕈均㑘穚態䉔扯慆硓㉯歫砱牓䉨佴㉡呩ㅢ灷楘橴剡㑖㉵桁票慮汐䔱ㅬ㝓䝬灍牘㑦兤ㅌ㙺灑湇ぉ呢䭥䕥婉䍩楇橢牘㍗欲䱮浊㉣穥ふ㑙牔牗歘塏㉥欫剘污印奌㍺䑗灰汯栴䩲㑎㌲栰朶周乥⭢獶㍁癨桃㕖䍓契潴睤で塮ふ住㉥欴剘汗剰噮桲癓塈乓协〰戰坓灖湓湭卨䕶ね䅰㥔戰坓瑖湓湮卨䕶乱䰵桭睰戰卹硤塓䕬㕏奌㥴㉉䑳湯儵㥩獏婧㕇佊卙㌷湭乑卵㉅楕敡䙷獩歍畹兡督㍴乯呌剎䩴塚䥬㑏奢扗眫卢癗捗歭欳奮䭴⽗䅋偲䵭噺䙒乭塰䥬㑏奢䱗獷ㅧ㉯䑫瑒卹潧杈乡杴㜱教㉘㙹礫橏䤲牷杇搳歕栵獏㍴䡪㉓升㤸灄灭䠶啫穙へ異䕱獃㥌祰临ㅤ楦㕫啦㑨塬剤嘵塇坏兦塱奂䙘乷㉦㍤穵䥵堫㥯つ㥎⼱挴㙕步慑楙摓汬橓楯摲煸䝕氰え䍚䭪䉋晋乮剮䡥噘歄ㅭ摵潴塹䕬㙋敚摄䥲洫游欰㡊睔䑎䜸步⽖癁灍㙂兌桥睅ㅌ券奰䩇祳䕐摔㍤㕃硔漰䭆橰䡊㙃㌲䩈塥捉㍣坆⬵湢偗瑸卲㝰慉䅣癏畗䝎版栵䕙偅甹䱹䙹煢戲㉩㡱睬畄煎當婶佢塂卩攱䑖歕㑅慢敮瑇癃晃潊偷㍌橫礶啲晲㙰䬲剁甲噯唷䍃佦⽹楋畍㈷祫剚㕵堲䥖䩥湔䍋䭅倸偌佬䵗㑖灈塲䭭䉌浌㈯充噲到樳䕔㉨䙯偏㤵䭢瑄癅䡚瘰䨲瘫晹⽤䘸祌㉧獋䥘呗婭桭畇欶単桌票煶潄㡕猱捥獪㝉㙢䡫䥍䱎㑴慇慤瑴䑢㉊扊潱〴捺湮摈䙱灒歷浆癦㕗瑥敘⼱䱲瑙歩坯潚戹穘栶焲佯㙑穒汘㡥歏䰲睬煣䙺牚昶灍䜲婴坹浓啯敕器瘰伶㍲⽹畢ㅶ畘塭扖䥮䭵摇灂ぉ䑚㉪楫猶奚噫潹䭎兖䄷⭧㑬偏獕扩穡婅剣含塓湴㘹䝌佪㉣牑祲块督乒愯汲佅㘴啒塶圫焸橉慏硤敄塆㙭偑瑴潪煘䩕挰䙌樲剨块牖摦娱祆刳塬噢浹㍋卋慊兘䈯⭊佢け摲祤䭚䅄䅁䅁䅁䅁䅁䅁䅁䅁䅁䅁䅁䅁䅁䅁䅁䅁䅁䅁䅁䅁䅁䅁䅁䅁䅁䅁䅁䅁䅁䅁䅁䅁䅁䅁䅁䅁䅁䅁䅁䅁䅁䅁䅁䅁䅁⽭⭆䅁䅑䜱䱷乕㙈〰䅧䅁䉁削㕕牅䩫杧㵧∽㸯⼼楤㹶搼癩挠慬獳∽楴汴≥匾浯瑥楨杮眠湥⁴牷湯㱧搯癩㰾楤⁶汣獡㵳猢彣牥潲≲㰾㹰桔獩椠⁳⁡整灭牯牡⁹獩畳ⱥ猠⁯牴⁹条楡⁮湩愠映睥洠湩瑵獥㰮瀯㰾搯癩ਾ搼癩挠慬獳∽捳敟牲≄搠瑡ⵡ慴㵧爢晥潣敤㸢瀼吾捥湨捩污搠瑥楡獬㰺㸯瀼刾晥䄠›㌵㤳㜱䍃㕅㜷㤴䄴㍂〷㡅㥁㍂䈴あ㜲删晥䈠›䥍㍁㄰〰㄰㐰〰‹敒⁦㩃㈠㈰ⴴ㤰ㄭ吲㌱㔺㨵㔵㱚瀯㰾搯癩㰾楤⁶汣獡㵳戢湩彧潬潧㸢⼼楤㹶⼼楤㹶ℼⴭ灁印牥敶⵲㸭⼼潢祤㰾栯浴㹬⼼潢祤㰾栯浴㹬뙾댂笂뢄쁍馹⩳ڧ菞》迢冟⧃煐著逸죍鉢㝞䢉႒౷㺞榙ㅎ㐇넂쓋୼ꊷ쒵～ᒚ䈨㑧뛀赈㣜源辔ᵤሿ锾嫮蔧忴䈎툣츭툰餁鏇훹磅䮙⩊濞꙳搘⎾胗㿼員끖ླٴ퐍ÿꜼ竨琅凔㵞덊⺩뭩ꖳ锤冐ᕅ슘⢊ʠ⢊ʠ⢊ʠ⢊ʠ⢊ྠ뺙䔧엱퇌䁭ꩽ琼络￸븀㾁꺈븆ꋛÿ硨㴾ፉ۳ᰧ濹澅懗⯼嫧ﳺ랺쎵絚鷇㱚枳鿒ﰆ署ÿ멋뫉헒蹿鴣袟进뷊ᤶ刌ຫ꾃뻒紋磤諸軉냌ꯧణ蕾⿄噧⤺栾潪᠂㤂阆뵍朌嗺충⩎禔艝⢊⒫ꈨꈨꈨꈨꈨꈨꈨꈨꈨꈨꈨꈨꈨꈨꈨꈨꈨꈨꈨꈨꈨ栲踂㚡쓘绝鶕佒鬧㼳蹊窼㧵빃禔捣옋祥毸竂ꪆ蠢䞈趬迂賌曻䊾᥉话␹➖綒흫㝾껸䘭ⱓ媑阱ꇤպ꣺翎ㆯ듐떙盍䯏㺃챥ẫ칀肾﹤誆䶧廎⎿뒞ꖹ筤셿യ菽齀鵜㴱泻㶇厢寽꿈꩕囶楰㛶囶닉砋⣖퇗恔評峹杍걚㺪沧쬣舔⢊犮誂ꀨꈂ랸䯚衫墒別䚒⇣ᕁᔭ끗㘟䑼濸蝋낿魇酆纸ƭ숿稞ꕽㄴ䉜쿰䤚訔텕䏆퐃帑莿囗䥓碨ݦ뒹陬厴⊙ÿ㱷ꆯ曀楪걓ﯬ㣳킪놶簰쑯὞띅鞝덑ў౷꡷埴匿뷦䠯믡⏹搜봋몫趇ﭏÿ꼝斞䢊栦䚥၉闡ࣆ萾啔寙쌯헕㾫㠣鳖르緶ꆮ띬眶｀瘀鱈鼲嗄쟖뽔듳妋뼿ꔄ걫ᰛ뢠ﱁ့웱훯몼ⲙ鿤螮煄ꨫ鸾벢휒컣ᢳ欟Ⳓ잦ፓ礼쯼噻꟝췇켹曺疅꼏㊓ﳉퟂ눬䳌쵾᫽圭益솞祅꟝鿆췣㿗鳜ꬅ흮㿢홫龋彌᣺켕┬ꨖꛎꆊ굫㟩﮸ꤦ煥麞쉕缾圣߫ⴙⴚ蔻儔ŒᑅŐᑅŐᑅŐᑅŐᑅŐᑅŐⅅ䄡耤햞ꦅ㫃繎귛⏙ꠎ঒缜埀↭獎詶鲸ꋞ랼ꃧ㙍蟹汆蝂㧱ﱯ롶挝䟣㖊줭홦泺轇⛜쟧㚻䁿똫垖ꦈ劦үཽ꡽욶﫢௮䝘♙⊐曾㯝穴獬獪렼ﻳ᧱臼龯뗯応佞ㅳ㧾⺤駟芪㪽㔹䛰쐒ﳉ眧粯롆㐞宻瘋㊭辄ﭷ釟䨟䞚顙鋤䥲䵇樭淺捘輭촽遺产綌鋔爰麔馺ꏔ᜚멬籚網㬸흇鵞粡膶엓ÿ긭⏱푧먏Ŀ啜䲳㴽彾槦ሚ殺㸟Ứ褗孙퍎ﬤＹ需䚉蟈ࣼﳵ欲㳖丿⦳봾潴Ქ黽ꐜ镾⃫　⧬졫骯꧖綤썴᠏ꧯ쩞폆땎孋栫ꂭ뭏䠜䜕⫠ᓅ顗췮諂ꐨ䔁倔䔁倔䔁倔䔁倔䔁倔䔁倔䔁倔അ䵫杍비擓寀Ẩ鸬臅︀騇훆㢎꼹段࿤椓䉇㛱ꚣ䀐鶷㎑㏝㾕醊﹞㽉Ẏⷅꞙ﹓ꎁᙝ귚ⅰ穲䁢﫾緍彧윒씣줪⨙䏨ᴩ恟磘쎳媷뵅뻼툡奡夡娝Ǳ䝂舠ࡲ戼Ჽ⥝ꝍ䔔ꠙ馦ಹ⦆읕뽮㈄㦂ꔇ๹솣岺⯆譫䦽쇁填䅀ÿ爂崃脇⣾篸Ꮖ鶶뜖ொ봭藚i듫䆂Ꟈ江砊周풅蒖铖ꩥؽ⢊뎮ꈐ⢊ꈀ⢊ꈀ⢊ꈀ⢊ꈀ⢊ꈀ⢊ꈀ⢊ꈀ⢊ꈀ⢊ꈀ⢊ꈀ⢊ꈀ⢊ꈀ⢊ꈀ⢊ꈀ⢊ꈀ⢊ꈀ⢊ꈀ⢊ꈀ⢊ꈀ⢊⨁↻࿚ᵾ뉹쑌ผ鼫㜑椘㒻ᮥ勋憵쭸㹙꥾ꎩ阅࠘麈㟒鿊☕஭棃뙿㠵弭ᄙ찱箄쬠쨟⾼柢嵼ᙯꖕ㓃籚퉈ᨀᵦܸᲅ纟戺梸铑껤㪴呪孑秪뮋댻ᚻ㥦윬鼤臯὾䛻綥쪯䮙ﭥм陡ܮૼ纼꺾篸ජ섃攚⚣黙㸿嵯縐膀囸ꖙ杯镃ⵯ栌掿ꊨ⮊以ꋰ⢊ꈀ⢊ꈀ⢊ꈀ⢊ᜃ螦㣢沚렳መ泣荡ퟺſ译ꅉ뭪ℽᦼ迚雽ꊽ趣䞯雡몝⨑陱裡噛毸췢錜輾턼憐歩꽇鋋ဿ锫➒䚊䒎略ℸࢆ⯼㫭綥榤ꊺ푬הּ땛觩埡팫鶧ﰵ싐啘鿑턚偟ﳟ﹭ￜᔀ겼ﲘ輳맒쿛餤稶ﲭ䤨ﰀ힂㍤㱼몷᧹㰼쟖冀읞金積忚㙏鏝᛹讬膏⫾ﺄ巪然쓾㿬◴턕縜嬚၍䷩㱴껎橛篫ٱ겔좿寗숿ᩏ㋀焴踢翄리῾뛸㯛㿼Შ콿䬸ÿ㧨喭፺駓騿␗䆗ﰭ澻绵퐡ᴈ錄ﾳ굙㹈ᇖ것 ◭䞴㲮갿柚㫭ﱅ實ᗳ쪞었䩝풑茑ꍃ罂㽥ຒ깩ꎧ얿ᅱ㒽뿹ꓫ㌌ÿ끼ࢭ㵾譫믾퍉辟⻠ﺼ欬棉ง싾딟玟ﷸ⬸♺鷣䖷署鏯卖ﳣ祿Პ竛；搀更禳ᕮ鿽迅퓛篮ﲗאָ著ꘗÿꇀÿ퇄ÿ︋ﻗ缨㗱듡﹒싋ÿ矪씽㾾藬ڻ»娕轟鿲廵贝ﹸ숫ﯟ꼠ꈗ쮚ꭰﻬ㴬亽꿧輟꺚㐎⁛፻ᨣ뺁砼莀䶷ᓓ◶㽤㗻䕹欕쌯뀯瞪☽護츦懁缆鳧﫾塣翷㰔穣錈驜笰ᩃ轇䃅융坳䚭述佝麞ⱔﳙ媅懃꿡䐪䧻ꎾ痯厭⑓霷ｙ鸀돳ÿ夳퓵ﱚ⼂ﴯ轶ￊ퀀寱徶簅瑝齇鴝峧較㤵ぢ헴銜ꃹ鯤秨ᗕ雭ᶵུ띔㾃幝쉯᠖󜿜ㅳ细뒉畾友쌵晇ꋟ場덹죦秢塤䛣捧ꪀ伲巡覆뿰嫅補䵗㡻鍛b쟼ᗰ黴ꆝ嫩洺瓓寫豁別ꑾ歲롂㙎㗵ᦎ꙽轹뺇昺뗙摙⟕묿ᾈ䇷ﳉ赞敧ꝩⷛ閵㚴⿐軝ࠔ戕扫홪鱷璮ᅆ좎ꈨ삊ꊠ殊ꈲ皖ꀊ鉤հ䀽ᕵ㴾껰䢔ힻ쌬ꬎ邏㺬㊡ѫ槼翰Ӛ畞䏡忖鶳画闾炼᢯렿劇瘫ᕺ윕씯ԯ舲䞰摸ꘟꇚ솛ꂶ꺘꺮묅ﴏ洏茵ᾔỜ௒圔繼䦴椱李侥湙杄૲컟ᾝ윒탌ᐮꩣ⧜ÿ䗙ﵭ誛例⽿⟳폛篮ᔕ㿤뿰뼴˺罞헟ﺣﾗ䀀콋﫻뾴놳쥟翹箘絪廏벢ﺃﾗ䀀콋﫻㲵ṟ⍴춷︕辍첧礨⭶Όﻡ戽绉⹰퍢䚵䙯푈签旍ﱜ衾婤緸﷛溩૰鵿쬑佱ﻬ딎퐵諶뾻뺎頣딕펱솭⋾绬쾕ﳞ땕⊙ﱃ䘰ϱ괿䍴긧닷￹鄀ጏ蜎擔㊀N毮﬚黅팝滍⛂倝ꗎ玐基㟊캚ꦧ㜱跺훕ÿ헌휌㉔﵈ﶹ蟈ꚏ빯팺⬢诋㮲湁췟誶⿧㸾깘蹅熅ꄯ疞뼁碝Ὅ疅⥃䟃췌⛢埏꿱䡈펵ᷞ￈윀ﶀ츫嫄웍纫럏앾뿚蔪Ἐ⭀訲ꗬꖇ婇녱Ꞝ温ꋄ튊嬽顛ꗃ럩뉗ꈎ餈俇뛆촠⛮뢵譋幹ꌩ쥠氤鑕閎㟙⿂윞ﳙ㎰隅ﴲ湃⯽₈䆂⌘᪌切씟ड़殢⨲凫鐮与븿儇꣟迯꽜涂⼬묡閵룡쒅좑և᱘⮂鿫ḽ䯳縼ꕞ噦뀻ࢣ菄徇荣揇檟ꉨꈨꈨꈨꈨꈨꈨꈨꈨꈨꈨꈨꈨꈨꈨꈨꈨꈨꈨ蟢裄׼슥톖煇ⅅ挻핑Ϝ皜调ͨ夛䛱쯘᫫ꖵᦧⰉ箣᝽ﲩ簅궣奼껱릻혧럦뾅闥႘窌繥岓鉜툼鈴㮻쮱ᰳ綒Í⥽ﺯ𢡄阍ᬻ䪝쁁侒엜㼖ੌ迲簐뺞缊ｨ最翀鷥ㆀⷹퟺ喟㶻齑뇉뢴鞺秾Ꮑ縻偀ሄ㮻㎳쮱ᰳ纒ᶵ셇Ჿ榯놈ÿ㼁᝛ÿⶍ甓盆灁㼊Zꫲ淨濼询ࡌ䅼肨⬺㍜䔒뽛槸巣輵㳚꠳疜䔰࿧㋍鸫펺沯洛鷥믅ᡧ㚚齃範刚斌⯱㚍㪶㻈砬Ò혀轋ⵉ濢滗ﱪ᩟嶼㜞敉ᠯÿ࡞㦯놢䩸砏렯榯䞨폱ࣅ혰咚摨軾缩篡鿸糾輴Ｏᰀ⺯Ꞣ㣪決Ჟ勼闭펷ᠣ냨关얷춑얽ꮄ웽膀ヺ괿땹純ཋ裼갽黻槍員ᤆ瘏ｔ㨀럙낡椟뗒켈Ɀﾣ㈀쀫갨陥敡淶旳北㚾䫸뱏࠵ﺸܸ援捗쇸럠믛陒毝ἧ͜ㅟ홒❏뻃ÿ役饙⫵啼䳰₮抵褿༞䆕穝ː彮⯦⫥帪䝍羣ﺀ⺳퟇砱싓ᳳ蠧건ᣧ둫쭟됦㩭臰ꡭ칚住攪毬䳣髑ﴡ휾뺢됸뗖㽍戟꿔넭ÿ朼﹤ꕆÿ鮄｝ꀀꏞÿ侁㗾즓䤟뢯궯윮哘읗殓퐛Ｉ였땉﫯４וֹ弖뻎﫠蕽籅ﾉऀ誟핣ÿ㫰﹏ꔪᱏ꧸⠔ᛱ辩Ꝼ霦⳶䷺浽콐խ࢞忥၉ﴰ︸砠⚶簥ꡁ谜퉼ﺖ❵⳼᡿큿﫾וֹ눞䯚៱揖齃봙켇㓐⟖藸⮲恾끦ﻮ槤ͭ줓瞆ꄟ縤ﲱ｡䄀쿻蕿녣䜝툧ݲ⯤敨룘园㛟굋﵍ÿ䯡㽸磾翞䇠ÿ뀊฾⳸㼀＾椀ﲓ糙옩휥䧵ꌇ죝굿絑韷윎䢻﹉멵홺ﭤ罚緊Ａ਀셷鬎ÿꐂÿ儚翰櫁鷀刲指♵️弽㴴틄⒀鬎骘㺋ﻴ袡ÿ쾟狀떇䶟쉿ｻ䀀㿘㫰﹟䬹ÿ⼈裃榛펲⦃ퟨ舘䫦礨坽榽彿ﺱ絔㐾蘏컖䅃⮠ቷ蝊⛴冧苑ꍅ捬溓Ἁ뻎ꉙ筣郕繻䟑迢↾듕轈썜缴槍萟쩑뾶酥퟽ﳈ糅䖟㜽ῠ靘Ⓟ瘝茌⏎ﾐ嶵ⷾ⓸〈⹙멿뎶﹤彩턯摍㫴避扽轝쯸퓠駋ﴳ曛埅赿Ꮎ⁆ꈮ矠٘뻂ꉰ断缘밿댾㹙⽬嗽ꎏᩇÿ즪щ嫹焌톹왿Ꮌ昴斩啘﷑﷤杢㾸Ṁ蝟輝흽羁䏶敕ﯸ睴㹹蔟㜽雜퟇ᗥ㓣걕ષ쾾엢㵷佪媏柣틉跣ﮟ囨ﰚ㕛Ꮴ넡㢆媎␻ÿ⑻祅ᖽ炤砸ӭ嘧ꥯ忼跱嗮䊵䔰⪼匿望⧗殨꺚ᶵ￬팀饹變砂⛚ꮫ띉퍍⼯툛۞煉崃鮎寰嫇횎웾⳻ﱭ卷砤껺繋떕㐺ﲩ䬱䯤麜⯚ÿ믙靘儇곗ﵭ뱅㝏啝肨Ꞧ썲斴匢淸ভ显뺢뎼⟸⯠杌歆ᾆ㷅跌ۺ뢭ᴾ㛸燕蔟鏴ÿⵝ켑샦ߐᓅ硑䉳ᆀ謖䚧崏ꢖ盧霊௻ｇꀀ轕Ͼݐᓂꇋ㇩Ⓢ⹍擉᠝ꁛ廅䡄⋐ꨪ膎Fྠ〈⹕ꆌ咆우땇彇푿䕲쬜䒶彗᥆Ĕ◰몌饆ة㩝䋒ᘺ亁䨿➭ﲅ⬿荮䵕鄳ȥ୉셚ᝫ̃ᠠԀㆰ嘇⹴ૅᲾ읁继ꕿ懪ْ블撍ꏄ페쵌䇊鴃㥥晝ᱬ⾅¶㫩줴ೌ₹ᑶ層ꏙ趾왝뢼₆轑孪犅ꄍ肵︾℔桓ᾚ⦦亥緛鞩᪉ꍵ쾑즅ㅿϟ먶슈旣鉱닣㤊奦䔉䘻䮸┳ᝯ࿗㦹쩀첆㩳分甎╫汝ꛬ뵂ཕఽ쥢햇䫆嵨왳㰡밃凃Ꮋ搷￻ɉ녱ﬃ렄騺ຬ藟녣埣ᇵ෿杄合薲魹摍먤筗鑾띜ㆵ旕鄠䥲ぇᩬ鄭⓭த㶂䞦྽鞜༦⟝度ു겟▀治珏꒸⛏挨뿎鲘쓉隠⣰뛉䰊请㵭딩ᗦꔡ뫌聬첞奁穤芹㍌嫐㆘腉醦⣡⋽怈ި毼䴾আ㧺慢硫ﴮ惛ꋮﳪ㘘㚚锡ﹼ⏾摭惛椷킋諁⊧ዛ鑐蛾ꛫꧩ꓋퉆㜬᫛싃롿ࠣ挞ֿ龸륳ʒ杈郘毾⌝뙫癬㙂쯼ꊪ鐠丅孤鮄젒薝᜷돠疦퉶よ줽乊跔⺞歕㩏╃럖౻관ꊢꞍ댴뉤䪛㪘⢸꠪≱鰷簦夵藬품ꮁ镃オ빰ꯏ㞎卸ꤰ螦ꓼ竟㵹࿟駔㸹ᮮ⻝গˑ횵뗵ෘⓉ胭寭쭶᪏㕇躒Κ则ཀ⹬㴖怯젆鼆蓕⁕驮編涖ў䦴䨭뭮즛ᒼ「徇㳱᳸⦖襕늟瞲녀䐳⡫ㆱƊ皔㧧咼纡㉰록Ĉ旉䈵ꑆ軫う巘ݪ봎퓊몢৾囆鉓瘇ౙ콗ꘄ㞦靖톭嚗뢸罶턋퓌렱逾ၑ훣锻볱蹐斏Δ摁畨駸ﾔ仧쪊ᦩ䭗萅ￜ텝覈셆⾛˗㗦풄똪킝罺ꉶ꺥얘恈끕䟌咄ຑ囿浡齳╸ᢗ싃ᕹ峎쁁櫚억儵ꏃ蟍΂ఴ祣菄ৢ쵻喁휊ြ䘩饽仛瘑瓎궐翓ኅ繆䫂쀺䭓䣐뫒嬇Ѕʃ뺔㡐犊䎹襉칎좀ᆳ៑ص䵌就沎伊넃얖챰⊱஖嚻ᨻꯦ딥扃㹫ႈ더Ⴂ䎩탣Y휝ꈊ옠ԓﺠ悃皶䙙﮻ṋⲘ筯븿巛콯㮵掣੿㉆裊깙౻㦱仗沦怐ⓣꤹ싘뿾↮⃟硗쯊ᤣ䦑릇煎靈毖䗩﹫躥焕츔쿰ᴾ砛龏贳⥻ꃊᠩ䭧䮽堵씊ĳ㻴䎢ﲰ埳裀㹁ᯣꆼ釈譏쾶鈮Ǟ辡㲂䄑쎵㢭言궅륗텘톒쌁㈄ﾴ엱畒哠ꈕ鿨멌眢잜풙铽뇞꿴ꓒ鵞럚쐔惏巤╨⺰养鷤릖隊➅䧰܅殛ꅘ醇ߺ笹퀺幋汬쬦㎧ﱃﲟ쳤稷﮸䬺⻨쨱㜼埛▐⾋ࠐ䊠蜪歠⤆Ş큠⟽ᚐ⸱ើ욡엛᳞俗鿠ȍ揓쩷뛂⎒裰㲶ヌ挑턑ﳶﶥ᷿驥牼協配쩎幩꿙镬앷譣쉨㝞ᯁ钽Ꮍ塊⯡ꖛ놠྅ꜭ纨鼼⭤럽▲辻꺤쁘餕㭊굋쫴냫쇷ꮣ▕辉絕씑㩟⇢ퟋ樆⯮ㅵ듪댭멅瘟꽒쿸粢鵷尨옰舷꺿ꤥ仦损蒣籦⯊黛틸䠅痪﯀ퟘ儯ꃖ譬ﬢ渍ﲢ픂핝㋾샜쒳眓䓼浍㨠퀌ꚕꝈ磻ሥ൒꥟ꉍ펏ꂯﻡ塹ʌ箧膪㼈⻗鷗승棶ᄒ∊㦹彞顴抿꠽❆쮻彁숬멧첦쮒蒐ᘇ㦲ⳤﴹ㸇〕埸媩ꍉꅗ㻪گ쓯뀱㜮䰻脟쀓ॉ볕朁ᥑ懹⭛흄풞買髤䨖沽న㈂Ϙ㵱Ḉ䶼␠࣊欟菓Ყ◛๡‫珠㩴飯䏁凐쬣醴퍥᳭ퟺꯌ蟳鳻ꩺꌳ괹升஬剒ʄ漖䂖瀑㔐ṱ胆쪹㖟㕆譏㚾炜᱁陳ֈ醂Ǩ⤁늓ꑾ恬杮팸쳙綺﫨✽ិゝՉ㩕럃ݭ⢑둬子쒑䔼稳蔎镌锷泽ᴬ섗⅔됉Ṏ殝ᆖ槒颭鬺ᭇꑛ렒凼걞蟣&#10;뫼奁郤몺ﲼ׈薼鷝履軆ꍙ豄톋䓱茺⒋ 鄔惆ㄿ嫔瞎珝絷ް㨿顱ሌ六㤰澜䅵伾Ὺ蕸ﴷ䖫眪⽮ቴ⁌쇥磱脼怞⪆Ց裈⤖뺉園ਇѼ蜖ට恢褒턉澉ꐟ鐆ᶇ㈠좲ၴ♢按륾٨୒포珈仡룫ꯨ鬜㪲濆伀藄౏ᘘ䩋訞ᆋ䣄드䚶燥ᝐ㮆ⵯ冱⻅꘿鸗彎柅뱎浇䔌ꊢ馵䷃ḉ䣕疥뾊ෙ듳凕菪蔳욟牧ႚ݀⍥ዦ褻ꙻ尬䚔玐㤳吙噰♸쟕ᱮ瀃빧尗浹憬衐㪖꿋ꜷ१뺟⩷Å釔徦抔卐ጻ橏퓶₿་믖蛻뵳節訿蹞춁ฉꙃ킾建㭹荠鬖埻踾薏✥純涿ŀ退̗ఃF䠍呔⽐⸱‱〲‰䭏਍慃档ⵥ潃瑮潲㩬瀠楲慶整਍潃瑮湥⵴敌杮桴›㈱ㄵ਍潃瑮湥⵴祔数›畭瑬灩牡⽴敲慬整㭤戠畯摮牡㵹產極㩤〶㡢㐹〰㠭㍢ⵣ愴㔰㠭愳ⴵ晡戵㍥㑡㥤散椫㵤∱※祴数∽灡汰捩瑡潩⽮潸⭰浸≬※瑳牡㵴㰢瑨灴⼺琯浥異楲漮杲〯∾※瑳牡⵴湩潦∽整瑸砯汭ഢ倊倳›偃∽䱁⁌义⁄卄⁐佃⁒䑁⁍佃潎䌠剕䌠单⁯噉潁䤠䑖⁯卐⁁卐⁄䅔⁉䕔潌传剕匠䵁⁯乃⁔佃⁍义⁔䅎⁖乏⁌䡐⁙剐⁅啐⁒乕≉਍ⵘ敎睴牯卫慴楴瑳捩㩳〠㔬㔲㘵ⰸⰰ㤲㜬㜵㈴ⰹⰰ㜲㈲〵㈬സ堊匭慨敲潐湩䡴慥瑬卨潣敲›ള匊ⵐ敓癲捩ⵥ潃瑮硥㩴丠瑯愠慶汩扡敬为瑯愠慶汩扡敬਍䥍䕍嘭牥楳湯›⸱ര堊䄭灳敎⵴敖獲潩㩮㐠〮㌮㌰㤱਍ⵘ慄慴潂湵慤祲›低䕎਍ⵘ䐱䍓汯敬瑣牯牕㩬栠瑴獰⼺洯扯汩⹥癥湥獴搮瑡⹡業牣獯景⹴潣⽭湏䍥汯敬瑣牯ㄯ〮യ堊䄭楲䍡汯敬瑣牯剕㩌栠瑴獰⼺戯潲獷牥瀮灩⹥牡慩洮捩潲潳瑦挮浯䌯汯敬瑣牯㌯〮യ匊剐煥敵瑳畇摩›㐲戸昴ㅡ㜭㘰ⴷ〶〰㔭㜶ⵣ㕢ぢ㜸㔸捣㔸਍敲畱獥⵴摩›㐲戸昴ㅡ㜭㘰ⴷ〶〰㔭㜶ⵣ㕢ぢ㜸㔸捣㔸਍卍䌭㩖漠⭕䩌摇䅷䉇晗坌桷場桍⹑ര堊刭獥潰獮卥慴獴›楖䅡䑆吽畲㭥䙁䕄癮䴽䅉〳㕲㭣਍瑓楲瑣吭慲獮潰瑲匭捥牵瑩㩹洠硡愭敧㌽㔱㘳〰ര堊䘭䅒䕍伭呐佉华›䅓䕍剏䝉义਍潃瑮湥⵴敓畣楲祴倭汯捩㩹映慲敭愭据獥潴獲✠敳晬‧整浡⹳業牣獯景⹴潣⁭⸪整浡⹳業牣獯景⹴潣⁭⸪歳灹⹥潣⁭⸪整浡⹳業牣獯景⹴獵氠捯污琮慥獭漮晦捩⹥潣⁭整浡⹳汣畯⹤業牣獯景⁴⸪景楦散㘳⸵潣⁭潧污⹳汣畯⹤業牣獯景⁴⸪潰敷慲灰⹳潣⁭灡⹰潰敷扲⹩潣⁭⸪慹浭牥挮浯攠杮条⹥汣畯⹤業牣獯景⁴潷摲挮潬摵洮捩潲潳瑦攠捸汥挮潬摵洮捩潲潳瑦瀠睯牥潰湩⹴汣畯⹤業牣獯景⁴⸪景楦散灡獰氮癩⹥潣⁭⸪景楦散挮浯⨠洮捩潲潳瑦㘳⸵潣⁭⸪瑳敲浡愮畺敲琭獥⹴敮⁴⸪業牣獯景獴牴慥⹭潣⁭⸪祤慮業獣挮浯⨠洮捩潲潳瑦挮浯漠敮牤癩⹥楬敶挮浯⨠漮敮牤癩⹥楬敶挮浯猠捥牵扥潲敫⹲桳牡灥楯瑮湯楬敮挮浯഻匊剐煥敵瑳畄慲楴湯›ㄷ਍偓楉䱳瑡湥祣›ര堊倭睯牥摥䈭㩹䄠偓丮呅਍楍牣獯景却慨敲潐湩呴慥卭牥楶散㩳ㄠ⸶⸰⸰㔲㈲സ堊䌭湯整瑮吭灹ⵥ灏楴湯㩳渠獯楮晦਍ⵘ卍䤭癮歯䅥灰›㬱删煥極敲敒摡湏祬਍ⵘ慃档㩥䌠乏䥆彇低䅃䡃൅堊䴭䕓杤ⵥ敒㩦删晥䄠›䐶䅆䔶䔶䈹㉄㈴㘵㍂䉅䍄䄰䐸㉆㝄㡁删晥䈠›䥍㍁㄰〰㄰㔰㌰″敒⁦㩃㈠㈰ⴴ㤰ㄭ吲㌱㔺㨶㤲൚䐊瑡㩥吠畨‬㈱匠灥㈠㈰‴㌱㔺㨶㤲䜠呍਍਍਍ⴭ畵摩㘺戰㤸〴ⴰ戸挳㐭ちⴵ㌸㕡愭㕦敢愳搴挹⭥摩ㄽ਍潃瑮湥⵴䑉›格瑴㩰⼯整灭牵⹩牯⽧㸰਍潃瑮湥⵴牔湡晳牥䔭据摯湩㩧㠠楢൴䌊湯整瑮吭灹㩥愠灰楬慣楴湯砯灯砫汭挻慨獲瑥甽晴㠭琻灹㵥琢硥⽴浸≬਍਍猼䔺癮汥灯⁥浸湬㩳㵳栢瑴㩰⼯捳敨慭⹳浸獬慯⹰牯⽧潳灡支癮汥灯⽥㸢猼䈺摯㹹刼獥潰獮噥牥楳湯嘠牥楳湯∽∲䴠湩牯敖獲潩㵮㌢•浸湬㵳栢瑴㩰⼯捳敨慭⹳業牣獯景⹴潣⽭桳牡灥楯瑮猯慯⽰⼢㰾敒灳湯敳潃汬捥楴湯圠扥牕㵬栢瑴獰⼺栯摥楲正牢瑯敨獲潣⹭桳牡灥楯瑮挮浯猯瑩獥㈯㈰倴潲敪瑣≳圠扥牕䥬䕳据摯摥∽慆獬≥砠汭獮∽瑨灴⼺猯档浥獡洮捩潲潳瑦挮浯猯慨敲潰湩⽴潳灡∯㰾敒灳湯敳唠汲∽瑨灴㩳⼯敨牤捩扫潲桴牥捳浯献慨敲潰湩⹴潣⽭楳整⽳〲㐲牐橯捥獴匯慨敲⁤潄畣敭瑮⽳㐲㈭㌱〭‱楈楢捳獵䠠畯敳〯ⴰ獅楴慭楴杮〯‹獅楴慭整⽳牐橯捥⁴獅楴慭楴杮䴠瑡楲⹸汸硳•牕䥬䕳据摯摥∽慆獬≥删煥敵瑳潔敫㵮ㄢ•效污桴捓牯㵥㈢•敒畱獥整䍤楬湥䥴灭捡㵴㌢•湉整癲污癏牥楲敤∽∰删獥畯捲䥥㵄㤢㙢㉡扢慡㐷㑢挶㡡挳㕣晥晦愶㙡㥤∰吠湥湡䥴㵤〢㡥㐳摢ⴷ㈶戸㐭挲ⴸ㥢捥攭散换㜹㤱敢∴㰾畓剢獥潰獮⁥畓剢煥敵瑳潔敫㵮ㄢ•牅潲䍲摯㵥匢捵散獳•剈獥汵㵴〢㸢匼扵敒灳湯敳慄慴㸯⼼畓剢獥潰獮㹥匼扵敒灳湯敳匠扵敒畱獥呴歯湥∽∲䔠牲牯潃敤∽敄数摮湥佴汮佹乮瑯畓灰牯整剤煥敵瑳敇却灵潰瑲摥•剈獥汵㵴㈢㐱㔷〰㌰∷㰾畓剢獥潰獮䑥瑡⽡㰾匯扵敒灳湯敳㰾刯獥潰獮㹥⼼敒灳湯敳潃汬捥楴湯㰾猯䈺摯㹹⼼㩳湅敶潬数ാⴊ甭極㩤〶㡢㐹〰㠭㍢ⵣ愴㔰㠭愳ⴵ晡戵㍥㑡㥤散椫㵤ⴱഭ礊꼬あ泆唨俥呫歯湥∽∳䔠牲牯潃敤∽敆瑡牵䑥獩扡敬佤卮牥敶呲湥湡乴瑯畓灰牯整≤䠠敒畳瑬∽ㄲ㜴〵〰㜳㸢匼扵敒灳湯敳慄慴㸯⼼畓剢獥潰獮㹥⼼敒灳湯敳㰾刯獥潰獮䍥汯敬瑣潩㹮⼼㩳潂祤㰾猯䔺癮汥灯㹥਍ⴭ畵摩挺㤹愴晥ⴱ㜹昷㐭昹ⵣ㔹㤱㐭㔰摥ㅢ收搹⬱摩ㄽⴭ਍ᙟꩰﾅ征薂僒籫㼖Հ儔Հ儔Հ儔Հ儔Հ儔Հ儔Հ儔Հ儔Հ儔Հ儔Հ儔Հ儔Հ儔Հ儔Հ儔Հ儔Հ儔Հ儔Հ儔Հ儔Հ儔Հ儔Հ儔Հ嘕ﻶ俓㎷州流億黸蠫ﻕ䠟뿜遭쭿⠻駌㟺廓ߐ풠켳됍奆䣥ᶣ䙞܊毢糀סּ쵆䴬蜟罴鸤蠾枼쟪廩긷轸횻ॵ◯輧븱᱕倀혇ힺ㿅譀皭姚匫뇧臨ܲ䗢ﮱ塈륅崴쥋恄염E⹺욫掴䵑ؾ㇈⟘羖돯ﲖ炍촒쐭ⳍ㓒㦒츬䧬ꡉꁨꘂᦆ☮ᢎꑑ䚖蠈▣㢉ༀпོ糕楏꜎㌍鑏贇潶喚쀽⣠褽꯼糜슿࿾롵뎰꽩恔嵝虜팇ក˰㦀蔯ޟ蟠䤄꼶ꇷ㢷뙤㻴ﶅ໺앞ᑅ儀ᑅ儀ᑅ儀ᑅ儀ᑅ儀ᑅ儀ᑅ儀ᑅ儀ᑅ儀ᑅ儀ᑅ儀ᑅ儀ᑅ儀ᑅ儀ᑅ儀ᑅ儀ᑅ儀ᑅ儀ᑅ儀ᑅጁፃ赵魑༸揰䷨ꉙ誋㏅쒧㍺욏龸ﾈഀ蒦滉ừ沩썈鸀쟨ﻐڇઽ瞊摡ᕼ慿꙳쵟筣섋ͳ隔ᠧ쌪㊵뢶箎幹ꌩ쥠氤鑕蒎접쒯薏Ỗ딺ᄗ娲ᅫ∮죲뤿㤦퀣ỵ࿽뻍੿鎦ﲯ얼죻ﲏ稉๽ℍ鮞鿠읛蜕↋葻Șþ脷潴高씓༺↉栒귺⬙贛쐏썗⑕㱲⭒ꞎ鐡菠棬⮺翣ﰊ蘯塵踮箥橽ⲿ瞖Ⱇ䢐눛胷뷖㼹孩荢ꪼ식苞㴿肂￘椀〽﯇࿏⭞ⱺ쏪샳쮮忁琖᠏蒋﷝疟촏ᬸ输㞘ꝎÅպ鼕믽ﾣ퀀읖ÿጂ櫼㏔㫃蛮酔兽ᾁ¥䕍倔䔁倔䔁倔䔁倔䔁倔䔁倔䔁倔䔁倔䔁倔䔁倔䔁倔䔁倔䔁倔䔁倔䔁倔䔁倔䔁倔䔁倔䔁倔䔁倔䔁倔䔁倔䔁뱓緝浻롪柎傕찵籟鸶缿䯢윧ﯼ龖ÿـ㮀⬺栿ؿ鋛೽⩐ﾃ紀㼰犥᫭ᙉꎇ᜴ᬇ먧ゐ鹑䁾胞舾㎦⤪恧㦪鰤弁樟ᠿ睼ከ꾯ˋ謞ᩭ轅䛅婿鷵呓墳ꖎ硹럞됓ﾇḀ耦쨾ﳔ‭똟诸䙎儝ሧＸ耀侮峩ꕮ䃻㫸狋귙ꃾ싟荢齢犩ⱟ䁑ﺪ㫒릌⍝땁톃ꗮ䥩៼㽮尳ꭆ蟱㫇撰牽塛꩙迃⢣﫝ߗE뭙몽鲿矏㕳췌䧖⺤피홪볒괻轫䪷濒祯チ챂퐇膁ퟸ¿彼閨䁽槚ṱ榢으닇䞦䗦礀ᕅᛵﮅ砾也見걚ꢣ｣븀ÿ꼞끅웰ꚃ遀棙ზ爢ⶡ惔켙½佼ꍡ穪麼魞㻞뙱ᛞﺐ뮂߽忠떌굲海霎狷䗶쿉ᗗ狵䖨ꀊ̅Āᓀú췱飝핗꿯⤵啇罆阁ÿꯇ낹燸췠ȹ䵧稻퀴頉⽾嶓ᑕ퀀老⤽凔Հ儔Հ儔Հ儔Հ儔Հ儔Հ儔Հ儔Հ儔Հ儔Հ儔Հ儔Հ儔Հ儔Հ儔Հ儔Հ儔Հ儔Հ儔Հ儔Հ儔Հ儔Հ儔Հ耴сὤ畚Ĕ磀ÿ粄빉퍆藅珛诶䘜ꕾ둱姾꿷휥ÿ齧堐鎗뱄풶ᷢ猣쯤㿥탷ꚯꁨ蜏漵䊇㕢ᩍ헶ꭗ৉䌷훹紝ÿ静Ἶ濑찟튺✬뭾뚥㽆ꂨ萏꿨펹贞쟃榡쎈ⶣ悤튏舧괵巆⬒孙嫾ፙἉﲂ颿ྠ殎䝋ȭ喺훬㮗礊Ბ꜒直⭰뗝즶㛷꾑៏䜜ࡷ㾓◰輫퟈ꠗ|귱䶞墲著⸈鼶糼ﴨͨᾝ㰕ࡲ쿱ἤ叩쉿ﷷ猌ÿ꣟ÿ髸綡嫆㽱ꗎ햁肢ߊ駢켕닉὘닻厡᫹ද繼໱㒟欱ⷂ푆뫏䑩댊퐆唊ࡲ⏏ᦹ迩뙌ﷸ觠뼥풖ﶟ騄䛹᫻谏Ȟ㢹ᅏꝂ陡﴿䔉䍩࿱돁ꞌ㒊욁祿襸ÿᆡ፟䃑生੝良홚⚝䎺횏얮海ȹ蠫⒤Ѥ硰芯ꀨ뼏꿨ꊁ麸䐐䥓㴘ㅂ꬙ꐺ뉋䨽៱柑㽠籅Ἥ떉䇸땘䫍礰⸡ῤꗖᙟ闸㈘譸噖舜搯缄퓣嘥瘗௚뺈Ꮠ蝹ꚷ뷇卼ÿﾋ흫㝣ÿ夕俞⵵ퟜ䥳ㅱ氾↯冷鏫骜ﬀ퉜孬斩쁮觠ᆮ缎缼玗ꝸ⍆露ꍯ⡊﹘＋ꄀ䪣ÿ闀ÿ脚⢾⇸匉寢輌⑇恾왗倔胯ꋌ紻맇䂎㴿ꮸ섣⁲씣帚괏菂᫹껸任褟ా⛱暞酡肙ﲼ瓍俐쐍塂䤥㵣᠝㼰꾈ꮁ䱋痗᝽ﻌ헊갯챼ﭯ쌭믅묞쵈紀䗛卼ÿᬋ菆㕊ﱟ漊꧱趏א☞삿烵E齽籅꞉歼컱ᾟﶗ랬␃猕猵៾軯辽˾ྠ鎯軏㙙뮋✴雸狕㸿ꐪᮟ⃾䙈됵窌鰥︼桨⮺姣ⰾ뽯寢辱⫮ꠂ옋⠲녎玀鼺ᫌﬀ試菸᏾ឿÿퟐ羮웠﹯鴪ÿƌﳏ娥ủ蒺ﲿU뭽籅ꝱ孼뻱힣枮ﳏ´༴돁牚睼嚶踱梋ﶘꁁ괏꼨ま䣭쒓⡓ÿ傦῅ꫪ猍ﺗ갆璣趧嶳༻鳈ݐ嫙讯㧼⮡橿癫찶掽靹鎣培礟뛀裍⺯௞Vÿ篟⣚뾹ซ툢蟵䬜ÿ骳믊ꗽ吭ꅿ櫸潧깙ǂ׸ᓍ縳嫒쾡㓫跣돳﹠嘀콥ᗭ⁲튱ᴠ蚈㽆꿴ꈡ㶀濣溏۲뚲竪ᚬ近꧔괿靳㢾囱龥咏侕ﭔ蕓ÿ䆾᱉㑯㢂鷑䃏⒣ᓾ踀⏭瘖윬➩팤ꈫ訿෵竃説㽺᳙ﴯ䛴휻ꝁᙼ쎢㜺揙윿㩳ἠ䮆鑾垴榹뎿ꭶฮ꾩귺䶴ﰩ淛冀屋ꗖ쁺ೲ᪋섟罆Z竹媬峚쳞딡骷ཹ襄ጋ૸᯻⾝雃䝌蕻鼳캯畍홖횶衰涭苢턱䀢纠耂㤾结砖嗟惚櫤詿䓥笀敗约黎뤥딡䬝뉎푃椡繜Āퟺ瓓ݐ榌덟螟뚭Ꞷ㡟⏪਋쌟㿦瞭䜚⿃栆㚘Ṿ枳鉞⥜뎙韫㿎ꃨ∆栬ᐑ꠪ÀŠꉏꈨꈨꈨꈨꈨꈨꈨꈨꈨꈨꈨꈨꈨꈨꈨꈨꈨꈨꈨꈨꈨꈨꈨꈨꈨꈨꈨꈨꈨꈨꈨ㤪䤣ꑐ꺊ꪧ좰┵Ĕ疇￠ఀ鏞꿶椏ፓ廆㋎㱿뉦縮研朾겆㿗죳羴৺䃑洞쀿ƿ齍䬯ಞÿ㯏ູ殢弶닁쭽庝献峲᫊뫵̨鯽㎴ꟾ푝轓䓣昅﯍ꤴ菉ⳅ踥繲侢廩䗽簀㿡꺫콾䋦ﳩ妳ᾗ잳텒楝踳ꭰ舻㩽ᾠ維䕅簀熍㟰⎶⋒窜秇ἐ樊ᅼ胸蛭훐踱禭㼎㕇Ĕ俲⣼ếÿ⫐ﰏ輋ÿꎊᓾ轟ܕ׾ￇ씀홗僔줇ﲢｻ䀀㾨⻰︿輪凸㵾ÿ咠἗ÿ引兛ὀ䬣㯰嶹⤞︜⪬罒뼐廨ÿﹿ弹텟ὀ줞柰㝠ꒇ︹쳥ﰭꊞÿ㾅៺Ｇ뼀ﾱᐽ䢐ÿ檄迻ὅ䣣ᙾ伂꾆﹑ᑽ㲅ꙃÿꦃ腛寞兗釹좊ꬠ䄐瀄繟篕஋찻ꩽ᧖폱賍ྠ⢂랯蕟䉧䙧Ͷ딀䒄ÿ㗨꟡岂䵣ែ價씇埔￙ﲪ＋䈀迍왿繕％ꄀ읦茶ὀ儘束薏ڞÿ暡ﻇ㿹団菧偒蕇菴䛇䊴∿̨竢௯蘏磴옖鼡盼抴㓒ᧈ鶼툺輼臠Ĕ鳰䭰簶麨界ꓘ듢뷎ﹱ䎣ꗔÿ퉲﹆빂èȘ肖✾賟㾧蔧燵输嫞缺䃨葖࠿筼赱ᶞᦸﴸ釤ﺧ슄좾肢䘾轷᧤ṽ뤨Ệῲ蛏瘵ÿ틆ᤒ窮䃾헗傔쬇ﺱ田廋뇨햌侻쏙淄ᜰ뺚ಕ㊡煈⫴캿鞾肢䈼텮濓뗛粽銈ﴬ묳뫞ྛẂ넃劉♍띋䋦ᝒ꿴ꉆ㦀佋뺆눊蟁᫃⍩隡⼁蟾瑭㯻ﰈ⮻ⵈﮓ우縐궂䁑ᐅ䁑ᐅ䁑ᐅ䁑ᐅ䁑ᐅ䁑ᐅ䁑ᐅ䁑ᐅ䁑ᐅ䁑ᐅ䁑ᐅ䁑ᐅ䁑ᐅ䁑ᐅ䁑ᐅ䁑？컙ּ퍬ʞ캣醽뵾㔚騈잙ᒝ賩ﵵ㟛쯾᝝⇭卨竅阸엄ÿ㭼ﴟ뢞蕏ꮷ쌻믳؅䗨羒ાǔ緶儔Հ儔Հ儔Հ儔ᑀꝯЪ祊笿姩⓵磪걄凘ᑅ⠈誢⠀誢⠀誢⠀誢⠀誢⠀誢⠀誢⠀誢⠀誢⠀誢⠀誢⠀誢⠀誢⬀俧뾏㷲ｘ㼲᯽紭帗﬇穹跞ﯻ聧泻僻雒軃跧ࠟ棣ᖾ૨䳝皁藍웗쉿樂︥＞꼀ﱁ䇍歕ꮞ橖잵忞㒥䈦퀺ᐨꢢ乁ᒤ肴党䭉胚刔䪊䁑䝒櫷刱頔ꈎ⦊⠌誢⠀誢⠀誢⠀誢豈蔧쓧ᇶꥧ嶻雠甹蛺輧㵂ཫ탡ﲔ闧鄙뒿쨡톁起㼙綅౏㹩투鿎媬๮ኤ責ꤻ茜౞䚆絴혞䳖㝕䝈玡ﶖͨꊠ⢊ꈀ⢊ꈀ⢊ꈀ⢊ꈀ⢊ꈀ⢊ꈀ⢊ꈀ⢊ꈀ⢊ꈀ⢊ꈀ⢊ꈀ⢊ꈀ⢊ꈀ⢊ꈀ⢊ꈀ⢊ꈀ⢊ꈀ⢊ꈀ⢊ꈀ⢊쨃◾⁼욇䏗퍔⎮햱奸䕚㤦烔挷삐㺎㺕簜引欉괩띪쑞蘈倨挤佶炜帱䖿᐀䕑᐀䕑᐀䕑᐀䕑砀ꘝﰙꐱ橪뙛醰齳㇎ퟹノ╏쒭쉓◥쎉ຣ膡㗈䟶ⷅ欬ട쭵㉠泩፮㇗ﲐﰸ棻ಎ択꼩ᨫ⫨濰ꤡ៻̃縝ऀ賏牁䙵캡煨↫㐭塁⊱鞱贆៸﹈祪῵麏谱句䄹᪥瘛忺䮳北弱ᦠⅬ쉶詬䃡벶ᘸꕤ쯤ុ綛臅徉ߺꮃ瘳гឣ㇟ँ鰜厙玩왊ជ鴠ᖋ铸춀ᔌᄶꥒ늝暀͊鍽羍쇲ೇ였〾懝誘患봟죘㠍芃荾㠨껃㛮⭓枤抒䕾泊焆뽣喢齦ߋѵꍍꃁ⪙൰ԖᲞ㠬ᒒ喊쉏൚쩥멲蹋ᐿ遪%㹝畼ᷠ鸮읂欐筽⹃꩸㧊㧱畘퉜㪆ꝇ鏤㘄狂埦ᲁ奼䥺ᬿ㎺ﰣ盞㣵뮳ꕼ尳ꄓﳘ趆پ秡한빁争꽚옇첻냐叆摙袜섗示胣껨ﴫ⊬洶锷껑ꄤ컜徭쉪틪䓘捣う䡏弔툍텞휍䗔芲龐Ạՠ留ἓؘ挴ว뛼䅥ϕ샩஘곁拪힑ᰓ똖넆蜢⬘쭒咑⋟㓧乧㥧轚흤Ⳋ槊彴겼䠩䡖艽䜾᬴腓橚흌圝Ǿʭ亣ᇠǱ㰀沊໬뀟࠭Ԇ㝅뭻퍹શ踧혫堿鶘嘵剻鱊뺓ṊὣἽ镆䞷ἵ쬰췔䴮쀲昴챻ꔘֳ凟製촑ﺅ㥅餵竈蹆ཛ嚯嗧鄬럅擈夹뜬诳丌ᱺǇ䔡䱁愅挱ޭ됅겣蕍憥Ӿ㎭㗒剖榛롙얜쟊땭쭳뿍ꦷ땚䎐赯㣞ڱᡇ饝삒뤏只㷸畯亓竂䧟벿㼰鮳⫳뭙㲘鄳蔪᳟鰝糉佉唔皳Ҙߟ൤ⴼᖚ犉薳磆ਙ匌婶렀嶋粳结ﵨ뎴ⷳ鹞뭯邫鶟鄈䨵䙯쾮鬽ꚛ㔎䵲鼑ʈ㧣ᖥ骣꿒镖䇘좹뷾索໌뵨磌玾꛻鞮⡴ṹ᣼긊⸋ධ୷弿왘茜翐ा慧ȋ襣䴆펚躾㮝瓱穘囊ῆ䢽襘壩톅䘻ˢㇳﯞ䭋폑ั鈯▻㞌働㘧㑸瞛讍兆₟귡女픇⣛艺뭠戮ᖒ떋ﰿ醟㷞蹓妎櫡ꭨ겜槳ᓢ쿇鵳፲췏ᆳ∂滓ᙽ૘承嫇孛㋼㈾䪀૕釚䴦錞ҠҜ옾援Ѱ閪謙þ黈ಊ얎뚨呹ᠣ뽺寊䟬阺츬Ʈꍰ꧳僷碑䷕䟾䑳清㝄씐鑓戒饈龕쟕ꌖꇆ䥉勞鈼Ί雝雮ꟍ⪨淏筦약ᵲ㡖阭﯋↎焢뤖ﱲ謦ᾦ꘬ꚪ囲蟛뼯閫멷誩䅐ꡝ鋑ຖ熇諒ㅔ㘁⑰璨叭녿䤮肴樍᭢꼹稭걑⩘䵉藒鱼鷂癓漢㓶窎北뉟㊗⧺䀠㚪ᆥ놶ᗙǤ풑⇫娹ปΩ늩좔᚛묛ᕒ헚ǒ嵒宁ꙛ걸㤼뼩䗽䫈粕玤藏ảഖ病堒ˢᚔ雯迲ꯝ拺ƪ⁋浧덜൞琭뼸ᓕᣐ鐗ӣﯚ휳쌬첏䗭෽发椸硁ﲐ볭᝹ࢌ锆뼱傲柱뉢驱쾁爌暋⏗쵧곯ṗ㒡毥蠉뒡褌⃛ປ앉輐ॡ혾럈꽢纝썂篟됵⥉篂㠅뱈喇묠ᷘ溛ຑ헀얅ꦣ峊匊覎銲泑ᵥᒡܝ釫마鴟桝⯲帘핵囟ⵕជ洯ᅏ줵㵠诵࿈豰㇙굤觉켳❨⚴ᑣﺺ闠Ⰵ닧䳾᨟饙滥೺뮹垼郭粵뚹᠙㶱ꢘ䀗䥉둝쫯黟ࣹ⎀捤흻ධ铛쌸벍亪辸윣㔹萎ꠂ鍣豪퓈翁ⱂ빲㳚䍟뻏諶驴Ｊ찲ڞ↣떨ۀ삞똀镦翾˗ꉺ띻궪ǲܰ阬팢뭆퀧竐㽛멨䄆똶吒ᚠ뿰㦵녛튉쇼ࢌ숸쇕ᚓ᫧尫ᤑ硝ĸ쵦齓쐪⦾ϰ죬裂ẅ︺뺷눩ᡏ童炒銪ᣖꄫ忀꡾Პ䊈쬖週豟ﲌ蝜Ǟ龇簎郫慹翶ﴱ挧䫵ထ葧肳挝⊦ࠨ䜢젨ᶩ혷齟㲱㌀볗궊⣵砯欱㮟獻㙭┌㘀戝ࣆ귏ﭩ욙⯔︵穐늚얳罠፵藸䎦쉗ￆ큤偡꼿毄蝛ꀲ鯅圢鞣䞓䧧㴯哞ꭚ쀕䠠뎪﷖罎⛍轙觎츏꽗威囻꽆ꕎᔇݔ㞛⟀ҷ駊絧䁛䔄๬ꐇ㍖Ꭶ蝀閯捿뼴ࠊ縚쨪蟮鶒쮻㎇㒘䏎䪟ꕷ兺勖硱縸Ղ臧坪纶ſꫴ瑔쮂⯼륁⓼኱쇓꿛ݥ쳮컠帊쥪嫊Ჲ樨更깑铣퓴Ȿ쏄޴讳臣鞟엷歁㾛廓淝햑磧㧌렆뼑喙桼⵿傃薴꫼⃘翈꿰ㅟ帙♱늽맮㞢騋怍᪖踈鉁씴⸃郞⦡݅顎즍섎獫춠䱖苘镌疏㲶﹂ﳏ練⺳꿻튐렃떜밳㮍揕蚠焇㍅铍斀砂촖륾嵫抶贞꯰幟餂숇ⴰᡆິ뗨鑔魜ᇕ⨼ྛ媟䜈櫤ꈯ༌肹ҩ琔픋粻Ⲇᷠ쭅離暅쨝᥼㲕఼䴬ሞ쩅굻䶦鋰빴㉧鳠䷸と㤥쎥練㊗㿒諕禧ު諾㹨ｘ徜狭溕鳇狉ꞯ꜡谅꿫ጿ菖ꭻ钇❖ꄄ蔠볹夰떬秗鸃罞䃄黃턗ퟗ효〯᝿鐩錟䲣輩봎탌ㄹ⸩䒆슾䝽暉晷뾴㤴א몂䴔陪ᖃ讬ꄘ辚໵ч䮲鎰ꂤ⭃䘴ᘒᩋ䖎拯ѥ頍扶㎣Ჾ斴䏶ꓦ㌙⬾좁鸱뫑솋ヱ䟍㜏壀蒬샷ﱙ缩殅᎞᠓뷨蔳諒匛䑛毼딎퓣ꬁ襋뺯몜겂ᑟ㱰빧ꚽ湎㝤梅ࣅ✿䞮뽕仼䑬㋜렋鴩읓㮑퍿ﺉ춛땆拪펮縅辦桓ᔃ垌天홞瞑♮놉算䚙Ⴋ烥ł겸刴㟓즏ｦ撮㉄ꭕ聼㙂裌棡Ꮣ蔟箏즑ʾ슏렕˥薐ꃨ鯛귐䞛ꞰẴ凛肍阸噻蔩熫晞퇀⩥柔ᘼ捷銻娚驇꓃朖℁ꜫ絥彳㗄ꗸ什導헱⍂꽍ბꇭ緥뎫溝㦖Ƀ蟁ᜬ๜뤳鿒蔙㱘輽뉽滛꼗ᜪ浄쐙峧찒铖掍৯ⓠϕ⠯인鹿읙靖荋쵎瓈隹蛘뫡礚敹蹤斒霑샧煏땖韞댱ഃ廤泅憉ᇐᄹ吚牴崀坌泈猪鋚隨띝ਘ灎宩켬胶樂譅坱魌䲘컟濯꯸騺ꚴ粗暡巻៱䮣淗ﺺ梚㴾ລ袺ᛛ≋첫ஓꮛ仛䐎褭ኤ眖궞ꯚ⫠ꬉ⹑躽捏籘ꬓ钿ꈯ眔ꡂ∼⫳屻⒲䤘띰볃뺴掳≑휙聤器ᶊ橴帤殮䑜훯렘䢗剐ҽ鏪⌐볜긽᪦㮸鴖扻賷ǿਦ獣迼ꇛ鴑ၹꨯ↔뭝ࡅ螷寃蒨ﮥퟨ蠂ꍫ틺䠅猎䖑聞򧍺炔軸昹觐⃳綿旒逫誠剻崀芫췾쐻ၤ䬋뻺㋜垫덗⃭煛䱛摾샮䈗쒊瀚ꭴ㽲諤꼖붒䨴ৡצ정䢔怎਷⍭ﴇㆭꡱ㑫⩲掫ᾐ椭⡄駍镚㾚㒋蘯쾓뎞樸徟핞쪻螡ꝼ犧ꒃ㼨䢝ꔠ뮋겱暂靸矜䄴歔鷽頸푮짂⊞ᕞ훉욪㖝㤚듓爆昙깍肓铌龛眡滁홍䩆ᨓ卬롐쳚㴅ﻞ尫郢⻎ᚒ蒙弣䯛↍ꪥ糾鐾긑䵞㗙䦉䓈᯺玻簡޿埈ᛢ宫㋞ﻕ㴬㘎鸷腻챚෩婾䧣聆뉻軎᧔ᐋ㨃₴먁藏ᥢ鐀푤ꨤ匹澽䧌ᤙ秒⊶僦ꝦᏴ衐Ѳ鶤恈렓⒖袠ⶴ豔뎿⎷䐯ዥܽ渺棁෩獞튌៷ర쟵傞꾟霢轘灾ꢓᒝꖊ浈찹끳䡃౦仙ᑵ躶빃䍅㙒얌뱳鷊ᗒ矖⑘鈓ᡣ腶ିẼⰷ骕珸듡力■䳜恗ᝮ٢ゃ䟄뷱諚Ỽ킬湜尻퓳藩ໞ넔१♻铹뵐췳ﻘϭ벭壿쳷ＯΫ錍誳拇⼻廮ﵿ夛찂獕꘾꣮蛼㰎덜ﭠ濖㔤ʴ쎱⭠灿៑ᴣ㹰뢲싓黇춖躦鶑럸氺↧옘ବ쑟꙱脷კ폪㊼棁뭪喝✫ᖊ谜沒ⲟ♗⇆뿨꘦앞蔃昧麣꘴ෂ᫔鲩喓∟鐦柸⑎诋묇㐨늗诉⽋ꀻ穑윇ଆᤝ賒䍔뽌z⮤㧻畣슿⢋浖凢뫘庑吝⇔祴奋뭁螛吠ﳌ깿斶굏ᬨ။欢ᔂ迤ꫢ惢Ξ먮읒햙߆쭏랾꺴艾మ똗揕籄멼攜㐌ㇴ謔𢡄ኾ敝뽳펡眼뎳঴픹㲔泞㭑뵚ஏ滨橠䘴″୭ゑ煇듖苤ᙻ蕆静䩿Ǘࣶ耻特㠑玉灙⦾䒡싼쭑療妽䴖妏ᑂፘࡡꋄ쌷餖㯓뤷嶳临﬛㝊挏ꦶ뫅礓ᡝ἞ⷽ㥆肀䮄ҏ횴栓骺넰쁾䑧뼽àퟧỿ❤儦ⴥª䍟愳쓲瑹똂੔巒痨㞴痆퓉誘꟯꒘節ꩢ蛤滝㩕횲孅섃跨柂嫴爥㙑駉ā凭䃁緼䞿곴춎䛂ㅡክ궵摄㿿䪗ឃ吣년셆ꍬ高㠇慪㊒Ⴊ⏮葡謘㚛ﴧख़▦㖛蛷뽣횻꯳녖⁇焳୏洇왧뫘鈵褹咫너䶃瓧䒉닡윱䐞膃赱眬똫Ḋ䟙䕵嫷톈寭З缆ᵂ舑ፋᅗ苦訢⪙働ᲀᤅ閞拺礬嚄섢꞊ຫ쬛Ꟑ綼퐂롃䭩䤚㻺譽徯爅ඦ쐃衤乹ָ晎킪⩝뿵뤧䆵赡㨹㪽㕓⻔잃࿣㊱깞憅㕬쮔❤㊹฻口뛃旀ﾏ뽒磱㣻ủ㻰⎣꾞奵햿䍪꼊੖옴鰃㴈穣䬐羨囌偳ທ琰뀬跿߬싳第膭퍊ㄡ叨탈͂卙Ἁ䌄埌ᱞퟳꋹ㳱㼳契ꟗ딄⊔됞燹쀥⥝䉓萶읤卄춝砶臭ᰔȡﰛ䓧⠊깛쐀ꜿ䌵奒楲껆꣌轟략萧묜䑓Ꞇ虛媆ᮂ诂쵦ꀹ㛲훸鬎攑ﳘ幢฽죫ୄ纴嶡区톥獀߽쌹ྖ䩠ꘌ㼟皓閁蝻櫰ዩ尒⡧蒕㷑഑琁ხꤍ䑘뉚侠裱碑椚핏퐍ҏ່㟪蚭殧Β伭芮㪀竎ই훖쒟㶖릗쵔嫶뙾㪎ҹ഼தᫌ⍧垎딓伧ꌖ饄ㄚ厧骵Ῑ䚄ꆱ鮌搥ऄ새࢈귑䅟퓛픀솬뼤Ფ䪤枤ﬁĻ쪒裢㢳݊垵㞔⽱俺⡆恢枾銕ㄲ橏䰷ᚢ햯쵑훭˵渫닲쎴잞헡厀옕㈅㿨ꮶ㴴圽ᅨ艫泱Ϟ얏댘볮見Ᏻഁᮂ柩˺澬䩔㽭힤福䀋捔擬휋䷙杤티࢘꺽ᐅ䖓ꊷ凒⒒㢋鿞㌛쉆輩臸ꫧ롙╞喗諸宅珟뾘밠壏쨔䘳鋵⧰⋥哲釤逅ꋴ⯻몖䞰墲༔雑㑓慈찆ၶԷ鼒⺅䮤ᡠ旚⊽㕩ᄚꭳ秢ꉳ홀팫揘漹甡⬒ひ㨦΋弦揲㴺Ꞻ㕺瓼塏闧烊᳚氄밷蠦ᴁ㗜湟⤑䳤譃ꟕ诎뺁勌ӌ侻␱ཕ⍅说껙眾揎论箅퐊䝟垥嚂⎧ꊼ梨禪⌜⺐⪂⹐᪽섇轧瘑鑕쪭ቾ딆ፌﻓᖃ䣹䈼⎧葇笴縎ⴧय़Ꚕ₱⠓虐⯎㴳兕쭪麗ᐠ숆䰰᪂蛠╙묁ꌶភ䒼ᴊ〮䰣矔礸Ҧ旒춠⵰⇡ꙫᇴ羚䗐쿢깞鵧욹鞴䭩퐵ਔậ焥ꍯ槊ﾉ⣛ⓙ࣋⌈킢蚯拰劎ϩ⃈龩ད홄۽䤡도ꏢ젦⭤莔ԃ䧾睭뙵ꡜ為᠒௟脇悧㧟ꖘᠴ馜ꯅ㼣擢㨍趏든蚫풾䤐﷢렑波撝‑粹ۺὨ늞䁞腤ႚ預뙽㾙ᙷ⠢勯脌쾼⍴䠎રꂸ㢚铎ﯺ䜐쩒쩶걔㨔噦낮どꎃ菧踋眘綾苉屧枞椤ꁌ勢ﰕ鈁쿿풠餞포䁽ⴏொ醃쏭官ꙛཥ샯欓犣䩚榍칁᳈㾕䒗폟鍅䱩ႏꐂ⟏⦷豐ꎤ៭뉀䦴㜝픞䓄䥸㴣뾚蹭塾ꑛ髕丌㭕㱴殆벏것琅袶ᚸ䇧騁✤돗罐뭓璙荤ᑎ謆왿柴睪钌ཁ瘪␉닭跦ᅜꐼᾲ직㜋樊ﻁ㐒ⴤ鎣歕⒆阇秜澹鷱㏹擰䉣艮앆観䝐錤⌮囅홴쨩凾❮ข볦ӑᓷꭀ푧왨р퇰䨘缁춫輕踂㴞ꁟＮ껗ꐮ㽇曁轓슋䏅ධર꒩저䲳輸㷆ⶾ䈎ﻁ練ꝧ趫큕虈ܩ譅埜ㄤ郌΄ဳद碫潙㌞∽㎞꽾ꉏ᭫ⳛૻ啪㐷壈韧㚪鋷앾燢欄ﵚ뒋담᭠틧潡懵넎蓝袒苎脃䆛쬂읞㜢쾱粡洗䂧撫땂햞蕐៸괙㢙㖆螣듨凮᭢貥揙嬦勲膴๨൑侼靰뱷虷럣ࢪ结鴏䁳癄䄕슉친襌나跞㣹뫀迊㫀酶阹洟꯶㗲䣳䬸ǣ亂蝭摪什泆䛏쌯᫹紸о藊ꨣ绳䙓ꝣ彼츋롱삀ᷡ뿫졗龚諔Ზ⺞핮彫㞍Ꭴ蝈ꖹ摢㇏緥檊⇉ꮈꉆ嫛꧝噎갆똒⋿퇂쓀歜嶅㡠䴳ᾪ藫ᕐ丏❀湡ꋍ﷎䷱䔄邐樮⣮㶊ꬹ邽迊뾂摆䙣軧ݧᦽ藣蒲鸰墿間㯬芾㚞鄇䊙輊쉛复䒕차媅徟甶例칝멞ꠚ䰠ᇲ筥ᜈ죦⽼턾췭쩍㚺䱬䉙땵蹙鷊釥欫妡ꭝ╁垮்椂ꭾჇ鰙솔⥤쀸䧦痷៏㌈㢦◌ớ⮀炤̊ɶ洱༵帖炰뫦֚蔺꼐㫡퉽᫸ⰴ䰄诃尣탂蕮⺶ﷲ紕閽䃔潙锥臺͔驾㦲䪭涂乛쫀뾼甯᫷ꦤࡣꖄ梅ៅ꾑뮄몱聠鞕꺬礍聯릴녶鎅좦㏕訉蒽侃฻䞝ﲅ਴ꅟ㜵柕퍵忢凫ᲈ猸꺡㗝끀꿳씕ጋ⡫ᒗ쒰戽㲦䞃䲘ị㣥䯋┟稁랛쥍ᚎ䊢籹鎔䎒蠫ꅼ㓍呋썷יּ⦶䳮䠣拊륨㗻灊蒢嚳㻍ꆤᒷ㊆㹏瀹㕯믷潈ᾈ뤙へ౺鰱䫑羄㏀Ἶ솤҉藿㖠㑩귴횕끖䷻ꢦ䦼ṷ羠凅눎Ꮙ옋✃蕃籛距⯘䂕䌭虍힇鋣ꫪ픯ꆉؔ栴⡨멊⮖初㗄鬶嫖콨ᄲ堼Ꝫ䃔᥹讄⯉뫔鸪䳑ᅈ큜솉훍⮃ᗋ톡駱ퟘ叁炌ᙳ熔ﰴخ㶺곉뽽怘隀냁퍁犻᭥淯ꣃ曞潋ᶍ헂娭퓞׮鿼흘四稂馟ꪝ裶顤懲Ａ㵱뿮蓠灓뛆刳⬛梑廠ڇꑪ཯彣廯볋﵏ᄉ肝Ҁ섙틲쏶㋲靮鏉⒵櫗ࠆ녱ឍ隳戱䑖ꀻঢ᦮㈷ʬ⣀䏤濫것ዲ謆䞷吆栉猥ꔧ䀂ᳫ嗅㼻䙿ᢤ÷缒ꇣⶂ矿寵땚勔䶜⿂縲ٝ弴㽟Ⳏ࠵瘼뵹횈䁛믞旕র炃ꋱ᷆͌⎭뼓쫻怼鿤᯵훅헮갣㫉붋ꪔ䜸ᝃ硜趧뙑珡훅⎷צּ壛Ʂᓦ뼿፟親芃ᑼೌ兄巆ퟥ帲哿꟢킻ര鋎曶綠䗍볣罩婼⾮汶讚鿭眢횅龨줘疧哭輀墝苿ꛡꭐ㯹➅赩얦킢㘗蔜ᄵ膎芔ⷌ鶀ś絖䜧鏎鹵뢫䝆䪛䩮Ѥ턑ꡲ網⃠䑇ᶽ㶸ﰢፖ폖ꅺ䥶醰Ɣ뽿掱㐦ঢ䓸秛㥠柬ԍ贲∷턛攉뉡⡌䦳ʨ쇵◯횳홰뵭㟥褘ꈡ鲠᫶폙㶬੮㝀攙잢尦騲좥屄熡黷⼞㑦埙凬佹꫃䔾䶖냀מּ쮝ꆈ燘郇⾎嵎೭䎾³ᒊ딗㽿긊ꖄ뢅檰䜈榿春댯鰑嶟颇טּ𤋮䪿ᠷⅬꃛ鹳뺣뎺盲彉욠ဈ萖❠禊َṬ꾕擈毎啋⪆쮽ჽ堜彫㢃㜕刚쒲἗柎ົ羶㸨鶟疳॰堸姥䛺뿽氛Ụㄤ㡓崭㒁긣髊椨獽⇒뾖탹የ篰쟰벓俖닁砒⎒㜒⻇뎲ꤣ⾫㤒鞑䆨ⱅ䕲ᗧ试⸢緀Իẟ䅜䧊塎奩託⻇통ង奅較熧顭愶畽쫾射芋､늱㼃䀀븁燘웓辝뤻버撯病훱濨贁狤眜旼許傖뵛䞝爼䈁螤ռ녠茹艰ᶣ⧱ﶛ캝ᐲ쀟霦脙㭓獥㶮娊⧟丠쫂Р﨑멄๘ᒬ臁搆蛊鶈泦J۽㊽꫅횅饴㕴㶗턌瞺鵋徻㎰㗩鐖索∬潭楤榾ɴ退̗ଃí䠎呔⽐⸱‱〲‰䭏਍慃档ⵥ潃瑮潲㩬瀠楲慶整਍潃瑮湥⵴敌杮桴›ㄱ㈶റ䌊湯整瑮吭灹㩥洠汵楴慰瑲爯汥瑡摥※潢湵慤祲∽畵摩㈺捥愵扤ⴴ愴㍥㐭㈸ⴲ敡昸昭〴㔸攲㠸㕢⬶摩ㄽ㬢琠灹㵥愢灰楬慣楴湯砯灯砫汭㬢猠慴瑲∽格瑴㩰⼯整灭牵⹩牯⽧㸰㬢猠慴瑲椭普㵯琢硥⽴浸≬਍㍐㩐䌠㵐䄢䱌䤠䑎䐠偓䌠剏䄠䵄䌠乏⁯啃⁒啃潓䤠䅖⁯噉潄倠䅓倠䑓吠䥁吠䱅⁯問⁒䅓潍䌠呎䌠䵏䤠呎丠噁传䱎倠奈倠䕒倠剕唠䥎ഢ堊中瑥潷歲瑓瑡獩楴獣›ⰰㄲ㈰㜲ⰲ〲㠬ⰴ㜷〲㈱〬ㄬ㐹㐵〱㈬സ堊匭慨敲潐湩䡴慥瑬卨潣敲›റ匊ⵐ敓癲捩ⵥ潃瑮硥㩴丠瑯愠慶汩扡敬为瑯愠慶汩扡敬਍䥍䕍嘭牥楳湯›⸱ര堊䄭灳敎⵴敖獲潩㩮㐠〮㌮㌰㤱਍ⵘ慄慴潂湵慤祲›低䕎਍ⵘ䐱䍓汯敬瑣牯牕㩬栠瑴獰⼺洯扯汩⹥癥湥獴搮瑡⹡業牣獯景⹴潣⽭湏䍥汯敬瑣牯ㄯ〮യ堊䄭楲䍡汯敬瑣牯剕㩌栠瑴獰⼺戯潲獷牥瀮灩⹥牡慩洮捩潲潳瑦挮浯䌯汯敬瑣牯㌯〮യ匊剐煥敵瑳畇摩›搱戸昴ㅡ昭㐰ⴹ〶〰㔭㜶ⵣ晢晣捡㥢攵ㅡ਍敲畱獥⵴摩›搱戸昴ㅡ昭㐰ⴹ〶〰㔭㜶ⵣ晢晣捡㥢攵ㅡ਍卍䌭㩖漠⭕䡌湕䅷䉇晗⽌牐汌潥⹑ര堊刭獥潰獮卥慴獴›楖䅡䑆吽畲㭥䙁䕄癮䴽䅉〳㕲㭣਍瑓楲瑣吭慲獮潰瑲匭捥牵瑩㩹洠硡愭敧㌽㔱㘳〰ര堊䘭䅒䕍伭呐佉华›䅓䕍剏䝉义਍潃瑮湥⵴敓畣楲祴倭汯捩㩹映慲敭愭据獥潴獲✠敳晬‧整浡⹳業牣獯景⹴潣⁭⸪整浡⹳業牣獯景⹴潣⁭⸪歳灹⹥潣⁭⸪整浡⹳業牣獯景⹴獵氠捯污琮慥獭漮晦捩⹥潣⁭整浡⹳汣畯⹤業牣獯景⁴⸪景楦散㘳⸵潣⁭潧污⹳汣畯⹤業牣獯景⁴⸪潰敷慲灰⹳潣⁭灡⹰潰敷扲⹩潣⁭⸪慹浭牥挮浯攠杮条⹥汣畯⹤業牣獯景⁴潷摲挮潬摵洮捩潲潳瑦攠捸汥挮潬摵洮捩潲潳瑦瀠睯牥潰湩⹴汣畯⹤業牣獯景⁴⸪景楦散灡獰氮癩⹥潣⁭⸪景楦散挮浯⨠洮捩潲潳瑦㘳⸵潣⁭⸪瑳敲浡愮畺敲琭獥⹴敮⁴⸪業牣獯景獴牴慥⹭潣⁭⸪祤慮業獣挮浯⨠洮捩潲潳瑦挮浯漠敮牤癩⹥楬敶挮浯⨠漮敮牤癩⹥楬敶挮浯猠捥牵扥潲敫⹲桳牡灥楯瑮湯楬敮挮浯഻匊剐煥敵瑳畄慲楴湯›㈷ഴ匊䥐獩慌整据㩹ㄠ਍ⵘ潐敷敲ⵤ祂›十⹐䕎ൔ䴊捩潲潳瑦桓牡健楯瑮敔浡敓癲捩獥›㘱〮〮㈮㈵㠲਍ⵘ潃瑮湥⵴祔数伭瑰潩獮›潮湳晩൦堊䴭ⵓ湉潶敫灁㩰ㄠ※敒畱物剥慥佤汮൹堊䌭捡敨›佃䙎䝉也䍏䍁䕈਍ⵘ卍摅敧刭晥›敒⁦㩁ㄠ䕄㝆䌶䈸㍃㑁䔴䈰䄴䅃㍅䉁䌴㐱㑅‹敒⁦㩂䴠䅉〳〱〰〱〵㜳删晥䌠›〲㐲〭ⴹ㈱ㅔ㨳㘵〺娰਍慄整›桔Ⱶㄠ′敓⁰〲㐲ㄠ㨳㘵〺‱䵇ൔഊഊⴊ甭極㩤攲㕣摡㑢㐭敡ⴳ㠴㈲愭㡥ⵦ㑦㠰㈵㡥戸㘵椫㵤റ䌊湯整瑮䤭㩄㰠瑨灴⼺琯浥異楲漮杲〯ാ䌊湯整瑮吭慲獮敦⵲湅潣楤杮›戸瑩਍潃瑮湥⵴祔数›灡汰捩瑡潩⽮潸⭰浸㭬档牡敳㵴瑵ⵦ㬸祴数∽整瑸砯汭ഢഊ㰊㩳湅敶潬数砠汭獮猺∽瑨灴⼺猯档浥獡砮汭潳灡漮杲猯慯⽰湥敶潬数∯㰾㩳潂祤㰾敒灳湯敳敖獲潩⁮敖獲潩㵮㈢•楍潮噲牥楳湯∽∳砠汭獮∽瑨灴⼺猯档浥獡洮捩潲潳瑦挮浯猯慨敲潰湩⽴潳灡∯㸯刼獥潰獮䍥汯敬瑣潩⁮敗啢汲∽瑨灴㩳⼯敨牤捩扫潲桴牥捳浯献慨敲潰湩⹴潣⽭楳整⽳〲㐲牐橯捥獴•敗啢汲獉湅潣敤㵤䘢污敳•浸湬㵳栢瑴㩰⼯捳敨慭⹳業牣獯景⹴潣⽭桳牡灥楯瑮猯慯⽰㸢刼獥潰獮⁥牕㵬栢瑴獰⼺栯摥楲正牢瑯敨獲潣⹭桳牡灥楯瑮挮浯猯瑩獥㈯㈰倴潲敪瑣⽳桓牡摥䐠捯浵湥獴㈯ⴴㄲⴳ㄰䠠扩獩畣⁳潈獵⽥〰䔭瑳浩瑡湩⽧㤰䔠瑳浩瑡獥倯潲敪瑣䔠瑳浩瑡湩⁧慍牴硩砮獬≸唠汲獉湅潣敤㵤䘢污敳•敒畱獥呴歯湥∽∱䠠慥瑬卨潣敲∽∲删煥敵瑳摥汃敩瑮浉慰瑣∽∳䤠瑮牥慶佬敶牲摩㵥〢•敒潳牵散䑉∽戹愶戲慢㝡戴㘴慣㌸捣攵晦㙦慡搶〹•敔慮瑮摉∽攰㌸戴㝤㘭㠲ⵢ㈴㡣戭改ⵣ捥扥㥣ㄷ戹㑥㸢匼扵敒灳湯敳匠扵敒畱獥呴歯湥∽∱匠牥敶䍲牯敲慬楴湯摉∽搱戸昴ㅡ昭㐰ⴹ〶〰㔭㜶ⵣ晢晣捡㥢攵ㅡ•牅潲䍲摯㵥匢捵散獳•剈獥汵㵴〢㸢匼扵敒灳湯敳慄慴䔠慴㵧☢畱瑯笻䈹䄶䈲䅂䄭㐷ⵂ㘴䅃㠭䌳ⵃ䔵䙆㙆䅁䐶〹ⱽ㌵☴畱瑯∻䌠敲瑡呥浩㵥ㄢ㌳〷㌱㜰㐶〰〰〰∰䰠獡䵴摯晩敩呤浩㵥ㄢ㌳睊紘뻚ჟ籖뢩歬̗ 㜏㘰㈲〹〷〰〰〰•潍楤楦摥祂∽摅楷⁮慃摬牥湯•獉祈牢摩潃慢瑬∽牔敵㸢兄䱁䩁倳晋㕍䅬扡杆䍍䅁獃杁噂杄䝉䅁䱍䑁䕯杗䅅捄硁㑁〱䕐具䈷䑂䉲浫敁免扙䄳睍乏䑤䵸佅具㙑婷杊橈䝅㥇䑑䑅塪㡑䉔獄䕅獏升䉙破桂啶祁㑁〱䕐具䈷䑂䉲浫敁免扙䄳杍乏䑤䵸佅具㙑婷杊橈䝅㥇佄㑔䅢䕴㉉䡒扵杨湋牒䨵㔴杋桮湚䉳ぎ㡹桱㔳儴浢来歕䅁䙍䅚獄匴䅷䅁㕑杋桮湚䉳ぎ㡹桱㔳儴浢来歕䅁䙍䅚啁礶䅷䥁䅑杊杉偁ㅙ橥桊硂䕒潬剚儶浂步欲䡁潧㥺睇灱甶步猶灰䙇獙瘫䅖䵁礶㑸䑋畁ㅔ桖奕硗ㅕ畬灥眰䭕䅳佄獳剕䉍杊杉䅁瀷橤祯䅧乸摵稳汸灁穑䴵十煁䕄啘坬こ䑗㕗䑦桏䅁噬浫欯礸䅷䍉啯摒噓䱚奒扎㡬㙍䅅噃南⭢穔䅌汃睅浅楁䅁硅䨸䥅䥌〫奃浨穕含䍔坈䉷䕣䵫橃灶桖䑶䅁欸ㅙ攴畄坂卢硕䅁兰噂䑑䉣䝱ㅧ䍍䅗兂䅁ㅃ睅浅楁䅁敷卉ぶ洯啗䍭湧㕏歯㡰䝒䕉杏㕁杋桮湚䉳ぎ㡹桱㔳儴浢来歕䅁䙍䅚歄礸䅷䉁䉍兑䉣睩㵅⼼畓剢獥潰獮䑥瑡㹡⼼畓剢獥潰獮㹥匼扵敒灳湯敳匠扵敒畱獥呴歯湥∽∲䔠牲牯潃敤∽畓捣獥≳䠠敒畳瑬∽∰㰾畓剢獥潰獮䑥瑡㹡䐼捯牐灯㹳值潲数瑲⁹敋㵹瘢楴瑟瑩敬•慖畬㵥∢㸯值潲数瑲⁹敋㵹瘢楴灟畬杧扡敬慰獲牥敶獲潩≮嘠污敵∽㘱〮〮㈮㈵㠲⼢㰾牐灯牥祴䬠祥∽瑶彩瑳敲浡祓据潔敫卮煥敵据乥浵敢≲嘠污敵∽㘳㤷〷⼢㰾牐灯牥祴䬠祥∽瑶彩楴敭慬瑳牷瑩整≮嘠污敵∽〲㐲〭ⴹ㈱ㅔ㨳㘵〺∱㸯值潲数瑲⁹敋㵹瘢楴摟牵扡敬瑳敲浡敭慴慤慴敮瑸獢≮嘠污敵∽㈳∰㸯值潲数瑲⁹敋㵹瘢楴楟汰扡汥摩•慖畬㵥∢㸯值潲数瑲⁹敋㵹瘢楴呟浩佥䱦獡䍴扯污噴牥楳湯牃慥楴湯•慖畬㵥㈢㈰ⴴ㤰ㄭ吲㌱㔺㨴㈰⼢㰾牐灯牥祴䬠祥∽瑶彩楴敭慬瑳湷獳湥≴嘠污敵∽〲㐲〭ⴹ㈱ㅔ㨳㔵㔺∸㸯值潲数瑲⁹敋㵹弢瑓瑡獵•慖畬㵥∢㸯值潲数瑲⁹敋㵹瘢楴摟捯楶湺硥扴湳•慖畬㵥ㄢ〰⼢㰾牐灯牥祴䬠祥∽瑶彩牷瑩癥污摩瑡潩瑮歯湥•慖畬㵥昢畤䡰䅒䥆㙷䉋婒卥㡳父䕄䙩ぴ∽㸯值潲数瑲⁹敋㵹瘢楴獟畯捲捥湯牴汯潬正硥楰敲≳嘠污敵∽〲㐲〭ⴹ㈱ㅔ㨴㤳㔺∶㸯值潲数瑲⁹敋㵹瘢楴损湯整瑮敶獲潩楮摳物祴•慖畬㵥昢污敳⼢㰾牐灯牥祴䬠祥∽瑶彩牰癥敩湷硥扴湳污潬≣嘠污敵∽㐸ㄳ⼢㰾牐灯牥祴䬠祥∽瑶彩桳牡晥慬獧•慖畬㵥〢⼢㰾牐灯牥祴䬠祥∽瑶彩楦敬楳敺•慖畬㵥㜢㜰ㄹ∰㸯值潲数瑲⁹敋㵹瘢楴损湯整瑮慴≧嘠污敵∽㥻㙂㉁䉂ⵁ㝁䈴㐭䌶ⵁ㌸䍃㔭䙅䙆䄶㙁㥄細㔬㐳㔬㜱⼢㰾牐灯牥祴䬠祥∽瑶彩瑳捩祫慣档摥汰杵慧汢灥牡敳灲潲獰•慖畬㵥匢扵敪瑣䬠祥潷摲⁳卟慴畴⁳敍楤卡牥楶散浉条呥条⁳瑶彩楴汴⁥䅟瑵潨⁲䍟瑡来牯⁹潃瑮湥呴灹⁥潃瑮湥呴灹䥥⁤䍟浯敭瑮⁳捬㝦昶㔱挵摥搴捤㑢㤰ㄷ㐳晦挳㌳昲吠硡慃捴䅨汬⼢㰾牐灯牥祴䬠祥∽瑶彩潳牵散潣瑮潲捬敨正摥畯扴≹嘠污敵∽㩩⌰昮浼浥敢獲楨籰捥污敤潲䁮敨牤捩扫潲桴牥⹳潣≭㸯值潲数瑲⁹敋㵹瘢楴灟牡敳癲牥楳湯•慖畬㵥ㄢ⸶⸰⸰㔲㈲∸㸯值潲数瑲⁹敋㵹瘢楴敟瑲浩捥敲瑡摥•慖畬㵥㈢㈰ⴴ㤰〭吶ㄲㄺ㨲㐴⼢㰾牐灯牥祴䬠祥∽瑶彩楬瑳灩慬敢楬≤嘠污敵∽⼢㰾牐灯牥祴䬠祥∽瑶彩慣档摥畳灰牯獴潰湵汤湩獫•慖畬㵥ㄢ⼢㰾牐灯牥祴䬠祥∽敋睹牯獤•慖畬㵥∢㸯值潲数瑲⁹敋㵹瘢楴损睯瑡档敮瑸獢≮嘠污敵∽〱∰㸯值潲数瑲⁹敋㵹瘢楴摟捯瑳牯癥牥楳湯•慖畬㵥㔢㐳⼢㰾牐灯牥祴䬠祥∽瑶彩畳灰牯獴楚䥰≴嘠污敵∽牴敵⼢㰾牐灯牥祴䬠祥∽瑶彩敤牣灹摴晥牥敲≤嘠污敵∽慦獬≥㸯值潲数瑲⁹敋㵹瘢楴獟牴慥桭獡≨嘠污敵∽砰㈰䐷䉄㥁䐱〱㔰㌲䔰䄸㔰㘱䔵䄴䙃䄳䍁ㄳ㈲㘱䑄⼢㰾牐灯牥祴䬠祥∽瑶彩敭楤獡牥楶散敭慴慤慴獡湹≣嘠污敵∽♻畱瑯挻慴♧畱瑯㨻焦潵㭴♜畱瑯挻笺戹愶戲慢愭㐷ⵢ㘴慣㠭挳ⵣ攵晦㙦慡搶〹ⱽㄵ尴焦潵㭴焦潵㭴☬畱瑯朻湥牥瑡潩呮浩♥畱瑯㨻焦潵㭴〲㐲〭ⴹ㈱ㅔ㨳ㄵ㈺⸵㈰㐶㘶娲焦潵㭴☬畱瑯戻極摬敖獲潩♮畱瑯㨻焦潵㭴㐳㠹㠲㐲た㈸㈶⸴弱㠰㈭ⴲ〲㐲焦潵㭴☬畱瑯氻獡却牴慥啭摰瑡呥浩♥畱瑯㨻焦潵㭴〲㐲〭ⴹ㈱ㅔ㨳ㄵ㈺⸵㈰㐶㘶娲焦潵㭴☬畱瑯活摯汵獥焦潵㭴嬺♻畱瑯活摯汵♥畱瑯㨻焦潵㭴䥁䱐扡汥硅牴捡♴畱瑯ⰻ焦潵㭴敶獲潩♮畱瑯㨻紳第焦潵㭴潭畤敬焦潵㭴☺畱瑯䌻獵潴呭畨扭慮汩焦潵㭴☬畱瑯瘻牥楳湯焦潵㭴ㄺⱽ♻畱瑯活摯汵♥畱瑯㨻焦潵㭴晏楦散畂摮敬敇敮慲楴湯焦潵㭴☬畱瑯瘻牥楳湯焦潵㭴ㄺ嵽☬畱瑯戻汩敬䕤敶瑮♳畱瑯㨻嵛☬畱瑯攻瑸牥慮䩬扯♳畱瑯㨻嵛☬畱瑯漻晦捩䉥湵汤♥畱瑯㨻♻畱瑯挻慴♧畱瑯㨻焦潵㭴♜畱瑯挻笺戹愶戲慢愭㐷ⵢ㘴慣㠭挳ⵣ攵晦㙦慡搶〹ⱽㄵ尴焦潵㭴焦潵㭴☬畱瑯昻瑡污牅潲♲畱瑯㨻慦獬ⱥ焦潵㭴敶獲潩♮畱瑯㨻焦潵㭴⸲☳畱瑯ⰻ焦潵㭴敧敮慲楴湯楔敭焦潵㭴☺畱瑯㈻㈰ⴴ㤰ㄭ吲㌱㔺㨱㐲㔮㐲㐵㐳♚畱瑯ⰻ焦潵㭴敧敮慲楴湯敒獡湯焦潵㭴☺畱瑯䄻慮祬楳偳灩汥湩♥畱瑯紻☬畱瑯愻灩慌敢䕬瑸慲瑣潩卮慴畴♳畱瑯㨻紱⼢㰾牐灯牥祴䬠祥∽瑶彩潣汬扡敮瑸獢≮嘠污敵∽〱∰㸯值潲数瑲⁹敋㵹瘢楴楟汰扡汥牰浯瑯潩浮摯汵癥牥楳湯•慖畬㵥㌢⼢㰾牐灯牥祴䬠祥∽瑶彩灩慬敢灬潲潭楴湯敶獲潩≮嘠污敵∽ㄵ∶㸯值潲数瑲⁹敋㵹瘢楴江獩晴慬獧•慖畬㵥㌢〶㠲㤷〷㜲㔳㠶㈱⼢㰾牐灯牥祴䬠祥∽瑶彩楺䥰却潴敲敖獲潩≮嘠污敵∽㐱⼢㰾牐灯牥祴䬠祥∽瑶彩潳牵散潣瑮潲汬捯楫≤嘠污敵∽㤲㔳攸ㅣ攭ㄸⴳ㜴㌹㠭㝥ⴰ摥㌰㐴㝥㝢挳⼢㰾牐灯牥祴䬠祥∽瑶彩敧敮楲捣湯整瑮整灭敮瑸獢≮嘠污敵∽〱∰㸯值潲数瑲⁹敋㵹瘢楴江癥汥•慖畬㵥ㄢ⼢㰾牐灯牥祴䬠祥∽瑶彩楺楰整灭敲楶睥敮瑸獢慮汬捯•慖畬㵥ㄢ〰⼢㰾牐灯牥祴䬠祥∽瑶彩瑳敲浡捳敨慭•慖畬㵥㘢∶㸯值潲数瑲⁹敋㵹瘢楴畟楮敶獲污湡潮慴楴湯敮瑸獢慮汬捯•慖畬㵥ㄢ〰⼢㰾牐灯牥祴䬠祥∽瑶彩楬瑳慢敳祴数•慖畬㵥ㄢ⼢㰾牐灯牥祴䬠祥∽瑶彩敶獲潩慮瑵潨楲獤•慖畬㵥㔢㈵㘹⌣㜸⼢㰾牐灯牥祴䬠祥∽瑶彩敳畴灰瑡癨牥楳湯•慖畬㵥ㄢ∶㸯值潲数瑲⁹敋㵹弢慃整潧祲•慖畬㵥∢㸯值潲数瑲⁹敋㵹瘢楴穟灩瑩浥牰癥敩湷硥扴湳•慖畬㵥ㄢ〰⼢㰾牐灯牥祴䬠祥∽瑶彩敲汰摩•慖畬㵥爢摩笺䈹䄶䈲䅂䄭㐷ⵂ㘴䅃㠭䌳ⵃ䔵䙆㙆䅁䐶〹≽㸯值潲数瑲⁹敋㵹瘢楴敟慴≧嘠污敵∽焦潵㭴㥻㙂㉁䉂ⵁ㝁䈴㐭䌶ⵁ㌸䍃㔭䙅䙆䄶㙁㥄細㔬㐳焦潵㭴⼢㰾牐灯牥祴䬠祥∽瑶彩潳牵散潣瑮潲瑬浩捥敨正摥畯≴嘠污敵∽〲㐲〭ⴹㄱㅔ㨱㔲ㄺ∳㸯值潲数瑲⁹敋㵹瘢楴灟牡湥楴≤嘠污敵∽ほㅆ㑄䔰ⴰ䅄㤲㐭㤰ⵁ䄹䔰㔭㐲䅅䌷㡄㌳紷⼢㰾牐灯牥祴䬠祥∽瑶彩潦摬牥瑩浥潣湵≴嘠污敵∽∰㸯值潲数瑲⁹敋㵹瘢楴慟摤瑩潩慮獬牴慥獭楳敺•慖畬㵥〢⼢㰾牐灯牥祴䬠祥∽瑶彩牰癥敩湷硥扴湳•慖畬㵥㠢㌴∱㸯值潲数瑲⁹敋㵹瘢楴摟捯楬牢睯摩•慖畬㵥ㄢ〳㘷∹㸯值潲数瑲⁹敋㵹瘢楴江獩獴牥敶瑲浥汰瑡≥嘠污敵∽〱∱㸯值潲数瑲⁹敋㵹匢扵敪瑣•慖畬㵥∢㸯值潲数瑲⁹敋㵹弢畁桴牯•慖畬㵥䴢牡獩慳䴠污潬祲⼢㰾牐灯牥祴䬠祥∽潃瑮湥呴灹≥嘠污敵∽⼢㰾牐灯牥祴䬠祥∽瑶彩慣摮汥瑥癥牥楳湯•慖畬㵥琢畲≥㸯值潲数瑲⁹敋㵹瘢楴瑟浩汥獡浴摯晩敩≤嘠污敵∽〲㐲〭ⴹ㈱ㅔ㨳㔵〺∷㸯值潲数瑲⁹敋㵹瘢楴牟慴≧嘠污敵∽瑲㤺㙂㉁䉂ⵁ㝁䈴㐭䌶ⵁ㌸䍃㔭䙅䙆䄶㙁㥄䀰〰〰〰〰㌵∴㸯值潲数瑲⁹敋㵹瘢楴潟灲慨湮硥扴湳•慖畬㵥ㄢ〰⼢㰾牐灯牥祴䬠祥∽瑶彩潭楤楦摥祢•慖畬㵥椢〺⸣籦敭扭牥桳灩敼慣摬牥湯桀摥楲正牢瑯敨獲挮浯⼢㰾牐灯牥祴䬠祥∽瑶彩牰癥敩敷楸瑳≳嘠污敵∽慦獬≥㸯值潲数瑲⁹敋㵹瘢楴慟敲祈牢摩牏桰湡慈桳摥求扯䍳敬湡摥•慖畬㵥琢畲≥㸯值潲数瑲⁹敋㵹瘢楴灟楲牯敶獲潩据敲瑡潩瑮浩≥嘠污敵∽〲㐲〭ⴹ㈱ㅔ㨳㐵〺∴㸯值潲数瑲⁹敋㵹瘢楴獟畯捲捥湯牴汯潣歯敩•慖畬㵥昢彰湩整湲污⼢㰾牐灯牥祴䬠祥∽瑶彩潳牵散潣瑮潲浬汵楴獵牥档潫瑵祢•慖畬㵥椢〺⸣籦敭扭牥桳灩敼慣摬牥湯桀摥楲正牢瑯敨獲挮浯⼢㰾牐灯牥祴䬠祥∽瑶彩敮瑸潴慬瑳楴敭潭楤楦摥•慖畬㵥㈢㈰ⴴ㤰ㄭ吲㌱㔺㨴㘴⼢㰾牐灯牥祴䬠祥∽瑶彩獢≮嘠污敵∽㘳㈸㈵⼢㰾牐灯牥祴䬠祥∽瑶彩獡湹灣敲楶睥敮瑸獢≮嘠污敵∽㜲㠱⼢㰾牐灯牥祴䬠祥∽瑶彩硥散牬癥獩潩汮杯敮瑸獢≮嘠污敵∽〱∰㸯值潲数瑲⁹敋㵹瘢楴浟瑥摡瑡湡硥扴湳•慖畬㵥㜢㈷⼢㰾牐灯牥祴䬠祥∽瑶彩敭楤獡牥楶散景楦散畢摮敬敧敮慲整≤嘠污敵∽剔䕕⼢㰾牐灯牥祴䬠祥∽慔䍸瑡档汁≬嘠污敵∽⼢㰾牐灯牥祴䬠祥∽瑶彩潣瑮湥捴慨杮略楮≴嘠污敵∽⼢㰾牐灯牥祴䬠祥∽敍楤卡牥楶散浉条呥条≳嘠污敵∽⼢㰾牐灯牥祴䬠祥∽瑶彩扤捳敨慭敶獲潩≮嘠污敵∽㘱〮㐮㘱〮⼢㰾牐灯牥祴䬠祥∽瑶彩牰癥敩楷癮污摩楴敭•慖畬㵥㈢㈰ⴴ㤰ㄭ吲㌱㔺㨴㈰⼢㰾牐灯牥祴䬠祥∽瑶彩湩整湲污敶獲潩≮嘠污敵∽㌱㜶㔰⼢㰾牐灯牥祴䬠祥∽捬㝦昶㔱挵摥搴捤㑢㤰ㄷ㐳晦挳㌳昲•慖畬㵥∢㸯值潲数瑲⁹敋㵹瘢楴损湯整瑮敶獲潩≮嘠污敵∽ㄵ∷㸯值潲数瑲⁹敋㵹瘢楴束湥牥捩潣瑮湥瑴浥湰硥扴湳污潬≣嘠污敵∽〱∰㸯值潲数瑲⁹敋㵹瘢楴瑟浩捥敲瑡摥•慖畬㵥㈢㈰ⴴ㤰〭吶ㄲㄺ㨲㐴⼢㰾牐灯牥祴䬠祥∽瑶彩敮瑸獢≮嘠污敵∽㘳㈸㈵⼢㰾牐灯牥祴䬠祥∽瑶彩灳潲獣捳敨慭敶獲潩≮嘠污敵∽㘱〮ㄮ㠱⸳∰㸯值潲数瑲⁹敋㵹瘢楴敟瑲浩汥獡浴摯晩敩≤嘠污敵∽〲㐲〭ⴹ㈱ㅔ㨳㔵〺∷㸯值潲数瑲⁹敋㵹瘢楴畟楮敶獲污湡潮慴楴湯敮瑸獢≮嘠污敵∽〱∰㸯值潲数瑲⁹敋㵹瘢楴损湡慭批敥楤≴嘠污敵∽牴敵⼢㰾牐灯牥祴䬠祥∽瑶彩敚潲祂整楆敬獉癏牥牷瑩慥汢≥嘠污敵∽慦獬≥㸯值潲数瑲⁹敋㵹瘢楴獟畯捲捥湯牴汯敶獲潩≮嘠污敵∽ㅖ㠰〮⼢㰾牐灯牥祴䬠祥∽瑶彩敤牣灹獴楫牰慥潳≮嘠污敵∽∰㸯值潲数瑲⁹敋㵹瘢楴灟楲据灩污潣湵≴嘠污敵∽∳㸯值潲数瑲⁹敋㵹瘢楴瑟畨扭慮汩硥獩獴•慖畬㵥昢污敳⼢㰾牐灯牥祴䬠祥∽瑶彩潳牵散潣瑮潲汬捯敫灸物獥慶畬≥嘠污敵∽〲㐲〭ⴹ㈱ㅔ㨴㤳㔺∶㸯值潲数瑲⁹敋㵹瘢楴湟硥扴湳污潬慣整≤嘠污敵∽㘳㈸㈵⼢㰾牐灯牥祴䬠祥∽潃瑮湥呴灹䥥≤嘠污敵∽砰㄰㄰〰䑅㤱㥄㌷㤶㍁㐱䐴䈸㌰㔹ㄱ㤳䘴ㄶ䐳⼢㰾牐灯牥祴䬠祥∽瑶彩潣灭楬湡散牰癥敩湷硥扴湳•慖畬㵥ㄢ〰⼢㰾牐灯牥祴䬠祥∽瑶彩潤獣潴敲祴数•慖畬㵥〢⼢㰾牐灯牥祴䬠祥∽瑶彩潳牵散潣瑮潲汬捯瑫灹≥嘠污敵∽∱㸯值潲数瑲⁹敋㵹瘢楴晟汯敤獲扵潦摬牥瑩浥潣湵≴嘠污敵∽∰㸯值潲数瑲⁹敋㵹瘢楴江獩晴慬獧∲嘠污敵∽㈲㌹㈹⼢㰾牐灯牥祴䬠祥∽瑶彩敭慴湩潦敶獲潩≮嘠污敵∽㐸∵㸯值潲数瑲⁹敋㵹弢潃浭湥獴•慖畬㵥∢㸯值潲数瑲⁹敋㵹瘢楴江獩楴≤嘠污敵∽ㅻ㜳㈹㘴ⵄ䌱䘶㐭䄳ⴱ䙁ㅄ㜭㕆䅁䑂䘰㤶紸⼢㰾牐灯牥祴䬠祥∽瑶彩獡硰慰敧湳硥扴湳•慖畬㵥ㄢ〰⼢㰾牐灯牥祴䬠祥∽瑶彩慬瑳楢獴潣浭瑩•慖畬㵥㈢⌻昰搱〴づ搭㉡ⴹ〴愹㤭ちⵥ㈵攴㝡摣㌸㜳⌻牐橯捥⁴獅楴慭楴杮䴠瑡楲⹸汸硳⌻挹㐳㥣㐶愭㜲ⴳ㐴㠲愭㑦ⵢ㐹㔶〵〰搷㔱⌻焦潵㭴꽻颓➚䥆캋䐊㽲蔸ᝢ̃က䈹䄶䈲䅂䄭㐷ⵂ㘴䅃㠭䌳ⵃ䔵䙆㙆䅁䐶〹ⱽ㈴☳畱瑯㬻☣畱瑯笻䈹䄶䈲䅂䄭㐷ⵂ㘴䅃㠭䌳ⵃ䔵䙆㙆䅁䐶〹ⱽ㈴☴畱瑯㬻〣へ㘲㔴䘰䈷㍂䐱㤲〹䌸㤱㜶䔱㜵㌸〹㤸䕂㜰䘸㘵㬳㜣㐰㐳㬸〣⼢㰾牐灯牥祴䬠祥∽瑶彩潣汬扡敮瑸獢慮汬捯•慖畬㵥ㄢ〰⼢㰾牐灯牥祴䬠祥∽瑶彩畡桴牯•慖畬㵥椢〺⸣籦敭扭牥桳灩捼慢瑮楨䁡敨牤捩扫潲桴牥⹳潣≭㸯值潲数瑲⁹敋㵹瘢楴损浯汰慩据晥慬獧•慖畬㵥〢⼢㰾䐯捯牐灯㹳䘼汯敤偲潲獰㰾牐灯牥祴䬠祥∽瑶彩潦摬牥瑩浥潣湵≴嘠污敵∽∲㸯值潲数瑲⁹敋㵹瘢楴摟捯瑳牯瑥灹≥嘠污敵∽∱㸯值潲数瑲⁹敋㵹瘢楴牟慴≧嘠污敵∽瑲〺ㅆ㑄䔰ⴰ䅄㤲㐭㤰ⵁ䄹䔰㔭㐲䅅䌷㡄㌳䀷〰〰〰〰〰∱㸯值潲数瑲⁹敋㵹瘢楴瑟浩捥敲瑡摥•慖畬㵥㈢㈰ⴴ㤰〭吶㤱㌺㨱㜵⼢㰾牐灯牥祴䬠祥∽瑶彩獩捳楲瑰扡敬•慖畬㵥昢污敳⼢㰾牐灯牥祴䬠祥∽瑶彩敬敶≬嘠污敵∽∱㸯值潲数瑲⁹敋㵹瘢楴灟楲据灩污潣湵≴嘠污敵∽∳㸯值潲数瑲⁹敋㵹瘢楴江獩牴煥極敲档捥潫瑵•慖畬㵥昢污敳⼢㰾牐灯牥祴䬠祥∽瑶彩潤獣潴敲敶獲潩≮嘠污敵∽∱㸯值潲数瑲⁹敋㵹瘢楴獟慨敲汦条≳嘠污敵∽∰㸯值潲数瑲⁹敋㵹瘢楴江獩整慮汢浥湩牯敶獲潩獮•慖畬㵥昢污敳⼢㰾牐灯牥祴䬠祥∽瑶彩楬瑳慮敭•慖畬㵥笢㌱㤷㐲䐶ㄭ㙃ⵆ㌴ㅁ䄭䑆ⴱ䘷䄵䉁い㙆㠹≽㸯值潲数瑲⁹敋㵹瘢楴晟汯敤獲扵潦摬牥瑩浥潣湵≴嘠污敵∽∱㸯值潲数瑲⁹敋㵹瘢楴江獩獴牥敶瑲浥汰瑡≥嘠污敵∽〱∱㸯值潲数瑲⁹敋㵹瘢楴江獩晴慬獧•慖畬㵥㌢〶㠲㤷〷㜲㔳㠶㈱⼢㰾牐灯牥祴䬠祥∽瑶彩楬瑳摩•慖畬㵥笢㌱㤷㐲䐶ㄭ㙃ⵆ㌴ㅁ䄭䑆ⴱ䘷䄵䉁い㙆㠹≽㸯值潲数瑲⁹敋㵹瘢楴敟慴≧嘠污敵∽焦潵㭴ほㅆ㑄䔰ⴰ䅄㤲㐭㤰ⵁ䄹䔰㔭㐲䅅䌷㡄㌳紷ㄬ焦潵㭴⼢㰾牐灯牥祴䬠祥∽瑶彩楬瑳汦条㉳•慖畬㵥㈢㤲㤳∲㸯值潲数瑲⁹敋㵹瘢楴摟物慬整瑳瑳浡≰嘠污敵∽〲㐲〭ⴹ㈱ㅔ㨳〵㔺∷㸯值潲数瑲⁹敋㵹瘢楴灟牡湥楴≤嘠污敵∽㍻㐰䐵䘲ⴴ㈱㜱㐭䐹ⵁ䉂㥅㔭㘸㤵㈳䐵㔰絃⼢㰾牐灯牥祴䬠祥∽瑶彩楬瑳慢敳祴数•慖畬㵥ㄢ⼢㰾牐灯牥祴䬠祥∽瑶彩楬瑳湥扡敬潭敤慲楴湯•慖畬㵥昢污敳⼢㰾牐灯牥祴䬠祥∽瑶彩敭慴湩潦敶獲潩≮嘠污敵∽∱㸯值潲数瑲⁹敋㵹瘢楴摟捯楬牢睯摩•慖畬㵥ㄢ〳㌵∹㸯值潲数瑲⁹敋㵹瘢楴瑟浩汥獡浴摯晩敩≤嘠污敵∽〲㐲〭ⴹ㠰㉔㨲㈴㔺∵㸯值潲数瑲⁹敋㵹瘢楴楟扳潲獷扡敬•慖畬㵥琢畲≥㸯值潲数瑲⁹敋㵹瘢楴损湡敤敬整敶獲潩≮嘠污敵∽牴敵⼢㰾牐灯牥祴䬠祥∽瑶彩敲汰摩•慖畬㵥爢摩笺䘰䐱〴ぅ䐭㉁ⴹ〴䄹㤭ぁⵅ㈵䔴㝁䑃㌸㜳≽㸯值潲数瑲⁹敋㵹瘢楴桟獡畳摢物≳嘠污敵∽牴敵⼢㰾牐灯牥祴䬠祥∽瑶彩獩硥捥瑵扡敬•慖畬㵥昢污敳⼢㰾牐灯牥祴䬠祥∽瑶彩楬瑳湥扡敬敶獲潩楮杮•慖畬㵥琢畲≥㸯⼼潆摬牥牐灯㹳⼼畓剢獥潰獮䑥瑡㹡⼼畓剢獥潰獮㹥⼼敒灳湯敳㰾刯獥潰獮䍥汯敬瑣潩㹮⼼㩳潂祤㰾猯䔺癮汥灯㹥਍ⴭ畵摩㈺捥愵扤ⴴ愴㍥㐭㈸ⴲ敡昸昭〴㔸攲㠸㕢⬶摩ㄽⴭ਍걧꿱㱚䑖⠨츭衼倔瑥灹≥嘠污敵∽∱㸯值潲数瑲⁹敋㵹瘢楴江獩晴慬獧∲嘠污敵∽㈲㌹㈹⼢㰾牐灯牥祴䬠祥∽瑶彩潤獣潴敲敶獲潩≮嘠污敵∽∴㸯值潲数瑲⁹敋㵹瘢楴江獩整慮汢癥牥楳湯湩≧嘠污敵∽牴敵⼢㰾䘯汯敤偲潲獰㰾匯扵敒灳湯敳慄慴㰾匯扵敒灳湯敳㰾畓剢獥潰獮⁥畓剢煥敵瑳潔敫㵮㌢•牅潲䍲摯㵥匢捵散獳•剈獥汵㵴〢㸢䜼瑥敖獲潩獮敒灳湯敳㰾敇噴牥楳湯剳獥汵㹴爼獥汵獴㰾楬瑳椠㵤笢䙃㜹䄱䍂㜭䔷ⴲ㌴㥆䄭䄳ⴶ䐸䅃㘹䑄㙅㝁≽㸯瘼牥楳湯湩⁧湥扡敬㵤ㄢ⼢㰾敳瑴湩獧甠汲∽瑨灴㩳⼯敨牤捩扫潲桴牥捳浯献慨敲潰湩⹴潣⽭楳整⽳敒楳敤瑮慩偬敲潣獮牴捵楴湯弯慬潹瑵⽳㔱䰯瑳敓湴⹧獡硰䰿獩㵴䍻㥆ㄷ䉁ⵃ㜷㉅㐭䘳ⴹ㍁㙁㠭䍄㥁䐶䕄䄶紷⼢㰾敲畳瑬瘠牥楳湯∽㍀〮•牵㵬栢瑴獰⼺栯摥楲正牢瑯敨獲潣⹭桳牡灥楯瑮挮浯猯瑩獥刯獥摩湥楴污牐捥湯瑳畲瑣潩⽮桓牡摥䐠捯浵湥獴䜯湥牥污丯睥倠潲敪瑣匠瑥唠⽰潃祰漠⁦敎⁷牐橯捥⁴獅楴慭楴杮䴠瑡楲⹸汸硳•牣慥整㵤㠢㈯⼰〲㐲㜠㈺‸䵁•牣慥整剤睡∽〲㐲〭ⴸ〲ㅔ㨴㠲〺娲•牣慥整䉤㵹椢〺⸣籦敭扭牥桳灩敼潲瑯桀摥楲正牢瑯敨獲挮浯•牣慥整䉤乹浡㵥䔢桴湡删潯≴猠穩㵥㔢㠵㘳∴挠浯敭瑮㵳∢㸯爼獥汵⁴敶獲潩㵮ㄢ〮•牵㵬栢瑴獰⼺栯摥楲正牢瑯敨獲潣⹭桳牡灥楯瑮挮浯猯瑩獥刯獥摩湥楴污牐捥湯瑳畲瑣潩⽮癟楴桟獩潴祲㔯㈱匯慨敲⁤潄畣敭瑮⽳敇敮慲⽬敎⁷牐橯捥⁴敓⁴灕䌯灯⁹景丠睥倠潲敪瑣䔠瑳浩瑡湩⁧慍牴硩砮獬≸挠敲瑡摥∽⼶㈱㈯㈰‴〱ㄺ‴䵁•牣慥整剤睡∽〲㐲〭ⴶ㈱ㅔ㨷㐱〺娹•牣慥整䉤㵹椢〺⸣籦敭扭牥桳灩敼潲瑯桀摥楲正牢瑯敨獲挮浯•牣慥整䉤乹浡㵥䔢桴湡删潯≴猠穩㵥㔢〶㈴∱挠浯敭瑮㵳∢㸯爼獥汵⁴敶獲潩㵮㈢〮•牵㵬栢瑴獰⼺栯摥楲正牢瑯敨獲潣⹭桳牡灥楯瑮挮浯猯瑩獥刯獥摩湥楴污牐捥湯瑳畲瑣潩⽮癟楴桟獩潴祲ㄯ㈰⼴桓牡摥䐠捯浵湥獴䜯湥牥污丯睥倠潲敪瑣匠瑥唠⽰潃祰漠⁦敎⁷牐橯捥⁴獅楴慭楴杮䴠瑡楲⹸汸硳•牣慥整㵤㜢ㄯ⼲〲㐲㘠㌺‱䵁•牣慥整剤睡∽〲㐲〭ⴷ㈱ㅔ㨳ㄳ㈺娸•牣慥整䉤㵹椢〺⸣籦敭扭牥桳灩敼潲瑯桀摥楲正牢瑯敨獲挮浯•牣慥整䉤乹浡㵥䔢桴湡删潯≴猠穩㵥㔢㤵〷∹挠浯敭瑮㵳∢㸯⼼敲畳瑬㹳⼼敇噴牥楳湯剳獥汵㹴⼼敇噴牥楳湯剳獥潰獮㹥⼼畓剢獥潰獮㹥匼扵敒灳湯敳匠扵敒畱獥呴歯湥∽∴䔠牲牯潃敤∽畓捣獥≳䠠敒畳瑬∽∰㰾畓剢獥潰獮䑥瑡⁡敓癲牥楔敭∽㌶㘸㜱㘴ㄱ㜱㈷ㄱ㔳⼢㰾匯扵敒灳湯敳㰾刯獥潰獮㹥⼼敒灳湯敳潃汬捥楴湯㰾猯䈺摯㹹⼼㩳湅敶潬数ാⴊ甭極㩤㈱ㄱ挹戱㌭散ⵢ昴㝢㤭散ⴷ敡㥦㌵㙣昵㝥椫㵤ⴱഭ鐊ඪ䌟㙯泲뿵ぺ騗閾夌ꇥ䠲뼪뻎ꊗ㲀콂滶폑﮵뷩衼Ⲓ㏽鮺舏̞覱䵒䬦ᾷ훲읂勰䚯肢䬹虏ા솲쎇椚ꄣƖ︯骇淨ﭴ࠻민䠫錭냻჆艾冭Հ儔Հ儔Հ儔Հ儔Հ儔Հ儔Հ儔Հ儔Հ儔Հ儔Հ儔Հ儔Հ儔Հ儔Հ儔ὀ浵॒毖䠊埕條᭤萅銓ꆄ꜓ဌ妌끘ꐰ흜榔渷嶫퐓㗘옩浻磽⳸껿諒夬䒡㎁夷꺜风웳絧剳膩迕游ㆾ贳꠨쀩祐罥떤皫䂤枫ꞽ새➕첤ീ軒൨᫕趻쿞ி⽽瑺⺵⹳崿ὅ桎醰轟但⤑噇另㥷暽䤱떅녵岻䫯琝ဍ቉ࢌ鶳䟼檷푗䁭鎤朹ጣ闊굙傛납縗ŵꩾೄᙈ틨ₖ∻╅勆귯坈뛔괕髧琑钏ꖷ꺅锳晻揕買∷ｒ劊瘾ﭛ贪堢腳∮텽ㆪ෢੖ꢻᶭ挬尗孿ᜋ萶ꪮ낛姲鎷ᖎ讃칧䟍㴡黨闵䶃꒸缢趎躐瀫ꥸ澔縉噋攑ᗤ캨䪺೩ⴚ蚟妚꽟밯᫠蛊풏✞氛﻾䎉旷ꇅ땍᭙鵥裭셧碈剿閻蕵ⴖ헛銥ᡨﻃ썄펔蠫婦ᶺ험ꬬ榚妖￞估Ө侌懂㵕䁖ᷞ봲깯巛鍓准᤟븭찶㡴⌶솺屐ﶍ墺⢄쎿洋嘁㽎㕬傃⯜뀓胣銣׼ၮ篖帾෬褙秈Ⴉ/횐仮晓䷄녣㿕嚼릯폿焉㸖伥쌚ᗓ큶떩臞釾췑Ｑ愄饭搿ᵨ湯瑳畲瑣喡̬退̗ဃH䠌呔⽐⸱‱〲‰䭏਍慃档ⵥ潃瑮潲㩬瀠楲慶整਍潃瑮湥⵴敌杮桴›㠲㠶਍潃瑮湥⵴祔数›畭瑬灩牡⽴敲慬整㭤戠畯摮牡㵹產極㩤ㄸ㘷㝢戹㠭慣ⵡ㜴㌹愭ちⴱ㑦搸㔸㐲昴㤱椫㵤∱※祴数∽灡汰捩瑡潩⽮潸⭰浸≬※瑳牡㵴㰢瑨灴⼺琯浥異楲漮杲〯∾※瑳牡⵴湩潦∽整瑸砯汭ഢ倊倳›偃∽䱁⁌义⁄卄⁐佃⁒䑁⁍佃潎䌠剕䌠单⁯噉潁䤠䑖⁯卐⁁卐⁄䅔⁉䕔潌传剕匠䵁⁯乃⁔佃⁍义⁔䅎⁖乏⁌䡐⁙剐⁅啐⁒乕≉਍ⵘ敎睴牯卫慴楴瑳捩㩳〠㔬㔲㘵ⰸⰰㄱⰹ㠳㤳㌲〬㐬㠵ㄱⰴ㠲਍ⵘ桓牡健楯瑮效污桴捓牯㩥㈠਍偓匭牥楶散䌭湯整瑸›潎⁴癡楡慬汢㩥潎⁴癡楡慬汢൥䴊䵉ⵅ敖獲潩㩮" userName="辑ĸ♐鉸ĸᰀ辑ĸrec猀牥吮湥湡䥴d睊࠸耀ﷰ赶ĸ赶ĸ줠赶ĸ펰赶ĸ赶ĸ赶ĸސ逐ĸݠ賞ĸᇰ賞ĸ賝ĸ賝ĸﳐ賝ĸ賝ĸ뼀섴ĸ즐섴ĸ齐섴ĸ둰섴ĸ퐠섴ĸꧠ섴ĸ炀샱ĸ輰鋹ĸ睽स耀Will do\USER\S-1-5-21-1885146800-136245460-3200162960-4388_Classes\CLSID\{88D96A05-F192-11D4-A65F-0040963251E5}\InprocHandler鋹ĸ睬ਸ耀⡰鉸ĸ辐ĸ㌐鉸ĸThaԀ霳ĸ猀牥扏敪瑣摉皟ସ耀ecalderon@hedrickbrothers.comeral/Projects/DO NOT USE 24-154-01 Bessemer Trust - One Flagler/One Flagler - Estimating Matrix2樰鋻ĸ皎స退S:\HB PROJECTS\2023\23-131-01 Arenz Res Phase 2\00-Estimating\03 EstSummary\Estimate Summary Template - Updated 08-01-2023.xlsx樰鋻ĸ皡സ耀㡠鉸ĸ⿠鉸ĸ♐鉸ĸ/24︀露ĸ漀浭牥楣污盐ุ耀/sites/2024Projects/Shared%20Documents/24-213-01%20Hibiscus%20House/00-Estimating/09%20Estimates/Project%20Estimating%20Matrix.xlsx盃༸耀%@Edwin Calderon Speak to David Bennet45460-3200162960-4388_Classes\CLSID\{88D96A05-F192-11D4-A65F-0040963251E5}\InprocServer32sx盲း耀UrlHash:&lt;PII_SCRUBBED&gt;; ServerType:5; SupportedProtocols:87; Version:16; Flags:7; CobaltMajor:1; CobaltMinor:6; MsDavExt:1; Shar盥ᄸ耀/sites/2024Projects/Shared%20Documents/24-213-01%20Hibiscus%20House/00-Estimating/09%20Estimates/Project%20Estimating%20Matrix.xlsx瘔ሸ耀ᰀ辑ĸ㌐鉸ĸᰀ辑ĸdri霳ĸ䰀䉏䱁瘇ጸ耀똈⽖翿뛘⽗翿ĸ㾀軀빅ĸ㾀軰빅ĸ瘶ᐸ耀⮠鉸ĸ辐ĸఐ辑ĸon瘀湥⹴楔敭Ή鑣팲ࣜ瘩ᔸ耀/sites/2024Projects/Shared%20Documents/24-213-01%20Hibiscus%20House/00-Estimating/09%20Estimates/Project%20Estimating%20Matrix.xlsx癘ᘸ退C:\Users\ecalderon\Downloads\SEMINOLE CLUB - LOCKER REMOVAL AND REINSTALLATION PROPOSAL - DLI INC - REVISED 11-09-23.xlsxsxٯ耀ퟐ鋮ĸ癋᜸耀/sites/2024Projects/Shared%20Documents/24-213-01%20Hibiscus%20House/00-Estimating/09%20Estimates/Project%20Estimating%20Matrix.xlsx発ᠸ耀@Chaitanya Banthia Call TomDocuments/24-213-01%20Hibiscus%20House/00-Estimating/09%20Estimates/Project%20Estimating%20Matrix.xlsx癭ᤸ耀똈⽖翿뛘⽗翿Ĺ㾀逐빅ĸ㾀鸀비ĸ熜ᨸ耀ᰀ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 userProvider="辑ĸ㐠鉸ĸᰀ辑ĸdri瘀湥⹴慎敭묀载ĸ眗̸耀辐ĸ⿠鉸ĸ╀鉸ĸricﴀ露ĸ눀载ĸ眆и耀㙀鉸ĸ辐ĸ辐ĸhed瘀湥⹴敓畱湥散Ȏ眹Ը耀ᰀ辑ĸ䌀鉸ĸᰀ辑ĸdri豈露ĸ䤀I眨ظ耀㠀쐕翿掟7掟7㠰쐕翿掟7掟7㡠쐕翿掟7掟7㢐쐕翿掟7掟7睛ܸ耀ᰀ辑ĸ♐鉸ĸᰀ辑ĸrec猀牥吮湥湡䥴d睊࠸耀ﷰ赶ĸ赶ĸ줠赶ĸ펰赶ĸ赶ĸ赶ĸސ逐ĸݠ賞ĸᇰ賞ĸ賝ĸ賝ĸﳐ賝ĸ賝ĸ뼀섴ĸ즐섴ĸ齐섴ĸ둰섴ĸ퐠섴ĸꧠ섴ĸ炀샱ĸ輰鋹ĸ睽स耀Will do\USER\S-1-5-21-1885146800-136245460-3200162960-4388_Classes\CLSID\{88D96A05-F192-11D4-A65F-0040963251E5}\InprocHandler鋹ĸ睬ਸ耀⡰鉸ĸ辐ĸ㌐鉸ĸThaԀ霳ĸ猀牥扏敪瑣摉皟ସ耀ecalderon@hedrickbrothers.comeral/Projects/DO NOT USE 24-154-01 Bessemer Trust - One Flagler/One Flagler - Estimating Matrix2樰鋻ĸ皎స退S:\HB PROJECTS\2023\23-131-01 Arenz Res Phase 2\00-Estimating\03 EstSummary\Estimate Summary Template - Updated 08-01-2023.xlsx樰鋻ĸ皡സ耀㡠鉸ĸ⿠鉸ĸ♐鉸ĸ/24︀露ĸ漀浭牥楣污盐ุ耀/sites/2024Projects/Shared%20Documents/24-213-01%20Hibiscus%20House/00-Estimating/09%20Estimates/Project%20Estimating%20Matrix.xlsx盃༸耀%@Edwin Calderon Speak to David Bennet45460-3200162960-4388_Classes\CLSID\{88D96A05-F192-11D4-A65F-0040963251E5}\InprocServer32sx盲း耀UrlHash:&lt;PII_SCRUBBED&gt;; ServerType:5; SupportedProtocols:87; Version:16; Flags:7; CobaltMajor:1; CobaltMinor:6; MsDavExt:1; Shar盥ᄸ耀/sites/2024Projects/Shared%20Documents/24-213-01%20Hibiscus%20House/00-Estimating/09%20Estimates/Project%20Estimating%20Matrix.xlsx瘔ሸ耀ᰀ辑ĸ㌐鉸ĸᰀ辑ĸdri霳ĸ䰀䉏䱁瘇ጸ耀똈⽖翿뛘⽗翿ĸ㾀軀빅ĸ㾀軰빅ĸ瘶ᐸ耀⮠鉸ĸ辐ĸఐ辑ĸon瘀湥⹴楔敭Ή鑣팲ࣜ瘩ᔸ耀/sites/2024Projects/Shared%20Documents/24-213-01%20Hibiscus%20House/00-Estimating/09%20Estimates/Project%20Estimating%20Matrix.xlsx癘ᘸ退C:\Users\ecalderon\Downloads\SEMINOLE CLUB - LOCKER REMOVAL AND REINSTALLATION PROPOSAL - DLI INC - REVISED 11-09-23.xlsxsxٯ耀ퟐ鋮ĸ癋᜸耀/sites/2024Projects/Shared%20Documents/24-213-01%20Hibiscus%20House/00-Estimating/09%20Estimates/Project%20Estimating%20Matrix.xlsx発ᠸ耀@Chaitanya Banthia Call TomDocuments/24-213-01%20Hibiscus%20House/00-Estimating/09%20Estimates/Project%20Estimating%20Matrix.xlsx癭ᤸ耀똈⽖翿뛘⽗翿Ĺ㾀逐빅ĸ㾀鸀비ĸ熜ᨸ耀ᰀ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
      </Event>
      <Event time="2024-09-06T12:18:06.23" id="{68F9574B-4D3C-41A8-9F04-3D6E443E9EEC}">
        <Attribution userId="sites/2024Projects/Shared%20Documents/24-213-01" userName="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巠⼽翿%20C珜͢退恘⼽翿쀀庈⼽翿嶸⼽翿帘⼽翿擰鉸ĸ昸鉸ĸ朸鉸ĸ⛲锐賕ĸ锔賕ĸ锔賕ĸꎰ賕ĸꎸ賕ĸꎸ賕ĸ뿰뿰뿰뿰뿰뿰㾀攀鉸ĸ ČĀ诰鉗ĸ诠鉗ĸ噸⼽翿噘⼽翿攀鉸ĸ擸鉸ĸ험뮜ĸ뿰뿰뿰뿰漐鈙ĸ䈀쀀쀀巠⼽翿㈀옯翿珤Ѐ退恘⼽翿庈⼽翿嶸⼽翿帘⼽翿졀銼ĸ杰鉸ĸ梸鉸ĸ榸鉸ĸ⛹鈠賕ĸ鈤賕ĸ鈤賕ĸ䀸ĸ䀸䀸䀸㾀⿲枀鉸ĸⓘ肑ĸ䶠쾔ݐ㽰魰鉗ĸ魠鉗ĸ噸⼽翿噘⼽翿枀鉸ĸ杸鉸ĸ휸뮜ĸ㍈銦ĸ䀸䀸闀鈘ĸ䈀梠鉸ĸ䈀鉇ĸ巠⼽翿9猌׿耀槐⼿翿庈⼽翿嶸⼽翿자⽛翿槰鉸ĸ欸鉸ĸ永鉸ĸ⛽ĸ䂞翿렀䂈렀䂈䂞㾀㉥옯翸噸⼽翿噘⼽翿樀鉸ĸ槸鉸ĸ력貫柰鈙ĸ刀鉇ĸꏀ뭰ĸ巠⼽翿ments/Palm%20House%20Hotel%20-%20Take%20Off%20Sheet%20TOTALS%2004.12.24.xlsx晢偆䕟䍘䅈䝎彅剏䥇D瑨灴㩳⼯畯汴潯⹫梫涳쪏ၯꝀ쇖ĸ濁Ĺ&#10;타飱￺ĸ'浐鉸ĸｆ￸ༀ샭ĸ獇8退믐뭰ĸ9?莠消Ĺ僠邑ĸ胐消Ĺ 蒐消Ĺ≭ਬ†椢瑡㨢∠㜱㘲㐱〲㐹Ⱒ ∠摩祴≰›產獲Ĭ耀꿰쁻翿ꎘ쁻翿쀀 奘쁼翿妰쁼翿堸쁼翿塰쁼翿墨쁼翿壠쁼翿夘쁼翿ૈ삂翿匐쁼翿㾀勐쁼翿獡ɡ耀꿰쁻翿ꎘ쁻翿쀀 奘쁼翿妰쁼翿堸쁼翿塰쁼翿墨쁼翿壠쁼翿夘쁼翿ૈ삂翿匐쁼翿㾀勐쁼翿獬͘退몰뭰ĸ9?砀消Ĺ 烠消Ĺ㼐淗Ĺ砰消Ĺ&#10;挶ⴸ㑢〶㠭㘱晣㜰㍤戳⹦攰㌸戴㝤㘭㠲ⵢ㈴㡣犛ѣ耀꿰쁻翿ꎘ쁻翿쀀 奘쁼翿妰쁼翿堸쁼翿塰쁼翿墨쁼翿壠쁼翿夘쁼翿ૈ삂翿匐쁼翿㾀勐쁼翿犆Ԣ耀꿰쁻翿ꎘ쁻翿쀀 奘쁼翿妰쁼翿堸쁼翿塰쁼翿墨쁼翿壠쁼翿夘쁼翿ૈ삂翿匐쁼翿㾀勐쁼翿犵ج蠀䶐⼾翿ĸ쭸⼾翿漶Ĺ$'佰섖ĸ侀섖ĸ侀섖ĸĂĸŤ⼿犠ݜ耀꿰쁻翿ﮀ쁻翿쀀 奘쁼翿妰쁼翿堸쁼翿塰쁼翿墨쁼翿壠쁼翿夘쁼翿ૈ삂翿泈쁼翿浨쁼翿硨쁼翿犯࠱耀꿰쁻翿ꎘ쁻翿쀀 奘쁼翿妰쁼翿堸쁼翿塰쁼翿墨쁼翿壠쁼翿夘쁼翿ૈ삂翿匐쁼翿㾀勐쁼翿狚ऺ退ꁀ뭰ĸ9?篰消Ĺ 翠消Ĺ芀消Ĺ&#10;SGC潬楧⹮業牣獯景潴汮湩⹥潣⽭攰㌸戴㝤㘭㠲ⵢ狉ਭ耀꿰쁻翿ﮀ쁻翿쀀 奘쁼翿妰쁼翿堸쁼翿塰쁼翿墨쁼翿壠쁼翿夘쁼翿ૈ삂翿泈쁼翿浨쁼翿硨쁼翿狴଴耀꿰쁻翿ﮀ쁻翿쀀 奘쁼翿妰쁼翿堸쁼翿塰쁼翿墨쁼翿壠쁼翿夘쁼翿ૈ삂翿泈쁼翿浨쁼翿硨쁼翿狣౲耀꿰쁻翿ꎘ쁻翿쀀 奘쁼翿妰쁼翿堸쁼翿塰쁼翿墨쁼翿壠쁼翿夘쁼翿ૈ삂翿匐쁼翿㾀勐쁼翿狮ര退鏀诏ĸ*/㵐淗ĹGeneral潠消Ĺ吀邑ĸARCHIVE楯甹伹䤵爝๋退ꬣ鎪ݑen-AE" userProvider="鉸ĸ⿠鉸ĸ♐鉸ĸ/24︀露ĸ漀浭牥楣污盐ุ耀/sites/2024Projects/Shared%20Documents/24-213-01%20Hibiscus%20House/00-Estimating/09%20Estimates/Project%20Estimating%20Matrix.xlsx盃༸耀%@Edwin Calderon Speak to David Bennet45460-3200162960-4388_Classes\CLSID\{88D96A05-F192-11D4-A65F-0040963251E5}\InprocServer32sx盲း耀UrlHash:&lt;PII_SCRUBBED&gt;; ServerType:5; SupportedProtocols:87; Version:16; Flags:7; CobaltMajor:1; CobaltMinor:6; MsDavExt:1; Shar盥ᄸ耀/sites/2024Projects/Shared%20Documents/24-213-01%20Hibiscus%20House/00-Estimating/09%20Estimates/Project%20Estimating%20Matrix.xlsx瘔ሸ耀ᰀ辑ĸ㌐鉸ĸᰀ辑ĸdri霳ĸ䰀䉏䱁瘇ጸ耀똈⽖翿뛘⽗翿ĸ㾀軀빅ĸ㾀軰빅ĸ瘶ᐸ耀⮠鉸ĸ辐ĸఐ辑ĸon瘀湥⹴楔敭Ή鑣팲ࣜ瘩ᔸ耀/sites/2024Projects/Shared%20Documents/24-213-01%20Hibiscus%20House/00-Estimating/09%20Estimates/Project%20Estimating%20Matrix.xlsx癘ᘸ退C:\Users\ecalderon\Downloads\SEMINOLE CLUB - LOCKER REMOVAL AND REINSTALLATION PROPOSAL - DLI INC - REVISED 11-09-23.xlsxsxٯ耀ퟐ鋮ĸ癋᜸耀/sites/2024Projects/Shared%20Documents/24-213-01%20Hibiscus%20House/00-Estimating/09%20Estimates/Project%20Estimating%20Matrix.xlsx発ᠸ耀@Chaitanya Banthia Call TomDocuments/24-213-01%20Hibiscus%20House/00-Estimating/09%20Estimates/Project%20Estimating%20Matrix.xlsx癭ᤸ耀똈⽖翿뛘⽗翿Ĺ㾀逐빅ĸ㾀鸀비ĸ熜ᨸ耀ᰀ辑ĸఐ辑ĸᰀ辑ĸon瘀湥䥴普⹯敌敶l熏ᭃ耀ᰀ辑ĸ䌀鉸ĸᰀ辑ĸron＀露ĸ唀䥐熾᰹耀UrlHash:&lt;PII_SCRUBBED&gt;; ServerType:5; SupportedProtocols:87; Version:16; Flags:7; CobaltMajor:1; CobaltMinor:6; MsDavExt:1; SharlsxyUsage critical=&quot;true&quot; value=&quot;A0&quot; CERT_DIGITAL_SIGNATURE_KEY_USAGE=&quot;true&quot; CERT_KEY_ENCIPHERMENT_KEY_USAGE=&quot;true&quot;/&gt;&lt;Subje横즏o䬀遁ĸ莰澜Ĺ楆敬╳䵜捩潲潳瑦传晦捩履潒瑯作晦捩ㅥ尶塅䕃⹌塅E%ProgramFiles%\Microsoft Office\Root\Office16\EXCEL.EXE`ꀀX扨慬㕰㐲㇐꾦枆䀙㮛ꇩ皔璥禐ᇮ岘淴ᄿ晳㇐꾦枆䀙㮛ꇩ皔璥禐ᇮ岘淴ᄿ晳ìâ ꀀ匱卐藠俹ၨ醫✫ἀ㠀吀爀愀搀攀猀 ∀†䠀攀搀爀椀挀欀 䈀爀漀琀栀攀爀猀 䌀漀渀猀琀爀甀挀琀椀漀渀 䌀漀⸀Ⰰ 䤀渀挀开 ㌀ⴀ㜀ⴀ㈀㐀㤀㄀偓녓洖굄炍Ꝉ䁈ꐮ砽ᶌ栀H辜䅱ឫథ⨊啂9㤀쯉o흐醭ĸᦐꞝĸ啂6㘀쯄o薐鄷ĸᩀ븜ĸ&quot;true&quot; cA=&quot;false&quot;/&gt;&lt;CertificatePolicies&gt;&lt;Policy oid=&quot;1.3.6.1.4.1.311.76.509.1.1&quot;/&gt;&lt;Policy oid=&quot;2.23.140.1.2.2&quot;/&gt;&lt;/CertificatePolicies&gt;&lt;AuthorityKeyIdentifier&gt;&lt;KeyID hash=&quot;CE15163BEA02A3A66BDAD92BFDE58C52BE7A50A8&quot;/&gt;&lt;/AuthorityKeyIdentifier&gt;&lt;ExtendedKeyUsage&gt;&lt;Usage oid=&quot;1.3.6.1.5.5.7.3.2&quot; name=&quot;Client Authentication&quot;/&gt;&lt;Usage oid=&quot;1.3.6.1.5.5.7.3.1&quot; name=&quot;Server Authentication&quot;/&gt;&lt;/ExtendedKeyUsage&gt;&lt;/Extensions&gt;&lt;Prop䥹䤶䅪䵷殫溳쬎ၯᄰ涖Ĺ㻰潳Ĺ타룑ﺚ䅄䵷 䴰鉸ĸ啪䴲䅄䱩䩃敬䅈佩煅z言亠賘ĸ煾ĸ言仠賘ĸ흺눥툏넕둊↎쓊炛Ȁ言䟐淗Ĺ憑炴̀言䂤旪ﶖ烑Ѐ言ꀺ曢ȁ烊Ԁ言烧؀言ꕶĸฦĹ瀀܀言Ȭ가뵲ĸ瀽࠹言ĸ鞐淖Ĺ鱰设ĸꦘ챈ꇐ淖Ĺĸ챀銦ĸࡸ풸銦ĸࡌ殫溳쪏ၯꕰ遉ĸ㻰潳Ĺ타ꣁﶪmb嵀鉸ĸ￞r=spo&amp;in灄t耀槐⼿翿쀀庈⼽翿嶸⼽翿자⽛翿嵰鉸ĸ庸鉸ĸ徸鉸ĸ⛾䂞렀䂈렀䂈䂞 ČĀ噸⼽翿噘⼽翿嶀鉸ĸ嵸鉸ĸ䂞렀䂈攠鈙ĸ刀쀀쀀ç巠⼽翿㈀옯翿灬Ā退恘⼽翿Ā庈⼽翿嶸⼽翿帘⼽翿攀鉸ĸ忰鉸ĸ愸鉸ĸ戸鉸ĸ⛴颐賕ĸ颔賕ĸ颔賕ĸĸ怀鉸ĸ ￸،谰鉗ĸ谠鉗ĸ噸⼽翿噘⼽翿怀鉸ĸ忸鉸ĸ참뮜ĸ鎀鈘ĸ䈀愠鉸ĸ뀀赑ĸ巠⼽翿堂쁼翿玴˿退恘⼽翿庈⼽翿嶸⼽翿帘⼽翿扰鉸ĸ掸鉸ĸ撸鉸ĸ⛳韰賕ĸ韴賕ĸ韴賕ĸ뿰ĸ뿰뿰뿰翿뿰뿰㾀技鉸ĸ㉠옯翸谐鉗ĸ谀鉗ĸ噸⼽翿噘⼽翿技鉸ĸ扸鉸ĸ뮜ĸ뿰뿰뿰뿰驏貫驰鈘ĸ숀赑ĸꋀ聠ĸ巠⼽翿%20C珜͢退恘⼽翿쀀庈⼽翿嶸⼽翿帘⼽翿擰鉸ĸ昸鉸ĸ朸鉸ĸ⛲锐賕ĸ锔賕ĸ锔賕ĸꎰ賕ĸꎸ賕ĸꎸ賕ĸ뿰뿰뿰뿰뿰뿰㾀攀鉸ĸ ČĀ诰鉗ĸ诠鉗ĸ噸⼽翿噘⼽翿攀鉸ĸ擸鉸ĸ험뮜ĸ뿰뿰뿰뿰漐鈙ĸ䈀쀀쀀巠⼽翿㈀옯翿珤Ѐ退恘⼽翿庈⼽翿嶸⼽翿帘⼽翿졀銼ĸ杰鉸ĸ梸鉸ĸ榸鉸ĸ⛹鈠賕ĸ鈤賕ĸ鈤賕ĸ䀸ĸ䀸䀸䀸㾀⿲枀鉸ĸⓘ肑ĸ䶠쾔ݐ㽰魰鉗ĸ魠鉗ĸ噸⼽翿噘⼽翿枀鉸ĸ杸鉸ĸ휸뮜ĸ㍈銦ĸ䀸䀸闀鈘ĸ䈀梠鉸ĸ䈀鉇ĸ巠⼽翿9猌׿耀槐⼿翿庈⼽翿嶸⼽翿자⽛翿槰鉸ĸ欸鉸ĸ永鉸ĸ⛽ĸ䂞翿렀䂈렀䂈䂞㾀㉥옯翸噸⼽翿噘⼽翿樀鉸ĸ槸鉸ĸ력貫柰鈙ĸ刀鉇ĸꏀ뭰ĸ巠⼽翿ments/Palm%20House%20Hotel%20-%20Take%20Off%20Sheet%20TOTALS%2004.12.24.xlsx晢偆䕟䍘䅈䝎彅剏䥇D瑨灴㩳⼯畯汴潯⹫梫涳쪏ၯꝀ쇖ĸ濁Ĺ&#10;타飱￺ĸ'浐鉸ĸｆ￸ༀ샭ĸ獇8退믐뭰ĸ9?莠消Ĺ僠邑ĸ胐消Ĺ 蒐消Ĺ≭ਬ†椢瑡㨢∠㜱㘲㐱〲㐹Ⱒ ∠摩祴≰›產獲Ĭ耀꿰쁻翿ꎘ쁻翿쀀 奘쁼翿妰쁼翿堸쁼翿塰쁼翿墨쁼翿壠쁼翿夘쁼翿ૈ삂翿匐쁼翿㾀勐쁼翿獡ɡ耀꿰쁻翿ꎘ쁻翿쀀 奘쁼翿妰쁼翿堸쁼翿塰쁼翿墨쁼翿壠쁼翿夘쁼翿ૈ삂翿匐쁼翿㾀勐쁼翿獬͘退몰뭰ĸ9?砀消Ĺ 烠消Ĺ㼐淗Ĺ砰消Ĺ&#10;挶ⴸ㑢〶㠭㘱晣㜰㍤戳⹦攰㌸戴㝤㘭㠲ⵢ㈴㡣犛ѣ耀꿰쁻翿ꎘ쁻翿쀀 奘쁼翿妰쁼翿堸쁼翿塰쁼翿墨쁼翿壠쁼翿夘쁼翿ૈ삂翿匐쁼翿㾀勐쁼翿犆Ԣ耀꿰쁻翿ꎘ쁻翿쀀 奘쁼翿妰쁼翿堸쁼翿塰쁼翿墨쁼翿壠쁼翿夘쁼翿ૈ삂翿匐쁼翿㾀勐쁼翿犵ج蠀䶐⼾翿ĸ쭸⼾翿漶Ĺ$'佰섖ĸ侀섖ĸ侀섖ĸĂĸŤ⼿犠ݜ耀꿰쁻翿ﮀ쁻翿쀀 奘쁼翿妰쁼翿堸쁼翿塰쁼翿墨쁼翿壠쁼翿夘쁼翿ૈ삂翿泈쁼翿浨쁼翿硨쁼翿犯࠱耀꿰쁻翿ꎘ쁻翿쀀 奘쁼翿妰쁼翿堸쁼翿塰쁼翿墨쁼翿壠쁼翿夘쁼翿ૈ삂翿匐쁼翿㾀勐쁼翿狚ऺ退ꁀ뭰ĸ9?篰消Ĺ 翠消Ĺ芀消Ĺ&#10;SGC潬楧⹮業牣獯景潴汮湩⹥潣⽭攰㌸戴㝤㘭㠲ⵢ狉ਭ耀꿰쁻翿ﮀ쁻翿쀀 奘쁼翿妰쁼翿堸쁼翿塰쁼翿墨쁼翿壠쁼翿夘쁼翿ૈ삂翿泈쁼翿浨쁼翿硨쁼翿狴଴耀꿰쁻翿ﮀ쁻翿쀀 奘쁼翿妰쁼翿堸쁼翿塰쁼翿墨쁼翿壠쁼翿夘쁼翿ૈ삂翿泈쁼翿浨쁼翿硨쁼翿狣౲耀꿰쁻翿ꎘ쁻翿쀀 奘쁼翿妰쁼翿堸쁼翿塰쁼翿墨쁼翿壠쁼翿夘쁼翿ૈ삂翿匐쁼翿㾀勐쁼翿狮ര退鏀诏ĸ*/㵐淗ĹGeneral潠消Ĺ吀邑ĸARCHIVE楯甹伹䤵爝๋退ꬣ鎪ݑen-AEMaĂM爈཰退ꬣ鎪ݑes-CUĸĂ¦爷္耀꿰쁻翿ﮀ쁻翿쀀 奘쁼翿妰쁼翿堸쁼翿塰쁼翿墨쁼翿壠쁼翿夘쁼翿ૈ삂翿泈쁼翿浨쁼翿硨쁼翿爢ᄶ退괰뭰ĸ9?穰消Ĺ 蓰消Ĺ簠消Ĺ&#10;SGC鬐浅Ĺ趐浅Ĺ牑ሀ蠀䶐⼾翿翿쭸⼾翿澙Ĺ$'㽰澵Ĺ㾀澵Ĺ㾀澵ĹĂŤ牜ጹ耀꿰쁻翿ꎘ쁻翿쀀 奘쁼翿妰쁼翿堸쁼翿塰쁼翿墨쁼翿壠쁼翿夘쁼翿ૈ삂翿匐쁼翿㾀勐쁼翿牋᐀耀꿰쁻翿ﮀ쁻翿쀀 奘쁼翿妰쁼翿堸쁼翿塰쁼翿墨쁼翿壠쁼翿夘쁼翿ૈ삂翿泈쁼翿浨쁼翿硨쁼翿牶ᔀ耀꿰쁻翿ﮀ쁻翿쀀 奘쁼翿妰쁼翿堸쁼翿塰쁼翿墨쁼翿壠쁼翿夘쁼翿ૈ삂翿泈쁼翿浨쁼翿硨쁼翿牥ᘹ退骠뭰ĸ9?耐消Ĺ 紐消Ĺ冐淗Ĺ臀消Ĺ&#10;稐浅Ĺ濰诋ĸ綐ᜀ耀꿰쁻翿ﮀ쁻翿쀀 奘쁼翿妰쁼翿堸쁼翿塰쁼翿墨쁼翿壠쁼翿夘쁼翿ૈ삂翿泈쁼翿浨쁼翿硨쁼翿綟᠀退靀诏ĸ*/㩐淗ĹGeneral湀消Ĺጀ澊Ĺ17矐消Ĺ 綊ᤸ退贰诏ĸ*/㲐淗ĹGeneral盠消Ĺ䒰邑ĸARCHIVE∶紊0綹ᨲ退Edwin Calderon's OneDrive - Hedrick Brothers Construction ‏» ‎‎Documents ‏» ‎‎Attachments綤ᬸ退穠诏ĸ*/㤐淗ĹGeneral秠消ĹArchive勀邑ĸ緓ᰀ退딐뭰ĸ9?穀消Ĺ 燐消Ĺ喐淗Ĺ腠消Ĺ&#10;莐鄧ĸ侰赃ĸ緞ᴀ退ꐰ뭰ĸ9?芰消Ĺ 萰消Ĺ䞐淗Ĺ箐消Ĺ⢰赃ĸ緍Ḹ退ꇰ뭰ĸ9?煀消Ĺ 痰消Ĺ㽐淗Ĺ煰消Ĺ&#10;䂰赃ĸゐ鋖ĸ緸ἀ退頠诏ĸ*/㶐淗ĹGeneral硠消Ĺ䩐邑ĸ癐消Ĺ⽰赃ĸ緧 耀꿰쁻翿ꎘ쁻翿쀀 奘쁼翿妰쁼翿堸쁼翿塰쁼翿墨쁼翿壠쁼翿夘쁼翿ૈ삂翿匐쁼翿㾀勐쁼翿紒ℸ耀꿰쁻翿ﮀ쁻翿쀀 奘쁼翿妰쁼翿堸쁼翿塰쁼翿墨쁼翿壠쁼翿夘쁼翿ૈ삂翿泈쁼翿浨쁼翿硨쁼翿紁∀耀꿰쁻翿ꎘ쁻翿쀀 奘쁼翿妰쁼翿堸쁼翿塰쁼翿墨쁼翿壠쁼翿夘쁼翿ૈ삂翿匐쁼翿㾀勐쁼翿紌⍥退鬰诏ĸ*/㫐淗ĹGeneral湰消Ĺ儰邑ĸARCHIVE紻␀退饰诏ĸ*/㿐淗ĹGeneral玀消Ĺ删邑ĸARCHIVE紦─退ꃠ诏ĸ*/䂐淗ĹGeneral焐消Ĺ嘰邑ĸARCHIVE24-2絕☭退꒠讄ĸ9?瀠消Ĺ 炀消Ĺ㸐淗Ĺ畠消Ĺ&#10;xlsx컰붫ĸ츐붫ĸ櫪⺳즏ၯ劰賫ĸᾰ블ĸ╳䵜捩潲潳瑦홀ꕷĸੑ균붿ĸ즀ꕷĸਔ₀블ĸ&#10;਒㲰붋ĸ懲ꕷĸ6 ਵ⍀블ĸamFiਝ쫠빂ĸffic㙀ꕸĸ&#10;ਗᆐ솭ĸਐ秀ꕸĸ&#10;ਘ⅀블ĸ`ꀀX扨慬㕰㐲㇐꾦枆䀙㮛ꇩ皔呻敜ᇯ膘淴ᄿ晳㇐꾦枆䀙㮛ꇩ皔呻敜ᇯ膘淴ᄿ晳ÌÂ ꀀ匱卐諢䙘䲼䌸ﲻ錓頦칭a匱卐藠俹ၨ醫✫Eἀᨀ倀爀漀樀攀挀琀 䔀猀琀椀洀愀琀椀渀最 䴀愀琀爀椀檹璺쯎oᏀ솵ĸ粠불ĸꝈ䁈ꐮ砽ᶌ栀H辜䅱ឫథ⨊啂&#10;ഀ쯈o쎰솘ĸ嵐肠ĸ匱卐ᚱ䑭趭䡰䢧⹀㶤豸h䠀鰀鎏᧵燘ꭁ┗਌䈪U䈪U鎏᧵燘ꭁ؀쯃o玠郃ĸ뮊ĸЀ쯁o￐瀋Ĺ⦰ꖅĸ汸硳一打牺䙣䐶礷〶披枳쮝ၯ苐鉧ĸ㻰潳Ĺ타枱ﲺ䉒穎#銐鉸ĸ￻䅁䅁∰∬灡≰∺硅粻,耀缰起ĸ銰鉸ĸ老起ĸ堰肗ĸी鈲ĸ肗ĸච鈲ĸ肗ĸᠠ鈲ĸ肖ĸꑀꟌĸ¨Wⱀ鈲ĸ춰肖ĸ⿀鈲ĸ肗ĸㆀ鈲ĸ肗ĸਔਓਔ쵠鉧ĸ鈽ĸਔ傰肗ĸ쒰銩ĸ喰肗ĸ첐銩ĸ凰肗ĸ퇐銩ĸĸ銩ĸ嫘肗ĸ銩ĸ呰肗ĸ銩ĸ匰肗ĸ銩ĸ局肗ĸ⧠鋆ĸ뺠肖ĸ⫐鋆ĸ쎰肖ĸⶠ鋆ĸ襰먞翿㺀鋆ĸ䤰肗ĸ䧀鋆ĸ䮰肗ĸㄠ븂ĸ㷠肗ĸ肗ĸ宀涅Ĺ肗ĸ蟐涮Ĺ肖ĸ謰涮Ĺ肗ĸ뗰涮Ĺ肖ĸⓐ潅Ĺ쀈肖ĸ湥湡彴摩糲ť褀ǀ馘鉸ĸ陀鉸ĸ氾ꑀꟌĸW䔀㈻翿䕀㈻翿ઘઘ㶰붮ĸઘ랠澒Ĺ뤀澒Ĺ뤀澒Ĺ蘿式7ᣠ潂Ĺ襰먞翿襘㉹翿饈鉸ĸ꾀澝Ĺ愀≬∬楴簍Ⱥ退밀聶ĸƐ購ĸ뼠聶ĸ﵈賻ĸ좀聶ĸ駐鉸ĸྚ惠ಒ䯎쭺ﻅྏ⇉붔캐쐝᫷魳䀎耀骠鉸ĸ䔀㈻翿䕀㈻翿䔠㈻翿䖀㈻翿䖠㈻翿䕠㈻翿摯7縷摯7賭ĸ鹿븑ĸ襘㉹翿䵀淑Ĺ賻ĸ祡湟浡≥籄ͷ退到浢Ĺ̀劐浢Ĺ̂怐浢Ĺ̀櫰浢Ĺ̀抰浢Ĺ̀氐浢Ĺ̂挐浢Ĺ̀嬰浢Ĺ̂桐浢Ĺ̀敐浢Ĺ̀宐浢Ĺ̀洰浢Ĺ̂楰浢Ĺ̀昐浢Ĺ̂羟Т退㰰섬ĸ̀㪰섬ĸ̀㲐섬ĸ̀㚐섬ĸ̀㛰섬ĸ̀㝐섬ĸ̀浢Ĺ̂浢Ĺ̀０浢Ĺ̀浢Ĺ̂Ő浣Ĺ̀浢Ĺ̀殺浢Ĺ̂浢Ĺ̀"/>
        <Anchor>
          <Comment id="{E0774219-88EF-43B9-8825-84992240F92D}"/>
        </Anchor>
        <SetTitle title="@Ethan Root Try this number. Looks like the last one had a typo."/>
      </Event>
    </History>
  </Task>
</Task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1.jpeg"/></Relationships>
</file>

<file path=xl/persons/person.xml><?xml version="1.0" encoding="utf-8"?>
<personList xmlns="http://schemas.microsoft.com/office/spreadsheetml/2018/threadedcomments" xmlns:x="http://schemas.openxmlformats.org/spreadsheetml/2006/main">
  <person displayName="Ethan Root" id="{2CFCD654-AE61-46C2-B76F-DA35F963925B}" userId="eroot@hedrickbrothers.com" providerId="PeoplePicker"/>
  <person displayName="Ethan Root" id="{E0109BC4-401C-4110-B9A0-C10D4C9470B6}" userId="S::eroot@hedrickbrothers.com::f1475f5c-db85-4fbf-8cdd-b6d034254f61" providerId="AD"/>
  <person displayName="Edwin Calderon" id="{EB8ADACC-7BC7-49D1-BC39-D74CB9F53141}" userId="S::ecalderon@hedrickbrothers.com::c7317639-b8ef-46c8-b460-816cf07d33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93" dT="2024-09-06T12:18:53.51" personId="{EB8ADACC-7BC7-49D1-BC39-D74CB9F53141}" id="{E0774219-88EF-43B9-8825-84992240F92D}">
    <text xml:space="preserve">@Ethan Root Try this number. Looks like the last one had a typo. </text>
    <mentions>
      <mention mentionpersonId="{2CFCD654-AE61-46C2-B76F-DA35F963925B}" mentionId="{FA5B3E5E-0B0C-4E51-9F1E-1B412E48FE09}" startIndex="0" length="11"/>
    </mentions>
  </threadedComment>
  <threadedComment ref="D299" dT="2024-09-03T18:36:02.05" personId="{EB8ADACC-7BC7-49D1-BC39-D74CB9F53141}" id="{1B392BB8-27F7-4159-85F4-8FEC9EC27E25}">
    <text xml:space="preserve">@Ethan Root Add new sub to bidders please. TY! </text>
    <mentions>
      <mention mentionpersonId="{2CFCD654-AE61-46C2-B76F-DA35F963925B}" mentionId="{B7C89271-28A0-4D88-A50F-D0318A6E1C36}" startIndex="0" length="11"/>
    </mentions>
  </threadedComment>
  <threadedComment ref="D299" dT="2024-09-03T18:45:26.02" personId="{E0109BC4-401C-4110-B9A0-C10D4C9470B6}" id="{8F34B955-677D-4381-85AF-763D14E8A3CB}" parentId="{1B392BB8-27F7-4159-85F4-8FEC9EC27E25}">
    <text>yessir</text>
  </threadedComment>
</ThreadedComments>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C61EB-8B47-4836-8C10-6C5D40D9E39C}">
  <sheetPr codeName="Sheet1"/>
  <dimension ref="A1:C147"/>
  <sheetViews>
    <sheetView view="pageBreakPreview" zoomScale="115" zoomScaleNormal="115" zoomScaleSheetLayoutView="115" workbookViewId="0">
      <selection activeCell="E69" sqref="E69"/>
    </sheetView>
  </sheetViews>
  <sheetFormatPr defaultRowHeight="15" x14ac:dyDescent="0.25"/>
  <cols>
    <col min="1" max="1" width="3.7109375" style="67" customWidth="1"/>
    <col min="2" max="2" width="5.28515625" bestFit="1" customWidth="1"/>
    <col min="3" max="3" width="101.5703125" customWidth="1"/>
  </cols>
  <sheetData>
    <row r="1" spans="1:3" ht="23.45" customHeight="1" x14ac:dyDescent="0.25">
      <c r="A1" s="992" t="s">
        <v>0</v>
      </c>
      <c r="B1" s="993"/>
      <c r="C1" s="993"/>
    </row>
    <row r="2" spans="1:3" x14ac:dyDescent="0.25">
      <c r="A2" s="994"/>
      <c r="B2" s="995"/>
      <c r="C2" s="995"/>
    </row>
    <row r="3" spans="1:3" ht="15.75" thickBot="1" x14ac:dyDescent="0.3">
      <c r="A3" s="996"/>
      <c r="B3" s="997"/>
      <c r="C3" s="997"/>
    </row>
    <row r="4" spans="1:3" s="17" customFormat="1" x14ac:dyDescent="0.25">
      <c r="A4" s="65" t="s">
        <v>1</v>
      </c>
      <c r="B4" s="61" t="s">
        <v>2</v>
      </c>
      <c r="C4" s="62" t="s">
        <v>3</v>
      </c>
    </row>
    <row r="5" spans="1:3" s="12" customFormat="1" ht="12" x14ac:dyDescent="0.25">
      <c r="A5" s="66">
        <v>1</v>
      </c>
      <c r="B5" s="11">
        <v>1</v>
      </c>
      <c r="C5" s="63"/>
    </row>
    <row r="6" spans="1:3" s="12" customFormat="1" ht="12" x14ac:dyDescent="0.25">
      <c r="A6" s="66">
        <v>2</v>
      </c>
      <c r="B6" s="11"/>
      <c r="C6" s="63"/>
    </row>
    <row r="7" spans="1:3" s="64" customFormat="1" ht="4.5" customHeight="1" x14ac:dyDescent="0.25">
      <c r="A7" s="989"/>
      <c r="B7" s="990"/>
      <c r="C7" s="991"/>
    </row>
    <row r="8" spans="1:3" s="18" customFormat="1" ht="12" x14ac:dyDescent="0.25">
      <c r="A8" s="66">
        <v>3</v>
      </c>
      <c r="B8" s="11">
        <v>2</v>
      </c>
      <c r="C8" s="63"/>
    </row>
    <row r="9" spans="1:3" s="18" customFormat="1" ht="11.25" customHeight="1" x14ac:dyDescent="0.25">
      <c r="A9" s="66">
        <v>4</v>
      </c>
      <c r="B9" s="11"/>
      <c r="C9" s="63"/>
    </row>
    <row r="10" spans="1:3" s="64" customFormat="1" ht="4.5" customHeight="1" x14ac:dyDescent="0.25">
      <c r="A10" s="989"/>
      <c r="B10" s="990"/>
      <c r="C10" s="991"/>
    </row>
    <row r="11" spans="1:3" s="12" customFormat="1" ht="12" x14ac:dyDescent="0.25">
      <c r="A11" s="66">
        <v>5</v>
      </c>
      <c r="B11" s="11">
        <v>3</v>
      </c>
      <c r="C11" s="63"/>
    </row>
    <row r="12" spans="1:3" s="12" customFormat="1" ht="12" x14ac:dyDescent="0.25">
      <c r="A12" s="66">
        <v>6</v>
      </c>
      <c r="B12" s="11"/>
      <c r="C12" s="63"/>
    </row>
    <row r="13" spans="1:3" s="64" customFormat="1" ht="4.5" customHeight="1" x14ac:dyDescent="0.25">
      <c r="A13" s="989"/>
      <c r="B13" s="990"/>
      <c r="C13" s="991"/>
    </row>
    <row r="14" spans="1:3" s="18" customFormat="1" ht="12" x14ac:dyDescent="0.25">
      <c r="A14" s="66">
        <v>7</v>
      </c>
      <c r="B14" s="11">
        <v>4</v>
      </c>
      <c r="C14" s="63"/>
    </row>
    <row r="15" spans="1:3" s="18" customFormat="1" ht="12" x14ac:dyDescent="0.25">
      <c r="A15" s="66">
        <v>8</v>
      </c>
      <c r="B15" s="11"/>
      <c r="C15" s="63"/>
    </row>
    <row r="16" spans="1:3" s="64" customFormat="1" ht="4.5" customHeight="1" x14ac:dyDescent="0.25">
      <c r="A16" s="989"/>
      <c r="B16" s="990"/>
      <c r="C16" s="991"/>
    </row>
    <row r="17" spans="1:3" s="12" customFormat="1" ht="12" x14ac:dyDescent="0.25">
      <c r="A17" s="66">
        <v>9</v>
      </c>
      <c r="B17" s="11">
        <v>5</v>
      </c>
      <c r="C17" s="63"/>
    </row>
    <row r="18" spans="1:3" s="12" customFormat="1" ht="12" x14ac:dyDescent="0.25">
      <c r="A18" s="66">
        <v>10</v>
      </c>
      <c r="B18" s="11"/>
      <c r="C18" s="63"/>
    </row>
    <row r="19" spans="1:3" s="64" customFormat="1" ht="4.5" customHeight="1" x14ac:dyDescent="0.25">
      <c r="A19" s="989"/>
      <c r="B19" s="990"/>
      <c r="C19" s="991"/>
    </row>
    <row r="20" spans="1:3" s="18" customFormat="1" ht="12" x14ac:dyDescent="0.25">
      <c r="A20" s="66">
        <v>11</v>
      </c>
      <c r="B20" s="11">
        <v>6</v>
      </c>
      <c r="C20" s="63"/>
    </row>
    <row r="21" spans="1:3" s="18" customFormat="1" ht="12" x14ac:dyDescent="0.25">
      <c r="A21" s="66">
        <v>12</v>
      </c>
      <c r="B21" s="11"/>
      <c r="C21" s="63"/>
    </row>
    <row r="22" spans="1:3" s="64" customFormat="1" ht="4.5" customHeight="1" x14ac:dyDescent="0.25">
      <c r="A22" s="989"/>
      <c r="B22" s="990"/>
      <c r="C22" s="991"/>
    </row>
    <row r="23" spans="1:3" s="12" customFormat="1" ht="12" x14ac:dyDescent="0.25">
      <c r="A23" s="66">
        <v>13</v>
      </c>
      <c r="B23" s="11">
        <v>7</v>
      </c>
      <c r="C23" s="63"/>
    </row>
    <row r="24" spans="1:3" s="12" customFormat="1" ht="12" x14ac:dyDescent="0.25">
      <c r="A24" s="66">
        <v>14</v>
      </c>
      <c r="B24" s="11"/>
      <c r="C24" s="63"/>
    </row>
    <row r="25" spans="1:3" s="64" customFormat="1" ht="4.5" customHeight="1" x14ac:dyDescent="0.25">
      <c r="A25" s="989"/>
      <c r="B25" s="990"/>
      <c r="C25" s="991"/>
    </row>
    <row r="26" spans="1:3" s="18" customFormat="1" ht="12" x14ac:dyDescent="0.25">
      <c r="A26" s="66">
        <v>15</v>
      </c>
      <c r="B26" s="11">
        <v>8</v>
      </c>
      <c r="C26" s="63"/>
    </row>
    <row r="27" spans="1:3" s="18" customFormat="1" ht="12" x14ac:dyDescent="0.25">
      <c r="A27" s="66">
        <v>16</v>
      </c>
      <c r="B27" s="11"/>
      <c r="C27" s="63"/>
    </row>
    <row r="28" spans="1:3" s="64" customFormat="1" ht="4.5" customHeight="1" x14ac:dyDescent="0.25">
      <c r="A28" s="989"/>
      <c r="B28" s="990"/>
      <c r="C28" s="991"/>
    </row>
    <row r="29" spans="1:3" s="12" customFormat="1" ht="12" x14ac:dyDescent="0.25">
      <c r="A29" s="66">
        <v>17</v>
      </c>
      <c r="B29" s="11">
        <v>9</v>
      </c>
      <c r="C29" s="63"/>
    </row>
    <row r="30" spans="1:3" s="12" customFormat="1" ht="12" x14ac:dyDescent="0.25">
      <c r="A30" s="66">
        <v>18</v>
      </c>
      <c r="B30" s="11"/>
      <c r="C30" s="63"/>
    </row>
    <row r="31" spans="1:3" s="64" customFormat="1" ht="4.5" customHeight="1" x14ac:dyDescent="0.25">
      <c r="A31" s="989"/>
      <c r="B31" s="990"/>
      <c r="C31" s="991"/>
    </row>
    <row r="32" spans="1:3" s="18" customFormat="1" ht="12" x14ac:dyDescent="0.25">
      <c r="A32" s="66">
        <v>19</v>
      </c>
      <c r="B32" s="11">
        <v>10</v>
      </c>
      <c r="C32" s="63"/>
    </row>
    <row r="33" spans="1:3" s="18" customFormat="1" ht="12" x14ac:dyDescent="0.25">
      <c r="A33" s="66">
        <v>20</v>
      </c>
      <c r="B33" s="12"/>
      <c r="C33" s="63"/>
    </row>
    <row r="34" spans="1:3" s="64" customFormat="1" ht="4.5" customHeight="1" x14ac:dyDescent="0.25">
      <c r="A34" s="989"/>
      <c r="B34" s="990"/>
      <c r="C34" s="991"/>
    </row>
    <row r="35" spans="1:3" s="12" customFormat="1" ht="12" x14ac:dyDescent="0.25">
      <c r="A35" s="66">
        <v>21</v>
      </c>
      <c r="B35" s="11">
        <v>11</v>
      </c>
      <c r="C35" s="63"/>
    </row>
    <row r="36" spans="1:3" s="12" customFormat="1" ht="12" x14ac:dyDescent="0.25">
      <c r="A36" s="66">
        <v>22</v>
      </c>
      <c r="B36" s="11"/>
      <c r="C36" s="63"/>
    </row>
    <row r="37" spans="1:3" s="64" customFormat="1" ht="4.5" customHeight="1" x14ac:dyDescent="0.25">
      <c r="A37" s="989"/>
      <c r="B37" s="990"/>
      <c r="C37" s="991"/>
    </row>
    <row r="38" spans="1:3" s="18" customFormat="1" ht="12" x14ac:dyDescent="0.25">
      <c r="A38" s="66">
        <v>23</v>
      </c>
      <c r="B38" s="11">
        <v>12</v>
      </c>
      <c r="C38" s="63"/>
    </row>
    <row r="39" spans="1:3" s="18" customFormat="1" ht="12" x14ac:dyDescent="0.25">
      <c r="A39" s="66">
        <v>24</v>
      </c>
      <c r="B39" s="11"/>
      <c r="C39" s="63"/>
    </row>
    <row r="40" spans="1:3" s="64" customFormat="1" ht="4.5" customHeight="1" x14ac:dyDescent="0.25">
      <c r="A40" s="989"/>
      <c r="B40" s="990"/>
      <c r="C40" s="991"/>
    </row>
    <row r="41" spans="1:3" s="12" customFormat="1" ht="12" x14ac:dyDescent="0.25">
      <c r="A41" s="66">
        <v>25</v>
      </c>
      <c r="B41" s="11">
        <v>13</v>
      </c>
      <c r="C41" s="63"/>
    </row>
    <row r="42" spans="1:3" s="12" customFormat="1" ht="12" x14ac:dyDescent="0.25">
      <c r="A42" s="66">
        <v>26</v>
      </c>
      <c r="B42" s="11"/>
      <c r="C42" s="63"/>
    </row>
    <row r="43" spans="1:3" s="64" customFormat="1" ht="4.5" customHeight="1" x14ac:dyDescent="0.25">
      <c r="A43" s="989"/>
      <c r="B43" s="990"/>
      <c r="C43" s="991"/>
    </row>
    <row r="44" spans="1:3" s="18" customFormat="1" ht="12" x14ac:dyDescent="0.25">
      <c r="A44" s="66">
        <v>27</v>
      </c>
      <c r="B44" s="11">
        <v>14</v>
      </c>
      <c r="C44" s="63"/>
    </row>
    <row r="45" spans="1:3" s="18" customFormat="1" ht="12" x14ac:dyDescent="0.25">
      <c r="A45" s="66">
        <v>28</v>
      </c>
      <c r="B45" s="11"/>
      <c r="C45" s="63"/>
    </row>
    <row r="46" spans="1:3" s="64" customFormat="1" ht="4.5" customHeight="1" x14ac:dyDescent="0.25">
      <c r="A46" s="989"/>
      <c r="B46" s="990"/>
      <c r="C46" s="991"/>
    </row>
    <row r="47" spans="1:3" s="12" customFormat="1" ht="12" x14ac:dyDescent="0.25">
      <c r="A47" s="66">
        <v>29</v>
      </c>
      <c r="B47" s="11">
        <v>15</v>
      </c>
      <c r="C47" s="63"/>
    </row>
    <row r="48" spans="1:3" s="12" customFormat="1" ht="12" x14ac:dyDescent="0.25">
      <c r="A48" s="66">
        <v>30</v>
      </c>
      <c r="B48" s="11"/>
      <c r="C48" s="63"/>
    </row>
    <row r="49" spans="1:3" s="64" customFormat="1" ht="4.5" customHeight="1" x14ac:dyDescent="0.25">
      <c r="A49" s="989"/>
      <c r="B49" s="990"/>
      <c r="C49" s="991"/>
    </row>
    <row r="50" spans="1:3" s="18" customFormat="1" ht="12" x14ac:dyDescent="0.25">
      <c r="A50" s="66">
        <v>31</v>
      </c>
      <c r="B50" s="11">
        <v>16</v>
      </c>
      <c r="C50" s="63"/>
    </row>
    <row r="51" spans="1:3" s="18" customFormat="1" ht="12" x14ac:dyDescent="0.25">
      <c r="A51" s="66">
        <v>32</v>
      </c>
      <c r="B51" s="11"/>
      <c r="C51" s="63"/>
    </row>
    <row r="52" spans="1:3" s="18" customFormat="1" ht="12" x14ac:dyDescent="0.25">
      <c r="A52" s="66">
        <v>33</v>
      </c>
      <c r="B52" s="11"/>
      <c r="C52" s="63"/>
    </row>
    <row r="53" spans="1:3" s="18" customFormat="1" ht="12" x14ac:dyDescent="0.25">
      <c r="A53" s="66">
        <v>34</v>
      </c>
      <c r="B53" s="11"/>
      <c r="C53" s="63"/>
    </row>
    <row r="54" spans="1:3" s="18" customFormat="1" ht="12" x14ac:dyDescent="0.25">
      <c r="A54" s="66">
        <v>35</v>
      </c>
      <c r="B54" s="11"/>
      <c r="C54" s="63"/>
    </row>
    <row r="55" spans="1:3" s="19" customFormat="1" ht="15.75" x14ac:dyDescent="0.25">
      <c r="A55" s="66">
        <v>36</v>
      </c>
      <c r="B55" s="3"/>
      <c r="C55" s="5"/>
    </row>
    <row r="56" spans="1:3" s="2" customFormat="1" ht="15.75" x14ac:dyDescent="0.25">
      <c r="A56" s="66"/>
      <c r="B56" s="3"/>
      <c r="C56" s="5"/>
    </row>
    <row r="57" spans="1:3" s="2" customFormat="1" ht="15.75" x14ac:dyDescent="0.25">
      <c r="A57" s="66"/>
      <c r="B57" s="3"/>
      <c r="C57" s="5"/>
    </row>
    <row r="58" spans="1:3" s="2" customFormat="1" ht="15.75" x14ac:dyDescent="0.25">
      <c r="A58" s="66"/>
      <c r="B58" s="3"/>
      <c r="C58" s="5"/>
    </row>
    <row r="59" spans="1:3" s="2" customFormat="1" ht="15.75" x14ac:dyDescent="0.25">
      <c r="A59" s="66"/>
      <c r="B59" s="3"/>
      <c r="C59" s="5"/>
    </row>
    <row r="60" spans="1:3" s="2" customFormat="1" ht="15.75" x14ac:dyDescent="0.25">
      <c r="A60" s="66"/>
      <c r="B60" s="3"/>
      <c r="C60" s="5"/>
    </row>
    <row r="61" spans="1:3" s="2" customFormat="1" ht="15.75" x14ac:dyDescent="0.25">
      <c r="A61" s="66"/>
      <c r="B61" s="3"/>
      <c r="C61" s="5"/>
    </row>
    <row r="62" spans="1:3" s="2" customFormat="1" ht="15.75" x14ac:dyDescent="0.25">
      <c r="A62" s="66"/>
      <c r="B62" s="3"/>
      <c r="C62" s="5"/>
    </row>
    <row r="63" spans="1:3" s="2" customFormat="1" ht="15.75" x14ac:dyDescent="0.25">
      <c r="A63" s="66"/>
      <c r="B63" s="3"/>
      <c r="C63" s="5"/>
    </row>
    <row r="64" spans="1:3" s="2" customFormat="1" ht="15.75" x14ac:dyDescent="0.25">
      <c r="A64" s="66"/>
      <c r="B64" s="3"/>
      <c r="C64" s="5"/>
    </row>
    <row r="65" spans="1:3" s="2" customFormat="1" ht="15.75" x14ac:dyDescent="0.25">
      <c r="A65" s="66"/>
      <c r="B65" s="3"/>
      <c r="C65" s="5"/>
    </row>
    <row r="66" spans="1:3" s="2" customFormat="1" ht="15.75" x14ac:dyDescent="0.25">
      <c r="A66" s="66"/>
      <c r="B66" s="3"/>
      <c r="C66" s="5"/>
    </row>
    <row r="67" spans="1:3" s="2" customFormat="1" ht="15.75" x14ac:dyDescent="0.25">
      <c r="A67" s="66"/>
      <c r="B67" s="3"/>
      <c r="C67" s="5"/>
    </row>
    <row r="68" spans="1:3" s="2" customFormat="1" ht="15.75" x14ac:dyDescent="0.25">
      <c r="A68" s="66"/>
      <c r="B68" s="3"/>
      <c r="C68" s="5"/>
    </row>
    <row r="69" spans="1:3" s="2" customFormat="1" ht="15.75" x14ac:dyDescent="0.25">
      <c r="A69" s="66"/>
      <c r="B69" s="3"/>
      <c r="C69" s="5"/>
    </row>
    <row r="70" spans="1:3" s="2" customFormat="1" ht="15.75" x14ac:dyDescent="0.25">
      <c r="A70" s="66"/>
      <c r="B70" s="3"/>
      <c r="C70" s="5"/>
    </row>
    <row r="71" spans="1:3" s="2" customFormat="1" ht="15.75" x14ac:dyDescent="0.25">
      <c r="A71" s="66"/>
      <c r="B71" s="3"/>
      <c r="C71" s="5"/>
    </row>
    <row r="72" spans="1:3" s="2" customFormat="1" ht="15.75" x14ac:dyDescent="0.25">
      <c r="A72" s="66"/>
      <c r="B72" s="3"/>
      <c r="C72" s="5"/>
    </row>
    <row r="73" spans="1:3" s="2" customFormat="1" ht="15.75" x14ac:dyDescent="0.25">
      <c r="A73" s="66"/>
      <c r="B73" s="3"/>
      <c r="C73" s="5"/>
    </row>
    <row r="74" spans="1:3" s="2" customFormat="1" ht="15.75" x14ac:dyDescent="0.25">
      <c r="A74" s="66"/>
      <c r="B74" s="3"/>
      <c r="C74" s="5"/>
    </row>
    <row r="75" spans="1:3" s="2" customFormat="1" ht="15.75" x14ac:dyDescent="0.25">
      <c r="A75" s="66"/>
      <c r="B75" s="3"/>
      <c r="C75" s="5"/>
    </row>
    <row r="76" spans="1:3" s="2" customFormat="1" ht="15.75" x14ac:dyDescent="0.25">
      <c r="A76" s="66"/>
      <c r="B76" s="3"/>
      <c r="C76" s="5"/>
    </row>
    <row r="77" spans="1:3" s="2" customFormat="1" ht="15.75" x14ac:dyDescent="0.25">
      <c r="A77" s="66"/>
      <c r="B77" s="3"/>
      <c r="C77" s="5"/>
    </row>
    <row r="78" spans="1:3" s="2" customFormat="1" ht="15.75" x14ac:dyDescent="0.25">
      <c r="A78" s="66"/>
      <c r="B78" s="3"/>
      <c r="C78" s="5"/>
    </row>
    <row r="79" spans="1:3" s="2" customFormat="1" ht="15.75" x14ac:dyDescent="0.25">
      <c r="A79" s="66"/>
      <c r="B79" s="3"/>
      <c r="C79" s="5"/>
    </row>
    <row r="80" spans="1:3" s="2" customFormat="1" ht="15.75" x14ac:dyDescent="0.25">
      <c r="A80" s="66"/>
      <c r="B80" s="3"/>
      <c r="C80" s="5"/>
    </row>
    <row r="81" spans="1:3" s="2" customFormat="1" ht="15.75" x14ac:dyDescent="0.25">
      <c r="A81" s="66"/>
      <c r="B81" s="3"/>
      <c r="C81" s="5"/>
    </row>
    <row r="82" spans="1:3" s="2" customFormat="1" ht="15.75" x14ac:dyDescent="0.25">
      <c r="A82" s="66"/>
      <c r="B82" s="3"/>
      <c r="C82" s="5"/>
    </row>
    <row r="83" spans="1:3" s="2" customFormat="1" ht="15.75" x14ac:dyDescent="0.25">
      <c r="A83" s="66"/>
      <c r="B83" s="3"/>
      <c r="C83" s="5"/>
    </row>
    <row r="84" spans="1:3" s="2" customFormat="1" ht="15.75" x14ac:dyDescent="0.25">
      <c r="A84" s="66"/>
      <c r="B84" s="3"/>
      <c r="C84" s="5"/>
    </row>
    <row r="85" spans="1:3" s="2" customFormat="1" ht="15.75" x14ac:dyDescent="0.25">
      <c r="A85" s="66"/>
      <c r="B85" s="3"/>
      <c r="C85" s="5"/>
    </row>
    <row r="86" spans="1:3" s="2" customFormat="1" ht="15.75" x14ac:dyDescent="0.25">
      <c r="A86" s="66"/>
      <c r="B86" s="3"/>
      <c r="C86" s="5"/>
    </row>
    <row r="87" spans="1:3" s="2" customFormat="1" ht="15.75" x14ac:dyDescent="0.25">
      <c r="A87" s="66"/>
      <c r="B87" s="3"/>
      <c r="C87" s="5"/>
    </row>
    <row r="88" spans="1:3" s="2" customFormat="1" ht="15.75" x14ac:dyDescent="0.25">
      <c r="A88" s="66"/>
      <c r="B88" s="3"/>
      <c r="C88" s="5"/>
    </row>
    <row r="89" spans="1:3" s="2" customFormat="1" ht="15.75" x14ac:dyDescent="0.25">
      <c r="A89" s="66"/>
      <c r="B89" s="3"/>
      <c r="C89" s="5"/>
    </row>
    <row r="90" spans="1:3" s="2" customFormat="1" ht="15.75" x14ac:dyDescent="0.25">
      <c r="A90" s="66"/>
      <c r="B90" s="3"/>
      <c r="C90" s="5"/>
    </row>
    <row r="91" spans="1:3" s="2" customFormat="1" ht="15.75" x14ac:dyDescent="0.25">
      <c r="A91" s="66"/>
      <c r="B91" s="3"/>
      <c r="C91" s="5"/>
    </row>
    <row r="92" spans="1:3" s="2" customFormat="1" ht="15.75" x14ac:dyDescent="0.25">
      <c r="A92" s="66"/>
      <c r="B92" s="3"/>
      <c r="C92" s="5"/>
    </row>
    <row r="93" spans="1:3" s="2" customFormat="1" ht="15.75" x14ac:dyDescent="0.25">
      <c r="A93" s="66"/>
      <c r="B93" s="3"/>
      <c r="C93" s="5"/>
    </row>
    <row r="94" spans="1:3" s="2" customFormat="1" ht="15.75" x14ac:dyDescent="0.25">
      <c r="A94" s="66"/>
      <c r="B94" s="3"/>
      <c r="C94" s="5"/>
    </row>
    <row r="95" spans="1:3" s="2" customFormat="1" ht="15.75" x14ac:dyDescent="0.25">
      <c r="A95" s="66"/>
      <c r="B95" s="3"/>
      <c r="C95" s="5"/>
    </row>
    <row r="96" spans="1:3" s="2" customFormat="1" ht="15.75" x14ac:dyDescent="0.25">
      <c r="A96" s="66"/>
      <c r="B96" s="3"/>
      <c r="C96" s="5"/>
    </row>
    <row r="97" spans="1:3" s="2" customFormat="1" ht="15.75" x14ac:dyDescent="0.25">
      <c r="A97" s="66"/>
      <c r="B97" s="3"/>
      <c r="C97" s="5"/>
    </row>
    <row r="98" spans="1:3" s="2" customFormat="1" ht="15.75" x14ac:dyDescent="0.25">
      <c r="A98" s="66"/>
      <c r="B98" s="3"/>
      <c r="C98" s="5"/>
    </row>
    <row r="99" spans="1:3" s="2" customFormat="1" ht="15.75" x14ac:dyDescent="0.25">
      <c r="A99" s="66"/>
      <c r="B99" s="3"/>
      <c r="C99" s="5"/>
    </row>
    <row r="100" spans="1:3" s="2" customFormat="1" ht="15.75" x14ac:dyDescent="0.25">
      <c r="A100" s="66"/>
      <c r="B100" s="3"/>
      <c r="C100" s="5"/>
    </row>
    <row r="101" spans="1:3" s="2" customFormat="1" ht="15.75" x14ac:dyDescent="0.25">
      <c r="A101" s="66"/>
      <c r="B101" s="3"/>
      <c r="C101" s="5"/>
    </row>
    <row r="102" spans="1:3" s="2" customFormat="1" ht="15.75" x14ac:dyDescent="0.25">
      <c r="A102" s="66"/>
      <c r="B102" s="3"/>
      <c r="C102" s="5"/>
    </row>
    <row r="103" spans="1:3" s="2" customFormat="1" ht="15.75" x14ac:dyDescent="0.25">
      <c r="A103" s="66"/>
      <c r="B103" s="3"/>
      <c r="C103" s="5"/>
    </row>
    <row r="104" spans="1:3" s="2" customFormat="1" ht="15.75" x14ac:dyDescent="0.25">
      <c r="A104" s="66"/>
      <c r="B104" s="3"/>
      <c r="C104" s="5"/>
    </row>
    <row r="105" spans="1:3" s="2" customFormat="1" ht="15.75" x14ac:dyDescent="0.25">
      <c r="A105" s="66"/>
      <c r="B105" s="3"/>
      <c r="C105" s="5"/>
    </row>
    <row r="106" spans="1:3" s="2" customFormat="1" ht="15.75" x14ac:dyDescent="0.25">
      <c r="A106" s="66"/>
      <c r="B106" s="3"/>
      <c r="C106" s="5"/>
    </row>
    <row r="107" spans="1:3" s="2" customFormat="1" ht="15.75" x14ac:dyDescent="0.25">
      <c r="A107" s="66"/>
      <c r="B107" s="3"/>
      <c r="C107" s="5"/>
    </row>
    <row r="108" spans="1:3" s="2" customFormat="1" ht="15.75" x14ac:dyDescent="0.25">
      <c r="A108" s="66"/>
      <c r="B108" s="3"/>
      <c r="C108" s="5"/>
    </row>
    <row r="109" spans="1:3" s="2" customFormat="1" ht="15.75" x14ac:dyDescent="0.25">
      <c r="A109" s="66"/>
      <c r="B109" s="3"/>
      <c r="C109" s="5"/>
    </row>
    <row r="110" spans="1:3" s="2" customFormat="1" ht="15.75" x14ac:dyDescent="0.25">
      <c r="A110" s="66"/>
      <c r="B110" s="3"/>
      <c r="C110" s="5"/>
    </row>
    <row r="111" spans="1:3" s="2" customFormat="1" ht="15.75" x14ac:dyDescent="0.25">
      <c r="A111" s="66"/>
      <c r="B111" s="3"/>
      <c r="C111" s="5"/>
    </row>
    <row r="112" spans="1:3" s="2" customFormat="1" ht="15.75" x14ac:dyDescent="0.25">
      <c r="A112" s="66"/>
      <c r="B112" s="3"/>
      <c r="C112" s="5"/>
    </row>
    <row r="113" spans="1:3" s="2" customFormat="1" ht="15.75" x14ac:dyDescent="0.25">
      <c r="A113" s="66"/>
      <c r="B113" s="3"/>
      <c r="C113" s="5"/>
    </row>
    <row r="114" spans="1:3" s="2" customFormat="1" ht="15.75" x14ac:dyDescent="0.25">
      <c r="A114" s="66"/>
      <c r="B114" s="3"/>
      <c r="C114" s="5"/>
    </row>
    <row r="115" spans="1:3" s="2" customFormat="1" ht="15.75" x14ac:dyDescent="0.25">
      <c r="A115" s="66"/>
      <c r="B115" s="3"/>
      <c r="C115" s="5"/>
    </row>
    <row r="116" spans="1:3" s="2" customFormat="1" ht="15.75" x14ac:dyDescent="0.25">
      <c r="A116" s="66"/>
      <c r="B116" s="3"/>
      <c r="C116" s="5"/>
    </row>
    <row r="117" spans="1:3" s="2" customFormat="1" ht="15.75" x14ac:dyDescent="0.25">
      <c r="A117" s="66"/>
      <c r="B117" s="3"/>
      <c r="C117" s="5"/>
    </row>
    <row r="118" spans="1:3" s="2" customFormat="1" ht="15.75" x14ac:dyDescent="0.25">
      <c r="A118" s="66"/>
      <c r="B118" s="3"/>
      <c r="C118" s="5"/>
    </row>
    <row r="119" spans="1:3" s="2" customFormat="1" ht="15.75" x14ac:dyDescent="0.25">
      <c r="A119" s="66"/>
      <c r="B119" s="3"/>
      <c r="C119" s="5"/>
    </row>
    <row r="120" spans="1:3" s="2" customFormat="1" ht="15.75" x14ac:dyDescent="0.25">
      <c r="A120" s="66"/>
      <c r="B120" s="3"/>
      <c r="C120" s="5"/>
    </row>
    <row r="121" spans="1:3" s="2" customFormat="1" ht="15.75" x14ac:dyDescent="0.25">
      <c r="A121" s="66"/>
      <c r="B121" s="3"/>
      <c r="C121" s="5"/>
    </row>
    <row r="122" spans="1:3" s="2" customFormat="1" ht="15.75" x14ac:dyDescent="0.25">
      <c r="A122" s="66"/>
      <c r="B122" s="3"/>
      <c r="C122" s="5"/>
    </row>
    <row r="123" spans="1:3" s="2" customFormat="1" ht="15.75" x14ac:dyDescent="0.25">
      <c r="A123" s="66"/>
      <c r="B123" s="3"/>
      <c r="C123" s="5"/>
    </row>
    <row r="124" spans="1:3" s="2" customFormat="1" ht="15.75" x14ac:dyDescent="0.25">
      <c r="A124" s="66"/>
      <c r="B124" s="3"/>
      <c r="C124" s="5"/>
    </row>
    <row r="125" spans="1:3" s="2" customFormat="1" ht="15.75" x14ac:dyDescent="0.25">
      <c r="A125" s="66"/>
      <c r="B125" s="3"/>
      <c r="C125" s="5"/>
    </row>
    <row r="126" spans="1:3" s="2" customFormat="1" ht="15.75" x14ac:dyDescent="0.25">
      <c r="A126" s="66"/>
      <c r="B126" s="3"/>
      <c r="C126" s="5"/>
    </row>
    <row r="127" spans="1:3" s="2" customFormat="1" ht="15.75" x14ac:dyDescent="0.25">
      <c r="A127" s="66"/>
      <c r="B127" s="3"/>
      <c r="C127" s="5"/>
    </row>
    <row r="128" spans="1:3" s="2" customFormat="1" ht="15.75" x14ac:dyDescent="0.25">
      <c r="A128" s="66"/>
      <c r="B128" s="3"/>
      <c r="C128" s="5"/>
    </row>
    <row r="129" spans="1:3" s="2" customFormat="1" ht="15.75" x14ac:dyDescent="0.25">
      <c r="A129" s="66"/>
      <c r="B129" s="3"/>
      <c r="C129" s="5"/>
    </row>
    <row r="130" spans="1:3" s="2" customFormat="1" ht="15.75" x14ac:dyDescent="0.25">
      <c r="A130" s="66"/>
      <c r="B130" s="3"/>
      <c r="C130" s="5"/>
    </row>
    <row r="131" spans="1:3" s="2" customFormat="1" ht="15.75" x14ac:dyDescent="0.25">
      <c r="A131" s="66"/>
      <c r="B131" s="3"/>
      <c r="C131" s="5"/>
    </row>
    <row r="132" spans="1:3" s="2" customFormat="1" ht="15.75" x14ac:dyDescent="0.25">
      <c r="A132" s="66"/>
      <c r="B132" s="3"/>
      <c r="C132" s="5"/>
    </row>
    <row r="133" spans="1:3" s="2" customFormat="1" ht="15.75" x14ac:dyDescent="0.25">
      <c r="A133" s="66"/>
      <c r="B133" s="3"/>
      <c r="C133" s="5"/>
    </row>
    <row r="134" spans="1:3" s="2" customFormat="1" ht="15.75" x14ac:dyDescent="0.25">
      <c r="A134" s="66"/>
      <c r="B134" s="3"/>
      <c r="C134" s="5"/>
    </row>
    <row r="135" spans="1:3" s="2" customFormat="1" ht="15.75" x14ac:dyDescent="0.25">
      <c r="A135" s="66"/>
      <c r="B135" s="3"/>
      <c r="C135" s="5"/>
    </row>
    <row r="136" spans="1:3" s="2" customFormat="1" ht="15.75" x14ac:dyDescent="0.25">
      <c r="A136" s="66"/>
      <c r="B136" s="3"/>
      <c r="C136" s="5"/>
    </row>
    <row r="137" spans="1:3" s="2" customFormat="1" ht="15.75" x14ac:dyDescent="0.25">
      <c r="A137" s="66"/>
      <c r="B137" s="3"/>
      <c r="C137" s="5"/>
    </row>
    <row r="138" spans="1:3" s="2" customFormat="1" ht="15.75" x14ac:dyDescent="0.25">
      <c r="A138" s="66"/>
      <c r="B138" s="3"/>
      <c r="C138" s="5"/>
    </row>
    <row r="139" spans="1:3" s="2" customFormat="1" ht="15.75" x14ac:dyDescent="0.25">
      <c r="A139" s="66"/>
      <c r="B139" s="3"/>
      <c r="C139" s="5"/>
    </row>
    <row r="140" spans="1:3" s="2" customFormat="1" ht="15.75" x14ac:dyDescent="0.25">
      <c r="A140" s="66"/>
      <c r="B140" s="3"/>
      <c r="C140" s="5"/>
    </row>
    <row r="141" spans="1:3" s="2" customFormat="1" ht="15.75" x14ac:dyDescent="0.25">
      <c r="A141" s="66"/>
      <c r="B141" s="3"/>
      <c r="C141" s="5"/>
    </row>
    <row r="142" spans="1:3" s="2" customFormat="1" ht="15.75" x14ac:dyDescent="0.25">
      <c r="A142" s="66"/>
      <c r="B142" s="3"/>
      <c r="C142" s="5"/>
    </row>
    <row r="143" spans="1:3" s="2" customFormat="1" ht="15.75" x14ac:dyDescent="0.25">
      <c r="A143" s="66"/>
      <c r="B143" s="3"/>
      <c r="C143" s="5"/>
    </row>
    <row r="144" spans="1:3" s="2" customFormat="1" ht="15.75" x14ac:dyDescent="0.25">
      <c r="A144" s="66"/>
      <c r="B144" s="3"/>
      <c r="C144" s="5"/>
    </row>
    <row r="145" spans="1:3" s="2" customFormat="1" ht="15.75" x14ac:dyDescent="0.25">
      <c r="A145" s="66"/>
      <c r="B145" s="3"/>
      <c r="C145" s="5"/>
    </row>
    <row r="146" spans="1:3" s="2" customFormat="1" ht="15.75" x14ac:dyDescent="0.25">
      <c r="A146" s="66"/>
      <c r="B146" s="3"/>
      <c r="C146" s="5"/>
    </row>
    <row r="147" spans="1:3" s="2" customFormat="1" ht="15.75" x14ac:dyDescent="0.25">
      <c r="A147" s="66"/>
      <c r="B147" s="3"/>
      <c r="C147" s="5"/>
    </row>
  </sheetData>
  <mergeCells count="16">
    <mergeCell ref="A1:C3"/>
    <mergeCell ref="A7:C7"/>
    <mergeCell ref="A10:C10"/>
    <mergeCell ref="A13:C13"/>
    <mergeCell ref="A16:C16"/>
    <mergeCell ref="A19:C19"/>
    <mergeCell ref="A22:C22"/>
    <mergeCell ref="A25:C25"/>
    <mergeCell ref="A28:C28"/>
    <mergeCell ref="A46:C46"/>
    <mergeCell ref="A49:C49"/>
    <mergeCell ref="A31:C31"/>
    <mergeCell ref="A34:C34"/>
    <mergeCell ref="A37:C37"/>
    <mergeCell ref="A40:C40"/>
    <mergeCell ref="A43:C43"/>
  </mergeCells>
  <pageMargins left="0.7" right="0.7" top="1.0520833333333333" bottom="0.75" header="0.3" footer="0.3"/>
  <pageSetup fitToHeight="0" orientation="landscape" r:id="rId1"/>
  <headerFooter>
    <oddHeader>&amp;L&amp;G&amp;C(ENTER PROJECT NAME)&amp;R&amp;D</oddHeader>
    <oddFooter>&amp;C&amp;P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CCC11-B3FA-4A73-863A-8040B7DC4E7E}">
  <sheetPr codeName="Sheet2"/>
  <dimension ref="A1:J148"/>
  <sheetViews>
    <sheetView view="pageBreakPreview" zoomScale="115" zoomScaleNormal="115" zoomScaleSheetLayoutView="115" workbookViewId="0">
      <selection activeCell="E69" sqref="E69"/>
    </sheetView>
  </sheetViews>
  <sheetFormatPr defaultRowHeight="15" x14ac:dyDescent="0.25"/>
  <cols>
    <col min="1" max="1" width="3.7109375" customWidth="1"/>
    <col min="2" max="2" width="5.28515625" bestFit="1" customWidth="1"/>
    <col min="3" max="3" width="17.28515625" style="13" customWidth="1"/>
    <col min="4" max="4" width="61.5703125" customWidth="1"/>
    <col min="5" max="5" width="15.7109375" bestFit="1" customWidth="1"/>
    <col min="6" max="6" width="10.7109375" style="10" bestFit="1" customWidth="1"/>
    <col min="7" max="7" width="15.7109375" customWidth="1"/>
    <col min="8" max="8" width="61" customWidth="1"/>
    <col min="9" max="9" width="12.42578125" style="10" customWidth="1"/>
    <col min="10" max="10" width="10.5703125" style="10" bestFit="1" customWidth="1"/>
  </cols>
  <sheetData>
    <row r="1" spans="1:10" ht="23.45" customHeight="1" x14ac:dyDescent="0.25">
      <c r="A1" s="992" t="s">
        <v>0</v>
      </c>
      <c r="B1" s="993"/>
      <c r="C1" s="993"/>
      <c r="D1" s="993"/>
      <c r="E1" s="993"/>
      <c r="F1" s="993"/>
      <c r="G1" s="993"/>
      <c r="H1" s="993"/>
      <c r="I1" s="993"/>
      <c r="J1" s="1001"/>
    </row>
    <row r="2" spans="1:10" x14ac:dyDescent="0.25">
      <c r="A2" s="994"/>
      <c r="B2" s="995"/>
      <c r="C2" s="995"/>
      <c r="D2" s="995"/>
      <c r="E2" s="995"/>
      <c r="F2" s="995"/>
      <c r="G2" s="995"/>
      <c r="H2" s="995"/>
      <c r="I2" s="995"/>
      <c r="J2" s="1002"/>
    </row>
    <row r="3" spans="1:10" ht="15.75" thickBot="1" x14ac:dyDescent="0.3">
      <c r="A3" s="996"/>
      <c r="B3" s="997"/>
      <c r="C3" s="997"/>
      <c r="D3" s="997"/>
      <c r="E3" s="997"/>
      <c r="F3" s="997"/>
      <c r="G3" s="997"/>
      <c r="H3" s="997"/>
      <c r="I3" s="997"/>
      <c r="J3" s="1003"/>
    </row>
    <row r="4" spans="1:10" s="17" customFormat="1" ht="30.75" thickBot="1" x14ac:dyDescent="0.3">
      <c r="A4" s="1" t="s">
        <v>1</v>
      </c>
      <c r="B4" s="1" t="s">
        <v>2</v>
      </c>
      <c r="C4" s="14" t="s">
        <v>4</v>
      </c>
      <c r="D4" s="1" t="s">
        <v>5</v>
      </c>
      <c r="E4" s="1" t="s">
        <v>6</v>
      </c>
      <c r="F4" s="1" t="s">
        <v>7</v>
      </c>
      <c r="G4" s="1" t="s">
        <v>8</v>
      </c>
      <c r="H4" s="1" t="s">
        <v>9</v>
      </c>
      <c r="I4" s="15" t="s">
        <v>10</v>
      </c>
      <c r="J4" s="16" t="s">
        <v>11</v>
      </c>
    </row>
    <row r="5" spans="1:10" s="12" customFormat="1" ht="19.5" thickTop="1" x14ac:dyDescent="0.25">
      <c r="A5" s="998" t="s">
        <v>12</v>
      </c>
      <c r="B5" s="999"/>
      <c r="C5" s="999"/>
      <c r="D5" s="999"/>
      <c r="E5" s="999"/>
      <c r="F5" s="999"/>
      <c r="G5" s="999"/>
      <c r="H5" s="999"/>
      <c r="I5" s="999"/>
      <c r="J5" s="1000"/>
    </row>
    <row r="6" spans="1:10" s="12" customFormat="1" ht="12" x14ac:dyDescent="0.25">
      <c r="A6" s="66">
        <v>1</v>
      </c>
      <c r="B6" s="11">
        <v>1</v>
      </c>
      <c r="C6" s="63"/>
      <c r="D6" s="63"/>
      <c r="E6" s="68" t="s">
        <v>13</v>
      </c>
      <c r="F6" s="69"/>
      <c r="G6" s="68"/>
      <c r="H6" s="63"/>
      <c r="I6" s="70"/>
      <c r="J6" s="71"/>
    </row>
    <row r="7" spans="1:10" s="12" customFormat="1" ht="12" x14ac:dyDescent="0.25">
      <c r="A7" s="66">
        <v>2</v>
      </c>
      <c r="B7" s="11"/>
      <c r="C7" s="63"/>
      <c r="D7" s="63"/>
      <c r="E7" s="68" t="s">
        <v>13</v>
      </c>
      <c r="F7" s="69"/>
      <c r="G7" s="68"/>
      <c r="H7" s="63"/>
      <c r="I7" s="70"/>
      <c r="J7" s="71"/>
    </row>
    <row r="8" spans="1:10" s="12" customFormat="1" ht="6.75" customHeight="1" x14ac:dyDescent="0.25">
      <c r="A8" s="989"/>
      <c r="B8" s="990"/>
      <c r="C8" s="990"/>
      <c r="D8" s="990"/>
      <c r="E8" s="990"/>
      <c r="F8" s="990"/>
      <c r="G8" s="990"/>
      <c r="H8" s="990"/>
      <c r="I8" s="990"/>
      <c r="J8" s="991"/>
    </row>
    <row r="9" spans="1:10" s="18" customFormat="1" ht="12" x14ac:dyDescent="0.25">
      <c r="A9" s="66">
        <v>3</v>
      </c>
      <c r="B9" s="11">
        <v>2</v>
      </c>
      <c r="C9" s="63"/>
      <c r="D9" s="63"/>
      <c r="E9" s="68" t="s">
        <v>13</v>
      </c>
      <c r="F9" s="69"/>
      <c r="G9" s="68"/>
      <c r="H9" s="63"/>
      <c r="I9" s="70"/>
      <c r="J9" s="71"/>
    </row>
    <row r="10" spans="1:10" s="18" customFormat="1" ht="11.25" customHeight="1" x14ac:dyDescent="0.25">
      <c r="A10" s="66">
        <v>4</v>
      </c>
      <c r="B10" s="11"/>
      <c r="C10" s="63"/>
      <c r="D10" s="63"/>
      <c r="E10" s="68" t="s">
        <v>13</v>
      </c>
      <c r="F10" s="69"/>
      <c r="G10" s="68"/>
      <c r="H10" s="63"/>
      <c r="I10" s="70"/>
      <c r="J10" s="71"/>
    </row>
    <row r="11" spans="1:10" s="12" customFormat="1" ht="6.75" customHeight="1" x14ac:dyDescent="0.25">
      <c r="A11" s="989"/>
      <c r="B11" s="990"/>
      <c r="C11" s="990"/>
      <c r="D11" s="990"/>
      <c r="E11" s="990"/>
      <c r="F11" s="990"/>
      <c r="G11" s="990"/>
      <c r="H11" s="990"/>
      <c r="I11" s="990"/>
      <c r="J11" s="991"/>
    </row>
    <row r="12" spans="1:10" s="12" customFormat="1" ht="12" x14ac:dyDescent="0.25">
      <c r="A12" s="66">
        <v>5</v>
      </c>
      <c r="B12" s="11">
        <v>3</v>
      </c>
      <c r="C12" s="63"/>
      <c r="D12" s="63"/>
      <c r="E12" s="68" t="s">
        <v>13</v>
      </c>
      <c r="F12" s="69"/>
      <c r="G12" s="68"/>
      <c r="H12" s="63"/>
      <c r="I12" s="70"/>
      <c r="J12" s="71"/>
    </row>
    <row r="13" spans="1:10" s="12" customFormat="1" ht="12" x14ac:dyDescent="0.25">
      <c r="A13" s="66">
        <v>6</v>
      </c>
      <c r="B13" s="11"/>
      <c r="C13" s="63"/>
      <c r="D13" s="63"/>
      <c r="E13" s="68" t="s">
        <v>13</v>
      </c>
      <c r="F13" s="69"/>
      <c r="G13" s="68"/>
      <c r="H13" s="63"/>
      <c r="I13" s="70"/>
      <c r="J13" s="71"/>
    </row>
    <row r="14" spans="1:10" s="12" customFormat="1" ht="6.75" customHeight="1" x14ac:dyDescent="0.25">
      <c r="A14" s="989"/>
      <c r="B14" s="990"/>
      <c r="C14" s="990"/>
      <c r="D14" s="990"/>
      <c r="E14" s="990"/>
      <c r="F14" s="990"/>
      <c r="G14" s="990"/>
      <c r="H14" s="990"/>
      <c r="I14" s="990"/>
      <c r="J14" s="991"/>
    </row>
    <row r="15" spans="1:10" s="18" customFormat="1" ht="12" x14ac:dyDescent="0.25">
      <c r="A15" s="66">
        <v>7</v>
      </c>
      <c r="B15" s="11">
        <v>4</v>
      </c>
      <c r="C15" s="63"/>
      <c r="D15" s="63"/>
      <c r="E15" s="68" t="s">
        <v>13</v>
      </c>
      <c r="F15" s="69"/>
      <c r="G15" s="68"/>
      <c r="H15" s="63"/>
      <c r="I15" s="70"/>
      <c r="J15" s="71"/>
    </row>
    <row r="16" spans="1:10" s="18" customFormat="1" ht="12" x14ac:dyDescent="0.25">
      <c r="A16" s="66">
        <v>8</v>
      </c>
      <c r="B16" s="11"/>
      <c r="C16" s="63"/>
      <c r="D16" s="63"/>
      <c r="E16" s="68" t="s">
        <v>13</v>
      </c>
      <c r="F16" s="69"/>
      <c r="G16" s="68"/>
      <c r="H16" s="63"/>
      <c r="I16" s="70"/>
      <c r="J16" s="71"/>
    </row>
    <row r="17" spans="1:10" s="12" customFormat="1" ht="6.75" customHeight="1" x14ac:dyDescent="0.25">
      <c r="A17" s="989"/>
      <c r="B17" s="990"/>
      <c r="C17" s="990"/>
      <c r="D17" s="990"/>
      <c r="E17" s="990"/>
      <c r="F17" s="990"/>
      <c r="G17" s="990"/>
      <c r="H17" s="990"/>
      <c r="I17" s="990"/>
      <c r="J17" s="991"/>
    </row>
    <row r="18" spans="1:10" s="12" customFormat="1" ht="12" x14ac:dyDescent="0.25">
      <c r="A18" s="66">
        <v>9</v>
      </c>
      <c r="B18" s="11">
        <v>5</v>
      </c>
      <c r="C18" s="63"/>
      <c r="D18" s="63"/>
      <c r="E18" s="68" t="s">
        <v>13</v>
      </c>
      <c r="F18" s="69"/>
      <c r="G18" s="68"/>
      <c r="H18" s="63"/>
      <c r="I18" s="70"/>
      <c r="J18" s="71"/>
    </row>
    <row r="19" spans="1:10" s="12" customFormat="1" ht="12" x14ac:dyDescent="0.25">
      <c r="A19" s="66">
        <v>10</v>
      </c>
      <c r="B19" s="11"/>
      <c r="C19" s="63"/>
      <c r="D19" s="63"/>
      <c r="E19" s="68" t="s">
        <v>13</v>
      </c>
      <c r="F19" s="69"/>
      <c r="G19" s="68"/>
      <c r="H19" s="63"/>
      <c r="I19" s="70"/>
      <c r="J19" s="71"/>
    </row>
    <row r="20" spans="1:10" s="12" customFormat="1" ht="6.75" customHeight="1" x14ac:dyDescent="0.25">
      <c r="A20" s="989"/>
      <c r="B20" s="990"/>
      <c r="C20" s="990"/>
      <c r="D20" s="990"/>
      <c r="E20" s="990"/>
      <c r="F20" s="990"/>
      <c r="G20" s="990"/>
      <c r="H20" s="990"/>
      <c r="I20" s="990"/>
      <c r="J20" s="991"/>
    </row>
    <row r="21" spans="1:10" s="18" customFormat="1" ht="12" x14ac:dyDescent="0.25">
      <c r="A21" s="66">
        <v>11</v>
      </c>
      <c r="B21" s="11">
        <v>6</v>
      </c>
      <c r="C21" s="63"/>
      <c r="D21" s="63"/>
      <c r="E21" s="68" t="s">
        <v>13</v>
      </c>
      <c r="F21" s="69"/>
      <c r="G21" s="68"/>
      <c r="H21" s="63"/>
      <c r="I21" s="70"/>
      <c r="J21" s="71"/>
    </row>
    <row r="22" spans="1:10" s="18" customFormat="1" ht="12" x14ac:dyDescent="0.25">
      <c r="A22" s="66">
        <v>12</v>
      </c>
      <c r="B22" s="11"/>
      <c r="C22" s="63"/>
      <c r="D22" s="63"/>
      <c r="E22" s="68" t="s">
        <v>13</v>
      </c>
      <c r="F22" s="69"/>
      <c r="G22" s="68"/>
      <c r="H22" s="63"/>
      <c r="I22" s="70"/>
      <c r="J22" s="71"/>
    </row>
    <row r="23" spans="1:10" s="12" customFormat="1" ht="6.75" customHeight="1" x14ac:dyDescent="0.25">
      <c r="A23" s="989"/>
      <c r="B23" s="990"/>
      <c r="C23" s="990"/>
      <c r="D23" s="990"/>
      <c r="E23" s="990"/>
      <c r="F23" s="990"/>
      <c r="G23" s="990"/>
      <c r="H23" s="990"/>
      <c r="I23" s="990"/>
      <c r="J23" s="991"/>
    </row>
    <row r="24" spans="1:10" s="12" customFormat="1" ht="12" x14ac:dyDescent="0.25">
      <c r="A24" s="66">
        <v>13</v>
      </c>
      <c r="B24" s="11">
        <v>7</v>
      </c>
      <c r="C24" s="63"/>
      <c r="D24" s="63"/>
      <c r="E24" s="68" t="s">
        <v>13</v>
      </c>
      <c r="F24" s="69"/>
      <c r="G24" s="68"/>
      <c r="H24" s="63"/>
      <c r="I24" s="70"/>
      <c r="J24" s="71"/>
    </row>
    <row r="25" spans="1:10" s="12" customFormat="1" ht="12" x14ac:dyDescent="0.25">
      <c r="A25" s="66">
        <v>14</v>
      </c>
      <c r="B25" s="11"/>
      <c r="C25" s="63"/>
      <c r="D25" s="63"/>
      <c r="E25" s="68" t="s">
        <v>13</v>
      </c>
      <c r="F25" s="69"/>
      <c r="G25" s="68"/>
      <c r="H25" s="63"/>
      <c r="I25" s="70"/>
      <c r="J25" s="71"/>
    </row>
    <row r="26" spans="1:10" s="12" customFormat="1" ht="6.75" customHeight="1" x14ac:dyDescent="0.25">
      <c r="A26" s="989"/>
      <c r="B26" s="990"/>
      <c r="C26" s="990"/>
      <c r="D26" s="990"/>
      <c r="E26" s="990"/>
      <c r="F26" s="990"/>
      <c r="G26" s="990"/>
      <c r="H26" s="990"/>
      <c r="I26" s="990"/>
      <c r="J26" s="991"/>
    </row>
    <row r="27" spans="1:10" s="18" customFormat="1" ht="12" x14ac:dyDescent="0.25">
      <c r="A27" s="66">
        <v>15</v>
      </c>
      <c r="B27" s="11">
        <v>8</v>
      </c>
      <c r="C27" s="63"/>
      <c r="D27" s="63"/>
      <c r="E27" s="68" t="s">
        <v>13</v>
      </c>
      <c r="F27" s="69"/>
      <c r="G27" s="68"/>
      <c r="H27" s="63"/>
      <c r="I27" s="70"/>
      <c r="J27" s="71"/>
    </row>
    <row r="28" spans="1:10" s="18" customFormat="1" ht="12" x14ac:dyDescent="0.25">
      <c r="A28" s="66">
        <v>16</v>
      </c>
      <c r="B28" s="11"/>
      <c r="C28" s="63"/>
      <c r="D28" s="63"/>
      <c r="E28" s="68" t="s">
        <v>13</v>
      </c>
      <c r="F28" s="69"/>
      <c r="G28" s="68"/>
      <c r="H28" s="63"/>
      <c r="I28" s="70"/>
      <c r="J28" s="71"/>
    </row>
    <row r="29" spans="1:10" s="12" customFormat="1" ht="6.75" customHeight="1" x14ac:dyDescent="0.25">
      <c r="A29" s="989"/>
      <c r="B29" s="990"/>
      <c r="C29" s="990"/>
      <c r="D29" s="990"/>
      <c r="E29" s="990"/>
      <c r="F29" s="990"/>
      <c r="G29" s="990"/>
      <c r="H29" s="990"/>
      <c r="I29" s="990"/>
      <c r="J29" s="991"/>
    </row>
    <row r="30" spans="1:10" s="12" customFormat="1" ht="12" x14ac:dyDescent="0.25">
      <c r="A30" s="66">
        <v>17</v>
      </c>
      <c r="B30" s="11">
        <v>9</v>
      </c>
      <c r="C30" s="63"/>
      <c r="D30" s="63"/>
      <c r="E30" s="68" t="s">
        <v>13</v>
      </c>
      <c r="F30" s="69"/>
      <c r="G30" s="68"/>
      <c r="H30" s="63"/>
      <c r="I30" s="70"/>
      <c r="J30" s="71"/>
    </row>
    <row r="31" spans="1:10" s="12" customFormat="1" ht="12" x14ac:dyDescent="0.25">
      <c r="A31" s="66">
        <v>18</v>
      </c>
      <c r="B31" s="11"/>
      <c r="C31" s="63"/>
      <c r="D31" s="63"/>
      <c r="E31" s="68" t="s">
        <v>13</v>
      </c>
      <c r="F31" s="69"/>
      <c r="G31" s="68"/>
      <c r="H31" s="63"/>
      <c r="I31" s="70"/>
      <c r="J31" s="71"/>
    </row>
    <row r="32" spans="1:10" s="12" customFormat="1" ht="6.75" customHeight="1" x14ac:dyDescent="0.25">
      <c r="A32" s="989"/>
      <c r="B32" s="990"/>
      <c r="C32" s="990"/>
      <c r="D32" s="990"/>
      <c r="E32" s="990"/>
      <c r="F32" s="990"/>
      <c r="G32" s="990"/>
      <c r="H32" s="990"/>
      <c r="I32" s="990"/>
      <c r="J32" s="991"/>
    </row>
    <row r="33" spans="1:10" s="18" customFormat="1" ht="12" x14ac:dyDescent="0.25">
      <c r="A33" s="66">
        <v>19</v>
      </c>
      <c r="B33" s="11">
        <v>10</v>
      </c>
      <c r="C33" s="63"/>
      <c r="D33" s="63"/>
      <c r="E33" s="68" t="s">
        <v>13</v>
      </c>
      <c r="F33" s="69"/>
      <c r="G33" s="68"/>
      <c r="H33" s="63"/>
      <c r="I33" s="70"/>
      <c r="J33" s="71"/>
    </row>
    <row r="34" spans="1:10" s="18" customFormat="1" ht="12" x14ac:dyDescent="0.25">
      <c r="A34" s="66">
        <v>20</v>
      </c>
      <c r="B34" s="12"/>
      <c r="C34" s="63"/>
      <c r="D34" s="63"/>
      <c r="E34" s="68" t="s">
        <v>13</v>
      </c>
      <c r="F34" s="69"/>
      <c r="G34" s="68"/>
      <c r="H34" s="63"/>
      <c r="I34" s="70"/>
      <c r="J34" s="71"/>
    </row>
    <row r="35" spans="1:10" s="12" customFormat="1" ht="6.75" customHeight="1" x14ac:dyDescent="0.25">
      <c r="A35" s="989"/>
      <c r="B35" s="990"/>
      <c r="C35" s="990"/>
      <c r="D35" s="990"/>
      <c r="E35" s="990"/>
      <c r="F35" s="990"/>
      <c r="G35" s="990"/>
      <c r="H35" s="990"/>
      <c r="I35" s="990"/>
      <c r="J35" s="991"/>
    </row>
    <row r="36" spans="1:10" s="12" customFormat="1" ht="12" x14ac:dyDescent="0.25">
      <c r="A36" s="66">
        <v>21</v>
      </c>
      <c r="B36" s="11">
        <v>11</v>
      </c>
      <c r="C36" s="63"/>
      <c r="D36" s="63"/>
      <c r="E36" s="68" t="s">
        <v>13</v>
      </c>
      <c r="F36" s="69"/>
      <c r="G36" s="68"/>
      <c r="H36" s="63"/>
      <c r="I36" s="70"/>
      <c r="J36" s="71"/>
    </row>
    <row r="37" spans="1:10" s="12" customFormat="1" ht="12" x14ac:dyDescent="0.25">
      <c r="A37" s="66">
        <v>22</v>
      </c>
      <c r="B37" s="11"/>
      <c r="C37" s="63"/>
      <c r="D37" s="63"/>
      <c r="E37" s="68" t="s">
        <v>13</v>
      </c>
      <c r="F37" s="69"/>
      <c r="G37" s="68"/>
      <c r="H37" s="63"/>
      <c r="I37" s="70"/>
      <c r="J37" s="71"/>
    </row>
    <row r="38" spans="1:10" s="12" customFormat="1" ht="6.75" customHeight="1" x14ac:dyDescent="0.25">
      <c r="A38" s="989"/>
      <c r="B38" s="990"/>
      <c r="C38" s="990"/>
      <c r="D38" s="990"/>
      <c r="E38" s="990"/>
      <c r="F38" s="990"/>
      <c r="G38" s="990"/>
      <c r="H38" s="990"/>
      <c r="I38" s="990"/>
      <c r="J38" s="991"/>
    </row>
    <row r="39" spans="1:10" s="18" customFormat="1" ht="12" x14ac:dyDescent="0.25">
      <c r="A39" s="66">
        <v>23</v>
      </c>
      <c r="B39" s="11">
        <v>12</v>
      </c>
      <c r="C39" s="63"/>
      <c r="D39" s="63"/>
      <c r="E39" s="68" t="s">
        <v>13</v>
      </c>
      <c r="F39" s="69"/>
      <c r="G39" s="68"/>
      <c r="H39" s="63"/>
      <c r="I39" s="70"/>
      <c r="J39" s="71"/>
    </row>
    <row r="40" spans="1:10" s="18" customFormat="1" ht="12" x14ac:dyDescent="0.25">
      <c r="A40" s="66">
        <v>24</v>
      </c>
      <c r="B40" s="11"/>
      <c r="C40" s="63"/>
      <c r="D40" s="63"/>
      <c r="E40" s="68" t="s">
        <v>13</v>
      </c>
      <c r="F40" s="69"/>
      <c r="G40" s="68"/>
      <c r="H40" s="63"/>
      <c r="I40" s="70"/>
      <c r="J40" s="71"/>
    </row>
    <row r="41" spans="1:10" s="12" customFormat="1" ht="6.75" customHeight="1" x14ac:dyDescent="0.25">
      <c r="A41" s="989"/>
      <c r="B41" s="990"/>
      <c r="C41" s="990"/>
      <c r="D41" s="990"/>
      <c r="E41" s="990"/>
      <c r="F41" s="990"/>
      <c r="G41" s="990"/>
      <c r="H41" s="990"/>
      <c r="I41" s="990"/>
      <c r="J41" s="991"/>
    </row>
    <row r="42" spans="1:10" s="12" customFormat="1" ht="12" x14ac:dyDescent="0.25">
      <c r="A42" s="66">
        <v>25</v>
      </c>
      <c r="B42" s="11">
        <v>13</v>
      </c>
      <c r="C42" s="63"/>
      <c r="D42" s="63"/>
      <c r="E42" s="68" t="s">
        <v>13</v>
      </c>
      <c r="F42" s="69"/>
      <c r="G42" s="68"/>
      <c r="H42" s="63"/>
      <c r="I42" s="70"/>
      <c r="J42" s="71"/>
    </row>
    <row r="43" spans="1:10" s="12" customFormat="1" ht="12" x14ac:dyDescent="0.25">
      <c r="A43" s="66">
        <v>26</v>
      </c>
      <c r="B43" s="11"/>
      <c r="C43" s="63"/>
      <c r="D43" s="63"/>
      <c r="E43" s="68" t="s">
        <v>13</v>
      </c>
      <c r="F43" s="69"/>
      <c r="G43" s="68"/>
      <c r="H43" s="63"/>
      <c r="I43" s="70"/>
      <c r="J43" s="71"/>
    </row>
    <row r="44" spans="1:10" s="12" customFormat="1" ht="6.75" customHeight="1" x14ac:dyDescent="0.25">
      <c r="A44" s="989"/>
      <c r="B44" s="990"/>
      <c r="C44" s="990"/>
      <c r="D44" s="990"/>
      <c r="E44" s="990"/>
      <c r="F44" s="990"/>
      <c r="G44" s="990"/>
      <c r="H44" s="990"/>
      <c r="I44" s="990"/>
      <c r="J44" s="991"/>
    </row>
    <row r="45" spans="1:10" s="18" customFormat="1" ht="12" x14ac:dyDescent="0.25">
      <c r="A45" s="66">
        <v>27</v>
      </c>
      <c r="B45" s="11">
        <v>14</v>
      </c>
      <c r="C45" s="63"/>
      <c r="D45" s="63"/>
      <c r="E45" s="68" t="s">
        <v>13</v>
      </c>
      <c r="F45" s="69"/>
      <c r="G45" s="68"/>
      <c r="H45" s="63"/>
      <c r="I45" s="70"/>
      <c r="J45" s="71"/>
    </row>
    <row r="46" spans="1:10" s="18" customFormat="1" ht="12" x14ac:dyDescent="0.25">
      <c r="A46" s="66">
        <v>28</v>
      </c>
      <c r="B46" s="11"/>
      <c r="C46" s="63"/>
      <c r="D46" s="63"/>
      <c r="E46" s="68" t="s">
        <v>13</v>
      </c>
      <c r="F46" s="69"/>
      <c r="G46" s="68"/>
      <c r="H46" s="63"/>
      <c r="I46" s="70"/>
      <c r="J46" s="71"/>
    </row>
    <row r="47" spans="1:10" s="12" customFormat="1" ht="6.75" customHeight="1" x14ac:dyDescent="0.25">
      <c r="A47" s="989"/>
      <c r="B47" s="990"/>
      <c r="C47" s="990"/>
      <c r="D47" s="990"/>
      <c r="E47" s="990"/>
      <c r="F47" s="990"/>
      <c r="G47" s="990"/>
      <c r="H47" s="990"/>
      <c r="I47" s="990"/>
      <c r="J47" s="991"/>
    </row>
    <row r="48" spans="1:10" s="12" customFormat="1" ht="12" x14ac:dyDescent="0.25">
      <c r="A48" s="66">
        <v>29</v>
      </c>
      <c r="B48" s="11">
        <v>15</v>
      </c>
      <c r="C48" s="63"/>
      <c r="D48" s="63"/>
      <c r="E48" s="68" t="s">
        <v>13</v>
      </c>
      <c r="F48" s="69"/>
      <c r="G48" s="68"/>
      <c r="H48" s="63"/>
      <c r="I48" s="70"/>
      <c r="J48" s="71"/>
    </row>
    <row r="49" spans="1:10" s="12" customFormat="1" ht="12" x14ac:dyDescent="0.25">
      <c r="A49" s="66">
        <v>30</v>
      </c>
      <c r="B49" s="11"/>
      <c r="C49" s="63"/>
      <c r="D49" s="63"/>
      <c r="E49" s="68" t="s">
        <v>13</v>
      </c>
      <c r="F49" s="69"/>
      <c r="G49" s="68"/>
      <c r="H49" s="63"/>
      <c r="I49" s="70"/>
      <c r="J49" s="71"/>
    </row>
    <row r="50" spans="1:10" s="12" customFormat="1" ht="6.75" customHeight="1" x14ac:dyDescent="0.25">
      <c r="A50" s="989"/>
      <c r="B50" s="990"/>
      <c r="C50" s="990"/>
      <c r="D50" s="990"/>
      <c r="E50" s="990"/>
      <c r="F50" s="990"/>
      <c r="G50" s="990"/>
      <c r="H50" s="990"/>
      <c r="I50" s="990"/>
      <c r="J50" s="991"/>
    </row>
    <row r="51" spans="1:10" s="18" customFormat="1" ht="12" x14ac:dyDescent="0.25">
      <c r="A51" s="66">
        <v>31</v>
      </c>
      <c r="B51" s="11">
        <v>16</v>
      </c>
      <c r="C51" s="63"/>
      <c r="D51" s="63"/>
      <c r="E51" s="68" t="s">
        <v>13</v>
      </c>
      <c r="F51" s="69"/>
      <c r="G51" s="68"/>
      <c r="H51" s="63"/>
      <c r="I51" s="70"/>
      <c r="J51" s="71"/>
    </row>
    <row r="52" spans="1:10" s="18" customFormat="1" ht="12" x14ac:dyDescent="0.25">
      <c r="A52" s="66">
        <v>32</v>
      </c>
      <c r="B52" s="11"/>
      <c r="C52" s="63"/>
      <c r="D52" s="63"/>
      <c r="E52" s="68" t="s">
        <v>13</v>
      </c>
      <c r="F52" s="69"/>
      <c r="G52" s="68"/>
      <c r="H52" s="63"/>
      <c r="I52" s="70"/>
      <c r="J52" s="71"/>
    </row>
    <row r="53" spans="1:10" s="18" customFormat="1" ht="12" x14ac:dyDescent="0.25">
      <c r="A53" s="66">
        <v>33</v>
      </c>
      <c r="B53" s="11"/>
      <c r="C53" s="63"/>
      <c r="D53" s="63"/>
      <c r="E53" s="68" t="s">
        <v>13</v>
      </c>
      <c r="F53" s="69"/>
      <c r="G53" s="68"/>
      <c r="H53" s="63"/>
      <c r="I53" s="70"/>
      <c r="J53" s="71"/>
    </row>
    <row r="54" spans="1:10" s="18" customFormat="1" ht="12" x14ac:dyDescent="0.25">
      <c r="A54" s="66">
        <v>34</v>
      </c>
      <c r="B54" s="11"/>
      <c r="C54" s="63"/>
      <c r="D54" s="63"/>
      <c r="E54" s="68" t="s">
        <v>13</v>
      </c>
      <c r="F54" s="69"/>
      <c r="G54" s="68"/>
      <c r="H54" s="63"/>
      <c r="I54" s="70"/>
      <c r="J54" s="71"/>
    </row>
    <row r="55" spans="1:10" s="18" customFormat="1" ht="12" x14ac:dyDescent="0.25">
      <c r="A55" s="66">
        <v>35</v>
      </c>
      <c r="B55" s="11"/>
      <c r="C55" s="63"/>
      <c r="D55" s="63"/>
      <c r="E55" s="68" t="s">
        <v>13</v>
      </c>
      <c r="F55" s="69"/>
      <c r="G55" s="68"/>
      <c r="H55" s="63"/>
      <c r="I55" s="70"/>
      <c r="J55" s="71"/>
    </row>
    <row r="56" spans="1:10" s="19" customFormat="1" ht="15.75" x14ac:dyDescent="0.25">
      <c r="A56" s="66">
        <v>36</v>
      </c>
      <c r="B56" s="3"/>
      <c r="C56" s="7"/>
      <c r="D56" s="5"/>
      <c r="E56" s="68" t="s">
        <v>13</v>
      </c>
      <c r="F56" s="6"/>
      <c r="G56" s="4"/>
      <c r="H56" s="7"/>
      <c r="I56" s="9"/>
      <c r="J56" s="8"/>
    </row>
    <row r="57" spans="1:10" s="2" customFormat="1" ht="15.75" x14ac:dyDescent="0.25">
      <c r="A57" s="3"/>
      <c r="B57" s="3"/>
      <c r="C57" s="7"/>
      <c r="D57" s="5"/>
      <c r="E57" s="4"/>
      <c r="F57" s="6"/>
      <c r="G57" s="4"/>
      <c r="H57" s="7"/>
      <c r="I57" s="9"/>
      <c r="J57" s="8"/>
    </row>
    <row r="58" spans="1:10" s="2" customFormat="1" ht="15.75" x14ac:dyDescent="0.25">
      <c r="A58" s="3"/>
      <c r="B58" s="3"/>
      <c r="C58" s="7"/>
      <c r="D58" s="5"/>
      <c r="E58" s="4"/>
      <c r="F58" s="6"/>
      <c r="G58" s="4"/>
      <c r="H58" s="7"/>
      <c r="I58" s="9"/>
      <c r="J58" s="8"/>
    </row>
    <row r="59" spans="1:10" s="2" customFormat="1" ht="15.75" x14ac:dyDescent="0.25">
      <c r="A59" s="3"/>
      <c r="B59" s="3"/>
      <c r="C59" s="7"/>
      <c r="D59" s="5"/>
      <c r="E59" s="4"/>
      <c r="F59" s="6"/>
      <c r="G59" s="4"/>
      <c r="H59" s="7"/>
      <c r="I59" s="9"/>
      <c r="J59" s="8"/>
    </row>
    <row r="60" spans="1:10" s="2" customFormat="1" ht="15.75" x14ac:dyDescent="0.25">
      <c r="A60" s="3"/>
      <c r="B60" s="3"/>
      <c r="C60" s="7"/>
      <c r="D60" s="5"/>
      <c r="E60" s="4"/>
      <c r="F60" s="6"/>
      <c r="G60" s="4"/>
      <c r="H60" s="7"/>
      <c r="I60" s="9"/>
      <c r="J60" s="8"/>
    </row>
    <row r="61" spans="1:10" s="2" customFormat="1" ht="15.75" x14ac:dyDescent="0.25">
      <c r="A61" s="3"/>
      <c r="B61" s="3"/>
      <c r="C61" s="7"/>
      <c r="D61" s="5"/>
      <c r="E61" s="4"/>
      <c r="F61" s="6"/>
      <c r="G61" s="4"/>
      <c r="H61" s="7"/>
      <c r="I61" s="9"/>
      <c r="J61" s="8"/>
    </row>
    <row r="62" spans="1:10" s="2" customFormat="1" ht="15.75" x14ac:dyDescent="0.25">
      <c r="A62" s="3"/>
      <c r="B62" s="3"/>
      <c r="C62" s="7"/>
      <c r="D62" s="5"/>
      <c r="E62" s="4"/>
      <c r="F62" s="6"/>
      <c r="G62" s="4"/>
      <c r="H62" s="7"/>
      <c r="I62" s="9"/>
      <c r="J62" s="8"/>
    </row>
    <row r="63" spans="1:10" s="2" customFormat="1" ht="15.75" x14ac:dyDescent="0.25">
      <c r="A63" s="3"/>
      <c r="B63" s="3"/>
      <c r="C63" s="7"/>
      <c r="D63" s="5"/>
      <c r="E63" s="4"/>
      <c r="F63" s="6"/>
      <c r="G63" s="4"/>
      <c r="H63" s="7"/>
      <c r="I63" s="9"/>
      <c r="J63" s="8"/>
    </row>
    <row r="64" spans="1:10" s="2" customFormat="1" ht="15.75" x14ac:dyDescent="0.25">
      <c r="A64" s="3"/>
      <c r="B64" s="3"/>
      <c r="C64" s="7"/>
      <c r="D64" s="5"/>
      <c r="E64" s="4"/>
      <c r="F64" s="6"/>
      <c r="G64" s="4"/>
      <c r="H64" s="7"/>
      <c r="I64" s="9"/>
      <c r="J64" s="8"/>
    </row>
    <row r="65" spans="1:10" s="2" customFormat="1" ht="15.75" x14ac:dyDescent="0.25">
      <c r="A65" s="3"/>
      <c r="B65" s="3"/>
      <c r="C65" s="7"/>
      <c r="D65" s="5"/>
      <c r="E65" s="4"/>
      <c r="F65" s="6"/>
      <c r="G65" s="4"/>
      <c r="H65" s="7"/>
      <c r="I65" s="9"/>
      <c r="J65" s="8"/>
    </row>
    <row r="66" spans="1:10" s="2" customFormat="1" ht="15.75" x14ac:dyDescent="0.25">
      <c r="A66" s="3"/>
      <c r="B66" s="3"/>
      <c r="C66" s="7"/>
      <c r="D66" s="5"/>
      <c r="E66" s="4"/>
      <c r="F66" s="6"/>
      <c r="G66" s="4"/>
      <c r="H66" s="7"/>
      <c r="I66" s="9"/>
      <c r="J66" s="8"/>
    </row>
    <row r="67" spans="1:10" s="2" customFormat="1" ht="15.75" x14ac:dyDescent="0.25">
      <c r="A67" s="3"/>
      <c r="B67" s="3"/>
      <c r="C67" s="7"/>
      <c r="D67" s="5"/>
      <c r="E67" s="4"/>
      <c r="F67" s="6"/>
      <c r="G67" s="4"/>
      <c r="H67" s="7"/>
      <c r="I67" s="9"/>
      <c r="J67" s="8"/>
    </row>
    <row r="68" spans="1:10" s="2" customFormat="1" ht="15.75" x14ac:dyDescent="0.25">
      <c r="A68" s="3"/>
      <c r="B68" s="3"/>
      <c r="C68" s="7"/>
      <c r="D68" s="5"/>
      <c r="E68" s="4"/>
      <c r="F68" s="6"/>
      <c r="G68" s="4"/>
      <c r="H68" s="7"/>
      <c r="I68" s="9"/>
      <c r="J68" s="8"/>
    </row>
    <row r="69" spans="1:10" s="2" customFormat="1" ht="15.75" x14ac:dyDescent="0.25">
      <c r="A69" s="3"/>
      <c r="B69" s="3"/>
      <c r="C69" s="7"/>
      <c r="D69" s="5"/>
      <c r="E69" s="4"/>
      <c r="F69" s="6"/>
      <c r="G69" s="4"/>
      <c r="H69" s="7"/>
      <c r="I69" s="9"/>
      <c r="J69" s="8"/>
    </row>
    <row r="70" spans="1:10" s="2" customFormat="1" ht="15.75" x14ac:dyDescent="0.25">
      <c r="A70" s="3"/>
      <c r="B70" s="3"/>
      <c r="C70" s="7"/>
      <c r="D70" s="5"/>
      <c r="E70" s="4"/>
      <c r="F70" s="6"/>
      <c r="G70" s="4"/>
      <c r="H70" s="7"/>
      <c r="I70" s="9"/>
      <c r="J70" s="8"/>
    </row>
    <row r="71" spans="1:10" s="2" customFormat="1" ht="15.75" x14ac:dyDescent="0.25">
      <c r="A71" s="3"/>
      <c r="B71" s="3"/>
      <c r="C71" s="7"/>
      <c r="D71" s="5"/>
      <c r="E71" s="4"/>
      <c r="F71" s="6"/>
      <c r="G71" s="4"/>
      <c r="H71" s="7"/>
      <c r="I71" s="9"/>
      <c r="J71" s="8"/>
    </row>
    <row r="72" spans="1:10" s="2" customFormat="1" ht="15.75" x14ac:dyDescent="0.25">
      <c r="A72" s="3"/>
      <c r="B72" s="3"/>
      <c r="C72" s="7"/>
      <c r="D72" s="5"/>
      <c r="E72" s="4"/>
      <c r="F72" s="6"/>
      <c r="G72" s="4"/>
      <c r="H72" s="7"/>
      <c r="I72" s="9"/>
      <c r="J72" s="8"/>
    </row>
    <row r="73" spans="1:10" s="2" customFormat="1" ht="15.75" x14ac:dyDescent="0.25">
      <c r="A73" s="3"/>
      <c r="B73" s="3"/>
      <c r="C73" s="7"/>
      <c r="D73" s="5"/>
      <c r="E73" s="4"/>
      <c r="F73" s="6"/>
      <c r="G73" s="4"/>
      <c r="H73" s="7"/>
      <c r="I73" s="9"/>
      <c r="J73" s="8"/>
    </row>
    <row r="74" spans="1:10" s="2" customFormat="1" ht="15.75" x14ac:dyDescent="0.25">
      <c r="A74" s="3"/>
      <c r="B74" s="3"/>
      <c r="C74" s="7"/>
      <c r="D74" s="5"/>
      <c r="E74" s="4"/>
      <c r="F74" s="6"/>
      <c r="G74" s="4"/>
      <c r="H74" s="7"/>
      <c r="I74" s="9"/>
      <c r="J74" s="8"/>
    </row>
    <row r="75" spans="1:10" s="2" customFormat="1" ht="15.75" x14ac:dyDescent="0.25">
      <c r="A75" s="3"/>
      <c r="B75" s="3"/>
      <c r="C75" s="7"/>
      <c r="D75" s="5"/>
      <c r="E75" s="4"/>
      <c r="F75" s="6"/>
      <c r="G75" s="4"/>
      <c r="H75" s="7"/>
      <c r="I75" s="9"/>
      <c r="J75" s="8"/>
    </row>
    <row r="76" spans="1:10" s="2" customFormat="1" ht="15.75" x14ac:dyDescent="0.25">
      <c r="A76" s="3"/>
      <c r="B76" s="3"/>
      <c r="C76" s="7"/>
      <c r="D76" s="5"/>
      <c r="E76" s="4"/>
      <c r="F76" s="6"/>
      <c r="G76" s="4"/>
      <c r="H76" s="7"/>
      <c r="I76" s="9"/>
      <c r="J76" s="8"/>
    </row>
    <row r="77" spans="1:10" s="2" customFormat="1" ht="15.75" x14ac:dyDescent="0.25">
      <c r="A77" s="3"/>
      <c r="B77" s="3"/>
      <c r="C77" s="7"/>
      <c r="D77" s="5"/>
      <c r="E77" s="4"/>
      <c r="F77" s="6"/>
      <c r="G77" s="4"/>
      <c r="H77" s="7"/>
      <c r="I77" s="9"/>
      <c r="J77" s="8"/>
    </row>
    <row r="78" spans="1:10" s="2" customFormat="1" ht="15.75" x14ac:dyDescent="0.25">
      <c r="A78" s="3"/>
      <c r="B78" s="3"/>
      <c r="C78" s="7"/>
      <c r="D78" s="5"/>
      <c r="E78" s="4"/>
      <c r="F78" s="6"/>
      <c r="G78" s="4"/>
      <c r="H78" s="7"/>
      <c r="I78" s="9"/>
      <c r="J78" s="8"/>
    </row>
    <row r="79" spans="1:10" s="2" customFormat="1" ht="15.75" x14ac:dyDescent="0.25">
      <c r="A79" s="3"/>
      <c r="B79" s="3"/>
      <c r="C79" s="7"/>
      <c r="D79" s="5"/>
      <c r="E79" s="4"/>
      <c r="F79" s="6"/>
      <c r="G79" s="4"/>
      <c r="H79" s="7"/>
      <c r="I79" s="9"/>
      <c r="J79" s="8"/>
    </row>
    <row r="80" spans="1:10" s="2" customFormat="1" ht="15.75" x14ac:dyDescent="0.25">
      <c r="A80" s="3"/>
      <c r="B80" s="3"/>
      <c r="C80" s="7"/>
      <c r="D80" s="5"/>
      <c r="E80" s="4"/>
      <c r="F80" s="6"/>
      <c r="G80" s="4"/>
      <c r="H80" s="7"/>
      <c r="I80" s="9"/>
      <c r="J80" s="8"/>
    </row>
    <row r="81" spans="1:10" s="2" customFormat="1" ht="15.75" x14ac:dyDescent="0.25">
      <c r="A81" s="3"/>
      <c r="B81" s="3"/>
      <c r="C81" s="7"/>
      <c r="D81" s="5"/>
      <c r="E81" s="4"/>
      <c r="F81" s="6"/>
      <c r="G81" s="4"/>
      <c r="H81" s="7"/>
      <c r="I81" s="9"/>
      <c r="J81" s="8"/>
    </row>
    <row r="82" spans="1:10" s="2" customFormat="1" ht="15.75" x14ac:dyDescent="0.25">
      <c r="A82" s="3"/>
      <c r="B82" s="3"/>
      <c r="C82" s="7"/>
      <c r="D82" s="5"/>
      <c r="E82" s="4"/>
      <c r="F82" s="6"/>
      <c r="G82" s="4"/>
      <c r="H82" s="7"/>
      <c r="I82" s="9"/>
      <c r="J82" s="8"/>
    </row>
    <row r="83" spans="1:10" s="2" customFormat="1" ht="15.75" x14ac:dyDescent="0.25">
      <c r="A83" s="3"/>
      <c r="B83" s="3"/>
      <c r="C83" s="7"/>
      <c r="D83" s="5"/>
      <c r="E83" s="4"/>
      <c r="F83" s="6"/>
      <c r="G83" s="4"/>
      <c r="H83" s="7"/>
      <c r="I83" s="9"/>
      <c r="J83" s="8"/>
    </row>
    <row r="84" spans="1:10" s="2" customFormat="1" ht="15.75" x14ac:dyDescent="0.25">
      <c r="A84" s="3"/>
      <c r="B84" s="3"/>
      <c r="C84" s="7"/>
      <c r="D84" s="5"/>
      <c r="E84" s="4"/>
      <c r="F84" s="6"/>
      <c r="G84" s="4"/>
      <c r="H84" s="7"/>
      <c r="I84" s="9"/>
      <c r="J84" s="8"/>
    </row>
    <row r="85" spans="1:10" s="2" customFormat="1" ht="15.75" x14ac:dyDescent="0.25">
      <c r="A85" s="3"/>
      <c r="B85" s="3"/>
      <c r="C85" s="7"/>
      <c r="D85" s="5"/>
      <c r="E85" s="4"/>
      <c r="F85" s="6"/>
      <c r="G85" s="4"/>
      <c r="H85" s="7"/>
      <c r="I85" s="9"/>
      <c r="J85" s="8"/>
    </row>
    <row r="86" spans="1:10" s="2" customFormat="1" ht="15.75" x14ac:dyDescent="0.25">
      <c r="A86" s="3"/>
      <c r="B86" s="3"/>
      <c r="C86" s="7"/>
      <c r="D86" s="5"/>
      <c r="E86" s="4"/>
      <c r="F86" s="6"/>
      <c r="G86" s="4"/>
      <c r="H86" s="7"/>
      <c r="I86" s="9"/>
      <c r="J86" s="8"/>
    </row>
    <row r="87" spans="1:10" s="2" customFormat="1" ht="15.75" x14ac:dyDescent="0.25">
      <c r="A87" s="3"/>
      <c r="B87" s="3"/>
      <c r="C87" s="7"/>
      <c r="D87" s="5"/>
      <c r="E87" s="4"/>
      <c r="F87" s="6"/>
      <c r="G87" s="4"/>
      <c r="H87" s="7"/>
      <c r="I87" s="9"/>
      <c r="J87" s="8"/>
    </row>
    <row r="88" spans="1:10" s="2" customFormat="1" ht="15.75" x14ac:dyDescent="0.25">
      <c r="A88" s="3"/>
      <c r="B88" s="3"/>
      <c r="C88" s="7"/>
      <c r="D88" s="5"/>
      <c r="E88" s="4"/>
      <c r="F88" s="6"/>
      <c r="G88" s="4"/>
      <c r="H88" s="7"/>
      <c r="I88" s="9"/>
      <c r="J88" s="8"/>
    </row>
    <row r="89" spans="1:10" s="2" customFormat="1" ht="15.75" x14ac:dyDescent="0.25">
      <c r="A89" s="3"/>
      <c r="B89" s="3"/>
      <c r="C89" s="7"/>
      <c r="D89" s="5"/>
      <c r="E89" s="4"/>
      <c r="F89" s="6"/>
      <c r="G89" s="4"/>
      <c r="H89" s="7"/>
      <c r="I89" s="9"/>
      <c r="J89" s="8"/>
    </row>
    <row r="90" spans="1:10" s="2" customFormat="1" ht="15.75" x14ac:dyDescent="0.25">
      <c r="A90" s="3"/>
      <c r="B90" s="3"/>
      <c r="C90" s="7"/>
      <c r="D90" s="5"/>
      <c r="E90" s="4"/>
      <c r="F90" s="6"/>
      <c r="G90" s="4"/>
      <c r="H90" s="7"/>
      <c r="I90" s="9"/>
      <c r="J90" s="8"/>
    </row>
    <row r="91" spans="1:10" s="2" customFormat="1" ht="15.75" x14ac:dyDescent="0.25">
      <c r="A91" s="3"/>
      <c r="B91" s="3"/>
      <c r="C91" s="7"/>
      <c r="D91" s="5"/>
      <c r="E91" s="4"/>
      <c r="F91" s="6"/>
      <c r="G91" s="4"/>
      <c r="H91" s="7"/>
      <c r="I91" s="9"/>
      <c r="J91" s="8"/>
    </row>
    <row r="92" spans="1:10" s="2" customFormat="1" ht="15.75" x14ac:dyDescent="0.25">
      <c r="A92" s="3"/>
      <c r="B92" s="3"/>
      <c r="C92" s="7"/>
      <c r="D92" s="5"/>
      <c r="E92" s="4"/>
      <c r="F92" s="6"/>
      <c r="G92" s="4"/>
      <c r="H92" s="7"/>
      <c r="I92" s="9"/>
      <c r="J92" s="8"/>
    </row>
    <row r="93" spans="1:10" s="2" customFormat="1" ht="15.75" x14ac:dyDescent="0.25">
      <c r="A93" s="3"/>
      <c r="B93" s="3"/>
      <c r="C93" s="7"/>
      <c r="D93" s="5"/>
      <c r="E93" s="4"/>
      <c r="F93" s="6"/>
      <c r="G93" s="4"/>
      <c r="H93" s="7"/>
      <c r="I93" s="9"/>
      <c r="J93" s="8"/>
    </row>
    <row r="94" spans="1:10" s="2" customFormat="1" ht="15.75" x14ac:dyDescent="0.25">
      <c r="A94" s="3"/>
      <c r="B94" s="3"/>
      <c r="C94" s="7"/>
      <c r="D94" s="5"/>
      <c r="E94" s="4"/>
      <c r="F94" s="6"/>
      <c r="G94" s="4"/>
      <c r="H94" s="7"/>
      <c r="I94" s="9"/>
      <c r="J94" s="8"/>
    </row>
    <row r="95" spans="1:10" s="2" customFormat="1" ht="15.75" x14ac:dyDescent="0.25">
      <c r="A95" s="3"/>
      <c r="B95" s="3"/>
      <c r="C95" s="7"/>
      <c r="D95" s="5"/>
      <c r="E95" s="4"/>
      <c r="F95" s="6"/>
      <c r="G95" s="4"/>
      <c r="H95" s="7"/>
      <c r="I95" s="9"/>
      <c r="J95" s="8"/>
    </row>
    <row r="96" spans="1:10" s="2" customFormat="1" ht="15.75" x14ac:dyDescent="0.25">
      <c r="A96" s="3"/>
      <c r="B96" s="3"/>
      <c r="C96" s="7"/>
      <c r="D96" s="5"/>
      <c r="E96" s="4"/>
      <c r="F96" s="6"/>
      <c r="G96" s="4"/>
      <c r="H96" s="7"/>
      <c r="I96" s="9"/>
      <c r="J96" s="8"/>
    </row>
    <row r="97" spans="1:10" s="2" customFormat="1" ht="15.75" x14ac:dyDescent="0.25">
      <c r="A97" s="3"/>
      <c r="B97" s="3"/>
      <c r="C97" s="7"/>
      <c r="D97" s="5"/>
      <c r="E97" s="4"/>
      <c r="F97" s="6"/>
      <c r="G97" s="4"/>
      <c r="H97" s="7"/>
      <c r="I97" s="9"/>
      <c r="J97" s="8"/>
    </row>
    <row r="98" spans="1:10" s="2" customFormat="1" ht="15.75" x14ac:dyDescent="0.25">
      <c r="A98" s="3"/>
      <c r="B98" s="3"/>
      <c r="C98" s="7"/>
      <c r="D98" s="5"/>
      <c r="E98" s="4"/>
      <c r="F98" s="6"/>
      <c r="G98" s="4"/>
      <c r="H98" s="7"/>
      <c r="I98" s="9"/>
      <c r="J98" s="8"/>
    </row>
    <row r="99" spans="1:10" s="2" customFormat="1" ht="15.75" x14ac:dyDescent="0.25">
      <c r="A99" s="3"/>
      <c r="B99" s="3"/>
      <c r="C99" s="7"/>
      <c r="D99" s="5"/>
      <c r="E99" s="4"/>
      <c r="F99" s="6"/>
      <c r="G99" s="4"/>
      <c r="H99" s="7"/>
      <c r="I99" s="9"/>
      <c r="J99" s="8"/>
    </row>
    <row r="100" spans="1:10" s="2" customFormat="1" ht="15.75" x14ac:dyDescent="0.25">
      <c r="A100" s="3"/>
      <c r="B100" s="3"/>
      <c r="C100" s="7"/>
      <c r="D100" s="5"/>
      <c r="E100" s="4"/>
      <c r="F100" s="6"/>
      <c r="G100" s="4"/>
      <c r="H100" s="7"/>
      <c r="I100" s="9"/>
      <c r="J100" s="8"/>
    </row>
    <row r="101" spans="1:10" s="2" customFormat="1" ht="15.75" x14ac:dyDescent="0.25">
      <c r="A101" s="3"/>
      <c r="B101" s="3"/>
      <c r="C101" s="7"/>
      <c r="D101" s="5"/>
      <c r="E101" s="4"/>
      <c r="F101" s="6"/>
      <c r="G101" s="4"/>
      <c r="H101" s="7"/>
      <c r="I101" s="9"/>
      <c r="J101" s="8"/>
    </row>
    <row r="102" spans="1:10" s="2" customFormat="1" ht="15.75" x14ac:dyDescent="0.25">
      <c r="A102" s="3"/>
      <c r="B102" s="3"/>
      <c r="C102" s="7"/>
      <c r="D102" s="5"/>
      <c r="E102" s="4"/>
      <c r="F102" s="6"/>
      <c r="G102" s="4"/>
      <c r="H102" s="7"/>
      <c r="I102" s="9"/>
      <c r="J102" s="8"/>
    </row>
    <row r="103" spans="1:10" s="2" customFormat="1" ht="15.75" x14ac:dyDescent="0.25">
      <c r="A103" s="3"/>
      <c r="B103" s="3"/>
      <c r="C103" s="7"/>
      <c r="D103" s="5"/>
      <c r="E103" s="4"/>
      <c r="F103" s="6"/>
      <c r="G103" s="4"/>
      <c r="H103" s="7"/>
      <c r="I103" s="9"/>
      <c r="J103" s="8"/>
    </row>
    <row r="104" spans="1:10" s="2" customFormat="1" ht="15.75" x14ac:dyDescent="0.25">
      <c r="A104" s="3"/>
      <c r="B104" s="3"/>
      <c r="C104" s="7"/>
      <c r="D104" s="5"/>
      <c r="E104" s="4"/>
      <c r="F104" s="6"/>
      <c r="G104" s="4"/>
      <c r="H104" s="7"/>
      <c r="I104" s="9"/>
      <c r="J104" s="8"/>
    </row>
    <row r="105" spans="1:10" s="2" customFormat="1" ht="15.75" x14ac:dyDescent="0.25">
      <c r="A105" s="3"/>
      <c r="B105" s="3"/>
      <c r="C105" s="7"/>
      <c r="D105" s="5"/>
      <c r="E105" s="4"/>
      <c r="F105" s="6"/>
      <c r="G105" s="4"/>
      <c r="H105" s="7"/>
      <c r="I105" s="9"/>
      <c r="J105" s="8"/>
    </row>
    <row r="106" spans="1:10" s="2" customFormat="1" ht="15.75" x14ac:dyDescent="0.25">
      <c r="A106" s="3"/>
      <c r="B106" s="3"/>
      <c r="C106" s="7"/>
      <c r="D106" s="5"/>
      <c r="E106" s="4"/>
      <c r="F106" s="6"/>
      <c r="G106" s="4"/>
      <c r="H106" s="7"/>
      <c r="I106" s="9"/>
      <c r="J106" s="8"/>
    </row>
    <row r="107" spans="1:10" s="2" customFormat="1" ht="15.75" x14ac:dyDescent="0.25">
      <c r="A107" s="3"/>
      <c r="B107" s="3"/>
      <c r="C107" s="7"/>
      <c r="D107" s="5"/>
      <c r="E107" s="4"/>
      <c r="F107" s="6"/>
      <c r="G107" s="4"/>
      <c r="H107" s="7"/>
      <c r="I107" s="9"/>
      <c r="J107" s="8"/>
    </row>
    <row r="108" spans="1:10" s="2" customFormat="1" ht="15.75" x14ac:dyDescent="0.25">
      <c r="A108" s="3"/>
      <c r="B108" s="3"/>
      <c r="C108" s="7"/>
      <c r="D108" s="5"/>
      <c r="E108" s="4"/>
      <c r="F108" s="6"/>
      <c r="G108" s="4"/>
      <c r="H108" s="7"/>
      <c r="I108" s="9"/>
      <c r="J108" s="8"/>
    </row>
    <row r="109" spans="1:10" s="2" customFormat="1" ht="15.75" x14ac:dyDescent="0.25">
      <c r="A109" s="3"/>
      <c r="B109" s="3"/>
      <c r="C109" s="7"/>
      <c r="D109" s="5"/>
      <c r="E109" s="4"/>
      <c r="F109" s="6"/>
      <c r="G109" s="4"/>
      <c r="H109" s="7"/>
      <c r="I109" s="9"/>
      <c r="J109" s="8"/>
    </row>
    <row r="110" spans="1:10" s="2" customFormat="1" ht="15.75" x14ac:dyDescent="0.25">
      <c r="A110" s="3"/>
      <c r="B110" s="3"/>
      <c r="C110" s="7"/>
      <c r="D110" s="5"/>
      <c r="E110" s="4"/>
      <c r="F110" s="6"/>
      <c r="G110" s="4"/>
      <c r="H110" s="7"/>
      <c r="I110" s="9"/>
      <c r="J110" s="8"/>
    </row>
    <row r="111" spans="1:10" s="2" customFormat="1" ht="15.75" x14ac:dyDescent="0.25">
      <c r="A111" s="3"/>
      <c r="B111" s="3"/>
      <c r="C111" s="7"/>
      <c r="D111" s="5"/>
      <c r="E111" s="4"/>
      <c r="F111" s="6"/>
      <c r="G111" s="4"/>
      <c r="H111" s="7"/>
      <c r="I111" s="9"/>
      <c r="J111" s="8"/>
    </row>
    <row r="112" spans="1:10" s="2" customFormat="1" ht="15.75" x14ac:dyDescent="0.25">
      <c r="A112" s="3"/>
      <c r="B112" s="3"/>
      <c r="C112" s="7"/>
      <c r="D112" s="5"/>
      <c r="E112" s="4"/>
      <c r="F112" s="6"/>
      <c r="G112" s="4"/>
      <c r="H112" s="7"/>
      <c r="I112" s="9"/>
      <c r="J112" s="8"/>
    </row>
    <row r="113" spans="1:10" s="2" customFormat="1" ht="15.75" x14ac:dyDescent="0.25">
      <c r="A113" s="3"/>
      <c r="B113" s="3"/>
      <c r="C113" s="7"/>
      <c r="D113" s="5"/>
      <c r="E113" s="4"/>
      <c r="F113" s="6"/>
      <c r="G113" s="4"/>
      <c r="H113" s="7"/>
      <c r="I113" s="9"/>
      <c r="J113" s="8"/>
    </row>
    <row r="114" spans="1:10" s="2" customFormat="1" ht="15.75" x14ac:dyDescent="0.25">
      <c r="A114" s="3"/>
      <c r="B114" s="3"/>
      <c r="C114" s="7"/>
      <c r="D114" s="5"/>
      <c r="E114" s="4"/>
      <c r="F114" s="6"/>
      <c r="G114" s="4"/>
      <c r="H114" s="7"/>
      <c r="I114" s="9"/>
      <c r="J114" s="8"/>
    </row>
    <row r="115" spans="1:10" s="2" customFormat="1" ht="15.75" x14ac:dyDescent="0.25">
      <c r="A115" s="3"/>
      <c r="B115" s="3"/>
      <c r="C115" s="7"/>
      <c r="D115" s="5"/>
      <c r="E115" s="4"/>
      <c r="F115" s="6"/>
      <c r="G115" s="4"/>
      <c r="H115" s="7"/>
      <c r="I115" s="9"/>
      <c r="J115" s="8"/>
    </row>
    <row r="116" spans="1:10" s="2" customFormat="1" ht="15.75" x14ac:dyDescent="0.25">
      <c r="A116" s="3"/>
      <c r="B116" s="3"/>
      <c r="C116" s="7"/>
      <c r="D116" s="5"/>
      <c r="E116" s="4"/>
      <c r="F116" s="6"/>
      <c r="G116" s="4"/>
      <c r="H116" s="7"/>
      <c r="I116" s="9"/>
      <c r="J116" s="8"/>
    </row>
    <row r="117" spans="1:10" s="2" customFormat="1" ht="15.75" x14ac:dyDescent="0.25">
      <c r="A117" s="3"/>
      <c r="B117" s="3"/>
      <c r="C117" s="7"/>
      <c r="D117" s="5"/>
      <c r="E117" s="4"/>
      <c r="F117" s="6"/>
      <c r="G117" s="4"/>
      <c r="H117" s="7"/>
      <c r="I117" s="9"/>
      <c r="J117" s="8"/>
    </row>
    <row r="118" spans="1:10" s="2" customFormat="1" ht="15.75" x14ac:dyDescent="0.25">
      <c r="A118" s="3"/>
      <c r="B118" s="3"/>
      <c r="C118" s="7"/>
      <c r="D118" s="5"/>
      <c r="E118" s="4"/>
      <c r="F118" s="6"/>
      <c r="G118" s="4"/>
      <c r="H118" s="7"/>
      <c r="I118" s="9"/>
      <c r="J118" s="8"/>
    </row>
    <row r="119" spans="1:10" s="2" customFormat="1" ht="15.75" x14ac:dyDescent="0.25">
      <c r="A119" s="3"/>
      <c r="B119" s="3"/>
      <c r="C119" s="7"/>
      <c r="D119" s="5"/>
      <c r="E119" s="4"/>
      <c r="F119" s="6"/>
      <c r="G119" s="4"/>
      <c r="H119" s="7"/>
      <c r="I119" s="9"/>
      <c r="J119" s="8"/>
    </row>
    <row r="120" spans="1:10" s="2" customFormat="1" ht="15.75" x14ac:dyDescent="0.25">
      <c r="A120" s="3"/>
      <c r="B120" s="3"/>
      <c r="C120" s="7"/>
      <c r="D120" s="5"/>
      <c r="E120" s="4"/>
      <c r="F120" s="6"/>
      <c r="G120" s="4"/>
      <c r="H120" s="7"/>
      <c r="I120" s="9"/>
      <c r="J120" s="8"/>
    </row>
    <row r="121" spans="1:10" s="2" customFormat="1" ht="15.75" x14ac:dyDescent="0.25">
      <c r="A121" s="3"/>
      <c r="B121" s="3"/>
      <c r="C121" s="7"/>
      <c r="D121" s="5"/>
      <c r="E121" s="4"/>
      <c r="F121" s="6"/>
      <c r="G121" s="4"/>
      <c r="H121" s="7"/>
      <c r="I121" s="9"/>
      <c r="J121" s="8"/>
    </row>
    <row r="122" spans="1:10" s="2" customFormat="1" ht="15.75" x14ac:dyDescent="0.25">
      <c r="A122" s="3"/>
      <c r="B122" s="3"/>
      <c r="C122" s="7"/>
      <c r="D122" s="5"/>
      <c r="E122" s="4"/>
      <c r="F122" s="6"/>
      <c r="G122" s="4"/>
      <c r="H122" s="7"/>
      <c r="I122" s="9"/>
      <c r="J122" s="8"/>
    </row>
    <row r="123" spans="1:10" s="2" customFormat="1" ht="15.75" x14ac:dyDescent="0.25">
      <c r="A123" s="3"/>
      <c r="B123" s="3"/>
      <c r="C123" s="7"/>
      <c r="D123" s="5"/>
      <c r="E123" s="4"/>
      <c r="F123" s="6"/>
      <c r="G123" s="4"/>
      <c r="H123" s="7"/>
      <c r="I123" s="9"/>
      <c r="J123" s="8"/>
    </row>
    <row r="124" spans="1:10" s="2" customFormat="1" ht="15.75" x14ac:dyDescent="0.25">
      <c r="A124" s="3"/>
      <c r="B124" s="3"/>
      <c r="C124" s="7"/>
      <c r="D124" s="5"/>
      <c r="E124" s="4"/>
      <c r="F124" s="6"/>
      <c r="G124" s="4"/>
      <c r="H124" s="7"/>
      <c r="I124" s="9"/>
      <c r="J124" s="8"/>
    </row>
    <row r="125" spans="1:10" s="2" customFormat="1" ht="15.75" x14ac:dyDescent="0.25">
      <c r="A125" s="3"/>
      <c r="B125" s="3"/>
      <c r="C125" s="7"/>
      <c r="D125" s="5"/>
      <c r="E125" s="4"/>
      <c r="F125" s="6"/>
      <c r="G125" s="4"/>
      <c r="H125" s="7"/>
      <c r="I125" s="9"/>
      <c r="J125" s="8"/>
    </row>
    <row r="126" spans="1:10" s="2" customFormat="1" ht="15.75" x14ac:dyDescent="0.25">
      <c r="A126" s="3"/>
      <c r="B126" s="3"/>
      <c r="C126" s="7"/>
      <c r="D126" s="5"/>
      <c r="E126" s="4"/>
      <c r="F126" s="6"/>
      <c r="G126" s="4"/>
      <c r="H126" s="7"/>
      <c r="I126" s="9"/>
      <c r="J126" s="8"/>
    </row>
    <row r="127" spans="1:10" s="2" customFormat="1" ht="15.75" x14ac:dyDescent="0.25">
      <c r="A127" s="3"/>
      <c r="B127" s="3"/>
      <c r="C127" s="7"/>
      <c r="D127" s="5"/>
      <c r="E127" s="4"/>
      <c r="F127" s="6"/>
      <c r="G127" s="4"/>
      <c r="H127" s="7"/>
      <c r="I127" s="9"/>
      <c r="J127" s="8"/>
    </row>
    <row r="128" spans="1:10" s="2" customFormat="1" ht="15.75" x14ac:dyDescent="0.25">
      <c r="A128" s="3"/>
      <c r="B128" s="3"/>
      <c r="C128" s="7"/>
      <c r="D128" s="5"/>
      <c r="E128" s="4"/>
      <c r="F128" s="6"/>
      <c r="G128" s="4"/>
      <c r="H128" s="7"/>
      <c r="I128" s="9"/>
      <c r="J128" s="8"/>
    </row>
    <row r="129" spans="1:10" s="2" customFormat="1" ht="15.75" x14ac:dyDescent="0.25">
      <c r="A129" s="3"/>
      <c r="B129" s="3"/>
      <c r="C129" s="7"/>
      <c r="D129" s="5"/>
      <c r="E129" s="4"/>
      <c r="F129" s="6"/>
      <c r="G129" s="4"/>
      <c r="H129" s="7"/>
      <c r="I129" s="9"/>
      <c r="J129" s="8"/>
    </row>
    <row r="130" spans="1:10" s="2" customFormat="1" ht="15.75" x14ac:dyDescent="0.25">
      <c r="A130" s="3"/>
      <c r="B130" s="3"/>
      <c r="C130" s="7"/>
      <c r="D130" s="5"/>
      <c r="E130" s="4"/>
      <c r="F130" s="6"/>
      <c r="G130" s="4"/>
      <c r="H130" s="7"/>
      <c r="I130" s="9"/>
      <c r="J130" s="8"/>
    </row>
    <row r="131" spans="1:10" s="2" customFormat="1" ht="15.75" x14ac:dyDescent="0.25">
      <c r="A131" s="3"/>
      <c r="B131" s="3"/>
      <c r="C131" s="7"/>
      <c r="D131" s="5"/>
      <c r="E131" s="4"/>
      <c r="F131" s="6"/>
      <c r="G131" s="4"/>
      <c r="H131" s="7"/>
      <c r="I131" s="9"/>
      <c r="J131" s="8"/>
    </row>
    <row r="132" spans="1:10" s="2" customFormat="1" ht="15.75" x14ac:dyDescent="0.25">
      <c r="A132" s="3"/>
      <c r="B132" s="3"/>
      <c r="C132" s="7"/>
      <c r="D132" s="5"/>
      <c r="E132" s="4"/>
      <c r="F132" s="6"/>
      <c r="G132" s="4"/>
      <c r="H132" s="7"/>
      <c r="I132" s="9"/>
      <c r="J132" s="8"/>
    </row>
    <row r="133" spans="1:10" s="2" customFormat="1" ht="15.75" x14ac:dyDescent="0.25">
      <c r="A133" s="3"/>
      <c r="B133" s="3"/>
      <c r="C133" s="7"/>
      <c r="D133" s="5"/>
      <c r="E133" s="4"/>
      <c r="F133" s="6"/>
      <c r="G133" s="4"/>
      <c r="H133" s="7"/>
      <c r="I133" s="9"/>
      <c r="J133" s="8"/>
    </row>
    <row r="134" spans="1:10" s="2" customFormat="1" ht="15.75" x14ac:dyDescent="0.25">
      <c r="A134" s="3"/>
      <c r="B134" s="3"/>
      <c r="C134" s="7"/>
      <c r="D134" s="5"/>
      <c r="E134" s="4"/>
      <c r="F134" s="6"/>
      <c r="G134" s="4"/>
      <c r="H134" s="7"/>
      <c r="I134" s="9"/>
      <c r="J134" s="8"/>
    </row>
    <row r="135" spans="1:10" s="2" customFormat="1" ht="15.75" x14ac:dyDescent="0.25">
      <c r="A135" s="3"/>
      <c r="B135" s="3"/>
      <c r="C135" s="7"/>
      <c r="D135" s="5"/>
      <c r="E135" s="4"/>
      <c r="F135" s="6"/>
      <c r="G135" s="4"/>
      <c r="H135" s="7"/>
      <c r="I135" s="9"/>
      <c r="J135" s="8"/>
    </row>
    <row r="136" spans="1:10" s="2" customFormat="1" ht="15.75" x14ac:dyDescent="0.25">
      <c r="A136" s="3"/>
      <c r="B136" s="3"/>
      <c r="C136" s="7"/>
      <c r="D136" s="5"/>
      <c r="E136" s="4"/>
      <c r="F136" s="6"/>
      <c r="G136" s="4"/>
      <c r="H136" s="7"/>
      <c r="I136" s="9"/>
      <c r="J136" s="8"/>
    </row>
    <row r="137" spans="1:10" s="2" customFormat="1" ht="15.75" x14ac:dyDescent="0.25">
      <c r="A137" s="3"/>
      <c r="B137" s="3"/>
      <c r="C137" s="7"/>
      <c r="D137" s="5"/>
      <c r="E137" s="4"/>
      <c r="F137" s="6"/>
      <c r="G137" s="4"/>
      <c r="H137" s="7"/>
      <c r="I137" s="9"/>
      <c r="J137" s="8"/>
    </row>
    <row r="138" spans="1:10" s="2" customFormat="1" ht="15.75" x14ac:dyDescent="0.25">
      <c r="A138" s="3"/>
      <c r="B138" s="3"/>
      <c r="C138" s="7"/>
      <c r="D138" s="5"/>
      <c r="E138" s="4"/>
      <c r="F138" s="6"/>
      <c r="G138" s="4"/>
      <c r="H138" s="7"/>
      <c r="I138" s="9"/>
      <c r="J138" s="8"/>
    </row>
    <row r="139" spans="1:10" s="2" customFormat="1" ht="15.75" x14ac:dyDescent="0.25">
      <c r="A139" s="3"/>
      <c r="B139" s="3"/>
      <c r="C139" s="7"/>
      <c r="D139" s="5"/>
      <c r="E139" s="4"/>
      <c r="F139" s="6"/>
      <c r="G139" s="4"/>
      <c r="H139" s="7"/>
      <c r="I139" s="9"/>
      <c r="J139" s="8"/>
    </row>
    <row r="140" spans="1:10" s="2" customFormat="1" ht="15.75" x14ac:dyDescent="0.25">
      <c r="A140" s="3"/>
      <c r="B140" s="3"/>
      <c r="C140" s="7"/>
      <c r="D140" s="5"/>
      <c r="E140" s="4"/>
      <c r="F140" s="6"/>
      <c r="G140" s="4"/>
      <c r="H140" s="7"/>
      <c r="I140" s="9"/>
      <c r="J140" s="8"/>
    </row>
    <row r="141" spans="1:10" s="2" customFormat="1" ht="15.75" x14ac:dyDescent="0.25">
      <c r="A141" s="3"/>
      <c r="B141" s="3"/>
      <c r="C141" s="7"/>
      <c r="D141" s="5"/>
      <c r="E141" s="4"/>
      <c r="F141" s="6"/>
      <c r="G141" s="4"/>
      <c r="H141" s="7"/>
      <c r="I141" s="9"/>
      <c r="J141" s="8"/>
    </row>
    <row r="142" spans="1:10" s="2" customFormat="1" ht="15.75" x14ac:dyDescent="0.25">
      <c r="A142" s="3"/>
      <c r="B142" s="3"/>
      <c r="C142" s="7"/>
      <c r="D142" s="5"/>
      <c r="E142" s="4"/>
      <c r="F142" s="6"/>
      <c r="G142" s="4"/>
      <c r="H142" s="7"/>
      <c r="I142" s="9"/>
      <c r="J142" s="8"/>
    </row>
    <row r="143" spans="1:10" s="2" customFormat="1" ht="15.75" x14ac:dyDescent="0.25">
      <c r="A143" s="3"/>
      <c r="B143" s="3"/>
      <c r="C143" s="7"/>
      <c r="D143" s="5"/>
      <c r="E143" s="4"/>
      <c r="F143" s="6"/>
      <c r="G143" s="4"/>
      <c r="H143" s="7"/>
      <c r="I143" s="9"/>
      <c r="J143" s="8"/>
    </row>
    <row r="144" spans="1:10" s="2" customFormat="1" ht="15.75" x14ac:dyDescent="0.25">
      <c r="A144" s="3"/>
      <c r="B144" s="3"/>
      <c r="C144" s="7"/>
      <c r="D144" s="5"/>
      <c r="E144" s="4"/>
      <c r="F144" s="6"/>
      <c r="G144" s="4"/>
      <c r="H144" s="7"/>
      <c r="I144" s="9"/>
      <c r="J144" s="8"/>
    </row>
    <row r="145" spans="1:10" s="2" customFormat="1" ht="15.75" x14ac:dyDescent="0.25">
      <c r="A145" s="3"/>
      <c r="B145" s="3"/>
      <c r="C145" s="7"/>
      <c r="D145" s="5"/>
      <c r="E145" s="4"/>
      <c r="F145" s="6"/>
      <c r="G145" s="4"/>
      <c r="H145" s="7"/>
      <c r="I145" s="9"/>
      <c r="J145" s="8"/>
    </row>
    <row r="146" spans="1:10" s="2" customFormat="1" ht="15.75" x14ac:dyDescent="0.25">
      <c r="A146" s="3"/>
      <c r="B146" s="3"/>
      <c r="C146" s="7"/>
      <c r="D146" s="5"/>
      <c r="E146" s="4"/>
      <c r="F146" s="6"/>
      <c r="G146" s="4"/>
      <c r="H146" s="7"/>
      <c r="I146" s="9"/>
      <c r="J146" s="8"/>
    </row>
    <row r="147" spans="1:10" s="2" customFormat="1" ht="15.75" x14ac:dyDescent="0.25">
      <c r="A147" s="3"/>
      <c r="B147" s="3"/>
      <c r="C147" s="7"/>
      <c r="D147" s="5"/>
      <c r="E147" s="4"/>
      <c r="F147" s="6"/>
      <c r="G147" s="4"/>
      <c r="H147" s="7"/>
      <c r="I147" s="9"/>
      <c r="J147" s="8"/>
    </row>
    <row r="148" spans="1:10" s="2" customFormat="1" ht="15.75" x14ac:dyDescent="0.25">
      <c r="A148" s="3"/>
      <c r="B148" s="3"/>
      <c r="C148" s="7"/>
      <c r="D148" s="5"/>
      <c r="E148" s="4"/>
      <c r="F148" s="6"/>
      <c r="G148" s="4"/>
      <c r="H148" s="7"/>
      <c r="I148" s="9"/>
      <c r="J148" s="8"/>
    </row>
  </sheetData>
  <mergeCells count="17">
    <mergeCell ref="A5:J5"/>
    <mergeCell ref="A1:J3"/>
    <mergeCell ref="A8:J8"/>
    <mergeCell ref="A11:J11"/>
    <mergeCell ref="A14:J14"/>
    <mergeCell ref="A17:J17"/>
    <mergeCell ref="A20:J20"/>
    <mergeCell ref="A23:J23"/>
    <mergeCell ref="A41:J41"/>
    <mergeCell ref="A44:J44"/>
    <mergeCell ref="A47:J47"/>
    <mergeCell ref="A50:J50"/>
    <mergeCell ref="A26:J26"/>
    <mergeCell ref="A29:J29"/>
    <mergeCell ref="A32:J32"/>
    <mergeCell ref="A35:J35"/>
    <mergeCell ref="A38:J38"/>
  </mergeCells>
  <pageMargins left="0.7" right="0.7" top="1.0520833333333333" bottom="0.75" header="0.3" footer="0.3"/>
  <pageSetup fitToHeight="0" orientation="landscape" r:id="rId1"/>
  <headerFooter>
    <oddHeader>&amp;L&amp;G&amp;C(ENTER PROJECT NAME)&amp;R&amp;D</oddHeader>
    <oddFooter>&amp;C&amp;P OF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21D8A-026D-4DFC-A8EF-79580AA8444E}">
  <sheetPr>
    <pageSetUpPr fitToPage="1"/>
  </sheetPr>
  <dimension ref="A1:M38"/>
  <sheetViews>
    <sheetView view="pageBreakPreview" zoomScaleNormal="70" zoomScaleSheetLayoutView="100" zoomScalePageLayoutView="80" workbookViewId="0">
      <selection activeCell="C23" sqref="C23:C27"/>
    </sheetView>
  </sheetViews>
  <sheetFormatPr defaultColWidth="9.140625" defaultRowHeight="15.75" x14ac:dyDescent="0.25"/>
  <cols>
    <col min="1" max="1" width="6.5703125" style="40" bestFit="1" customWidth="1"/>
    <col min="2" max="2" width="65.7109375" style="35" customWidth="1"/>
    <col min="3" max="3" width="14.42578125" style="47" customWidth="1"/>
    <col min="4" max="4" width="22.28515625" style="28" customWidth="1"/>
    <col min="5" max="5" width="15.7109375" style="35" customWidth="1"/>
    <col min="6" max="6" width="22.5703125" style="28" customWidth="1"/>
    <col min="7" max="8" width="9.140625" style="28"/>
    <col min="9" max="16384" width="9.140625" style="35"/>
  </cols>
  <sheetData>
    <row r="1" spans="1:4" ht="16.5" customHeight="1" x14ac:dyDescent="0.25">
      <c r="A1" s="1004" t="s">
        <v>14</v>
      </c>
      <c r="B1" s="1004"/>
      <c r="C1" s="20" t="s">
        <v>15</v>
      </c>
      <c r="D1" s="20"/>
    </row>
    <row r="2" spans="1:4" x14ac:dyDescent="0.25">
      <c r="A2" s="1005" t="s">
        <v>16</v>
      </c>
      <c r="B2" s="1005"/>
      <c r="C2" s="20" t="s">
        <v>17</v>
      </c>
      <c r="D2" s="20"/>
    </row>
    <row r="3" spans="1:4" ht="16.5" customHeight="1" x14ac:dyDescent="0.25">
      <c r="A3" s="1005"/>
      <c r="B3" s="1005"/>
      <c r="C3" s="20" t="s">
        <v>18</v>
      </c>
      <c r="D3" s="20"/>
    </row>
    <row r="4" spans="1:4" ht="16.5" customHeight="1" x14ac:dyDescent="0.25">
      <c r="A4" s="1005"/>
      <c r="B4" s="1005"/>
      <c r="C4" s="22" t="s">
        <v>19</v>
      </c>
      <c r="D4" s="22"/>
    </row>
    <row r="5" spans="1:4" x14ac:dyDescent="0.25">
      <c r="A5" s="23"/>
      <c r="B5" s="57" t="s">
        <v>20</v>
      </c>
      <c r="C5" s="24"/>
      <c r="D5" s="24"/>
    </row>
    <row r="6" spans="1:4" ht="15" customHeight="1" x14ac:dyDescent="0.25">
      <c r="A6" s="25">
        <v>1</v>
      </c>
      <c r="B6" s="26" t="s">
        <v>21</v>
      </c>
    </row>
    <row r="7" spans="1:4" ht="15" customHeight="1" x14ac:dyDescent="0.25">
      <c r="A7" s="30">
        <f t="shared" ref="A7:A17" si="0">A6+1</f>
        <v>2</v>
      </c>
      <c r="B7" s="31" t="s">
        <v>22</v>
      </c>
    </row>
    <row r="8" spans="1:4" ht="15" customHeight="1" x14ac:dyDescent="0.25">
      <c r="A8" s="30">
        <f t="shared" si="0"/>
        <v>3</v>
      </c>
      <c r="B8" s="31" t="s">
        <v>23</v>
      </c>
    </row>
    <row r="9" spans="1:4" ht="15" customHeight="1" x14ac:dyDescent="0.25">
      <c r="A9" s="30">
        <f t="shared" si="0"/>
        <v>4</v>
      </c>
      <c r="B9" s="31" t="s">
        <v>24</v>
      </c>
    </row>
    <row r="10" spans="1:4" ht="15" customHeight="1" x14ac:dyDescent="0.25">
      <c r="A10" s="30">
        <f t="shared" si="0"/>
        <v>5</v>
      </c>
      <c r="B10" s="31" t="s">
        <v>25</v>
      </c>
    </row>
    <row r="11" spans="1:4" ht="15" customHeight="1" x14ac:dyDescent="0.25">
      <c r="A11" s="30">
        <f t="shared" si="0"/>
        <v>6</v>
      </c>
      <c r="B11" s="31" t="s">
        <v>26</v>
      </c>
    </row>
    <row r="12" spans="1:4" ht="15" customHeight="1" x14ac:dyDescent="0.25">
      <c r="A12" s="30">
        <f t="shared" si="0"/>
        <v>7</v>
      </c>
      <c r="B12" s="31" t="s">
        <v>27</v>
      </c>
    </row>
    <row r="13" spans="1:4" ht="15" customHeight="1" x14ac:dyDescent="0.25">
      <c r="A13" s="30">
        <f t="shared" si="0"/>
        <v>8</v>
      </c>
      <c r="B13" s="31" t="s">
        <v>28</v>
      </c>
    </row>
    <row r="14" spans="1:4" ht="15" customHeight="1" x14ac:dyDescent="0.25">
      <c r="A14" s="30">
        <f t="shared" si="0"/>
        <v>9</v>
      </c>
      <c r="B14" s="31" t="s">
        <v>29</v>
      </c>
    </row>
    <row r="15" spans="1:4" ht="15" customHeight="1" x14ac:dyDescent="0.25">
      <c r="A15" s="30">
        <f t="shared" si="0"/>
        <v>10</v>
      </c>
      <c r="B15" s="31" t="s">
        <v>30</v>
      </c>
    </row>
    <row r="16" spans="1:4" x14ac:dyDescent="0.25">
      <c r="A16" s="30">
        <f t="shared" si="0"/>
        <v>11</v>
      </c>
      <c r="B16" s="32"/>
      <c r="C16" s="48"/>
      <c r="D16" s="27"/>
    </row>
    <row r="17" spans="1:13" ht="15" customHeight="1" x14ac:dyDescent="0.25">
      <c r="A17" s="30">
        <f t="shared" si="0"/>
        <v>12</v>
      </c>
      <c r="B17" s="33"/>
      <c r="C17" s="49"/>
      <c r="D17" s="34"/>
    </row>
    <row r="18" spans="1:13" ht="15" customHeight="1" x14ac:dyDescent="0.25">
      <c r="A18" s="44"/>
      <c r="B18" s="55"/>
      <c r="C18" s="50"/>
      <c r="D18" s="38"/>
    </row>
    <row r="19" spans="1:13" ht="15" customHeight="1" x14ac:dyDescent="0.25">
      <c r="A19" s="30">
        <v>13</v>
      </c>
      <c r="B19" s="56" t="s">
        <v>31</v>
      </c>
      <c r="C19" s="49"/>
      <c r="D19" s="34"/>
    </row>
    <row r="20" spans="1:13" ht="15" customHeight="1" x14ac:dyDescent="0.25">
      <c r="A20" s="30"/>
      <c r="B20" s="54"/>
      <c r="D20" s="37"/>
    </row>
    <row r="21" spans="1:13" ht="15" customHeight="1" x14ac:dyDescent="0.25">
      <c r="A21" s="30"/>
      <c r="B21" s="58"/>
      <c r="D21" s="37"/>
    </row>
    <row r="22" spans="1:13" ht="15" customHeight="1" x14ac:dyDescent="0.25">
      <c r="A22" s="30"/>
      <c r="B22" s="54"/>
      <c r="D22" s="37"/>
    </row>
    <row r="23" spans="1:13" ht="15" customHeight="1" x14ac:dyDescent="0.25">
      <c r="A23" s="30"/>
      <c r="B23" s="33" t="s">
        <v>32</v>
      </c>
      <c r="C23" s="49" t="s">
        <v>33</v>
      </c>
      <c r="D23" s="37"/>
    </row>
    <row r="24" spans="1:13" ht="15" customHeight="1" x14ac:dyDescent="0.25">
      <c r="A24" s="30"/>
      <c r="B24" s="33" t="s">
        <v>34</v>
      </c>
      <c r="C24" s="52" t="s">
        <v>35</v>
      </c>
      <c r="E24" s="28"/>
      <c r="I24" s="49"/>
      <c r="J24" s="49"/>
      <c r="K24" s="49"/>
      <c r="L24" s="49"/>
      <c r="M24" s="49"/>
    </row>
    <row r="25" spans="1:13" ht="15" customHeight="1" x14ac:dyDescent="0.25">
      <c r="A25" s="30"/>
      <c r="B25" s="33" t="s">
        <v>36</v>
      </c>
      <c r="C25" s="60" t="s">
        <v>37</v>
      </c>
      <c r="D25" s="37"/>
    </row>
    <row r="26" spans="1:13" ht="15" customHeight="1" x14ac:dyDescent="0.25">
      <c r="A26" s="30"/>
      <c r="B26" s="33" t="s">
        <v>38</v>
      </c>
      <c r="C26" s="51" t="s">
        <v>39</v>
      </c>
      <c r="D26" s="37"/>
    </row>
    <row r="27" spans="1:13" ht="15" customHeight="1" x14ac:dyDescent="0.25">
      <c r="A27" s="30"/>
      <c r="B27" s="33" t="s">
        <v>40</v>
      </c>
      <c r="C27" s="73" t="s">
        <v>41</v>
      </c>
      <c r="D27" s="37"/>
    </row>
    <row r="28" spans="1:13" ht="15" customHeight="1" x14ac:dyDescent="0.25">
      <c r="A28" s="30"/>
      <c r="B28" s="36"/>
      <c r="C28" s="49"/>
      <c r="D28" s="37"/>
    </row>
    <row r="29" spans="1:13" ht="15" customHeight="1" x14ac:dyDescent="0.25">
      <c r="A29" s="44"/>
      <c r="B29" s="44" t="s">
        <v>42</v>
      </c>
      <c r="C29" s="53">
        <f>SUM(C19:C27)</f>
        <v>0</v>
      </c>
      <c r="D29" s="39"/>
    </row>
    <row r="30" spans="1:13" s="28" customFormat="1" ht="15" customHeight="1" x14ac:dyDescent="0.25">
      <c r="A30" s="40"/>
      <c r="B30" s="41"/>
      <c r="C30" s="42"/>
    </row>
    <row r="31" spans="1:13" x14ac:dyDescent="0.25">
      <c r="B31" s="43"/>
    </row>
    <row r="32" spans="1:13" s="28" customFormat="1" ht="13.5" customHeight="1" x14ac:dyDescent="0.25">
      <c r="A32" s="40"/>
      <c r="B32" s="55" t="s">
        <v>43</v>
      </c>
      <c r="C32" s="59">
        <f>SUM(C30:C31)</f>
        <v>0</v>
      </c>
    </row>
    <row r="33" spans="1:4" ht="15" customHeight="1" x14ac:dyDescent="0.25">
      <c r="A33" s="30"/>
      <c r="B33" s="33"/>
      <c r="C33" s="49"/>
      <c r="D33" s="37"/>
    </row>
    <row r="34" spans="1:4" ht="15" customHeight="1" x14ac:dyDescent="0.25">
      <c r="A34" s="44"/>
      <c r="B34" s="44" t="s">
        <v>42</v>
      </c>
      <c r="C34" s="53">
        <f>C29+C32</f>
        <v>0</v>
      </c>
      <c r="D34" s="37"/>
    </row>
    <row r="35" spans="1:4" ht="15" customHeight="1" x14ac:dyDescent="0.25">
      <c r="A35" s="30"/>
      <c r="B35" s="36" t="s">
        <v>44</v>
      </c>
      <c r="C35" s="49"/>
      <c r="D35" s="37"/>
    </row>
    <row r="36" spans="1:4" x14ac:dyDescent="0.25">
      <c r="B36" s="43" t="s">
        <v>45</v>
      </c>
    </row>
    <row r="37" spans="1:4" ht="15" customHeight="1" x14ac:dyDescent="0.25">
      <c r="A37" s="30"/>
      <c r="B37" s="36" t="s">
        <v>44</v>
      </c>
      <c r="C37" s="49"/>
      <c r="D37" s="37"/>
    </row>
    <row r="38" spans="1:4" x14ac:dyDescent="0.25">
      <c r="B38" s="41" t="s">
        <v>46</v>
      </c>
    </row>
  </sheetData>
  <mergeCells count="2">
    <mergeCell ref="A1:B1"/>
    <mergeCell ref="A2:B4"/>
  </mergeCells>
  <printOptions horizontalCentered="1"/>
  <pageMargins left="0.45" right="0.2" top="1.45" bottom="0.5" header="0.4" footer="0.05"/>
  <pageSetup fitToHeight="0" orientation="portrait" r:id="rId1"/>
  <headerFooter>
    <oddHeader>&amp;L&amp;G&amp;C12409 Hautree Ct. 
Mastroianni Residence
Scope Matrix&amp;R&amp;D</oddHeader>
    <oddFooter>&amp;C&amp;P</oddFooter>
  </headerFooter>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FE34B-24B4-44CE-AE8A-2757D38CF37C}">
  <dimension ref="A1:L307"/>
  <sheetViews>
    <sheetView view="pageBreakPreview" zoomScale="93" zoomScaleNormal="85" zoomScaleSheetLayoutView="93" zoomScalePageLayoutView="60" workbookViewId="0">
      <selection activeCell="H15" sqref="H15"/>
    </sheetView>
  </sheetViews>
  <sheetFormatPr defaultColWidth="9.140625" defaultRowHeight="15" x14ac:dyDescent="0.25"/>
  <cols>
    <col min="1" max="1" width="3.28515625" style="45" bestFit="1" customWidth="1"/>
    <col min="2" max="2" width="16.28515625" style="45" bestFit="1" customWidth="1"/>
    <col min="3" max="3" width="26.140625" style="74" bestFit="1" customWidth="1"/>
    <col min="4" max="4" width="21.85546875" style="74" bestFit="1" customWidth="1"/>
    <col min="5" max="5" width="17.7109375" style="74" customWidth="1"/>
    <col min="6" max="6" width="13.28515625" style="74" customWidth="1"/>
    <col min="7" max="7" width="24.7109375" style="74" bestFit="1" customWidth="1"/>
    <col min="8" max="8" width="54.140625" style="45" bestFit="1" customWidth="1"/>
    <col min="9" max="9" width="60.42578125" style="74" customWidth="1"/>
    <col min="10" max="10" width="41.42578125" style="74" customWidth="1"/>
    <col min="11" max="11" width="45.5703125" style="74" customWidth="1"/>
    <col min="12" max="16384" width="9.140625" style="45"/>
  </cols>
  <sheetData>
    <row r="1" spans="1:12" x14ac:dyDescent="0.25">
      <c r="A1" s="994" t="s">
        <v>47</v>
      </c>
      <c r="B1" s="995"/>
      <c r="C1" s="995"/>
      <c r="D1" s="995"/>
      <c r="E1" s="995"/>
      <c r="F1" s="995"/>
      <c r="G1" s="995"/>
      <c r="H1" s="995"/>
      <c r="I1" s="995"/>
      <c r="J1" s="995"/>
      <c r="K1" s="1009"/>
    </row>
    <row r="2" spans="1:12" x14ac:dyDescent="0.25">
      <c r="A2" s="994"/>
      <c r="B2" s="995"/>
      <c r="C2" s="995"/>
      <c r="D2" s="995"/>
      <c r="E2" s="995"/>
      <c r="F2" s="995"/>
      <c r="G2" s="995"/>
      <c r="H2" s="995"/>
      <c r="I2" s="995"/>
      <c r="J2" s="995"/>
      <c r="K2" s="1009"/>
    </row>
    <row r="3" spans="1:12" ht="15.75" thickBot="1" x14ac:dyDescent="0.3">
      <c r="A3" s="996"/>
      <c r="B3" s="997"/>
      <c r="C3" s="997"/>
      <c r="D3" s="997"/>
      <c r="E3" s="997"/>
      <c r="F3" s="997"/>
      <c r="G3" s="997"/>
      <c r="H3" s="997"/>
      <c r="I3" s="997"/>
      <c r="J3" s="997"/>
      <c r="K3" s="1010"/>
    </row>
    <row r="4" spans="1:12" ht="15.75" thickBot="1" x14ac:dyDescent="0.3">
      <c r="A4" s="1006" t="s">
        <v>48</v>
      </c>
      <c r="B4" s="1007"/>
      <c r="C4" s="1007"/>
      <c r="D4" s="1007"/>
      <c r="E4" s="1007"/>
      <c r="F4" s="1007"/>
      <c r="G4" s="1007"/>
      <c r="H4" s="1007"/>
      <c r="I4" s="1007"/>
      <c r="J4" s="1007"/>
      <c r="K4" s="1008"/>
      <c r="L4" s="46"/>
    </row>
    <row r="5" spans="1:12" x14ac:dyDescent="0.25">
      <c r="A5" s="72" t="s">
        <v>2</v>
      </c>
      <c r="B5" s="72" t="s">
        <v>49</v>
      </c>
      <c r="C5" s="75" t="s">
        <v>50</v>
      </c>
      <c r="D5" s="75" t="s">
        <v>51</v>
      </c>
      <c r="E5" s="75" t="s">
        <v>52</v>
      </c>
      <c r="F5" s="75" t="s">
        <v>53</v>
      </c>
      <c r="G5" s="75" t="s">
        <v>54</v>
      </c>
      <c r="H5" s="72" t="s">
        <v>55</v>
      </c>
      <c r="I5" s="75" t="s">
        <v>56</v>
      </c>
      <c r="J5" s="75" t="s">
        <v>57</v>
      </c>
      <c r="K5" s="75" t="s">
        <v>58</v>
      </c>
    </row>
    <row r="6" spans="1:12" s="977" customFormat="1" ht="15.75" x14ac:dyDescent="0.25">
      <c r="A6" s="852"/>
      <c r="B6" s="852"/>
      <c r="C6" s="852"/>
      <c r="D6" s="852"/>
      <c r="E6" s="852"/>
      <c r="F6" s="852"/>
      <c r="G6" s="852"/>
      <c r="H6" s="852"/>
      <c r="I6" s="853"/>
      <c r="J6" s="852"/>
      <c r="K6" s="854"/>
    </row>
    <row r="7" spans="1:12" s="977" customFormat="1" ht="15.75" x14ac:dyDescent="0.25">
      <c r="A7" s="987"/>
      <c r="B7" s="852"/>
      <c r="C7" s="424"/>
      <c r="D7" s="424"/>
      <c r="E7" s="424"/>
      <c r="F7" s="424"/>
      <c r="G7" s="852"/>
      <c r="H7" s="855"/>
      <c r="I7" s="856"/>
      <c r="J7" s="852"/>
      <c r="K7" s="854"/>
    </row>
    <row r="8" spans="1:12" s="977" customFormat="1" ht="15.75" x14ac:dyDescent="0.25">
      <c r="A8" s="987"/>
      <c r="B8" s="852"/>
      <c r="C8" s="424"/>
      <c r="D8" s="424"/>
      <c r="E8" s="424"/>
      <c r="F8" s="424"/>
      <c r="G8" s="852"/>
      <c r="H8" s="855"/>
      <c r="I8" s="856"/>
      <c r="J8" s="852"/>
      <c r="K8" s="854"/>
    </row>
    <row r="9" spans="1:12" s="977" customFormat="1" ht="15.75" x14ac:dyDescent="0.25">
      <c r="A9" s="987"/>
      <c r="B9" s="852"/>
      <c r="C9" s="424"/>
      <c r="D9" s="424"/>
      <c r="E9" s="424"/>
      <c r="F9" s="424"/>
      <c r="G9" s="852"/>
      <c r="H9" s="855"/>
      <c r="I9" s="856"/>
      <c r="J9" s="852"/>
      <c r="K9" s="854"/>
    </row>
    <row r="10" spans="1:12" s="977" customFormat="1" ht="15.75" x14ac:dyDescent="0.25">
      <c r="A10" s="852"/>
      <c r="B10" s="852"/>
      <c r="C10" s="852"/>
      <c r="D10" s="852"/>
      <c r="E10" s="852"/>
      <c r="F10" s="852"/>
      <c r="G10" s="852"/>
      <c r="H10" s="852"/>
      <c r="I10" s="853"/>
      <c r="J10" s="852"/>
      <c r="K10" s="854"/>
    </row>
    <row r="11" spans="1:12" s="977" customFormat="1" ht="15.75" x14ac:dyDescent="0.25">
      <c r="A11" s="857"/>
      <c r="B11" s="857"/>
      <c r="C11" s="858"/>
      <c r="D11" s="858"/>
      <c r="E11" s="859"/>
      <c r="F11" s="859"/>
      <c r="G11" s="859"/>
      <c r="H11" s="855"/>
      <c r="I11" s="856"/>
      <c r="J11" s="859"/>
      <c r="K11" s="860"/>
    </row>
    <row r="12" spans="1:12" s="977" customFormat="1" ht="15.75" x14ac:dyDescent="0.25">
      <c r="A12" s="857"/>
      <c r="B12" s="857"/>
      <c r="C12" s="858"/>
      <c r="D12" s="858"/>
      <c r="E12" s="859"/>
      <c r="F12" s="859"/>
      <c r="G12" s="859"/>
      <c r="H12" s="855"/>
      <c r="I12" s="856"/>
      <c r="J12" s="859"/>
      <c r="K12" s="860"/>
    </row>
    <row r="13" spans="1:12" s="977" customFormat="1" ht="15.75" x14ac:dyDescent="0.25">
      <c r="A13" s="857"/>
      <c r="B13" s="857"/>
      <c r="C13" s="858"/>
      <c r="D13" s="858"/>
      <c r="E13" s="859"/>
      <c r="F13" s="859"/>
      <c r="G13" s="859"/>
      <c r="H13" s="855"/>
      <c r="I13" s="861"/>
      <c r="J13" s="859"/>
      <c r="K13" s="860"/>
    </row>
    <row r="14" spans="1:12" s="988" customFormat="1" ht="15.75" x14ac:dyDescent="0.25">
      <c r="A14" s="862"/>
      <c r="B14" s="862"/>
      <c r="C14" s="863"/>
      <c r="D14" s="863"/>
      <c r="E14" s="864"/>
      <c r="F14" s="864"/>
      <c r="G14" s="864"/>
      <c r="H14" s="865"/>
      <c r="I14" s="861"/>
      <c r="J14" s="866"/>
      <c r="K14" s="867"/>
    </row>
    <row r="15" spans="1:12" s="977" customFormat="1" ht="15.75" x14ac:dyDescent="0.25">
      <c r="A15" s="858"/>
      <c r="B15" s="858"/>
      <c r="C15" s="858"/>
      <c r="D15" s="858"/>
      <c r="E15" s="852"/>
      <c r="F15" s="852"/>
      <c r="G15" s="852"/>
      <c r="H15" s="852"/>
      <c r="I15" s="868"/>
      <c r="J15" s="852"/>
      <c r="K15" s="854"/>
    </row>
    <row r="16" spans="1:12" s="977" customFormat="1" ht="15.75" x14ac:dyDescent="0.25">
      <c r="A16" s="857"/>
      <c r="B16" s="857"/>
      <c r="C16" s="858"/>
      <c r="D16" s="858"/>
      <c r="E16" s="859"/>
      <c r="F16" s="859"/>
      <c r="G16" s="859"/>
      <c r="H16" s="855"/>
      <c r="I16" s="856"/>
      <c r="J16" s="869"/>
      <c r="K16" s="870"/>
    </row>
    <row r="17" spans="1:11" s="977" customFormat="1" ht="15.75" x14ac:dyDescent="0.25">
      <c r="A17" s="857"/>
      <c r="B17" s="857"/>
      <c r="C17" s="858"/>
      <c r="D17" s="858"/>
      <c r="E17" s="859"/>
      <c r="F17" s="859"/>
      <c r="G17" s="859"/>
      <c r="H17" s="855"/>
      <c r="I17" s="871"/>
      <c r="J17" s="424"/>
      <c r="K17" s="860"/>
    </row>
    <row r="18" spans="1:11" s="977" customFormat="1" ht="15.75" x14ac:dyDescent="0.25">
      <c r="A18" s="857"/>
      <c r="B18" s="857"/>
      <c r="C18" s="858"/>
      <c r="D18" s="858"/>
      <c r="E18" s="859"/>
      <c r="F18" s="859"/>
      <c r="G18" s="859"/>
      <c r="H18" s="855"/>
      <c r="I18" s="868"/>
      <c r="J18" s="859"/>
      <c r="K18" s="860"/>
    </row>
    <row r="19" spans="1:11" s="977" customFormat="1" ht="15.75" x14ac:dyDescent="0.25">
      <c r="A19" s="858"/>
      <c r="B19" s="858"/>
      <c r="C19" s="858"/>
      <c r="D19" s="858"/>
      <c r="E19" s="852"/>
      <c r="F19" s="852"/>
      <c r="G19" s="852"/>
      <c r="H19" s="852"/>
      <c r="I19" s="868"/>
      <c r="J19" s="852"/>
      <c r="K19" s="854"/>
    </row>
    <row r="20" spans="1:11" s="977" customFormat="1" ht="15.75" x14ac:dyDescent="0.25">
      <c r="A20" s="857"/>
      <c r="B20" s="857"/>
      <c r="C20" s="858"/>
      <c r="D20" s="858"/>
      <c r="E20" s="852"/>
      <c r="F20" s="852"/>
      <c r="G20" s="852"/>
      <c r="H20" s="872"/>
      <c r="I20" s="868"/>
      <c r="J20" s="873"/>
      <c r="K20" s="874"/>
    </row>
    <row r="21" spans="1:11" s="977" customFormat="1" ht="15.75" x14ac:dyDescent="0.25">
      <c r="A21" s="857"/>
      <c r="B21" s="857"/>
      <c r="C21" s="858"/>
      <c r="D21" s="858"/>
      <c r="E21" s="859"/>
      <c r="F21" s="859"/>
      <c r="G21" s="852"/>
      <c r="H21" s="855"/>
      <c r="I21" s="871"/>
      <c r="J21" s="875"/>
      <c r="K21" s="870"/>
    </row>
    <row r="22" spans="1:11" s="977" customFormat="1" ht="15.75" x14ac:dyDescent="0.25">
      <c r="A22" s="857"/>
      <c r="B22" s="857"/>
      <c r="C22" s="858"/>
      <c r="D22" s="858"/>
      <c r="E22" s="859"/>
      <c r="F22" s="859"/>
      <c r="G22" s="852"/>
      <c r="H22" s="855"/>
      <c r="I22" s="871"/>
      <c r="J22" s="875"/>
      <c r="K22" s="870"/>
    </row>
    <row r="23" spans="1:11" s="977" customFormat="1" ht="15.75" x14ac:dyDescent="0.25">
      <c r="A23" s="857"/>
      <c r="B23" s="857"/>
      <c r="C23" s="858"/>
      <c r="D23" s="858"/>
      <c r="E23" s="859"/>
      <c r="F23" s="852"/>
      <c r="G23" s="859"/>
      <c r="H23" s="855"/>
      <c r="I23" s="868"/>
      <c r="J23" s="876"/>
      <c r="K23" s="870"/>
    </row>
    <row r="24" spans="1:11" s="977" customFormat="1" ht="15.75" x14ac:dyDescent="0.25">
      <c r="A24" s="857"/>
      <c r="B24" s="857"/>
      <c r="C24" s="858"/>
      <c r="D24" s="858"/>
      <c r="E24" s="859"/>
      <c r="F24" s="852"/>
      <c r="G24" s="859"/>
      <c r="H24" s="872"/>
      <c r="I24" s="861"/>
      <c r="J24" s="869"/>
      <c r="K24" s="870"/>
    </row>
    <row r="25" spans="1:11" s="977" customFormat="1" ht="15.75" x14ac:dyDescent="0.25">
      <c r="A25" s="857"/>
      <c r="B25" s="857"/>
      <c r="C25" s="858"/>
      <c r="D25" s="858"/>
      <c r="E25" s="859"/>
      <c r="F25" s="859"/>
      <c r="G25" s="859"/>
      <c r="H25" s="855"/>
      <c r="I25" s="868"/>
      <c r="J25" s="869"/>
      <c r="K25" s="870"/>
    </row>
    <row r="26" spans="1:11" s="977" customFormat="1" ht="15.75" x14ac:dyDescent="0.25">
      <c r="A26" s="857"/>
      <c r="B26" s="857"/>
      <c r="C26" s="858"/>
      <c r="D26" s="858"/>
      <c r="E26" s="424"/>
      <c r="F26" s="859"/>
      <c r="G26" s="852"/>
      <c r="H26" s="855"/>
      <c r="I26" s="871"/>
      <c r="J26" s="875"/>
      <c r="K26" s="870"/>
    </row>
    <row r="27" spans="1:11" s="977" customFormat="1" ht="15.75" x14ac:dyDescent="0.25">
      <c r="A27" s="857"/>
      <c r="B27" s="857"/>
      <c r="C27" s="858"/>
      <c r="D27" s="858"/>
      <c r="E27" s="424"/>
      <c r="F27" s="859"/>
      <c r="G27" s="852"/>
      <c r="H27" s="855"/>
      <c r="I27" s="871"/>
      <c r="J27" s="877"/>
      <c r="K27" s="870"/>
    </row>
    <row r="28" spans="1:11" s="977" customFormat="1" ht="15.75" x14ac:dyDescent="0.25">
      <c r="A28" s="857"/>
      <c r="B28" s="857"/>
      <c r="C28" s="858"/>
      <c r="D28" s="858"/>
      <c r="E28" s="859"/>
      <c r="F28" s="859"/>
      <c r="G28" s="852"/>
      <c r="H28" s="855"/>
      <c r="I28" s="861"/>
      <c r="J28" s="869"/>
      <c r="K28" s="870"/>
    </row>
    <row r="29" spans="1:11" s="977" customFormat="1" ht="15.75" x14ac:dyDescent="0.25">
      <c r="A29" s="858"/>
      <c r="B29" s="858"/>
      <c r="C29" s="858"/>
      <c r="D29" s="858"/>
      <c r="E29" s="852"/>
      <c r="F29" s="852"/>
      <c r="G29" s="852"/>
      <c r="H29" s="852"/>
      <c r="I29" s="868"/>
      <c r="J29" s="852"/>
      <c r="K29" s="854"/>
    </row>
    <row r="30" spans="1:11" s="977" customFormat="1" ht="15.75" x14ac:dyDescent="0.25">
      <c r="A30" s="857"/>
      <c r="B30" s="857"/>
      <c r="C30" s="858"/>
      <c r="D30" s="858"/>
      <c r="E30" s="859"/>
      <c r="F30" s="859"/>
      <c r="G30" s="859"/>
      <c r="H30" s="855"/>
      <c r="I30" s="871"/>
      <c r="J30" s="875"/>
      <c r="K30" s="870"/>
    </row>
    <row r="31" spans="1:11" s="977" customFormat="1" ht="15.75" x14ac:dyDescent="0.25">
      <c r="A31" s="857"/>
      <c r="B31" s="857"/>
      <c r="C31" s="858"/>
      <c r="D31" s="858"/>
      <c r="E31" s="859"/>
      <c r="F31" s="859"/>
      <c r="G31" s="859"/>
      <c r="H31" s="855"/>
      <c r="I31" s="856"/>
      <c r="J31" s="869"/>
      <c r="K31" s="870"/>
    </row>
    <row r="32" spans="1:11" s="977" customFormat="1" ht="15.75" x14ac:dyDescent="0.25">
      <c r="A32" s="857"/>
      <c r="B32" s="857"/>
      <c r="C32" s="858"/>
      <c r="D32" s="858"/>
      <c r="E32" s="859"/>
      <c r="F32" s="859"/>
      <c r="G32" s="859"/>
      <c r="H32" s="855"/>
      <c r="I32" s="868"/>
      <c r="J32" s="869"/>
      <c r="K32" s="870"/>
    </row>
    <row r="33" spans="1:11" s="977" customFormat="1" ht="15.75" x14ac:dyDescent="0.25">
      <c r="A33" s="857"/>
      <c r="B33" s="857"/>
      <c r="C33" s="858"/>
      <c r="D33" s="858"/>
      <c r="E33" s="859"/>
      <c r="F33" s="859"/>
      <c r="G33" s="859"/>
      <c r="H33" s="855"/>
      <c r="I33" s="861"/>
      <c r="J33" s="869"/>
      <c r="K33" s="870"/>
    </row>
    <row r="34" spans="1:11" s="977" customFormat="1" ht="15.75" x14ac:dyDescent="0.25">
      <c r="A34" s="857"/>
      <c r="B34" s="857"/>
      <c r="C34" s="858"/>
      <c r="D34" s="858"/>
      <c r="E34" s="859"/>
      <c r="F34" s="859"/>
      <c r="G34" s="852"/>
      <c r="H34" s="855"/>
      <c r="I34" s="856"/>
      <c r="J34" s="875"/>
      <c r="K34" s="870"/>
    </row>
    <row r="35" spans="1:11" s="977" customFormat="1" ht="15.75" x14ac:dyDescent="0.25">
      <c r="A35" s="858"/>
      <c r="B35" s="858"/>
      <c r="C35" s="858"/>
      <c r="D35" s="858"/>
      <c r="E35" s="852"/>
      <c r="F35" s="852"/>
      <c r="G35" s="852"/>
      <c r="H35" s="852"/>
      <c r="I35" s="868"/>
      <c r="J35" s="852"/>
      <c r="K35" s="854"/>
    </row>
    <row r="36" spans="1:11" s="977" customFormat="1" ht="15.75" x14ac:dyDescent="0.25">
      <c r="A36" s="857"/>
      <c r="B36" s="857"/>
      <c r="C36" s="858"/>
      <c r="D36" s="858"/>
      <c r="E36" s="858"/>
      <c r="F36" s="858"/>
      <c r="G36" s="878"/>
      <c r="H36" s="855"/>
      <c r="I36" s="871"/>
      <c r="J36" s="879"/>
      <c r="K36" s="880"/>
    </row>
    <row r="37" spans="1:11" s="977" customFormat="1" ht="15.75" x14ac:dyDescent="0.25">
      <c r="A37" s="857"/>
      <c r="B37" s="857"/>
      <c r="C37" s="858"/>
      <c r="D37" s="858"/>
      <c r="E37" s="879"/>
      <c r="F37" s="879"/>
      <c r="G37" s="879"/>
      <c r="H37" s="855"/>
      <c r="I37" s="861"/>
      <c r="J37" s="879"/>
      <c r="K37" s="880"/>
    </row>
    <row r="38" spans="1:11" s="977" customFormat="1" ht="15.75" x14ac:dyDescent="0.25">
      <c r="A38" s="857"/>
      <c r="B38" s="857"/>
      <c r="C38" s="858"/>
      <c r="D38" s="858"/>
      <c r="E38" s="879"/>
      <c r="F38" s="858"/>
      <c r="G38" s="878"/>
      <c r="H38" s="855"/>
      <c r="I38" s="871"/>
      <c r="J38" s="879"/>
      <c r="K38" s="880"/>
    </row>
    <row r="39" spans="1:11" s="977" customFormat="1" ht="15.75" x14ac:dyDescent="0.25">
      <c r="A39" s="857"/>
      <c r="B39" s="857"/>
      <c r="C39" s="858"/>
      <c r="D39" s="858"/>
      <c r="E39" s="879"/>
      <c r="F39" s="878"/>
      <c r="G39" s="858"/>
      <c r="H39" s="855"/>
      <c r="I39" s="871"/>
      <c r="J39" s="881"/>
      <c r="K39" s="880"/>
    </row>
    <row r="40" spans="1:11" s="977" customFormat="1" ht="15.75" x14ac:dyDescent="0.25">
      <c r="A40" s="857"/>
      <c r="B40" s="857"/>
      <c r="C40" s="858"/>
      <c r="D40" s="858"/>
      <c r="E40" s="879"/>
      <c r="F40" s="858"/>
      <c r="G40" s="882"/>
      <c r="H40" s="855"/>
      <c r="I40" s="871"/>
      <c r="J40" s="879"/>
      <c r="K40" s="880"/>
    </row>
    <row r="41" spans="1:11" s="977" customFormat="1" ht="15.75" x14ac:dyDescent="0.25">
      <c r="A41" s="857"/>
      <c r="B41" s="857"/>
      <c r="C41" s="858"/>
      <c r="D41" s="858"/>
      <c r="E41" s="879"/>
      <c r="F41" s="858"/>
      <c r="G41" s="858"/>
      <c r="H41" s="855"/>
      <c r="I41" s="871"/>
      <c r="J41" s="881"/>
      <c r="K41" s="880"/>
    </row>
    <row r="42" spans="1:11" s="977" customFormat="1" ht="15.75" x14ac:dyDescent="0.25">
      <c r="A42" s="857"/>
      <c r="B42" s="857"/>
      <c r="C42" s="858"/>
      <c r="D42" s="858"/>
      <c r="E42" s="879"/>
      <c r="F42" s="878"/>
      <c r="G42" s="858"/>
      <c r="H42" s="855"/>
      <c r="I42" s="883"/>
      <c r="J42" s="879"/>
      <c r="K42" s="880"/>
    </row>
    <row r="43" spans="1:11" s="977" customFormat="1" ht="15.75" x14ac:dyDescent="0.25">
      <c r="A43" s="858"/>
      <c r="B43" s="858"/>
      <c r="C43" s="858"/>
      <c r="D43" s="858"/>
      <c r="E43" s="852"/>
      <c r="F43" s="852"/>
      <c r="G43" s="852"/>
      <c r="H43" s="852"/>
      <c r="I43" s="868"/>
      <c r="J43" s="852"/>
      <c r="K43" s="854"/>
    </row>
    <row r="44" spans="1:11" s="977" customFormat="1" ht="15.75" x14ac:dyDescent="0.25">
      <c r="A44" s="857"/>
      <c r="B44" s="857"/>
      <c r="C44" s="858"/>
      <c r="D44" s="858"/>
      <c r="E44" s="879"/>
      <c r="F44" s="879"/>
      <c r="G44" s="879"/>
      <c r="H44" s="855"/>
      <c r="I44" s="871"/>
      <c r="J44" s="858"/>
      <c r="K44" s="880"/>
    </row>
    <row r="45" spans="1:11" s="977" customFormat="1" ht="15.75" x14ac:dyDescent="0.25">
      <c r="A45" s="857"/>
      <c r="B45" s="857"/>
      <c r="C45" s="858"/>
      <c r="D45" s="858"/>
      <c r="E45" s="879"/>
      <c r="F45" s="879"/>
      <c r="G45" s="878"/>
      <c r="H45" s="855"/>
      <c r="I45" s="871"/>
      <c r="J45" s="74"/>
      <c r="K45" s="76"/>
    </row>
    <row r="46" spans="1:11" s="977" customFormat="1" ht="15.75" x14ac:dyDescent="0.25">
      <c r="A46" s="857"/>
      <c r="B46" s="857"/>
      <c r="C46" s="858"/>
      <c r="D46" s="858"/>
      <c r="E46" s="74"/>
      <c r="F46" s="74"/>
      <c r="G46" s="884"/>
      <c r="H46" s="855"/>
      <c r="I46" s="871"/>
      <c r="J46" s="74"/>
      <c r="K46" s="76"/>
    </row>
    <row r="47" spans="1:11" s="977" customFormat="1" ht="15.75" x14ac:dyDescent="0.25">
      <c r="A47" s="857"/>
      <c r="B47" s="885"/>
      <c r="C47" s="886"/>
      <c r="D47" s="886"/>
      <c r="E47" s="887"/>
      <c r="F47" s="878"/>
      <c r="G47" s="878"/>
      <c r="H47" s="878"/>
      <c r="I47" s="888"/>
      <c r="J47" s="878"/>
      <c r="K47" s="889"/>
    </row>
    <row r="48" spans="1:11" s="977" customFormat="1" ht="15.75" x14ac:dyDescent="0.25">
      <c r="A48" s="890"/>
      <c r="B48" s="890"/>
      <c r="C48" s="891"/>
      <c r="D48" s="892"/>
      <c r="E48" s="893"/>
      <c r="F48" s="893"/>
      <c r="G48" s="859"/>
      <c r="H48" s="894"/>
      <c r="I48" s="895"/>
      <c r="J48" s="852"/>
      <c r="K48" s="854"/>
    </row>
    <row r="49" spans="1:11" s="977" customFormat="1" ht="15.75" x14ac:dyDescent="0.25">
      <c r="A49" s="890"/>
      <c r="B49" s="890"/>
      <c r="C49" s="891"/>
      <c r="D49" s="892"/>
      <c r="E49" s="893"/>
      <c r="F49" s="896"/>
      <c r="G49" s="852"/>
      <c r="H49" s="855"/>
      <c r="I49" s="871"/>
      <c r="J49" s="424"/>
      <c r="K49" s="854"/>
    </row>
    <row r="50" spans="1:11" s="977" customFormat="1" ht="15.75" x14ac:dyDescent="0.25">
      <c r="A50" s="890"/>
      <c r="B50" s="890"/>
      <c r="C50" s="891"/>
      <c r="D50" s="892"/>
      <c r="E50" s="897"/>
      <c r="F50" s="386"/>
      <c r="G50" s="898"/>
      <c r="H50" s="855"/>
      <c r="I50" s="871"/>
      <c r="J50" s="424"/>
      <c r="K50" s="854"/>
    </row>
    <row r="51" spans="1:11" s="977" customFormat="1" ht="15.75" x14ac:dyDescent="0.25">
      <c r="A51" s="890"/>
      <c r="B51" s="890"/>
      <c r="C51" s="891"/>
      <c r="D51" s="892"/>
      <c r="E51" s="897"/>
      <c r="F51" s="386"/>
      <c r="G51" s="898"/>
      <c r="H51" s="855"/>
      <c r="I51" s="856"/>
      <c r="J51" s="424"/>
      <c r="K51" s="854"/>
    </row>
    <row r="52" spans="1:11" s="977" customFormat="1" ht="15.75" x14ac:dyDescent="0.25">
      <c r="A52" s="890"/>
      <c r="B52" s="890"/>
      <c r="C52" s="891"/>
      <c r="D52" s="892"/>
      <c r="E52" s="897"/>
      <c r="F52" s="899"/>
      <c r="G52" s="893"/>
      <c r="H52" s="855"/>
      <c r="I52" s="871"/>
      <c r="J52" s="424"/>
      <c r="K52" s="854"/>
    </row>
    <row r="53" spans="1:11" s="977" customFormat="1" ht="15.75" x14ac:dyDescent="0.25">
      <c r="A53" s="890"/>
      <c r="B53" s="890"/>
      <c r="C53" s="891"/>
      <c r="D53" s="892"/>
      <c r="E53" s="897"/>
      <c r="F53" s="899"/>
      <c r="G53" s="893"/>
      <c r="H53" s="900"/>
      <c r="I53" s="856"/>
      <c r="J53" s="424"/>
      <c r="K53" s="854"/>
    </row>
    <row r="54" spans="1:11" s="977" customFormat="1" ht="15.75" x14ac:dyDescent="0.25">
      <c r="A54" s="890"/>
      <c r="B54" s="890"/>
      <c r="C54" s="891"/>
      <c r="D54" s="892"/>
      <c r="E54" s="897"/>
      <c r="F54" s="899"/>
      <c r="G54" s="901"/>
      <c r="H54" s="855"/>
      <c r="I54" s="871"/>
      <c r="J54" s="424"/>
      <c r="K54" s="854"/>
    </row>
    <row r="55" spans="1:11" s="977" customFormat="1" ht="15.75" x14ac:dyDescent="0.25">
      <c r="A55" s="890"/>
      <c r="B55" s="890"/>
      <c r="C55" s="891"/>
      <c r="D55" s="892"/>
      <c r="E55" s="901"/>
      <c r="F55" s="902"/>
      <c r="G55" s="424"/>
      <c r="H55" s="855"/>
      <c r="I55" s="871"/>
      <c r="J55" s="424"/>
      <c r="K55" s="854"/>
    </row>
    <row r="56" spans="1:11" s="977" customFormat="1" ht="15.75" x14ac:dyDescent="0.25">
      <c r="A56" s="858"/>
      <c r="B56" s="903"/>
      <c r="C56" s="903"/>
      <c r="D56" s="903"/>
      <c r="E56" s="904"/>
      <c r="F56" s="852"/>
      <c r="G56" s="852"/>
      <c r="H56" s="852"/>
      <c r="I56" s="868"/>
      <c r="J56" s="852"/>
      <c r="K56" s="854"/>
    </row>
    <row r="57" spans="1:11" s="977" customFormat="1" ht="15.75" x14ac:dyDescent="0.25">
      <c r="A57" s="857"/>
      <c r="B57" s="857"/>
      <c r="C57" s="858"/>
      <c r="D57" s="858"/>
      <c r="E57" s="859"/>
      <c r="F57" s="859"/>
      <c r="G57" s="859"/>
      <c r="H57" s="855"/>
      <c r="I57" s="895"/>
      <c r="J57" s="905"/>
      <c r="K57" s="906"/>
    </row>
    <row r="58" spans="1:11" s="977" customFormat="1" ht="15.75" x14ac:dyDescent="0.25">
      <c r="A58" s="857"/>
      <c r="B58" s="857"/>
      <c r="C58" s="858"/>
      <c r="D58" s="858"/>
      <c r="E58" s="859"/>
      <c r="F58" s="859"/>
      <c r="G58" s="859"/>
      <c r="H58" s="855"/>
      <c r="I58" s="861"/>
      <c r="J58" s="907"/>
      <c r="K58" s="906"/>
    </row>
    <row r="59" spans="1:11" s="977" customFormat="1" ht="15.75" x14ac:dyDescent="0.25">
      <c r="A59" s="857"/>
      <c r="B59" s="857"/>
      <c r="C59" s="858"/>
      <c r="D59" s="858"/>
      <c r="E59" s="859"/>
      <c r="F59" s="859"/>
      <c r="G59" s="852"/>
      <c r="H59" s="855"/>
      <c r="I59" s="895"/>
      <c r="J59" s="907"/>
      <c r="K59" s="906"/>
    </row>
    <row r="60" spans="1:11" s="977" customFormat="1" ht="15.75" x14ac:dyDescent="0.25">
      <c r="A60" s="857"/>
      <c r="B60" s="857"/>
      <c r="C60" s="858"/>
      <c r="D60" s="858"/>
      <c r="E60" s="859"/>
      <c r="F60" s="859"/>
      <c r="G60" s="852"/>
      <c r="H60" s="855"/>
      <c r="I60" s="895"/>
      <c r="J60" s="907"/>
      <c r="K60" s="906"/>
    </row>
    <row r="61" spans="1:11" s="977" customFormat="1" ht="15.75" x14ac:dyDescent="0.25">
      <c r="A61" s="857"/>
      <c r="B61" s="857"/>
      <c r="C61" s="858"/>
      <c r="D61" s="858"/>
      <c r="E61" s="859"/>
      <c r="F61" s="859"/>
      <c r="G61" s="852"/>
      <c r="H61" s="908"/>
      <c r="I61" s="895"/>
      <c r="J61" s="907"/>
      <c r="K61" s="906"/>
    </row>
    <row r="62" spans="1:11" s="977" customFormat="1" ht="15.75" x14ac:dyDescent="0.25">
      <c r="A62" s="857"/>
      <c r="B62" s="857"/>
      <c r="C62" s="858"/>
      <c r="D62" s="858"/>
      <c r="E62" s="859"/>
      <c r="F62" s="859"/>
      <c r="G62" s="852"/>
      <c r="H62" s="855"/>
      <c r="I62" s="856"/>
      <c r="J62" s="907"/>
      <c r="K62" s="906"/>
    </row>
    <row r="63" spans="1:11" s="977" customFormat="1" ht="15.75" x14ac:dyDescent="0.25">
      <c r="A63" s="857"/>
      <c r="B63" s="857"/>
      <c r="C63" s="858"/>
      <c r="D63" s="858"/>
      <c r="E63" s="424"/>
      <c r="F63" s="859"/>
      <c r="G63" s="852"/>
      <c r="H63" s="855"/>
      <c r="I63" s="909"/>
      <c r="J63" s="907"/>
      <c r="K63" s="906"/>
    </row>
    <row r="64" spans="1:11" s="977" customFormat="1" ht="15.75" x14ac:dyDescent="0.25">
      <c r="A64" s="857"/>
      <c r="B64" s="857"/>
      <c r="C64" s="858"/>
      <c r="D64" s="858"/>
      <c r="E64" s="859"/>
      <c r="F64" s="859"/>
      <c r="G64" s="859"/>
      <c r="H64" s="855"/>
      <c r="I64" s="861"/>
      <c r="J64" s="907"/>
      <c r="K64" s="906"/>
    </row>
    <row r="65" spans="1:11" s="977" customFormat="1" ht="15.75" x14ac:dyDescent="0.25">
      <c r="A65" s="857"/>
      <c r="B65" s="857"/>
      <c r="C65" s="858"/>
      <c r="D65" s="858"/>
      <c r="E65" s="859"/>
      <c r="F65" s="859"/>
      <c r="G65" s="852"/>
      <c r="H65" s="855"/>
      <c r="I65" s="861"/>
      <c r="J65" s="907"/>
      <c r="K65" s="906"/>
    </row>
    <row r="66" spans="1:11" s="977" customFormat="1" ht="15.75" x14ac:dyDescent="0.25">
      <c r="A66" s="857"/>
      <c r="B66" s="857"/>
      <c r="C66" s="858"/>
      <c r="D66" s="858"/>
      <c r="E66" s="424"/>
      <c r="F66" s="859"/>
      <c r="G66" s="852"/>
      <c r="H66" s="855"/>
      <c r="I66" s="910"/>
      <c r="J66" s="869"/>
      <c r="K66" s="870"/>
    </row>
    <row r="67" spans="1:11" s="977" customFormat="1" ht="15.75" x14ac:dyDescent="0.25">
      <c r="A67" s="857"/>
      <c r="B67" s="857"/>
      <c r="C67" s="858"/>
      <c r="D67" s="858"/>
      <c r="E67" s="859"/>
      <c r="F67" s="859"/>
      <c r="G67" s="852"/>
      <c r="H67" s="855"/>
      <c r="I67" s="895"/>
      <c r="J67" s="869"/>
      <c r="K67" s="870"/>
    </row>
    <row r="68" spans="1:11" s="977" customFormat="1" ht="15.75" x14ac:dyDescent="0.25">
      <c r="A68" s="857"/>
      <c r="B68" s="857"/>
      <c r="C68" s="858"/>
      <c r="D68" s="858"/>
      <c r="E68" s="859"/>
      <c r="F68" s="859"/>
      <c r="G68" s="852"/>
      <c r="H68" s="855"/>
      <c r="I68" s="856"/>
      <c r="J68" s="907"/>
      <c r="K68" s="870"/>
    </row>
    <row r="69" spans="1:11" s="977" customFormat="1" ht="15.75" x14ac:dyDescent="0.25">
      <c r="A69" s="857"/>
      <c r="B69" s="857"/>
      <c r="C69" s="858"/>
      <c r="D69" s="858"/>
      <c r="E69" s="859"/>
      <c r="F69" s="859"/>
      <c r="G69" s="852"/>
      <c r="H69" s="855"/>
      <c r="I69" s="861"/>
      <c r="J69" s="907"/>
      <c r="K69" s="870"/>
    </row>
    <row r="70" spans="1:11" s="977" customFormat="1" ht="15.75" x14ac:dyDescent="0.25">
      <c r="A70" s="857"/>
      <c r="B70" s="857"/>
      <c r="C70" s="858"/>
      <c r="D70" s="858"/>
      <c r="E70" s="859"/>
      <c r="F70" s="424"/>
      <c r="G70" s="852"/>
      <c r="H70" s="855"/>
      <c r="I70" s="861"/>
      <c r="J70" s="875"/>
      <c r="K70" s="870"/>
    </row>
    <row r="71" spans="1:11" s="977" customFormat="1" ht="15.75" x14ac:dyDescent="0.25">
      <c r="A71" s="857"/>
      <c r="B71" s="857"/>
      <c r="C71" s="858"/>
      <c r="D71" s="858"/>
      <c r="E71" s="859"/>
      <c r="F71" s="424"/>
      <c r="G71" s="852"/>
      <c r="H71" s="855"/>
      <c r="I71" s="861"/>
      <c r="J71" s="875"/>
      <c r="K71" s="870"/>
    </row>
    <row r="72" spans="1:11" s="977" customFormat="1" ht="15.75" x14ac:dyDescent="0.25">
      <c r="A72" s="857"/>
      <c r="B72" s="857"/>
      <c r="C72" s="911"/>
      <c r="D72" s="911"/>
      <c r="E72" s="859"/>
      <c r="F72" s="424"/>
      <c r="G72" s="852"/>
      <c r="H72" s="855"/>
      <c r="I72" s="861"/>
      <c r="J72" s="875"/>
      <c r="K72" s="870"/>
    </row>
    <row r="73" spans="1:11" s="977" customFormat="1" ht="15.75" x14ac:dyDescent="0.25">
      <c r="A73" s="858"/>
      <c r="B73" s="858"/>
      <c r="C73" s="858"/>
      <c r="D73" s="858"/>
      <c r="E73" s="852"/>
      <c r="F73" s="852"/>
      <c r="G73" s="852"/>
      <c r="H73" s="852"/>
      <c r="I73" s="868"/>
      <c r="J73" s="852"/>
      <c r="K73" s="854"/>
    </row>
    <row r="74" spans="1:11" s="977" customFormat="1" ht="15.75" x14ac:dyDescent="0.25">
      <c r="A74" s="857"/>
      <c r="B74" s="857"/>
      <c r="C74" s="858"/>
      <c r="D74" s="858"/>
      <c r="E74" s="859"/>
      <c r="F74" s="859"/>
      <c r="G74" s="859"/>
      <c r="H74" s="855"/>
      <c r="I74" s="868"/>
      <c r="J74" s="873"/>
      <c r="K74" s="874"/>
    </row>
    <row r="75" spans="1:11" s="977" customFormat="1" ht="15.75" x14ac:dyDescent="0.25">
      <c r="A75" s="857"/>
      <c r="B75" s="857"/>
      <c r="C75" s="858"/>
      <c r="D75" s="858"/>
      <c r="E75" s="859"/>
      <c r="F75" s="859"/>
      <c r="G75" s="859"/>
      <c r="H75" s="855"/>
      <c r="I75" s="868"/>
      <c r="J75" s="873"/>
      <c r="K75" s="874"/>
    </row>
    <row r="76" spans="1:11" s="977" customFormat="1" ht="15.75" x14ac:dyDescent="0.25">
      <c r="A76" s="857"/>
      <c r="B76" s="857"/>
      <c r="C76" s="858"/>
      <c r="D76" s="858"/>
      <c r="E76" s="859"/>
      <c r="F76" s="859"/>
      <c r="G76" s="859"/>
      <c r="H76" s="855"/>
      <c r="I76" s="868"/>
      <c r="J76" s="873"/>
      <c r="K76" s="874"/>
    </row>
    <row r="77" spans="1:11" s="977" customFormat="1" ht="15.75" x14ac:dyDescent="0.25">
      <c r="A77" s="857"/>
      <c r="B77" s="857"/>
      <c r="C77" s="858"/>
      <c r="D77" s="858"/>
      <c r="E77" s="859"/>
      <c r="F77" s="859"/>
      <c r="G77" s="859"/>
      <c r="H77" s="855"/>
      <c r="I77" s="868"/>
      <c r="J77" s="873"/>
      <c r="K77" s="874"/>
    </row>
    <row r="78" spans="1:11" s="977" customFormat="1" ht="15.75" x14ac:dyDescent="0.25">
      <c r="A78" s="857"/>
      <c r="B78" s="857"/>
      <c r="C78" s="858"/>
      <c r="D78" s="858"/>
      <c r="E78" s="859"/>
      <c r="F78" s="859"/>
      <c r="G78" s="859"/>
      <c r="H78" s="855"/>
      <c r="I78" s="868"/>
      <c r="J78" s="873"/>
      <c r="K78" s="874"/>
    </row>
    <row r="79" spans="1:11" s="977" customFormat="1" ht="15.75" x14ac:dyDescent="0.25">
      <c r="A79" s="858"/>
      <c r="B79" s="858"/>
      <c r="C79" s="858"/>
      <c r="D79" s="858"/>
      <c r="E79" s="852"/>
      <c r="F79" s="852"/>
      <c r="G79" s="852"/>
      <c r="H79" s="852"/>
      <c r="I79" s="868"/>
      <c r="J79" s="852"/>
      <c r="K79" s="874"/>
    </row>
    <row r="80" spans="1:11" s="977" customFormat="1" ht="15.75" x14ac:dyDescent="0.25">
      <c r="A80" s="857"/>
      <c r="B80" s="857"/>
      <c r="C80" s="858"/>
      <c r="D80" s="858"/>
      <c r="E80" s="859"/>
      <c r="F80" s="859"/>
      <c r="G80" s="852"/>
      <c r="H80" s="855"/>
      <c r="I80" s="912"/>
      <c r="J80" s="869"/>
      <c r="K80" s="874"/>
    </row>
    <row r="81" spans="1:11" s="977" customFormat="1" ht="15.75" x14ac:dyDescent="0.25">
      <c r="A81" s="857"/>
      <c r="B81" s="857"/>
      <c r="C81" s="858"/>
      <c r="D81" s="858"/>
      <c r="E81" s="859"/>
      <c r="F81" s="859"/>
      <c r="G81" s="859"/>
      <c r="H81" s="855"/>
      <c r="I81" s="856"/>
      <c r="J81" s="869"/>
      <c r="K81" s="874"/>
    </row>
    <row r="82" spans="1:11" s="977" customFormat="1" ht="15.75" x14ac:dyDescent="0.25">
      <c r="A82" s="857"/>
      <c r="B82" s="857"/>
      <c r="C82" s="858"/>
      <c r="D82" s="858"/>
      <c r="E82" s="852"/>
      <c r="F82" s="852"/>
      <c r="G82" s="852"/>
      <c r="H82" s="913"/>
      <c r="I82" s="868"/>
      <c r="J82" s="869"/>
      <c r="K82" s="874"/>
    </row>
    <row r="83" spans="1:11" s="977" customFormat="1" ht="15.75" x14ac:dyDescent="0.25">
      <c r="A83" s="857"/>
      <c r="B83" s="857"/>
      <c r="C83" s="858"/>
      <c r="D83" s="858"/>
      <c r="E83" s="859"/>
      <c r="F83" s="859"/>
      <c r="G83" s="859"/>
      <c r="H83" s="855"/>
      <c r="I83" s="912"/>
      <c r="J83" s="869"/>
      <c r="K83" s="874"/>
    </row>
    <row r="84" spans="1:11" s="977" customFormat="1" ht="15.75" x14ac:dyDescent="0.25">
      <c r="A84" s="857"/>
      <c r="B84" s="857"/>
      <c r="C84" s="858"/>
      <c r="D84" s="858"/>
      <c r="E84" s="859"/>
      <c r="F84" s="859"/>
      <c r="G84" s="859"/>
      <c r="H84" s="855"/>
      <c r="I84" s="912"/>
      <c r="J84" s="875"/>
      <c r="K84" s="874"/>
    </row>
    <row r="85" spans="1:11" s="977" customFormat="1" ht="15.75" x14ac:dyDescent="0.25">
      <c r="A85" s="857"/>
      <c r="B85" s="857"/>
      <c r="C85" s="858"/>
      <c r="D85" s="858"/>
      <c r="E85" s="859"/>
      <c r="F85" s="859"/>
      <c r="G85" s="859"/>
      <c r="H85" s="855"/>
      <c r="I85" s="861"/>
      <c r="J85" s="875"/>
      <c r="K85" s="874"/>
    </row>
    <row r="86" spans="1:11" s="977" customFormat="1" ht="15.75" x14ac:dyDescent="0.25">
      <c r="A86" s="857"/>
      <c r="B86" s="857"/>
      <c r="C86" s="914"/>
      <c r="D86" s="858"/>
      <c r="E86" s="852"/>
      <c r="F86" s="852"/>
      <c r="G86" s="852"/>
      <c r="H86" s="872"/>
      <c r="I86" s="868"/>
      <c r="J86" s="873"/>
      <c r="K86" s="874"/>
    </row>
    <row r="87" spans="1:11" s="977" customFormat="1" ht="15.75" x14ac:dyDescent="0.25">
      <c r="A87" s="857"/>
      <c r="B87" s="857"/>
      <c r="C87" s="914"/>
      <c r="D87" s="858"/>
      <c r="E87" s="852"/>
      <c r="F87" s="852"/>
      <c r="G87" s="852"/>
      <c r="H87" s="872"/>
      <c r="I87" s="868"/>
      <c r="J87" s="873"/>
      <c r="K87" s="874"/>
    </row>
    <row r="88" spans="1:11" s="977" customFormat="1" ht="15.75" x14ac:dyDescent="0.25">
      <c r="A88" s="857"/>
      <c r="B88" s="857"/>
      <c r="C88" s="914"/>
      <c r="D88" s="915"/>
      <c r="E88" s="859"/>
      <c r="F88" s="859"/>
      <c r="G88" s="852"/>
      <c r="H88" s="855"/>
      <c r="I88" s="912"/>
      <c r="J88" s="869"/>
      <c r="K88" s="874"/>
    </row>
    <row r="89" spans="1:11" s="977" customFormat="1" ht="15.75" x14ac:dyDescent="0.25">
      <c r="A89" s="857"/>
      <c r="B89" s="857"/>
      <c r="C89" s="914"/>
      <c r="D89" s="858"/>
      <c r="E89" s="859"/>
      <c r="F89" s="76"/>
      <c r="G89" s="852"/>
      <c r="H89" s="855"/>
      <c r="I89" s="861"/>
      <c r="J89" s="875"/>
      <c r="K89" s="874"/>
    </row>
    <row r="90" spans="1:11" s="977" customFormat="1" ht="15.75" x14ac:dyDescent="0.25">
      <c r="A90" s="857"/>
      <c r="B90" s="857"/>
      <c r="C90" s="914"/>
      <c r="D90" s="858"/>
      <c r="E90" s="859"/>
      <c r="F90" s="859"/>
      <c r="G90" s="852"/>
      <c r="H90" s="855"/>
      <c r="I90" s="856"/>
      <c r="J90" s="916"/>
      <c r="K90" s="870"/>
    </row>
    <row r="91" spans="1:11" s="977" customFormat="1" ht="15.75" x14ac:dyDescent="0.25">
      <c r="A91" s="857"/>
      <c r="B91" s="857"/>
      <c r="C91" s="914"/>
      <c r="D91" s="858"/>
      <c r="E91" s="859"/>
      <c r="F91" s="859"/>
      <c r="G91" s="852"/>
      <c r="H91" s="855"/>
      <c r="I91" s="861"/>
      <c r="J91" s="875"/>
      <c r="K91" s="870"/>
    </row>
    <row r="92" spans="1:11" s="977" customFormat="1" ht="15.75" x14ac:dyDescent="0.25">
      <c r="A92" s="857"/>
      <c r="B92" s="857"/>
      <c r="C92" s="914"/>
      <c r="D92" s="886"/>
      <c r="E92" s="424"/>
      <c r="F92" s="859"/>
      <c r="G92" s="859"/>
      <c r="H92" s="855"/>
      <c r="I92" s="861"/>
      <c r="J92" s="869"/>
      <c r="K92" s="870"/>
    </row>
    <row r="93" spans="1:11" s="977" customFormat="1" ht="15.75" x14ac:dyDescent="0.25">
      <c r="A93" s="857"/>
      <c r="B93" s="890"/>
      <c r="C93" s="917"/>
      <c r="D93" s="918"/>
      <c r="E93" s="859"/>
      <c r="F93" s="859"/>
      <c r="G93" s="852"/>
      <c r="H93" s="855"/>
      <c r="I93" s="912"/>
      <c r="J93" s="869"/>
      <c r="K93" s="870"/>
    </row>
    <row r="94" spans="1:11" s="977" customFormat="1" ht="15.75" x14ac:dyDescent="0.25">
      <c r="A94" s="857"/>
      <c r="B94" s="890"/>
      <c r="C94" s="917"/>
      <c r="D94" s="918"/>
      <c r="E94" s="859"/>
      <c r="F94" s="859"/>
      <c r="G94" s="859"/>
      <c r="H94" s="855"/>
      <c r="I94" s="856"/>
      <c r="J94" s="875"/>
      <c r="K94" s="870"/>
    </row>
    <row r="95" spans="1:11" s="977" customFormat="1" ht="15.75" x14ac:dyDescent="0.25">
      <c r="A95" s="857"/>
      <c r="B95" s="890"/>
      <c r="C95" s="917"/>
      <c r="D95" s="919"/>
      <c r="E95" s="893"/>
      <c r="F95" s="859"/>
      <c r="G95" s="859"/>
      <c r="H95" s="855"/>
      <c r="I95" s="861"/>
      <c r="J95" s="875"/>
      <c r="K95" s="870"/>
    </row>
    <row r="96" spans="1:11" s="977" customFormat="1" ht="15.75" x14ac:dyDescent="0.25">
      <c r="A96" s="857"/>
      <c r="B96" s="890"/>
      <c r="C96"/>
      <c r="D96"/>
      <c r="E96" s="920"/>
      <c r="F96" s="859"/>
      <c r="G96" s="859"/>
      <c r="H96" s="855"/>
      <c r="I96" s="861"/>
      <c r="J96" s="875"/>
      <c r="K96" s="870"/>
    </row>
    <row r="97" spans="1:11" s="977" customFormat="1" ht="15.75" x14ac:dyDescent="0.25">
      <c r="A97" s="857"/>
      <c r="B97" s="890"/>
      <c r="C97" s="917"/>
      <c r="D97" s="921"/>
      <c r="E97" s="896"/>
      <c r="F97" s="859"/>
      <c r="G97" s="859"/>
      <c r="H97" s="855"/>
      <c r="I97" s="861"/>
      <c r="J97" s="875"/>
      <c r="K97" s="870"/>
    </row>
    <row r="98" spans="1:11" s="977" customFormat="1" ht="15.75" x14ac:dyDescent="0.25">
      <c r="A98" s="858"/>
      <c r="B98" s="858"/>
      <c r="C98" s="858"/>
      <c r="D98" s="903"/>
      <c r="E98" s="922"/>
      <c r="F98" s="852"/>
      <c r="G98" s="852"/>
      <c r="H98" s="852"/>
      <c r="I98" s="868"/>
      <c r="J98" s="852"/>
      <c r="K98" s="854"/>
    </row>
    <row r="99" spans="1:11" s="977" customFormat="1" ht="15.75" x14ac:dyDescent="0.25">
      <c r="A99" s="857"/>
      <c r="B99" s="857"/>
      <c r="C99" s="858"/>
      <c r="D99" s="891"/>
      <c r="E99" s="923"/>
      <c r="F99" s="898"/>
      <c r="G99" s="852"/>
      <c r="H99" s="872"/>
      <c r="I99" s="868"/>
      <c r="J99" s="873"/>
      <c r="K99" s="874"/>
    </row>
    <row r="100" spans="1:11" s="977" customFormat="1" ht="15.75" x14ac:dyDescent="0.25">
      <c r="A100" s="857"/>
      <c r="B100" s="857"/>
      <c r="C100" s="858"/>
      <c r="D100" s="891"/>
      <c r="E100" s="924"/>
      <c r="F100" s="893"/>
      <c r="G100" s="852"/>
      <c r="H100" s="855"/>
      <c r="I100" s="912"/>
      <c r="J100" s="875"/>
      <c r="K100" s="870"/>
    </row>
    <row r="101" spans="1:11" s="977" customFormat="1" ht="15.75" x14ac:dyDescent="0.25">
      <c r="A101" s="857"/>
      <c r="B101" s="857"/>
      <c r="C101" s="858"/>
      <c r="D101" s="891"/>
      <c r="E101" s="924"/>
      <c r="F101" s="893"/>
      <c r="G101" s="859"/>
      <c r="H101" s="855"/>
      <c r="I101" s="910"/>
      <c r="J101" s="875"/>
      <c r="K101" s="870"/>
    </row>
    <row r="102" spans="1:11" s="977" customFormat="1" ht="15.75" x14ac:dyDescent="0.25">
      <c r="A102" s="857"/>
      <c r="B102" s="857"/>
      <c r="C102" s="858"/>
      <c r="D102" s="891"/>
      <c r="E102" s="924"/>
      <c r="F102" s="893"/>
      <c r="G102" s="852"/>
      <c r="H102" s="855"/>
      <c r="I102" s="912"/>
      <c r="J102" s="859"/>
      <c r="K102" s="860"/>
    </row>
    <row r="103" spans="1:11" s="977" customFormat="1" ht="15.75" x14ac:dyDescent="0.25">
      <c r="A103" s="857"/>
      <c r="B103" s="857"/>
      <c r="C103" s="858"/>
      <c r="D103" s="891"/>
      <c r="E103" s="924"/>
      <c r="F103" s="893"/>
      <c r="G103" s="852"/>
      <c r="H103" s="855"/>
      <c r="I103" s="861"/>
      <c r="J103" s="875"/>
      <c r="K103" s="870"/>
    </row>
    <row r="104" spans="1:11" s="977" customFormat="1" ht="15.75" x14ac:dyDescent="0.25">
      <c r="A104" s="857"/>
      <c r="B104" s="857"/>
      <c r="C104" s="858"/>
      <c r="D104" s="891"/>
      <c r="E104" s="924"/>
      <c r="F104" s="893"/>
      <c r="G104" s="852"/>
      <c r="H104" s="855"/>
      <c r="I104" s="910"/>
      <c r="J104" s="869"/>
      <c r="K104" s="870"/>
    </row>
    <row r="105" spans="1:11" s="977" customFormat="1" ht="15.75" x14ac:dyDescent="0.25">
      <c r="A105" s="857"/>
      <c r="B105" s="857"/>
      <c r="C105" s="858"/>
      <c r="D105" s="891"/>
      <c r="E105" s="924"/>
      <c r="F105" s="893"/>
      <c r="G105" s="852"/>
      <c r="H105" s="855"/>
      <c r="I105" s="861"/>
      <c r="J105" s="875"/>
      <c r="K105" s="870"/>
    </row>
    <row r="106" spans="1:11" s="977" customFormat="1" ht="15.75" x14ac:dyDescent="0.25">
      <c r="A106" s="857"/>
      <c r="B106" s="857"/>
      <c r="C106" s="858"/>
      <c r="D106" s="891"/>
      <c r="E106" s="924"/>
      <c r="F106" s="893"/>
      <c r="G106" s="852"/>
      <c r="H106" s="855"/>
      <c r="I106" s="861"/>
      <c r="J106" s="875"/>
      <c r="K106" s="870"/>
    </row>
    <row r="107" spans="1:11" s="977" customFormat="1" ht="15.75" x14ac:dyDescent="0.25">
      <c r="A107" s="857"/>
      <c r="B107" s="857"/>
      <c r="C107" s="858"/>
      <c r="D107" s="891"/>
      <c r="E107" s="924"/>
      <c r="F107" s="893"/>
      <c r="G107" s="852"/>
      <c r="H107" s="855"/>
      <c r="I107" s="925"/>
      <c r="J107" s="869"/>
      <c r="K107" s="870"/>
    </row>
    <row r="108" spans="1:11" s="977" customFormat="1" ht="15.75" x14ac:dyDescent="0.25">
      <c r="A108" s="857"/>
      <c r="B108" s="857"/>
      <c r="C108" s="858"/>
      <c r="D108" s="891"/>
      <c r="E108" s="924"/>
      <c r="F108" s="893"/>
      <c r="G108" s="852"/>
      <c r="H108" s="855"/>
      <c r="I108" s="926"/>
      <c r="J108" s="875"/>
      <c r="K108" s="870"/>
    </row>
    <row r="109" spans="1:11" s="977" customFormat="1" ht="15.75" x14ac:dyDescent="0.25">
      <c r="A109" s="857"/>
      <c r="B109" s="857"/>
      <c r="C109" s="858"/>
      <c r="D109" s="858"/>
      <c r="E109" s="924"/>
      <c r="F109" s="859"/>
      <c r="G109" s="852"/>
      <c r="H109" s="855"/>
      <c r="I109" s="925"/>
      <c r="J109" s="869"/>
      <c r="K109" s="870"/>
    </row>
    <row r="110" spans="1:11" s="977" customFormat="1" ht="15.75" x14ac:dyDescent="0.25">
      <c r="A110" s="858"/>
      <c r="B110" s="858"/>
      <c r="C110" s="858"/>
      <c r="D110" s="858"/>
      <c r="E110" s="852"/>
      <c r="F110" s="852"/>
      <c r="G110" s="852"/>
      <c r="H110" s="852"/>
      <c r="I110" s="868"/>
      <c r="J110" s="852"/>
      <c r="K110" s="854"/>
    </row>
    <row r="111" spans="1:11" s="977" customFormat="1" ht="15.75" x14ac:dyDescent="0.25">
      <c r="A111" s="857"/>
      <c r="B111" s="857"/>
      <c r="C111" s="858"/>
      <c r="D111" s="858"/>
      <c r="E111" s="424"/>
      <c r="F111" s="859"/>
      <c r="G111" s="852"/>
      <c r="H111" s="872"/>
      <c r="I111" s="868"/>
      <c r="J111" s="873"/>
      <c r="K111" s="874"/>
    </row>
    <row r="112" spans="1:11" s="977" customFormat="1" ht="15.75" x14ac:dyDescent="0.25">
      <c r="A112" s="857"/>
      <c r="B112" s="857"/>
      <c r="C112" s="858"/>
      <c r="D112" s="858"/>
      <c r="E112" s="852"/>
      <c r="F112" s="852"/>
      <c r="G112" s="852"/>
      <c r="H112" s="872"/>
      <c r="I112" s="868"/>
      <c r="J112" s="873"/>
      <c r="K112" s="874"/>
    </row>
    <row r="113" spans="1:11" s="977" customFormat="1" ht="15.75" x14ac:dyDescent="0.25">
      <c r="A113" s="857"/>
      <c r="B113" s="857"/>
      <c r="C113" s="858"/>
      <c r="D113" s="858"/>
      <c r="E113" s="852"/>
      <c r="F113" s="852"/>
      <c r="G113" s="852"/>
      <c r="H113" s="872"/>
      <c r="I113" s="868"/>
      <c r="J113" s="873"/>
      <c r="K113" s="874"/>
    </row>
    <row r="114" spans="1:11" s="977" customFormat="1" ht="15.75" x14ac:dyDescent="0.25">
      <c r="A114" s="857"/>
      <c r="B114" s="857"/>
      <c r="C114" s="858"/>
      <c r="D114" s="858"/>
      <c r="E114" s="852"/>
      <c r="F114" s="852"/>
      <c r="G114" s="852"/>
      <c r="H114" s="872"/>
      <c r="I114" s="868"/>
      <c r="J114" s="873"/>
      <c r="K114" s="874"/>
    </row>
    <row r="115" spans="1:11" s="977" customFormat="1" ht="15.75" x14ac:dyDescent="0.25">
      <c r="A115" s="857"/>
      <c r="B115" s="857"/>
      <c r="C115" s="858"/>
      <c r="D115" s="858"/>
      <c r="E115" s="852"/>
      <c r="F115" s="852"/>
      <c r="G115" s="852"/>
      <c r="H115" s="872"/>
      <c r="I115" s="868"/>
      <c r="J115" s="873"/>
      <c r="K115" s="874"/>
    </row>
    <row r="116" spans="1:11" s="977" customFormat="1" ht="15.75" x14ac:dyDescent="0.25">
      <c r="A116" s="857"/>
      <c r="B116" s="857"/>
      <c r="C116" s="858"/>
      <c r="D116" s="858"/>
      <c r="E116" s="852"/>
      <c r="F116" s="852"/>
      <c r="G116" s="852"/>
      <c r="H116" s="872"/>
      <c r="I116" s="868"/>
      <c r="J116" s="873"/>
      <c r="K116" s="874"/>
    </row>
    <row r="117" spans="1:11" s="977" customFormat="1" ht="15.75" x14ac:dyDescent="0.25">
      <c r="A117" s="857"/>
      <c r="B117" s="857"/>
      <c r="C117" s="911"/>
      <c r="D117" s="858"/>
      <c r="E117" s="852"/>
      <c r="F117" s="852"/>
      <c r="G117" s="852"/>
      <c r="H117" s="872"/>
      <c r="I117" s="868"/>
      <c r="J117" s="875"/>
      <c r="K117" s="874"/>
    </row>
    <row r="118" spans="1:11" s="977" customFormat="1" ht="15.75" x14ac:dyDescent="0.25">
      <c r="A118" s="858"/>
      <c r="B118" s="858"/>
      <c r="C118" s="858"/>
      <c r="D118" s="858"/>
      <c r="E118" s="852"/>
      <c r="F118" s="852"/>
      <c r="G118" s="852"/>
      <c r="H118" s="852"/>
      <c r="I118" s="868"/>
      <c r="J118" s="852"/>
      <c r="K118" s="854"/>
    </row>
    <row r="119" spans="1:11" s="977" customFormat="1" ht="15.75" x14ac:dyDescent="0.25">
      <c r="A119" s="857"/>
      <c r="B119" s="857"/>
      <c r="C119" s="911"/>
      <c r="D119" s="858"/>
      <c r="E119" s="872"/>
      <c r="F119" s="852"/>
      <c r="G119" s="852"/>
      <c r="H119" s="872"/>
      <c r="I119" s="868"/>
      <c r="J119" s="873"/>
      <c r="K119" s="874"/>
    </row>
    <row r="120" spans="1:11" s="977" customFormat="1" ht="15.75" x14ac:dyDescent="0.25">
      <c r="A120" s="857"/>
      <c r="B120" s="857"/>
      <c r="C120" s="858"/>
      <c r="D120" s="858"/>
      <c r="E120" s="927"/>
      <c r="F120" s="424"/>
      <c r="G120" s="852"/>
      <c r="H120" s="872"/>
      <c r="I120" s="856"/>
      <c r="J120" s="877"/>
      <c r="K120" s="874"/>
    </row>
    <row r="121" spans="1:11" s="977" customFormat="1" ht="15.75" x14ac:dyDescent="0.25">
      <c r="A121" s="857"/>
      <c r="B121" s="857"/>
      <c r="C121" s="858"/>
      <c r="D121" s="858"/>
      <c r="E121" s="927"/>
      <c r="F121" s="424"/>
      <c r="G121" s="852"/>
      <c r="H121" s="872"/>
      <c r="I121" s="926"/>
      <c r="J121" s="877"/>
      <c r="K121" s="874"/>
    </row>
    <row r="122" spans="1:11" s="977" customFormat="1" ht="15.75" x14ac:dyDescent="0.25">
      <c r="A122" s="857"/>
      <c r="B122" s="857"/>
      <c r="C122" s="858"/>
      <c r="D122" s="858"/>
      <c r="E122" s="927"/>
      <c r="F122" s="424"/>
      <c r="G122" s="852"/>
      <c r="H122" s="872"/>
      <c r="I122" s="926"/>
      <c r="J122" s="877"/>
      <c r="K122" s="874"/>
    </row>
    <row r="123" spans="1:11" s="977" customFormat="1" ht="15.75" x14ac:dyDescent="0.25">
      <c r="A123" s="857"/>
      <c r="B123" s="857"/>
      <c r="C123" s="858"/>
      <c r="D123" s="858"/>
      <c r="E123" s="927"/>
      <c r="F123" s="424"/>
      <c r="G123" s="424"/>
      <c r="H123" s="855"/>
      <c r="I123" s="926"/>
      <c r="J123" s="875"/>
      <c r="K123" s="874"/>
    </row>
    <row r="124" spans="1:11" s="977" customFormat="1" ht="15.75" x14ac:dyDescent="0.25">
      <c r="A124" s="857"/>
      <c r="B124" s="857"/>
      <c r="C124" s="858"/>
      <c r="D124" s="858"/>
      <c r="E124" s="927"/>
      <c r="F124" s="424"/>
      <c r="G124" s="852"/>
      <c r="H124" s="855"/>
      <c r="I124" s="926"/>
      <c r="J124" s="875"/>
      <c r="K124" s="874"/>
    </row>
    <row r="125" spans="1:11" s="977" customFormat="1" ht="15.75" x14ac:dyDescent="0.25">
      <c r="A125" s="858"/>
      <c r="B125" s="858"/>
      <c r="C125" s="858"/>
      <c r="D125" s="858"/>
      <c r="E125" s="852"/>
      <c r="F125" s="852"/>
      <c r="G125" s="852"/>
      <c r="H125" s="852"/>
      <c r="I125" s="868"/>
      <c r="J125" s="852"/>
      <c r="K125" s="854"/>
    </row>
    <row r="126" spans="1:11" s="977" customFormat="1" ht="15.75" x14ac:dyDescent="0.25">
      <c r="A126" s="857"/>
      <c r="B126" s="857"/>
      <c r="C126" s="858"/>
      <c r="D126" s="858"/>
      <c r="E126" s="859"/>
      <c r="F126" s="859"/>
      <c r="G126" s="859"/>
      <c r="H126" s="855"/>
      <c r="I126" s="856"/>
      <c r="J126" s="869"/>
      <c r="K126" s="870"/>
    </row>
    <row r="127" spans="1:11" s="977" customFormat="1" ht="15.75" x14ac:dyDescent="0.25">
      <c r="A127" s="857"/>
      <c r="B127" s="857"/>
      <c r="C127" s="858"/>
      <c r="D127" s="858"/>
      <c r="E127" s="859"/>
      <c r="F127" s="859"/>
      <c r="G127" s="859"/>
      <c r="H127" s="855"/>
      <c r="I127" s="861"/>
      <c r="J127" s="875"/>
      <c r="K127" s="870"/>
    </row>
    <row r="128" spans="1:11" s="977" customFormat="1" ht="15.75" x14ac:dyDescent="0.25">
      <c r="A128" s="857"/>
      <c r="B128" s="857"/>
      <c r="C128" s="858"/>
      <c r="D128" s="858"/>
      <c r="E128" s="859"/>
      <c r="F128" s="859"/>
      <c r="G128" s="859"/>
      <c r="H128" s="855"/>
      <c r="I128" s="925"/>
      <c r="J128" s="869"/>
      <c r="K128" s="870"/>
    </row>
    <row r="129" spans="1:11" s="977" customFormat="1" ht="15.75" x14ac:dyDescent="0.25">
      <c r="A129" s="857"/>
      <c r="B129" s="857"/>
      <c r="C129" s="858"/>
      <c r="D129" s="858"/>
      <c r="E129" s="859"/>
      <c r="F129" s="859"/>
      <c r="G129" s="859"/>
      <c r="H129" s="855"/>
      <c r="I129" s="861"/>
      <c r="J129" s="875"/>
      <c r="K129" s="870"/>
    </row>
    <row r="130" spans="1:11" s="977" customFormat="1" ht="15.75" x14ac:dyDescent="0.25">
      <c r="A130" s="857"/>
      <c r="B130" s="857"/>
      <c r="C130" s="858"/>
      <c r="D130" s="858"/>
      <c r="E130" s="859"/>
      <c r="F130" s="859"/>
      <c r="G130" s="859"/>
      <c r="H130" s="855"/>
      <c r="I130" s="856"/>
      <c r="J130" s="869"/>
      <c r="K130" s="870"/>
    </row>
    <row r="131" spans="1:11" s="977" customFormat="1" ht="15.75" x14ac:dyDescent="0.25">
      <c r="A131" s="858"/>
      <c r="B131" s="858"/>
      <c r="C131" s="858"/>
      <c r="D131" s="858"/>
      <c r="E131" s="852"/>
      <c r="F131" s="852"/>
      <c r="G131" s="852"/>
      <c r="H131" s="852"/>
      <c r="I131" s="868"/>
      <c r="J131" s="852"/>
      <c r="K131" s="854"/>
    </row>
    <row r="132" spans="1:11" s="977" customFormat="1" ht="15.75" x14ac:dyDescent="0.25">
      <c r="A132" s="857"/>
      <c r="B132" s="857"/>
      <c r="C132" s="858"/>
      <c r="D132" s="858"/>
      <c r="E132" s="852"/>
      <c r="F132" s="852"/>
      <c r="G132" s="852"/>
      <c r="H132" s="872"/>
      <c r="I132" s="868"/>
      <c r="J132" s="873"/>
      <c r="K132" s="874"/>
    </row>
    <row r="133" spans="1:11" s="977" customFormat="1" ht="15.75" x14ac:dyDescent="0.25">
      <c r="A133" s="857"/>
      <c r="B133" s="857"/>
      <c r="C133" s="858"/>
      <c r="D133" s="858"/>
      <c r="E133" s="859"/>
      <c r="F133" s="859"/>
      <c r="G133" s="859"/>
      <c r="H133" s="908"/>
      <c r="I133" s="861"/>
      <c r="J133" s="875"/>
      <c r="K133" s="870"/>
    </row>
    <row r="134" spans="1:11" s="977" customFormat="1" ht="15.75" x14ac:dyDescent="0.25">
      <c r="A134" s="857"/>
      <c r="B134" s="857"/>
      <c r="C134" s="858"/>
      <c r="D134" s="858"/>
      <c r="E134" s="424"/>
      <c r="F134" s="424"/>
      <c r="G134" s="859"/>
      <c r="H134" s="855"/>
      <c r="I134" s="856"/>
      <c r="J134" s="875"/>
      <c r="K134" s="870"/>
    </row>
    <row r="135" spans="1:11" s="977" customFormat="1" ht="15.75" x14ac:dyDescent="0.25">
      <c r="A135" s="857"/>
      <c r="B135" s="857"/>
      <c r="C135" s="858"/>
      <c r="D135" s="858"/>
      <c r="E135" s="859"/>
      <c r="F135" s="928"/>
      <c r="G135" s="859"/>
      <c r="H135" s="908"/>
      <c r="I135" s="856"/>
      <c r="J135" s="869"/>
      <c r="K135" s="870"/>
    </row>
    <row r="136" spans="1:11" s="977" customFormat="1" ht="15.75" x14ac:dyDescent="0.25">
      <c r="A136" s="857"/>
      <c r="B136" s="857"/>
      <c r="C136" s="858"/>
      <c r="D136" s="858"/>
      <c r="E136" s="859"/>
      <c r="F136" s="859"/>
      <c r="G136" s="859"/>
      <c r="H136" s="855"/>
      <c r="I136" s="925"/>
      <c r="J136" s="869"/>
      <c r="K136" s="870"/>
    </row>
    <row r="137" spans="1:11" s="977" customFormat="1" ht="15.75" x14ac:dyDescent="0.25">
      <c r="A137" s="857"/>
      <c r="B137" s="857"/>
      <c r="C137" s="858"/>
      <c r="D137" s="858"/>
      <c r="E137" s="859"/>
      <c r="F137" s="859"/>
      <c r="G137" s="859"/>
      <c r="H137" s="855"/>
      <c r="I137" s="868"/>
      <c r="J137" s="869"/>
      <c r="K137" s="870"/>
    </row>
    <row r="138" spans="1:11" s="977" customFormat="1" ht="15.75" x14ac:dyDescent="0.25">
      <c r="A138" s="857"/>
      <c r="B138" s="857"/>
      <c r="C138" s="858"/>
      <c r="D138" s="858"/>
      <c r="E138" s="859"/>
      <c r="F138" s="859"/>
      <c r="G138" s="859"/>
      <c r="H138" s="908"/>
      <c r="I138" s="861"/>
      <c r="J138" s="875"/>
      <c r="K138" s="870"/>
    </row>
    <row r="139" spans="1:11" s="977" customFormat="1" ht="15.75" x14ac:dyDescent="0.25">
      <c r="A139" s="857"/>
      <c r="B139" s="857"/>
      <c r="C139" s="858"/>
      <c r="D139" s="858"/>
      <c r="E139" s="859"/>
      <c r="F139" s="424"/>
      <c r="G139" s="859"/>
      <c r="H139" s="855"/>
      <c r="I139" s="861"/>
      <c r="J139" s="875"/>
      <c r="K139" s="870"/>
    </row>
    <row r="140" spans="1:11" s="977" customFormat="1" ht="15.75" x14ac:dyDescent="0.25">
      <c r="A140" s="858"/>
      <c r="B140" s="858"/>
      <c r="C140" s="858"/>
      <c r="D140" s="858"/>
      <c r="E140" s="852"/>
      <c r="F140" s="852"/>
      <c r="G140" s="922"/>
      <c r="H140" s="922"/>
      <c r="I140" s="868"/>
      <c r="J140" s="852"/>
      <c r="K140" s="854"/>
    </row>
    <row r="141" spans="1:11" s="977" customFormat="1" ht="15.75" x14ac:dyDescent="0.25">
      <c r="A141" s="857"/>
      <c r="B141" s="857"/>
      <c r="C141" s="858"/>
      <c r="D141" s="858"/>
      <c r="E141" s="424"/>
      <c r="F141" s="929"/>
      <c r="G141" s="431"/>
      <c r="H141" s="930"/>
      <c r="I141" s="931"/>
      <c r="J141" s="875"/>
      <c r="K141" s="870"/>
    </row>
    <row r="142" spans="1:11" s="977" customFormat="1" ht="15.75" x14ac:dyDescent="0.25">
      <c r="A142" s="857"/>
      <c r="B142" s="857"/>
      <c r="C142" s="858"/>
      <c r="D142" s="858"/>
      <c r="E142" s="932"/>
      <c r="F142" s="933"/>
      <c r="G142" s="934"/>
      <c r="H142" s="935"/>
      <c r="I142" s="931"/>
      <c r="J142" s="875"/>
      <c r="K142" s="870"/>
    </row>
    <row r="143" spans="1:11" s="977" customFormat="1" ht="15.75" x14ac:dyDescent="0.25">
      <c r="A143" s="857"/>
      <c r="B143" s="857"/>
      <c r="C143" s="858"/>
      <c r="D143" s="891"/>
      <c r="E143" s="936"/>
      <c r="F143" s="936"/>
      <c r="G143" s="936"/>
      <c r="H143" s="930"/>
      <c r="I143" s="931"/>
      <c r="J143" s="875"/>
      <c r="K143" s="870"/>
    </row>
    <row r="144" spans="1:11" s="977" customFormat="1" ht="15.75" x14ac:dyDescent="0.25">
      <c r="A144" s="857"/>
      <c r="B144" s="857"/>
      <c r="C144" s="858"/>
      <c r="D144" s="891"/>
      <c r="E144" s="936"/>
      <c r="F144" s="936"/>
      <c r="G144" s="936"/>
      <c r="H144" s="930"/>
      <c r="I144" s="861"/>
      <c r="J144" s="869"/>
      <c r="K144" s="870"/>
    </row>
    <row r="145" spans="1:11" s="977" customFormat="1" ht="15.75" x14ac:dyDescent="0.25">
      <c r="A145" s="857"/>
      <c r="B145" s="857"/>
      <c r="C145" s="858"/>
      <c r="D145" s="858"/>
      <c r="E145" s="937"/>
      <c r="F145" s="937"/>
      <c r="G145" s="937"/>
      <c r="H145" s="938"/>
      <c r="I145" s="931"/>
      <c r="J145" s="875"/>
      <c r="K145" s="870"/>
    </row>
    <row r="146" spans="1:11" s="977" customFormat="1" ht="15.75" x14ac:dyDescent="0.25">
      <c r="A146" s="857"/>
      <c r="B146" s="857"/>
      <c r="C146" s="858"/>
      <c r="D146" s="858"/>
      <c r="E146" s="859"/>
      <c r="F146" s="859"/>
      <c r="G146" s="859"/>
      <c r="H146" s="855"/>
      <c r="I146" s="861"/>
      <c r="J146" s="875"/>
      <c r="K146" s="870"/>
    </row>
    <row r="147" spans="1:11" s="977" customFormat="1" ht="15.75" x14ac:dyDescent="0.25">
      <c r="A147" s="857"/>
      <c r="B147" s="857"/>
      <c r="C147" s="858"/>
      <c r="D147" s="858"/>
      <c r="E147" s="859"/>
      <c r="F147" s="859"/>
      <c r="G147" s="859"/>
      <c r="H147" s="855"/>
      <c r="I147" s="861"/>
      <c r="J147" s="869"/>
      <c r="K147" s="870"/>
    </row>
    <row r="148" spans="1:11" s="977" customFormat="1" ht="15.75" x14ac:dyDescent="0.25">
      <c r="A148" s="857"/>
      <c r="B148" s="857"/>
      <c r="C148" s="858"/>
      <c r="D148" s="858"/>
      <c r="E148" s="424"/>
      <c r="F148" s="859"/>
      <c r="G148" s="859"/>
      <c r="H148" s="855"/>
      <c r="I148" s="856"/>
      <c r="J148" s="869"/>
      <c r="K148" s="870"/>
    </row>
    <row r="149" spans="1:11" s="977" customFormat="1" ht="15.75" x14ac:dyDescent="0.25">
      <c r="A149" s="858"/>
      <c r="B149" s="858"/>
      <c r="C149" s="858"/>
      <c r="D149" s="858"/>
      <c r="E149" s="852"/>
      <c r="F149" s="852"/>
      <c r="G149" s="852"/>
      <c r="H149" s="852"/>
      <c r="I149" s="868"/>
      <c r="J149" s="852"/>
      <c r="K149" s="854"/>
    </row>
    <row r="150" spans="1:11" s="977" customFormat="1" ht="15.75" x14ac:dyDescent="0.25">
      <c r="A150" s="857"/>
      <c r="B150" s="857"/>
      <c r="C150" s="858"/>
      <c r="D150" s="858"/>
      <c r="E150" s="859"/>
      <c r="F150" s="933"/>
      <c r="G150" s="859"/>
      <c r="H150" s="855"/>
      <c r="I150" s="868"/>
      <c r="J150" s="877"/>
      <c r="K150" s="939"/>
    </row>
    <row r="151" spans="1:11" s="977" customFormat="1" ht="15.75" x14ac:dyDescent="0.25">
      <c r="A151" s="857"/>
      <c r="B151" s="857"/>
      <c r="C151" s="858"/>
      <c r="D151" s="858"/>
      <c r="E151" s="859"/>
      <c r="F151" s="859"/>
      <c r="G151" s="859"/>
      <c r="H151" s="855"/>
      <c r="I151" s="868"/>
      <c r="J151" s="869"/>
      <c r="K151" s="870"/>
    </row>
    <row r="152" spans="1:11" s="977" customFormat="1" ht="15.75" x14ac:dyDescent="0.25">
      <c r="A152" s="857"/>
      <c r="B152" s="857"/>
      <c r="C152" s="858"/>
      <c r="D152" s="858"/>
      <c r="E152" s="858"/>
      <c r="F152" s="886"/>
      <c r="G152" s="858"/>
      <c r="H152" s="940"/>
      <c r="I152" s="861"/>
      <c r="J152" s="869"/>
      <c r="K152" s="870"/>
    </row>
    <row r="153" spans="1:11" s="977" customFormat="1" ht="15.75" x14ac:dyDescent="0.25">
      <c r="A153" s="857"/>
      <c r="B153" s="857"/>
      <c r="C153" s="858"/>
      <c r="D153" s="858"/>
      <c r="E153" s="929"/>
      <c r="F153" s="941"/>
      <c r="G153" s="893"/>
      <c r="H153" s="855"/>
      <c r="I153" s="861"/>
      <c r="J153" s="869"/>
      <c r="K153" s="870"/>
    </row>
    <row r="154" spans="1:11" s="977" customFormat="1" ht="15.75" x14ac:dyDescent="0.25">
      <c r="A154" s="857"/>
      <c r="B154" s="857"/>
      <c r="C154" s="858"/>
      <c r="D154" s="858"/>
      <c r="E154" s="929"/>
      <c r="F154" s="941"/>
      <c r="G154" s="893"/>
      <c r="H154" s="855"/>
      <c r="I154" s="868"/>
      <c r="J154" s="875"/>
      <c r="K154" s="870"/>
    </row>
    <row r="155" spans="1:11" s="977" customFormat="1" ht="15.75" x14ac:dyDescent="0.25">
      <c r="A155" s="857"/>
      <c r="B155" s="857"/>
      <c r="C155" s="858"/>
      <c r="D155" s="858"/>
      <c r="E155" s="942"/>
      <c r="F155" s="943"/>
      <c r="G155" s="896"/>
      <c r="H155" s="944"/>
      <c r="I155" s="861"/>
      <c r="J155" s="875"/>
      <c r="K155" s="870"/>
    </row>
    <row r="156" spans="1:11" s="977" customFormat="1" ht="15.75" x14ac:dyDescent="0.25">
      <c r="A156" s="857"/>
      <c r="B156" s="857"/>
      <c r="C156" s="858"/>
      <c r="D156" s="891"/>
      <c r="E156" s="936"/>
      <c r="F156" s="941"/>
      <c r="G156" s="936"/>
      <c r="H156" s="930"/>
      <c r="I156" s="861"/>
      <c r="J156" s="876"/>
      <c r="K156" s="870"/>
    </row>
    <row r="157" spans="1:11" s="977" customFormat="1" ht="15.75" x14ac:dyDescent="0.25">
      <c r="A157" s="857"/>
      <c r="B157" s="857"/>
      <c r="C157" s="858"/>
      <c r="D157" s="858"/>
      <c r="E157" s="937"/>
      <c r="F157" s="937"/>
      <c r="G157" s="904"/>
      <c r="H157" s="938"/>
      <c r="I157" s="861"/>
      <c r="J157" s="875"/>
      <c r="K157" s="870"/>
    </row>
    <row r="158" spans="1:11" s="977" customFormat="1" ht="15.75" x14ac:dyDescent="0.25">
      <c r="A158" s="858"/>
      <c r="B158" s="858"/>
      <c r="C158" s="858"/>
      <c r="D158" s="858"/>
      <c r="E158" s="852"/>
      <c r="F158" s="852"/>
      <c r="G158" s="852"/>
      <c r="H158" s="852"/>
      <c r="I158" s="868"/>
      <c r="J158" s="852"/>
      <c r="K158" s="854"/>
    </row>
    <row r="159" spans="1:11" s="977" customFormat="1" ht="15.75" x14ac:dyDescent="0.25">
      <c r="A159" s="857"/>
      <c r="B159" s="857"/>
      <c r="C159" s="858"/>
      <c r="D159" s="858"/>
      <c r="E159" s="852"/>
      <c r="F159" s="852"/>
      <c r="G159" s="852"/>
      <c r="H159" s="872"/>
      <c r="I159" s="868"/>
      <c r="J159" s="873"/>
      <c r="K159" s="874"/>
    </row>
    <row r="160" spans="1:11" s="977" customFormat="1" ht="15.75" x14ac:dyDescent="0.25">
      <c r="A160" s="857"/>
      <c r="B160" s="857"/>
      <c r="C160" s="858"/>
      <c r="D160" s="858"/>
      <c r="E160" s="859"/>
      <c r="F160" s="859"/>
      <c r="G160" s="859"/>
      <c r="H160" s="855"/>
      <c r="I160" s="861"/>
      <c r="J160" s="869"/>
      <c r="K160" s="870"/>
    </row>
    <row r="161" spans="1:11" s="977" customFormat="1" ht="15.75" x14ac:dyDescent="0.25">
      <c r="A161" s="857"/>
      <c r="B161" s="857"/>
      <c r="C161" s="858"/>
      <c r="D161" s="858"/>
      <c r="E161" s="859"/>
      <c r="F161" s="859"/>
      <c r="G161" s="859"/>
      <c r="H161" s="855"/>
      <c r="I161" s="856"/>
      <c r="J161" s="869"/>
      <c r="K161" s="870"/>
    </row>
    <row r="162" spans="1:11" s="977" customFormat="1" ht="15.75" x14ac:dyDescent="0.25">
      <c r="A162" s="857"/>
      <c r="B162" s="857"/>
      <c r="C162" s="858"/>
      <c r="D162" s="858"/>
      <c r="E162" s="859"/>
      <c r="F162" s="927"/>
      <c r="G162" s="859"/>
      <c r="H162" s="855"/>
      <c r="I162" s="861"/>
      <c r="J162" s="869"/>
      <c r="K162" s="870"/>
    </row>
    <row r="163" spans="1:11" s="977" customFormat="1" ht="15.75" x14ac:dyDescent="0.25">
      <c r="A163" s="857"/>
      <c r="B163" s="857"/>
      <c r="C163" s="858"/>
      <c r="D163" s="858"/>
      <c r="E163" s="859"/>
      <c r="F163" s="859"/>
      <c r="G163" s="859"/>
      <c r="H163" s="855"/>
      <c r="I163" s="861"/>
      <c r="J163" s="869"/>
      <c r="K163" s="870"/>
    </row>
    <row r="164" spans="1:11" s="977" customFormat="1" ht="15.75" x14ac:dyDescent="0.25">
      <c r="A164" s="857"/>
      <c r="B164" s="857"/>
      <c r="C164" s="858"/>
      <c r="D164" s="858"/>
      <c r="E164" s="859"/>
      <c r="F164" s="859"/>
      <c r="G164" s="859"/>
      <c r="H164" s="855"/>
      <c r="I164" s="861"/>
      <c r="J164" s="869"/>
      <c r="K164" s="870"/>
    </row>
    <row r="165" spans="1:11" s="977" customFormat="1" ht="15.75" x14ac:dyDescent="0.25">
      <c r="A165" s="858"/>
      <c r="B165" s="858"/>
      <c r="C165" s="858"/>
      <c r="D165" s="858"/>
      <c r="E165" s="852"/>
      <c r="F165" s="852"/>
      <c r="G165" s="852"/>
      <c r="H165" s="852"/>
      <c r="I165" s="868"/>
      <c r="J165" s="852"/>
      <c r="K165" s="854"/>
    </row>
    <row r="166" spans="1:11" s="977" customFormat="1" ht="15.75" x14ac:dyDescent="0.25">
      <c r="A166" s="857"/>
      <c r="B166" s="857"/>
      <c r="C166" s="858"/>
      <c r="D166" s="858"/>
      <c r="E166" s="859"/>
      <c r="F166" s="932"/>
      <c r="G166" s="852"/>
      <c r="H166" s="855"/>
      <c r="I166" s="861"/>
      <c r="J166" s="869"/>
      <c r="K166" s="870"/>
    </row>
    <row r="167" spans="1:11" s="977" customFormat="1" ht="15.75" x14ac:dyDescent="0.25">
      <c r="A167" s="857"/>
      <c r="B167" s="857"/>
      <c r="C167" s="858"/>
      <c r="D167" s="858"/>
      <c r="E167" s="929"/>
      <c r="F167" s="941"/>
      <c r="G167" s="893"/>
      <c r="H167" s="855"/>
      <c r="I167" s="861"/>
      <c r="J167" s="869"/>
      <c r="K167" s="870"/>
    </row>
    <row r="168" spans="1:11" s="977" customFormat="1" ht="15.75" x14ac:dyDescent="0.25">
      <c r="A168" s="857"/>
      <c r="B168" s="857"/>
      <c r="C168" s="858"/>
      <c r="D168" s="858"/>
      <c r="E168" s="929"/>
      <c r="F168" s="941"/>
      <c r="G168" s="893"/>
      <c r="H168" s="855"/>
      <c r="I168" s="861"/>
      <c r="J168" s="875"/>
      <c r="K168" s="870"/>
    </row>
    <row r="169" spans="1:11" s="977" customFormat="1" ht="15.75" x14ac:dyDescent="0.25">
      <c r="A169" s="857"/>
      <c r="B169" s="857"/>
      <c r="C169" s="858"/>
      <c r="D169" s="858"/>
      <c r="E169" s="859"/>
      <c r="F169" s="945"/>
      <c r="G169" s="859"/>
      <c r="H169" s="855"/>
      <c r="I169" s="861"/>
      <c r="J169" s="869"/>
      <c r="K169" s="870"/>
    </row>
    <row r="170" spans="1:11" s="977" customFormat="1" ht="15.75" x14ac:dyDescent="0.25">
      <c r="A170" s="857"/>
      <c r="B170" s="857"/>
      <c r="C170" s="858"/>
      <c r="D170" s="858"/>
      <c r="E170" s="929"/>
      <c r="F170" s="941"/>
      <c r="G170" s="893"/>
      <c r="H170" s="855"/>
      <c r="I170" s="861"/>
      <c r="J170" s="869"/>
      <c r="K170" s="870"/>
    </row>
    <row r="171" spans="1:11" s="977" customFormat="1" ht="15.75" x14ac:dyDescent="0.25">
      <c r="A171" s="857"/>
      <c r="B171" s="857"/>
      <c r="C171" s="858"/>
      <c r="D171" s="858"/>
      <c r="E171" s="946"/>
      <c r="F171" s="941"/>
      <c r="G171" s="893"/>
      <c r="H171" s="855"/>
      <c r="I171" s="861"/>
      <c r="J171" s="875"/>
      <c r="K171" s="870"/>
    </row>
    <row r="172" spans="1:11" s="977" customFormat="1" ht="15.75" x14ac:dyDescent="0.25">
      <c r="A172" s="857"/>
      <c r="B172" s="857"/>
      <c r="C172" s="858"/>
      <c r="D172" s="858"/>
      <c r="E172" s="929"/>
      <c r="F172" s="941"/>
      <c r="G172" s="893"/>
      <c r="H172" s="855"/>
      <c r="I172" s="861"/>
      <c r="J172" s="875"/>
      <c r="K172" s="870"/>
    </row>
    <row r="173" spans="1:11" s="977" customFormat="1" ht="15.75" x14ac:dyDescent="0.25">
      <c r="A173" s="857"/>
      <c r="B173" s="857"/>
      <c r="C173" s="858"/>
      <c r="D173" s="858"/>
      <c r="E173" s="929"/>
      <c r="F173" s="941"/>
      <c r="G173" s="893"/>
      <c r="H173" s="855"/>
      <c r="I173" s="861"/>
      <c r="J173" s="869"/>
      <c r="K173" s="870"/>
    </row>
    <row r="174" spans="1:11" s="977" customFormat="1" ht="15.75" x14ac:dyDescent="0.25">
      <c r="A174" s="858"/>
      <c r="B174" s="858"/>
      <c r="C174" s="858"/>
      <c r="D174" s="858"/>
      <c r="E174" s="852"/>
      <c r="F174" s="904"/>
      <c r="G174" s="852"/>
      <c r="H174" s="852"/>
      <c r="I174" s="868"/>
      <c r="J174" s="852"/>
      <c r="K174" s="854"/>
    </row>
    <row r="175" spans="1:11" s="977" customFormat="1" ht="15.75" x14ac:dyDescent="0.25">
      <c r="A175" s="857"/>
      <c r="B175" s="857"/>
      <c r="C175" s="858"/>
      <c r="D175" s="858"/>
      <c r="E175" s="859"/>
      <c r="F175" s="852"/>
      <c r="G175" s="852"/>
      <c r="H175" s="872"/>
      <c r="I175" s="868"/>
      <c r="J175" s="873"/>
      <c r="K175" s="874"/>
    </row>
    <row r="176" spans="1:11" s="977" customFormat="1" ht="15.75" x14ac:dyDescent="0.25">
      <c r="A176" s="857"/>
      <c r="B176" s="857"/>
      <c r="C176" s="858"/>
      <c r="D176" s="858"/>
      <c r="E176" s="852"/>
      <c r="F176" s="852"/>
      <c r="G176" s="852"/>
      <c r="H176" s="872"/>
      <c r="I176" s="868"/>
      <c r="J176" s="869"/>
      <c r="K176" s="870"/>
    </row>
    <row r="177" spans="1:11" s="977" customFormat="1" ht="15.75" x14ac:dyDescent="0.25">
      <c r="A177" s="857"/>
      <c r="B177" s="857"/>
      <c r="C177" s="858"/>
      <c r="D177" s="915"/>
      <c r="E177" s="852"/>
      <c r="F177" s="852"/>
      <c r="G177" s="852"/>
      <c r="H177" s="872"/>
      <c r="I177" s="868"/>
      <c r="J177" s="873"/>
      <c r="K177" s="874"/>
    </row>
    <row r="178" spans="1:11" s="977" customFormat="1" ht="15.75" x14ac:dyDescent="0.25">
      <c r="A178" s="857"/>
      <c r="B178" s="857"/>
      <c r="C178" s="858"/>
      <c r="D178" s="886"/>
      <c r="E178" s="852"/>
      <c r="F178" s="852"/>
      <c r="G178" s="852"/>
      <c r="H178" s="872"/>
      <c r="I178" s="868"/>
      <c r="J178" s="873"/>
      <c r="K178" s="874"/>
    </row>
    <row r="179" spans="1:11" s="977" customFormat="1" ht="15.75" x14ac:dyDescent="0.25">
      <c r="A179" s="857"/>
      <c r="B179" s="890"/>
      <c r="C179" s="891"/>
      <c r="D179" s="918"/>
      <c r="E179" s="898"/>
      <c r="F179" s="852"/>
      <c r="G179" s="852"/>
      <c r="H179" s="872"/>
      <c r="I179" s="868"/>
      <c r="J179" s="873"/>
      <c r="K179" s="874"/>
    </row>
    <row r="180" spans="1:11" s="977" customFormat="1" ht="15.75" x14ac:dyDescent="0.25">
      <c r="A180" s="857"/>
      <c r="B180" s="890"/>
      <c r="C180" s="891"/>
      <c r="D180" s="918"/>
      <c r="E180" s="898"/>
      <c r="F180" s="852"/>
      <c r="G180" s="852"/>
      <c r="H180" s="872"/>
      <c r="I180" s="868"/>
      <c r="J180" s="873"/>
      <c r="K180" s="874"/>
    </row>
    <row r="181" spans="1:11" s="977" customFormat="1" ht="15.75" x14ac:dyDescent="0.25">
      <c r="A181" s="857"/>
      <c r="B181" s="857"/>
      <c r="C181" s="858"/>
      <c r="D181" s="903"/>
      <c r="E181" s="852"/>
      <c r="F181" s="852"/>
      <c r="G181" s="852"/>
      <c r="H181" s="872"/>
      <c r="I181" s="868"/>
      <c r="J181" s="873"/>
      <c r="K181" s="874"/>
    </row>
    <row r="182" spans="1:11" s="977" customFormat="1" ht="15.75" x14ac:dyDescent="0.25">
      <c r="A182" s="857"/>
      <c r="B182" s="857"/>
      <c r="C182" s="858"/>
      <c r="D182" s="858"/>
      <c r="E182" s="852"/>
      <c r="F182" s="852"/>
      <c r="G182" s="852"/>
      <c r="H182" s="872"/>
      <c r="I182" s="868"/>
      <c r="J182" s="873"/>
      <c r="K182" s="874"/>
    </row>
    <row r="183" spans="1:11" s="977" customFormat="1" ht="15.75" x14ac:dyDescent="0.25">
      <c r="A183" s="858"/>
      <c r="B183" s="858"/>
      <c r="C183" s="858"/>
      <c r="D183" s="858"/>
      <c r="E183" s="852"/>
      <c r="F183" s="852"/>
      <c r="G183" s="852"/>
      <c r="H183" s="852"/>
      <c r="I183" s="868"/>
      <c r="J183" s="852"/>
      <c r="K183" s="854"/>
    </row>
    <row r="184" spans="1:11" s="977" customFormat="1" ht="15.75" x14ac:dyDescent="0.25">
      <c r="A184" s="947"/>
      <c r="B184" s="947"/>
      <c r="C184" s="948"/>
      <c r="D184" s="948"/>
      <c r="E184" s="949"/>
      <c r="F184" s="949"/>
      <c r="G184" s="949"/>
      <c r="H184" s="950"/>
      <c r="I184" s="951"/>
      <c r="J184" s="952"/>
      <c r="K184" s="953"/>
    </row>
    <row r="185" spans="1:11" s="977" customFormat="1" ht="15.75" x14ac:dyDescent="0.25">
      <c r="A185" s="947"/>
      <c r="B185" s="947"/>
      <c r="C185" s="948"/>
      <c r="D185" s="948"/>
      <c r="E185" s="949"/>
      <c r="F185" s="949"/>
      <c r="G185" s="949"/>
      <c r="H185" s="950"/>
      <c r="I185" s="951"/>
      <c r="J185" s="952"/>
      <c r="K185" s="953"/>
    </row>
    <row r="186" spans="1:11" s="977" customFormat="1" ht="15.75" x14ac:dyDescent="0.25">
      <c r="A186" s="947"/>
      <c r="B186" s="947"/>
      <c r="C186" s="948"/>
      <c r="D186" s="948"/>
      <c r="E186" s="949"/>
      <c r="F186" s="949"/>
      <c r="G186" s="949"/>
      <c r="H186" s="950"/>
      <c r="I186" s="951"/>
      <c r="J186" s="952"/>
      <c r="K186" s="953"/>
    </row>
    <row r="187" spans="1:11" s="977" customFormat="1" ht="15.75" x14ac:dyDescent="0.25">
      <c r="A187" s="947"/>
      <c r="B187" s="947"/>
      <c r="C187" s="948"/>
      <c r="D187" s="948"/>
      <c r="E187" s="949"/>
      <c r="F187" s="949"/>
      <c r="G187" s="949"/>
      <c r="H187" s="950"/>
      <c r="I187" s="951"/>
      <c r="J187" s="952"/>
      <c r="K187" s="953"/>
    </row>
    <row r="188" spans="1:11" s="977" customFormat="1" ht="15.75" x14ac:dyDescent="0.25">
      <c r="A188" s="947"/>
      <c r="B188" s="947"/>
      <c r="C188" s="948"/>
      <c r="D188" s="948"/>
      <c r="E188" s="949"/>
      <c r="F188" s="949"/>
      <c r="G188" s="949"/>
      <c r="H188" s="950"/>
      <c r="I188" s="951"/>
      <c r="J188" s="952"/>
      <c r="K188" s="953"/>
    </row>
    <row r="189" spans="1:11" s="977" customFormat="1" ht="15.75" x14ac:dyDescent="0.25">
      <c r="A189" s="858"/>
      <c r="B189" s="858"/>
      <c r="C189" s="858"/>
      <c r="D189" s="858"/>
      <c r="E189" s="852"/>
      <c r="F189" s="852"/>
      <c r="G189" s="852"/>
      <c r="H189" s="852"/>
      <c r="I189" s="868"/>
      <c r="J189" s="852"/>
      <c r="K189" s="854"/>
    </row>
    <row r="190" spans="1:11" s="977" customFormat="1" ht="15.75" x14ac:dyDescent="0.25">
      <c r="A190" s="857"/>
      <c r="B190" s="857"/>
      <c r="C190" s="858"/>
      <c r="D190" s="858"/>
      <c r="E190" s="859"/>
      <c r="F190" s="859"/>
      <c r="G190" s="859"/>
      <c r="H190" s="855"/>
      <c r="I190" s="861"/>
      <c r="J190" s="875"/>
      <c r="K190" s="870"/>
    </row>
    <row r="191" spans="1:11" s="977" customFormat="1" ht="15.75" x14ac:dyDescent="0.25">
      <c r="A191" s="857"/>
      <c r="B191" s="857"/>
      <c r="C191" s="858"/>
      <c r="D191" s="858"/>
      <c r="E191" s="859"/>
      <c r="F191" s="859"/>
      <c r="G191" s="859"/>
      <c r="H191" s="855"/>
      <c r="I191" s="954"/>
      <c r="J191" s="875"/>
      <c r="K191" s="870"/>
    </row>
    <row r="192" spans="1:11" s="977" customFormat="1" ht="15.75" x14ac:dyDescent="0.25">
      <c r="A192" s="857"/>
      <c r="B192" s="857"/>
      <c r="C192" s="858"/>
      <c r="D192" s="858"/>
      <c r="E192" s="859"/>
      <c r="F192" s="859"/>
      <c r="G192" s="859"/>
      <c r="H192" s="855"/>
      <c r="I192" s="868"/>
      <c r="J192" s="875"/>
      <c r="K192" s="870"/>
    </row>
    <row r="193" spans="1:11" s="977" customFormat="1" ht="15.75" x14ac:dyDescent="0.25">
      <c r="A193" s="857"/>
      <c r="B193" s="857"/>
      <c r="C193" s="858"/>
      <c r="D193" s="858"/>
      <c r="E193" s="859"/>
      <c r="F193" s="955"/>
      <c r="G193" s="859"/>
      <c r="H193" s="855"/>
      <c r="I193" s="868"/>
      <c r="J193" s="869"/>
      <c r="K193" s="870"/>
    </row>
    <row r="194" spans="1:11" s="977" customFormat="1" ht="15.75" x14ac:dyDescent="0.25">
      <c r="A194" s="857"/>
      <c r="B194" s="857"/>
      <c r="C194" s="858"/>
      <c r="D194" s="858"/>
      <c r="E194" s="859"/>
      <c r="F194" s="859"/>
      <c r="G194" s="859"/>
      <c r="H194" s="855"/>
      <c r="I194" s="861"/>
      <c r="J194" s="875"/>
      <c r="K194" s="870"/>
    </row>
    <row r="195" spans="1:11" s="977" customFormat="1" ht="15.75" x14ac:dyDescent="0.25">
      <c r="A195" s="857"/>
      <c r="B195" s="857"/>
      <c r="C195" s="858"/>
      <c r="D195" s="858"/>
      <c r="E195" s="859"/>
      <c r="F195" s="859"/>
      <c r="G195" s="852"/>
      <c r="H195" s="855"/>
      <c r="I195" s="861"/>
      <c r="J195" s="875"/>
      <c r="K195" s="870"/>
    </row>
    <row r="196" spans="1:11" s="977" customFormat="1" ht="15.75" x14ac:dyDescent="0.25">
      <c r="A196" s="857"/>
      <c r="B196" s="857"/>
      <c r="C196" s="858"/>
      <c r="D196" s="858"/>
      <c r="E196" s="859"/>
      <c r="F196" s="859"/>
      <c r="G196" s="859"/>
      <c r="H196" s="855"/>
      <c r="I196" s="861"/>
      <c r="J196" s="875"/>
      <c r="K196" s="870"/>
    </row>
    <row r="197" spans="1:11" s="977" customFormat="1" ht="15.75" x14ac:dyDescent="0.25">
      <c r="A197" s="857"/>
      <c r="B197" s="857"/>
      <c r="C197" s="858"/>
      <c r="D197" s="858"/>
      <c r="E197" s="859"/>
      <c r="F197" s="859"/>
      <c r="G197" s="859"/>
      <c r="H197" s="855"/>
      <c r="I197" s="861"/>
      <c r="J197" s="869"/>
      <c r="K197" s="870"/>
    </row>
    <row r="198" spans="1:11" s="977" customFormat="1" ht="15.75" x14ac:dyDescent="0.25">
      <c r="A198" s="857"/>
      <c r="B198" s="857"/>
      <c r="C198" s="858"/>
      <c r="D198" s="858"/>
      <c r="E198" s="859"/>
      <c r="F198" s="859"/>
      <c r="G198" s="852"/>
      <c r="H198" s="855"/>
      <c r="I198" s="861"/>
      <c r="J198" s="875"/>
      <c r="K198" s="870"/>
    </row>
    <row r="199" spans="1:11" s="977" customFormat="1" ht="15.75" x14ac:dyDescent="0.25">
      <c r="A199" s="858"/>
      <c r="B199" s="858"/>
      <c r="C199" s="858"/>
      <c r="D199" s="858"/>
      <c r="E199" s="852"/>
      <c r="F199" s="852"/>
      <c r="G199" s="852"/>
      <c r="H199" s="852"/>
      <c r="I199" s="868"/>
      <c r="J199" s="852"/>
      <c r="K199" s="854"/>
    </row>
    <row r="200" spans="1:11" s="977" customFormat="1" ht="15.75" x14ac:dyDescent="0.25">
      <c r="A200" s="857"/>
      <c r="B200" s="857"/>
      <c r="C200" s="858"/>
      <c r="D200" s="858"/>
      <c r="E200" s="859"/>
      <c r="F200" s="859"/>
      <c r="G200" s="859"/>
      <c r="H200" s="855"/>
      <c r="I200" s="956"/>
      <c r="J200" s="869"/>
      <c r="K200" s="870"/>
    </row>
    <row r="201" spans="1:11" s="977" customFormat="1" ht="15.75" x14ac:dyDescent="0.25">
      <c r="A201" s="857"/>
      <c r="B201" s="857"/>
      <c r="C201" s="858"/>
      <c r="D201" s="858"/>
      <c r="E201" s="852"/>
      <c r="F201" s="852"/>
      <c r="G201" s="852"/>
      <c r="H201" s="855"/>
      <c r="I201" s="868"/>
      <c r="J201" s="869"/>
      <c r="K201" s="870"/>
    </row>
    <row r="202" spans="1:11" s="977" customFormat="1" ht="15.75" x14ac:dyDescent="0.25">
      <c r="A202" s="857"/>
      <c r="B202" s="857"/>
      <c r="C202" s="858"/>
      <c r="D202" s="858"/>
      <c r="E202" s="859"/>
      <c r="F202" s="859"/>
      <c r="G202" s="852"/>
      <c r="H202" s="855"/>
      <c r="I202" s="861"/>
      <c r="J202" s="875"/>
      <c r="K202" s="870"/>
    </row>
    <row r="203" spans="1:11" s="977" customFormat="1" ht="15.75" x14ac:dyDescent="0.25">
      <c r="A203" s="857"/>
      <c r="B203" s="857"/>
      <c r="C203" s="858"/>
      <c r="D203" s="858"/>
      <c r="E203" s="859"/>
      <c r="F203" s="859"/>
      <c r="G203" s="859"/>
      <c r="H203" s="855"/>
      <c r="I203" s="861"/>
      <c r="J203" s="869"/>
      <c r="K203" s="870"/>
    </row>
    <row r="204" spans="1:11" s="977" customFormat="1" ht="15.75" x14ac:dyDescent="0.25">
      <c r="A204" s="857"/>
      <c r="B204" s="857"/>
      <c r="C204" s="858"/>
      <c r="D204" s="858"/>
      <c r="E204" s="859"/>
      <c r="F204" s="859"/>
      <c r="G204" s="859"/>
      <c r="H204" s="855"/>
      <c r="I204" s="861"/>
      <c r="J204" s="869"/>
      <c r="K204" s="870"/>
    </row>
    <row r="205" spans="1:11" s="977" customFormat="1" ht="15.75" x14ac:dyDescent="0.25">
      <c r="A205" s="857"/>
      <c r="B205" s="857"/>
      <c r="C205" s="858"/>
      <c r="D205" s="858"/>
      <c r="E205" s="859"/>
      <c r="F205" s="859"/>
      <c r="G205" s="859"/>
      <c r="H205" s="855"/>
      <c r="I205" s="861"/>
      <c r="J205" s="875"/>
      <c r="K205" s="870"/>
    </row>
    <row r="206" spans="1:11" s="977" customFormat="1" ht="15.75" x14ac:dyDescent="0.25">
      <c r="A206" s="857"/>
      <c r="B206" s="857"/>
      <c r="C206" s="858"/>
      <c r="D206" s="858"/>
      <c r="E206" s="859"/>
      <c r="F206" s="859"/>
      <c r="G206" s="859"/>
      <c r="H206" s="855"/>
      <c r="I206" s="868"/>
      <c r="J206" s="869"/>
      <c r="K206" s="870"/>
    </row>
    <row r="207" spans="1:11" s="977" customFormat="1" ht="15.75" x14ac:dyDescent="0.25">
      <c r="A207" s="857"/>
      <c r="B207" s="857"/>
      <c r="C207" s="858"/>
      <c r="D207" s="858"/>
      <c r="E207" s="859"/>
      <c r="F207" s="859"/>
      <c r="G207" s="859"/>
      <c r="H207" s="855"/>
      <c r="I207" s="861"/>
      <c r="J207" s="875"/>
      <c r="K207" s="870"/>
    </row>
    <row r="208" spans="1:11" s="977" customFormat="1" ht="15.75" x14ac:dyDescent="0.25">
      <c r="A208" s="858"/>
      <c r="B208" s="858"/>
      <c r="C208" s="858"/>
      <c r="D208" s="858"/>
      <c r="E208" s="852"/>
      <c r="F208" s="852"/>
      <c r="G208" s="852"/>
      <c r="H208" s="852"/>
      <c r="I208" s="868"/>
      <c r="J208" s="852"/>
      <c r="K208" s="854"/>
    </row>
    <row r="209" spans="1:11" s="977" customFormat="1" ht="15.75" x14ac:dyDescent="0.25">
      <c r="A209" s="857"/>
      <c r="B209" s="857"/>
      <c r="C209" s="858"/>
      <c r="D209" s="858"/>
      <c r="E209" s="852"/>
      <c r="F209" s="852"/>
      <c r="G209" s="852"/>
      <c r="H209" s="872"/>
      <c r="I209" s="868"/>
      <c r="J209" s="873"/>
      <c r="K209" s="874"/>
    </row>
    <row r="210" spans="1:11" s="977" customFormat="1" ht="15.75" x14ac:dyDescent="0.25">
      <c r="A210" s="857"/>
      <c r="B210" s="857"/>
      <c r="C210" s="858"/>
      <c r="D210" s="858"/>
      <c r="E210" s="852"/>
      <c r="F210" s="852"/>
      <c r="G210" s="852"/>
      <c r="H210" s="872"/>
      <c r="I210" s="868"/>
      <c r="J210" s="873"/>
      <c r="K210" s="874"/>
    </row>
    <row r="211" spans="1:11" s="977" customFormat="1" ht="15.75" x14ac:dyDescent="0.25">
      <c r="A211" s="857"/>
      <c r="B211" s="857"/>
      <c r="C211" s="858"/>
      <c r="D211" s="858"/>
      <c r="E211" s="852"/>
      <c r="F211" s="852"/>
      <c r="G211" s="852"/>
      <c r="H211" s="872"/>
      <c r="I211" s="868"/>
      <c r="J211" s="873"/>
      <c r="K211" s="874"/>
    </row>
    <row r="212" spans="1:11" s="977" customFormat="1" ht="15.75" x14ac:dyDescent="0.25">
      <c r="A212" s="857"/>
      <c r="B212" s="857"/>
      <c r="C212" s="858"/>
      <c r="D212" s="858"/>
      <c r="E212" s="852"/>
      <c r="F212" s="852"/>
      <c r="G212" s="852"/>
      <c r="H212" s="872"/>
      <c r="I212" s="868"/>
      <c r="J212" s="873"/>
      <c r="K212" s="874"/>
    </row>
    <row r="213" spans="1:11" s="977" customFormat="1" ht="15.75" x14ac:dyDescent="0.25">
      <c r="A213" s="857"/>
      <c r="B213" s="857"/>
      <c r="C213" s="858"/>
      <c r="D213" s="858"/>
      <c r="E213" s="852"/>
      <c r="F213" s="852"/>
      <c r="G213" s="852"/>
      <c r="H213" s="872"/>
      <c r="I213" s="868"/>
      <c r="J213" s="873"/>
      <c r="K213" s="874"/>
    </row>
    <row r="214" spans="1:11" s="977" customFormat="1" ht="15.75" x14ac:dyDescent="0.25">
      <c r="A214" s="857"/>
      <c r="B214" s="857"/>
      <c r="C214" s="858"/>
      <c r="D214" s="858"/>
      <c r="E214" s="852"/>
      <c r="F214" s="852"/>
      <c r="G214" s="852"/>
      <c r="H214" s="872"/>
      <c r="I214" s="868"/>
      <c r="J214" s="873"/>
      <c r="K214" s="874"/>
    </row>
    <row r="215" spans="1:11" s="977" customFormat="1" ht="15.75" x14ac:dyDescent="0.25">
      <c r="A215" s="857"/>
      <c r="B215" s="857"/>
      <c r="C215" s="858"/>
      <c r="D215" s="858"/>
      <c r="E215" s="852"/>
      <c r="F215" s="852"/>
      <c r="G215" s="852"/>
      <c r="H215" s="872"/>
      <c r="I215" s="868"/>
      <c r="J215" s="873"/>
      <c r="K215" s="874"/>
    </row>
    <row r="216" spans="1:11" s="977" customFormat="1" ht="15.75" x14ac:dyDescent="0.25">
      <c r="A216" s="857"/>
      <c r="B216" s="857"/>
      <c r="C216" s="858"/>
      <c r="D216" s="858"/>
      <c r="E216" s="852"/>
      <c r="F216" s="852"/>
      <c r="G216" s="852"/>
      <c r="H216" s="872"/>
      <c r="I216" s="868"/>
      <c r="J216" s="873"/>
      <c r="K216" s="874"/>
    </row>
    <row r="217" spans="1:11" s="977" customFormat="1" ht="15.75" x14ac:dyDescent="0.25">
      <c r="A217" s="857"/>
      <c r="B217" s="857"/>
      <c r="C217" s="858"/>
      <c r="D217" s="858"/>
      <c r="E217" s="852"/>
      <c r="F217" s="852"/>
      <c r="G217" s="852"/>
      <c r="H217" s="872"/>
      <c r="I217" s="868"/>
      <c r="J217" s="873"/>
      <c r="K217" s="874"/>
    </row>
    <row r="218" spans="1:11" s="977" customFormat="1" ht="15.75" x14ac:dyDescent="0.25">
      <c r="A218" s="857"/>
      <c r="B218" s="857"/>
      <c r="C218" s="858"/>
      <c r="D218" s="858"/>
      <c r="E218" s="852"/>
      <c r="F218" s="852"/>
      <c r="G218" s="852"/>
      <c r="H218" s="872"/>
      <c r="I218" s="868"/>
      <c r="J218" s="873"/>
      <c r="K218" s="874"/>
    </row>
    <row r="219" spans="1:11" s="977" customFormat="1" ht="15.75" x14ac:dyDescent="0.25">
      <c r="A219" s="857"/>
      <c r="B219" s="857"/>
      <c r="C219" s="911"/>
      <c r="D219" s="911"/>
      <c r="E219" s="424"/>
      <c r="F219" s="852"/>
      <c r="G219" s="852"/>
      <c r="H219" s="855"/>
      <c r="I219" s="861"/>
      <c r="J219" s="873"/>
      <c r="K219" s="874"/>
    </row>
    <row r="220" spans="1:11" s="977" customFormat="1" ht="15.75" x14ac:dyDescent="0.25">
      <c r="A220" s="858"/>
      <c r="B220" s="858"/>
      <c r="C220" s="858"/>
      <c r="D220" s="858"/>
      <c r="E220" s="852"/>
      <c r="F220" s="852"/>
      <c r="G220" s="852"/>
      <c r="H220" s="852"/>
      <c r="I220" s="868"/>
      <c r="J220" s="852"/>
      <c r="K220" s="854"/>
    </row>
    <row r="221" spans="1:11" s="977" customFormat="1" ht="15.75" x14ac:dyDescent="0.25">
      <c r="A221" s="857"/>
      <c r="B221" s="857"/>
      <c r="C221" s="858"/>
      <c r="D221" s="858"/>
      <c r="E221" s="852"/>
      <c r="F221" s="852"/>
      <c r="G221" s="852"/>
      <c r="H221" s="852"/>
      <c r="I221" s="868"/>
      <c r="J221" s="852"/>
      <c r="K221" s="854"/>
    </row>
    <row r="222" spans="1:11" s="977" customFormat="1" ht="15.75" x14ac:dyDescent="0.25">
      <c r="A222" s="857"/>
      <c r="B222" s="857"/>
      <c r="C222" s="858"/>
      <c r="D222" s="858"/>
      <c r="E222" s="852"/>
      <c r="F222" s="852"/>
      <c r="G222" s="852"/>
      <c r="H222" s="872"/>
      <c r="I222" s="868"/>
      <c r="J222" s="873"/>
      <c r="K222" s="874"/>
    </row>
    <row r="223" spans="1:11" s="977" customFormat="1" ht="15.75" x14ac:dyDescent="0.25">
      <c r="A223" s="857"/>
      <c r="B223" s="857"/>
      <c r="C223" s="858"/>
      <c r="D223" s="858"/>
      <c r="E223" s="852"/>
      <c r="F223" s="852"/>
      <c r="G223" s="852"/>
      <c r="H223" s="872"/>
      <c r="I223" s="868"/>
      <c r="J223" s="873"/>
      <c r="K223" s="874"/>
    </row>
    <row r="224" spans="1:11" s="977" customFormat="1" ht="15.75" x14ac:dyDescent="0.25">
      <c r="A224" s="857"/>
      <c r="B224" s="857"/>
      <c r="C224" s="858"/>
      <c r="D224" s="858"/>
      <c r="E224" s="852"/>
      <c r="F224" s="852"/>
      <c r="G224" s="852"/>
      <c r="H224" s="872"/>
      <c r="I224" s="868"/>
      <c r="J224" s="873"/>
      <c r="K224" s="874"/>
    </row>
    <row r="225" spans="1:11" s="977" customFormat="1" ht="15.75" x14ac:dyDescent="0.25">
      <c r="A225" s="857"/>
      <c r="B225" s="857"/>
      <c r="C225" s="858"/>
      <c r="D225" s="858"/>
      <c r="E225" s="852"/>
      <c r="F225" s="852"/>
      <c r="G225" s="852"/>
      <c r="H225" s="872"/>
      <c r="I225" s="868"/>
      <c r="J225" s="873"/>
      <c r="K225" s="874"/>
    </row>
    <row r="226" spans="1:11" s="977" customFormat="1" ht="15.75" x14ac:dyDescent="0.25">
      <c r="A226" s="857"/>
      <c r="B226" s="857"/>
      <c r="C226" s="858"/>
      <c r="D226" s="858"/>
      <c r="E226" s="852"/>
      <c r="F226" s="852"/>
      <c r="G226" s="852"/>
      <c r="H226" s="872"/>
      <c r="I226" s="868"/>
      <c r="J226" s="873"/>
      <c r="K226" s="874"/>
    </row>
    <row r="227" spans="1:11" s="977" customFormat="1" ht="15.75" x14ac:dyDescent="0.25">
      <c r="A227" s="857"/>
      <c r="B227" s="857"/>
      <c r="C227" s="858"/>
      <c r="D227" s="957"/>
      <c r="E227" s="852"/>
      <c r="F227" s="852"/>
      <c r="G227" s="852"/>
      <c r="H227" s="872"/>
      <c r="I227" s="868"/>
      <c r="J227" s="873"/>
      <c r="K227" s="874"/>
    </row>
    <row r="228" spans="1:11" s="977" customFormat="1" ht="15.75" x14ac:dyDescent="0.25">
      <c r="A228" s="857"/>
      <c r="B228" s="857"/>
      <c r="C228" s="858"/>
      <c r="D228" s="858"/>
      <c r="E228" s="852"/>
      <c r="F228" s="852"/>
      <c r="G228" s="852"/>
      <c r="H228" s="852"/>
      <c r="I228" s="868"/>
      <c r="J228" s="852"/>
      <c r="K228" s="854"/>
    </row>
    <row r="229" spans="1:11" s="977" customFormat="1" ht="15.75" x14ac:dyDescent="0.25">
      <c r="A229" s="857"/>
      <c r="B229" s="857"/>
      <c r="C229" s="858"/>
      <c r="D229" s="858"/>
      <c r="E229" s="852"/>
      <c r="F229" s="852"/>
      <c r="G229" s="852"/>
      <c r="H229" s="872"/>
      <c r="I229" s="868"/>
      <c r="J229" s="873"/>
      <c r="K229" s="874"/>
    </row>
    <row r="230" spans="1:11" s="977" customFormat="1" ht="15.75" x14ac:dyDescent="0.25">
      <c r="A230" s="857"/>
      <c r="B230" s="857"/>
      <c r="C230" s="858"/>
      <c r="D230" s="858"/>
      <c r="E230" s="424"/>
      <c r="F230" s="852"/>
      <c r="G230" s="852"/>
      <c r="H230" s="872"/>
      <c r="I230" s="868"/>
      <c r="J230" s="873"/>
      <c r="K230" s="874"/>
    </row>
    <row r="231" spans="1:11" s="977" customFormat="1" ht="15.75" x14ac:dyDescent="0.25">
      <c r="A231" s="857"/>
      <c r="B231" s="857"/>
      <c r="C231" s="858"/>
      <c r="D231" s="858"/>
      <c r="E231" s="859"/>
      <c r="F231" s="852"/>
      <c r="G231" s="852"/>
      <c r="H231" s="872"/>
      <c r="I231" s="868"/>
      <c r="J231" s="873"/>
      <c r="K231" s="874"/>
    </row>
    <row r="232" spans="1:11" s="977" customFormat="1" ht="15.75" x14ac:dyDescent="0.25">
      <c r="A232" s="857"/>
      <c r="B232" s="857"/>
      <c r="C232" s="858"/>
      <c r="D232" s="858"/>
      <c r="E232" s="859"/>
      <c r="F232" s="852"/>
      <c r="G232" s="852"/>
      <c r="H232" s="872"/>
      <c r="I232" s="868"/>
      <c r="J232" s="873"/>
      <c r="K232" s="874"/>
    </row>
    <row r="233" spans="1:11" s="977" customFormat="1" ht="15.75" x14ac:dyDescent="0.25">
      <c r="A233" s="857"/>
      <c r="B233" s="857"/>
      <c r="C233" s="858"/>
      <c r="D233" s="858"/>
      <c r="E233" s="859"/>
      <c r="F233" s="852"/>
      <c r="G233" s="852"/>
      <c r="H233" s="872"/>
      <c r="I233" s="868"/>
      <c r="J233" s="873"/>
      <c r="K233" s="874"/>
    </row>
    <row r="234" spans="1:11" s="977" customFormat="1" ht="15.75" x14ac:dyDescent="0.25">
      <c r="A234" s="857"/>
      <c r="B234" s="857"/>
      <c r="C234" s="858"/>
      <c r="D234" s="915"/>
      <c r="E234" s="859"/>
      <c r="F234" s="852"/>
      <c r="G234" s="852"/>
      <c r="H234" s="872"/>
      <c r="I234" s="868"/>
      <c r="J234" s="873"/>
      <c r="K234" s="874"/>
    </row>
    <row r="235" spans="1:11" s="977" customFormat="1" ht="15.75" x14ac:dyDescent="0.25">
      <c r="A235" s="857"/>
      <c r="B235" s="857"/>
      <c r="C235" s="858"/>
      <c r="D235" s="858"/>
      <c r="E235" s="852"/>
      <c r="F235" s="852"/>
      <c r="G235" s="852"/>
      <c r="H235" s="872"/>
      <c r="I235" s="868"/>
      <c r="J235" s="873"/>
      <c r="K235" s="874"/>
    </row>
    <row r="236" spans="1:11" s="977" customFormat="1" ht="15.75" x14ac:dyDescent="0.25">
      <c r="A236" s="858"/>
      <c r="B236" s="858"/>
      <c r="C236" s="858"/>
      <c r="D236" s="858"/>
      <c r="E236" s="852"/>
      <c r="F236" s="852"/>
      <c r="G236" s="852"/>
      <c r="H236" s="852"/>
      <c r="I236" s="868"/>
      <c r="J236" s="852"/>
      <c r="K236" s="854"/>
    </row>
    <row r="237" spans="1:11" s="977" customFormat="1" ht="15.75" x14ac:dyDescent="0.25">
      <c r="A237" s="857"/>
      <c r="B237" s="857"/>
      <c r="C237" s="858"/>
      <c r="D237" s="858"/>
      <c r="E237" s="859"/>
      <c r="F237" s="958"/>
      <c r="G237" s="859"/>
      <c r="H237" s="855"/>
      <c r="I237" s="959"/>
      <c r="J237" s="875"/>
      <c r="K237" s="870"/>
    </row>
    <row r="238" spans="1:11" s="977" customFormat="1" ht="15.75" x14ac:dyDescent="0.25">
      <c r="A238" s="857"/>
      <c r="B238" s="857"/>
      <c r="C238" s="858"/>
      <c r="D238" s="858"/>
      <c r="E238" s="859"/>
      <c r="F238" s="859"/>
      <c r="G238" s="859"/>
      <c r="H238" s="908"/>
      <c r="I238" s="861"/>
      <c r="J238" s="869"/>
      <c r="K238" s="870"/>
    </row>
    <row r="239" spans="1:11" s="977" customFormat="1" ht="15.75" x14ac:dyDescent="0.25">
      <c r="A239" s="857"/>
      <c r="B239" s="857"/>
      <c r="C239" s="858"/>
      <c r="D239" s="915"/>
      <c r="E239" s="859"/>
      <c r="F239" s="859"/>
      <c r="G239" s="859"/>
      <c r="H239" s="855"/>
      <c r="I239" s="856"/>
      <c r="J239" s="876"/>
      <c r="K239" s="870"/>
    </row>
    <row r="240" spans="1:11" s="977" customFormat="1" ht="15.75" x14ac:dyDescent="0.25">
      <c r="A240" s="857"/>
      <c r="B240" s="857"/>
      <c r="C240" s="858"/>
      <c r="D240" s="858"/>
      <c r="E240" s="859"/>
      <c r="F240" s="859"/>
      <c r="G240" s="859"/>
      <c r="H240" s="855"/>
      <c r="I240" s="959"/>
      <c r="J240" s="875"/>
      <c r="K240" s="870"/>
    </row>
    <row r="241" spans="1:11" s="977" customFormat="1" ht="15.75" x14ac:dyDescent="0.25">
      <c r="A241" s="857"/>
      <c r="B241" s="857"/>
      <c r="C241" s="858"/>
      <c r="D241" s="858"/>
      <c r="E241" s="859"/>
      <c r="F241" s="859"/>
      <c r="G241" s="859"/>
      <c r="H241" s="855"/>
      <c r="I241" s="959"/>
      <c r="J241" s="875"/>
      <c r="K241" s="870"/>
    </row>
    <row r="242" spans="1:11" s="977" customFormat="1" ht="15.75" x14ac:dyDescent="0.25">
      <c r="A242" s="857"/>
      <c r="B242" s="857"/>
      <c r="C242" s="858"/>
      <c r="D242" s="858"/>
      <c r="E242" s="859"/>
      <c r="F242" s="859"/>
      <c r="G242" s="859"/>
      <c r="H242" s="855"/>
      <c r="I242" s="959"/>
      <c r="J242" s="875"/>
      <c r="K242" s="870"/>
    </row>
    <row r="243" spans="1:11" s="977" customFormat="1" ht="15.75" x14ac:dyDescent="0.25">
      <c r="A243" s="857"/>
      <c r="B243" s="857"/>
      <c r="C243" s="858"/>
      <c r="D243" s="858"/>
      <c r="E243" s="859"/>
      <c r="F243" s="859"/>
      <c r="G243" s="859"/>
      <c r="H243" s="855"/>
      <c r="I243" s="861"/>
      <c r="J243" s="869"/>
      <c r="K243" s="870"/>
    </row>
    <row r="244" spans="1:11" s="977" customFormat="1" ht="15.75" x14ac:dyDescent="0.25">
      <c r="A244" s="857"/>
      <c r="B244" s="857"/>
      <c r="C244" s="858"/>
      <c r="D244" s="858"/>
      <c r="E244" s="859"/>
      <c r="F244" s="859"/>
      <c r="G244" s="859"/>
      <c r="H244" s="441"/>
      <c r="I244" s="868"/>
      <c r="J244" s="869"/>
      <c r="K244" s="870"/>
    </row>
    <row r="245" spans="1:11" s="977" customFormat="1" ht="15.75" x14ac:dyDescent="0.25">
      <c r="A245" s="858"/>
      <c r="B245" s="858"/>
      <c r="C245" s="858"/>
      <c r="D245" s="858"/>
      <c r="E245" s="852"/>
      <c r="F245" s="852"/>
      <c r="G245" s="852"/>
      <c r="H245" s="852"/>
      <c r="I245" s="868"/>
      <c r="J245" s="852"/>
      <c r="K245" s="854"/>
    </row>
    <row r="246" spans="1:11" s="977" customFormat="1" ht="15.75" x14ac:dyDescent="0.25">
      <c r="A246" s="857"/>
      <c r="B246" s="857"/>
      <c r="C246" s="858"/>
      <c r="D246" s="858"/>
      <c r="E246" s="859"/>
      <c r="F246" s="859"/>
      <c r="G246" s="852"/>
      <c r="H246" s="855"/>
      <c r="I246" s="868"/>
      <c r="J246" s="869"/>
      <c r="K246" s="870"/>
    </row>
    <row r="247" spans="1:11" s="977" customFormat="1" ht="15.75" x14ac:dyDescent="0.25">
      <c r="A247" s="857"/>
      <c r="B247" s="857"/>
      <c r="C247" s="858"/>
      <c r="D247" s="858"/>
      <c r="E247" s="859"/>
      <c r="F247" s="859"/>
      <c r="G247" s="859"/>
      <c r="H247" s="855"/>
      <c r="I247" s="868"/>
      <c r="J247" s="869"/>
      <c r="K247" s="870"/>
    </row>
    <row r="248" spans="1:11" s="977" customFormat="1" ht="15.75" x14ac:dyDescent="0.25">
      <c r="A248" s="857"/>
      <c r="B248" s="857"/>
      <c r="C248" s="858"/>
      <c r="D248" s="858"/>
      <c r="E248" s="859"/>
      <c r="F248" s="859"/>
      <c r="G248" s="852"/>
      <c r="H248" s="855"/>
      <c r="I248" s="868"/>
      <c r="J248" s="869"/>
      <c r="K248" s="870"/>
    </row>
    <row r="249" spans="1:11" s="977" customFormat="1" ht="15.75" x14ac:dyDescent="0.25">
      <c r="A249" s="857"/>
      <c r="B249" s="857"/>
      <c r="C249" s="911"/>
      <c r="D249" s="911"/>
      <c r="E249" s="424"/>
      <c r="F249" s="424"/>
      <c r="G249" s="852"/>
      <c r="H249" s="855"/>
      <c r="I249" s="960"/>
      <c r="J249" s="875"/>
      <c r="K249" s="870"/>
    </row>
    <row r="250" spans="1:11" s="977" customFormat="1" ht="15.75" x14ac:dyDescent="0.25">
      <c r="A250" s="857"/>
      <c r="B250" s="857"/>
      <c r="C250" s="858"/>
      <c r="D250" s="961"/>
      <c r="E250" s="852"/>
      <c r="F250" s="852"/>
      <c r="G250" s="852"/>
      <c r="H250" s="872"/>
      <c r="I250" s="868"/>
      <c r="J250" s="873"/>
      <c r="K250" s="874"/>
    </row>
    <row r="251" spans="1:11" s="977" customFormat="1" ht="15.75" x14ac:dyDescent="0.25">
      <c r="A251" s="857"/>
      <c r="B251" s="857"/>
      <c r="C251" s="858"/>
      <c r="D251" s="858"/>
      <c r="E251" s="859"/>
      <c r="F251" s="859"/>
      <c r="G251" s="852"/>
      <c r="H251" s="855"/>
      <c r="I251" s="868"/>
      <c r="J251" s="869"/>
      <c r="K251" s="870"/>
    </row>
    <row r="252" spans="1:11" s="977" customFormat="1" ht="15.75" x14ac:dyDescent="0.25">
      <c r="A252" s="857"/>
      <c r="B252" s="857"/>
      <c r="C252" s="858"/>
      <c r="D252" s="858"/>
      <c r="E252" s="859"/>
      <c r="F252" s="859"/>
      <c r="G252" s="852"/>
      <c r="H252" s="855"/>
      <c r="I252" s="959"/>
      <c r="J252" s="875"/>
      <c r="K252" s="870"/>
    </row>
    <row r="253" spans="1:11" s="977" customFormat="1" ht="15.75" x14ac:dyDescent="0.25">
      <c r="A253" s="858"/>
      <c r="B253" s="858"/>
      <c r="C253" s="858"/>
      <c r="D253" s="858"/>
      <c r="E253" s="852"/>
      <c r="F253" s="852"/>
      <c r="G253" s="852"/>
      <c r="H253" s="852"/>
      <c r="I253" s="868"/>
      <c r="J253" s="852"/>
      <c r="K253" s="854"/>
    </row>
    <row r="254" spans="1:11" s="977" customFormat="1" ht="15.75" x14ac:dyDescent="0.25">
      <c r="A254" s="857"/>
      <c r="B254" s="857"/>
      <c r="C254" s="858"/>
      <c r="D254" s="858"/>
      <c r="E254" s="859"/>
      <c r="F254" s="859"/>
      <c r="G254" s="859"/>
      <c r="H254" s="855"/>
      <c r="I254" s="861"/>
      <c r="J254" s="869"/>
      <c r="K254" s="874"/>
    </row>
    <row r="255" spans="1:11" s="977" customFormat="1" ht="15.75" x14ac:dyDescent="0.25">
      <c r="A255" s="857"/>
      <c r="B255" s="857"/>
      <c r="C255" s="858"/>
      <c r="D255" s="858"/>
      <c r="E255" s="859"/>
      <c r="F255" s="859"/>
      <c r="G255" s="859"/>
      <c r="H255" s="855"/>
      <c r="I255" s="959"/>
      <c r="J255" s="869"/>
      <c r="K255" s="874"/>
    </row>
    <row r="256" spans="1:11" s="977" customFormat="1" ht="15.75" x14ac:dyDescent="0.25">
      <c r="A256" s="857"/>
      <c r="B256" s="857"/>
      <c r="C256" s="858"/>
      <c r="D256" s="858"/>
      <c r="E256" s="859"/>
      <c r="F256" s="859"/>
      <c r="G256" s="859"/>
      <c r="H256" s="855"/>
      <c r="I256" s="861"/>
      <c r="J256" s="869"/>
      <c r="K256" s="874"/>
    </row>
    <row r="257" spans="1:11" s="977" customFormat="1" ht="15.75" x14ac:dyDescent="0.25">
      <c r="A257" s="857"/>
      <c r="B257" s="857"/>
      <c r="C257" s="858"/>
      <c r="D257" s="858"/>
      <c r="E257" s="859"/>
      <c r="F257" s="859"/>
      <c r="G257" s="859"/>
      <c r="H257" s="855"/>
      <c r="I257" s="959"/>
      <c r="J257" s="869"/>
      <c r="K257" s="874"/>
    </row>
    <row r="258" spans="1:11" s="977" customFormat="1" ht="15.75" x14ac:dyDescent="0.25">
      <c r="A258" s="857"/>
      <c r="B258" s="857"/>
      <c r="C258" s="858"/>
      <c r="D258" s="961"/>
      <c r="E258" s="852"/>
      <c r="F258" s="852"/>
      <c r="G258" s="852"/>
      <c r="H258" s="872"/>
      <c r="I258" s="868"/>
      <c r="J258" s="873"/>
      <c r="K258" s="874"/>
    </row>
    <row r="259" spans="1:11" s="977" customFormat="1" ht="15.75" x14ac:dyDescent="0.25">
      <c r="A259" s="857"/>
      <c r="B259" s="857"/>
      <c r="C259" s="858"/>
      <c r="D259" s="858"/>
      <c r="E259" s="859"/>
      <c r="F259" s="859"/>
      <c r="G259" s="859"/>
      <c r="H259" s="855"/>
      <c r="I259" s="959"/>
      <c r="J259" s="869"/>
      <c r="K259" s="870"/>
    </row>
    <row r="260" spans="1:11" s="977" customFormat="1" ht="15.75" x14ac:dyDescent="0.25">
      <c r="A260" s="858"/>
      <c r="B260" s="858"/>
      <c r="C260" s="858"/>
      <c r="D260" s="858"/>
      <c r="E260" s="852"/>
      <c r="F260" s="852"/>
      <c r="G260" s="852"/>
      <c r="H260" s="852"/>
      <c r="I260" s="868"/>
      <c r="J260" s="852"/>
      <c r="K260" s="854"/>
    </row>
    <row r="261" spans="1:11" s="977" customFormat="1" ht="15.75" x14ac:dyDescent="0.25">
      <c r="A261" s="857"/>
      <c r="B261" s="857"/>
      <c r="C261" s="858"/>
      <c r="D261" s="858"/>
      <c r="E261" s="859"/>
      <c r="F261" s="859"/>
      <c r="G261" s="852"/>
      <c r="H261" s="855"/>
      <c r="I261" s="861"/>
      <c r="J261" s="869"/>
      <c r="K261" s="870"/>
    </row>
    <row r="262" spans="1:11" s="977" customFormat="1" ht="15.75" x14ac:dyDescent="0.25">
      <c r="A262" s="857"/>
      <c r="B262" s="857"/>
      <c r="C262" s="858"/>
      <c r="D262" s="858"/>
      <c r="E262" s="859"/>
      <c r="F262" s="859"/>
      <c r="G262" s="859"/>
      <c r="H262" s="855"/>
      <c r="I262" s="861"/>
      <c r="J262" s="869"/>
      <c r="K262" s="870"/>
    </row>
    <row r="263" spans="1:11" s="977" customFormat="1" ht="15.75" x14ac:dyDescent="0.25">
      <c r="A263" s="857"/>
      <c r="B263" s="857"/>
      <c r="C263" s="858"/>
      <c r="D263" s="858"/>
      <c r="E263" s="859"/>
      <c r="F263" s="859"/>
      <c r="G263" s="859"/>
      <c r="H263" s="855"/>
      <c r="I263" s="861"/>
      <c r="J263" s="875"/>
      <c r="K263" s="870"/>
    </row>
    <row r="264" spans="1:11" s="977" customFormat="1" ht="15.75" x14ac:dyDescent="0.25">
      <c r="A264" s="857"/>
      <c r="B264" s="857"/>
      <c r="C264" s="858"/>
      <c r="D264" s="858"/>
      <c r="E264" s="859"/>
      <c r="F264" s="859"/>
      <c r="G264" s="859"/>
      <c r="H264" s="855"/>
      <c r="I264" s="861"/>
      <c r="J264" s="869"/>
      <c r="K264" s="870"/>
    </row>
    <row r="265" spans="1:11" s="977" customFormat="1" ht="15.75" x14ac:dyDescent="0.25">
      <c r="A265" s="857"/>
      <c r="B265" s="857"/>
      <c r="C265" s="858"/>
      <c r="D265" s="915"/>
      <c r="E265" s="859"/>
      <c r="F265" s="859"/>
      <c r="G265" s="859"/>
      <c r="H265" s="855"/>
      <c r="I265" s="868"/>
      <c r="J265" s="875"/>
      <c r="K265" s="870"/>
    </row>
    <row r="266" spans="1:11" s="977" customFormat="1" ht="15.75" x14ac:dyDescent="0.25">
      <c r="A266" s="857"/>
      <c r="B266" s="857"/>
      <c r="C266" s="858"/>
      <c r="D266" s="858"/>
      <c r="E266" s="859"/>
      <c r="F266" s="859"/>
      <c r="G266" s="859"/>
      <c r="H266" s="855"/>
      <c r="I266" s="861"/>
      <c r="J266" s="869"/>
      <c r="K266" s="870"/>
    </row>
    <row r="267" spans="1:11" s="977" customFormat="1" ht="15.75" x14ac:dyDescent="0.25">
      <c r="A267" s="857"/>
      <c r="B267" s="857"/>
      <c r="C267" s="858"/>
      <c r="D267" s="858"/>
      <c r="E267" s="859"/>
      <c r="F267" s="859"/>
      <c r="G267" s="859"/>
      <c r="H267" s="855"/>
      <c r="I267" s="861"/>
      <c r="J267" s="869"/>
      <c r="K267" s="870"/>
    </row>
    <row r="268" spans="1:11" s="977" customFormat="1" ht="15.75" x14ac:dyDescent="0.25">
      <c r="A268" s="857"/>
      <c r="B268" s="857"/>
      <c r="C268" s="858"/>
      <c r="D268" s="858"/>
      <c r="E268" s="859"/>
      <c r="F268" s="859"/>
      <c r="G268" s="859"/>
      <c r="H268" s="855"/>
      <c r="I268" s="861"/>
      <c r="J268" s="869"/>
      <c r="K268" s="870"/>
    </row>
    <row r="269" spans="1:11" s="977" customFormat="1" ht="15.75" x14ac:dyDescent="0.25">
      <c r="A269" s="857"/>
      <c r="B269" s="857"/>
      <c r="C269" s="858"/>
      <c r="D269" s="858"/>
      <c r="E269" s="859"/>
      <c r="F269" s="859"/>
      <c r="G269" s="859"/>
      <c r="H269" s="855"/>
      <c r="I269" s="861"/>
      <c r="J269" s="869"/>
      <c r="K269" s="870"/>
    </row>
    <row r="270" spans="1:11" s="977" customFormat="1" ht="15.75" x14ac:dyDescent="0.25">
      <c r="A270" s="857"/>
      <c r="B270" s="857"/>
      <c r="C270" s="858"/>
      <c r="D270" s="858"/>
      <c r="E270" s="859"/>
      <c r="F270" s="859"/>
      <c r="G270" s="859"/>
      <c r="H270" s="855"/>
      <c r="I270" s="861"/>
      <c r="J270" s="875"/>
      <c r="K270" s="870"/>
    </row>
    <row r="271" spans="1:11" s="977" customFormat="1" ht="15.75" x14ac:dyDescent="0.25">
      <c r="A271" s="857"/>
      <c r="B271" s="857"/>
      <c r="C271" s="858"/>
      <c r="D271" s="911"/>
      <c r="E271" s="859"/>
      <c r="F271" s="859"/>
      <c r="G271" s="859"/>
      <c r="H271" s="855"/>
      <c r="I271" s="861"/>
      <c r="J271" s="877"/>
      <c r="K271" s="870"/>
    </row>
    <row r="272" spans="1:11" s="977" customFormat="1" ht="15.75" x14ac:dyDescent="0.25">
      <c r="A272" s="857"/>
      <c r="B272" s="857"/>
      <c r="C272" s="858"/>
      <c r="D272" s="911"/>
      <c r="E272" s="859"/>
      <c r="F272" s="859"/>
      <c r="G272" s="859"/>
      <c r="H272" s="855"/>
      <c r="I272" s="861"/>
      <c r="J272" s="877"/>
      <c r="K272" s="870"/>
    </row>
    <row r="273" spans="1:11" s="977" customFormat="1" ht="15.75" x14ac:dyDescent="0.25">
      <c r="A273" s="857"/>
      <c r="B273" s="857"/>
      <c r="C273" s="858"/>
      <c r="D273" s="911"/>
      <c r="E273" s="859"/>
      <c r="F273" s="859"/>
      <c r="G273" s="859"/>
      <c r="H273" s="855"/>
      <c r="I273" s="861"/>
      <c r="J273" s="877"/>
      <c r="K273" s="870"/>
    </row>
    <row r="274" spans="1:11" s="977" customFormat="1" ht="15.75" x14ac:dyDescent="0.25">
      <c r="A274" s="857"/>
      <c r="B274" s="857"/>
      <c r="C274" s="858"/>
      <c r="D274" s="911"/>
      <c r="E274" s="859"/>
      <c r="F274" s="859"/>
      <c r="G274" s="859"/>
      <c r="H274" s="855"/>
      <c r="I274" s="861"/>
      <c r="J274" s="877"/>
      <c r="K274" s="870"/>
    </row>
    <row r="275" spans="1:11" s="977" customFormat="1" ht="15.75" x14ac:dyDescent="0.25">
      <c r="A275" s="857"/>
      <c r="B275" s="857"/>
      <c r="C275" s="858"/>
      <c r="D275" s="911"/>
      <c r="E275" s="859"/>
      <c r="F275" s="859"/>
      <c r="G275" s="859"/>
      <c r="H275" s="855"/>
      <c r="I275" s="861"/>
      <c r="J275" s="877"/>
      <c r="K275" s="870"/>
    </row>
    <row r="276" spans="1:11" s="977" customFormat="1" ht="15.75" x14ac:dyDescent="0.25">
      <c r="A276" s="857"/>
      <c r="B276" s="858"/>
      <c r="C276" s="858"/>
      <c r="D276" s="858"/>
      <c r="E276" s="852"/>
      <c r="F276" s="852"/>
      <c r="G276" s="852"/>
      <c r="H276" s="852"/>
      <c r="I276" s="868"/>
      <c r="J276" s="852"/>
      <c r="K276" s="854"/>
    </row>
    <row r="277" spans="1:11" s="977" customFormat="1" ht="15.75" x14ac:dyDescent="0.25">
      <c r="A277" s="857"/>
      <c r="B277" s="858"/>
      <c r="C277" s="858"/>
      <c r="D277" s="858"/>
      <c r="E277" s="852"/>
      <c r="F277" s="852"/>
      <c r="G277" s="852"/>
      <c r="H277" s="852"/>
      <c r="I277" s="868"/>
      <c r="J277" s="852"/>
      <c r="K277" s="854"/>
    </row>
    <row r="278" spans="1:11" s="977" customFormat="1" ht="15.75" x14ac:dyDescent="0.25">
      <c r="A278" s="857"/>
      <c r="B278" s="858"/>
      <c r="C278" s="858"/>
      <c r="D278" s="858"/>
      <c r="E278" s="852"/>
      <c r="F278" s="852"/>
      <c r="G278" s="852"/>
      <c r="H278" s="852"/>
      <c r="I278" s="868"/>
      <c r="J278" s="852"/>
      <c r="K278" s="854"/>
    </row>
    <row r="279" spans="1:11" s="977" customFormat="1" ht="15.75" x14ac:dyDescent="0.25">
      <c r="A279" s="857"/>
      <c r="B279" s="857"/>
      <c r="C279" s="858"/>
      <c r="D279" s="858"/>
      <c r="E279" s="859"/>
      <c r="F279" s="859"/>
      <c r="G279" s="859"/>
      <c r="H279" s="855"/>
      <c r="I279" s="868"/>
      <c r="J279" s="869"/>
      <c r="K279" s="870"/>
    </row>
    <row r="280" spans="1:11" s="977" customFormat="1" ht="15.75" x14ac:dyDescent="0.25">
      <c r="A280" s="857"/>
      <c r="B280" s="857"/>
      <c r="C280" s="858"/>
      <c r="D280" s="858"/>
      <c r="E280" s="859"/>
      <c r="F280" s="859"/>
      <c r="G280" s="859"/>
      <c r="H280" s="855"/>
      <c r="I280" s="861"/>
      <c r="J280" s="875"/>
      <c r="K280" s="870"/>
    </row>
    <row r="281" spans="1:11" s="977" customFormat="1" ht="15.75" x14ac:dyDescent="0.25">
      <c r="A281" s="857"/>
      <c r="B281" s="857"/>
      <c r="C281" s="858"/>
      <c r="D281" s="858"/>
      <c r="E281" s="859"/>
      <c r="F281" s="859"/>
      <c r="G281" s="859"/>
      <c r="H281" s="855"/>
      <c r="I281" s="861"/>
      <c r="J281" s="875"/>
      <c r="K281" s="870"/>
    </row>
    <row r="282" spans="1:11" s="977" customFormat="1" ht="15.75" x14ac:dyDescent="0.25">
      <c r="A282" s="857"/>
      <c r="B282" s="857"/>
      <c r="C282" s="858"/>
      <c r="D282" s="858"/>
      <c r="E282" s="859"/>
      <c r="F282" s="859"/>
      <c r="G282" s="859"/>
      <c r="H282" s="855"/>
      <c r="I282" s="861"/>
      <c r="J282" s="869"/>
      <c r="K282" s="870"/>
    </row>
    <row r="283" spans="1:11" s="977" customFormat="1" ht="15.75" x14ac:dyDescent="0.25">
      <c r="A283" s="857"/>
      <c r="B283" s="857"/>
      <c r="C283" s="858"/>
      <c r="D283" s="858"/>
      <c r="E283" s="859"/>
      <c r="F283" s="859"/>
      <c r="G283" s="859"/>
      <c r="H283" s="855"/>
      <c r="I283" s="861"/>
      <c r="J283" s="875"/>
      <c r="K283" s="870"/>
    </row>
    <row r="284" spans="1:11" s="977" customFormat="1" ht="15.75" x14ac:dyDescent="0.25">
      <c r="A284" s="857"/>
      <c r="B284" s="857"/>
      <c r="C284" s="858"/>
      <c r="D284" s="858"/>
      <c r="E284" s="859"/>
      <c r="F284" s="859"/>
      <c r="G284" s="859"/>
      <c r="H284" s="855"/>
      <c r="I284" s="861"/>
      <c r="J284" s="875"/>
      <c r="K284" s="870"/>
    </row>
    <row r="285" spans="1:11" s="977" customFormat="1" ht="15.75" x14ac:dyDescent="0.25">
      <c r="A285" s="857"/>
      <c r="B285" s="857"/>
      <c r="C285" s="858"/>
      <c r="D285" s="858"/>
      <c r="E285" s="859"/>
      <c r="F285" s="859"/>
      <c r="G285" s="859"/>
      <c r="H285" s="855"/>
      <c r="I285" s="868"/>
      <c r="J285" s="869"/>
      <c r="K285" s="870"/>
    </row>
    <row r="286" spans="1:11" s="977" customFormat="1" ht="15.75" x14ac:dyDescent="0.25">
      <c r="A286" s="857"/>
      <c r="B286" s="857"/>
      <c r="C286" s="858"/>
      <c r="D286" s="858"/>
      <c r="E286" s="859"/>
      <c r="F286" s="859"/>
      <c r="G286" s="859"/>
      <c r="H286" s="855"/>
      <c r="I286" s="868"/>
      <c r="J286" s="869"/>
      <c r="K286" s="870"/>
    </row>
    <row r="287" spans="1:11" s="977" customFormat="1" ht="15.75" x14ac:dyDescent="0.25">
      <c r="A287" s="857"/>
      <c r="B287" s="857"/>
      <c r="C287" s="858"/>
      <c r="D287" s="858"/>
      <c r="E287" s="859"/>
      <c r="F287" s="859"/>
      <c r="G287" s="859"/>
      <c r="H287" s="855"/>
      <c r="I287" s="868"/>
      <c r="J287" s="876"/>
      <c r="K287" s="870"/>
    </row>
    <row r="288" spans="1:11" s="977" customFormat="1" ht="15.75" x14ac:dyDescent="0.25">
      <c r="A288" s="857"/>
      <c r="B288" s="857"/>
      <c r="C288" s="858"/>
      <c r="D288" s="858"/>
      <c r="E288" s="859"/>
      <c r="F288" s="859"/>
      <c r="G288" s="859"/>
      <c r="H288" s="855"/>
      <c r="I288" s="868"/>
      <c r="J288" s="876"/>
      <c r="K288" s="870"/>
    </row>
    <row r="289" spans="1:11" s="977" customFormat="1" ht="15.75" x14ac:dyDescent="0.25">
      <c r="A289" s="858"/>
      <c r="B289" s="858"/>
      <c r="C289" s="858"/>
      <c r="D289" s="858"/>
      <c r="E289" s="852"/>
      <c r="F289" s="852"/>
      <c r="G289" s="852"/>
      <c r="H289" s="852"/>
      <c r="I289" s="868"/>
      <c r="J289" s="852"/>
      <c r="K289" s="854"/>
    </row>
    <row r="290" spans="1:11" s="977" customFormat="1" ht="15.75" x14ac:dyDescent="0.25">
      <c r="A290" s="857"/>
      <c r="B290" s="857"/>
      <c r="C290" s="858"/>
      <c r="D290" s="858"/>
      <c r="E290" s="424"/>
      <c r="F290" s="859"/>
      <c r="G290" s="424"/>
      <c r="H290" s="855"/>
      <c r="I290" s="861"/>
      <c r="J290" s="875"/>
      <c r="K290" s="870"/>
    </row>
    <row r="291" spans="1:11" s="977" customFormat="1" ht="15.75" x14ac:dyDescent="0.25">
      <c r="A291" s="857"/>
      <c r="B291" s="857"/>
      <c r="C291" s="858"/>
      <c r="D291" s="858"/>
      <c r="E291" s="859"/>
      <c r="F291" s="859"/>
      <c r="G291" s="859"/>
      <c r="H291" s="855"/>
      <c r="I291" s="861"/>
      <c r="J291" s="869"/>
      <c r="K291" s="870"/>
    </row>
    <row r="292" spans="1:11" s="977" customFormat="1" ht="15.75" x14ac:dyDescent="0.25">
      <c r="A292" s="857"/>
      <c r="B292" s="857"/>
      <c r="C292" s="858"/>
      <c r="D292" s="858"/>
      <c r="E292" s="859"/>
      <c r="F292" s="859"/>
      <c r="G292" s="859"/>
      <c r="H292" s="855"/>
      <c r="I292" s="861"/>
      <c r="J292" s="869"/>
      <c r="K292" s="962"/>
    </row>
    <row r="293" spans="1:11" s="977" customFormat="1" ht="15.75" x14ac:dyDescent="0.25">
      <c r="A293" s="857"/>
      <c r="B293" s="857"/>
      <c r="C293" s="858"/>
      <c r="D293" s="858"/>
      <c r="E293" s="859"/>
      <c r="F293" s="859"/>
      <c r="G293" s="859"/>
      <c r="H293" s="855"/>
      <c r="I293" s="861"/>
      <c r="J293" s="873"/>
      <c r="K293" s="963"/>
    </row>
    <row r="294" spans="1:11" s="977" customFormat="1" ht="15.75" x14ac:dyDescent="0.25">
      <c r="A294" s="857"/>
      <c r="B294" s="857"/>
      <c r="C294" s="858"/>
      <c r="D294" s="858"/>
      <c r="E294" s="859"/>
      <c r="F294" s="859"/>
      <c r="G294" s="859"/>
      <c r="H294" s="855"/>
      <c r="I294" s="861"/>
      <c r="J294" s="869"/>
      <c r="K294" s="870"/>
    </row>
    <row r="295" spans="1:11" s="977" customFormat="1" ht="15.75" x14ac:dyDescent="0.25">
      <c r="A295" s="857"/>
      <c r="B295" s="857"/>
      <c r="C295" s="858"/>
      <c r="D295" s="858"/>
      <c r="E295" s="859"/>
      <c r="F295" s="859"/>
      <c r="G295" s="859"/>
      <c r="H295" s="855"/>
      <c r="I295" s="861"/>
      <c r="J295" s="875"/>
      <c r="K295" s="870"/>
    </row>
    <row r="296" spans="1:11" s="977" customFormat="1" ht="15.75" x14ac:dyDescent="0.25">
      <c r="A296" s="857"/>
      <c r="B296" s="857"/>
      <c r="C296" s="858"/>
      <c r="D296" s="858"/>
      <c r="E296" s="859"/>
      <c r="F296" s="859"/>
      <c r="G296" s="859"/>
      <c r="H296" s="908"/>
      <c r="I296" s="861"/>
      <c r="J296" s="869"/>
      <c r="K296" s="870"/>
    </row>
    <row r="297" spans="1:11" s="977" customFormat="1" ht="15.75" x14ac:dyDescent="0.25">
      <c r="A297" s="857"/>
      <c r="B297" s="857"/>
      <c r="C297" s="858"/>
      <c r="D297" s="858"/>
      <c r="E297" s="859"/>
      <c r="F297" s="859"/>
      <c r="G297" s="859"/>
      <c r="H297" s="855"/>
      <c r="I297" s="861"/>
      <c r="J297" s="875"/>
      <c r="K297" s="870"/>
    </row>
    <row r="298" spans="1:11" s="977" customFormat="1" ht="15.75" x14ac:dyDescent="0.25">
      <c r="A298" s="857"/>
      <c r="B298" s="857"/>
      <c r="C298" s="858"/>
      <c r="D298" s="858"/>
      <c r="E298" s="859"/>
      <c r="F298" s="859"/>
      <c r="G298" s="859"/>
      <c r="H298" s="855"/>
      <c r="I298" s="861"/>
      <c r="J298" s="869"/>
      <c r="K298" s="870"/>
    </row>
    <row r="299" spans="1:11" s="977" customFormat="1" ht="15.75" x14ac:dyDescent="0.25">
      <c r="A299" s="857"/>
      <c r="B299" s="857"/>
      <c r="C299" s="858"/>
      <c r="D299" s="858"/>
      <c r="E299" s="859"/>
      <c r="F299" s="859"/>
      <c r="G299" s="859"/>
      <c r="H299" s="855"/>
      <c r="I299" s="861"/>
      <c r="J299" s="869"/>
      <c r="K299" s="870"/>
    </row>
    <row r="300" spans="1:11" s="977" customFormat="1" ht="15.75" x14ac:dyDescent="0.25">
      <c r="A300" s="858"/>
      <c r="B300" s="858"/>
      <c r="C300" s="858"/>
      <c r="D300" s="858"/>
      <c r="E300" s="859"/>
      <c r="F300" s="852"/>
      <c r="G300" s="852"/>
      <c r="H300" s="852"/>
      <c r="I300" s="868"/>
      <c r="J300" s="852"/>
      <c r="K300" s="854"/>
    </row>
    <row r="301" spans="1:11" s="977" customFormat="1" ht="15.75" x14ac:dyDescent="0.25">
      <c r="A301" s="885"/>
      <c r="B301" s="885"/>
      <c r="C301" s="886"/>
      <c r="D301" s="886"/>
      <c r="E301" s="964"/>
      <c r="F301" s="932"/>
      <c r="G301" s="922"/>
      <c r="H301" s="944"/>
      <c r="I301" s="861"/>
      <c r="J301" s="964"/>
      <c r="K301" s="860"/>
    </row>
    <row r="302" spans="1:11" s="977" customFormat="1" ht="15.75" x14ac:dyDescent="0.25">
      <c r="A302" s="965"/>
      <c r="B302" s="965"/>
      <c r="C302" s="918"/>
      <c r="D302" s="918"/>
      <c r="E302" s="386"/>
      <c r="F302" s="386"/>
      <c r="G302" s="966"/>
      <c r="H302" s="935"/>
      <c r="I302" s="861"/>
      <c r="J302" s="386"/>
      <c r="K302" s="76"/>
    </row>
    <row r="303" spans="1:11" s="977" customFormat="1" ht="15.75" x14ac:dyDescent="0.25">
      <c r="A303" s="967"/>
      <c r="B303" s="967"/>
      <c r="C303" s="919"/>
      <c r="D303" s="919"/>
      <c r="E303" s="968"/>
      <c r="F303" s="276"/>
      <c r="G303" s="969"/>
      <c r="H303" s="930"/>
      <c r="I303" s="931"/>
      <c r="J303" s="970"/>
      <c r="K303" s="971"/>
    </row>
    <row r="304" spans="1:11" s="977" customFormat="1" ht="15.75" x14ac:dyDescent="0.25">
      <c r="A304" s="972"/>
      <c r="B304" s="972"/>
      <c r="C304" s="74"/>
      <c r="D304" s="921"/>
      <c r="E304" s="973"/>
      <c r="F304" s="974"/>
      <c r="G304" s="975"/>
      <c r="H304" s="976"/>
      <c r="I304" s="931"/>
      <c r="J304" s="74"/>
    </row>
    <row r="305" spans="1:11" s="977" customFormat="1" ht="15.75" x14ac:dyDescent="0.25">
      <c r="A305" s="972"/>
      <c r="B305" s="972"/>
      <c r="C305" s="74"/>
      <c r="D305" s="978"/>
      <c r="E305" s="979"/>
      <c r="F305" s="980"/>
      <c r="G305" s="975"/>
      <c r="H305" s="981"/>
      <c r="I305" s="931"/>
      <c r="J305" s="74"/>
    </row>
    <row r="306" spans="1:11" s="977" customFormat="1" ht="15.75" x14ac:dyDescent="0.25">
      <c r="A306" s="982"/>
      <c r="B306" s="982"/>
      <c r="C306" s="918"/>
      <c r="D306" s="918"/>
      <c r="E306" s="966"/>
      <c r="F306" s="983"/>
      <c r="G306" s="983"/>
      <c r="H306" s="983"/>
      <c r="I306" s="984"/>
      <c r="J306" s="983"/>
    </row>
    <row r="307" spans="1:11" s="977" customFormat="1" ht="15.75" x14ac:dyDescent="0.25">
      <c r="A307" s="985"/>
      <c r="B307" s="985"/>
      <c r="C307" s="903"/>
      <c r="D307" s="903"/>
      <c r="E307" s="904"/>
      <c r="F307" s="904"/>
      <c r="G307" s="904"/>
      <c r="H307" s="904"/>
      <c r="I307" s="986"/>
      <c r="J307" s="904"/>
      <c r="K307" s="854"/>
    </row>
  </sheetData>
  <mergeCells count="2">
    <mergeCell ref="A4:K4"/>
    <mergeCell ref="A1:K3"/>
  </mergeCells>
  <pageMargins left="0.7" right="0.7" top="1.0520833333333333" bottom="0.75" header="0.3" footer="0.3"/>
  <pageSetup scale="41" orientation="landscape" r:id="rId1"/>
  <headerFooter>
    <oddHeader>&amp;L&amp;G&amp;C(ENTER PROJECT NAME)&amp;R&amp;D</oddHeader>
    <oddFooter>&amp;C&amp;P OF &amp;N</oddFooter>
  </headerFooter>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9716F-B1F3-4777-ADF5-0BBFA1B95B1F}">
  <dimension ref="A1"/>
  <sheetViews>
    <sheetView view="pageBreakPreview" zoomScale="60" zoomScaleNormal="100" workbookViewId="0">
      <selection activeCell="E69" sqref="E69"/>
    </sheetView>
  </sheetViews>
  <sheetFormatPr defaultRowHeight="15" x14ac:dyDescent="0.25"/>
  <sheetData/>
  <pageMargins left="0.7" right="0.7" top="1.0520833333333333" bottom="0.75" header="0.3" footer="0.3"/>
  <pageSetup orientation="portrait" r:id="rId1"/>
  <headerFooter>
    <oddHeader>&amp;L&amp;G&amp;C(ENTER PROJECT NAME)&amp;R&amp;D</oddHeader>
    <oddFooter>&amp;C&amp;P OF &amp;N</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486C9-37D1-48DD-B500-91B7B510D353}">
  <dimension ref="A1"/>
  <sheetViews>
    <sheetView view="pageBreakPreview" zoomScale="115" zoomScaleNormal="100" zoomScaleSheetLayoutView="115" workbookViewId="0">
      <selection activeCell="C7" sqref="C7"/>
    </sheetView>
  </sheetViews>
  <sheetFormatPr defaultRowHeight="15" x14ac:dyDescent="0.25"/>
  <sheetData/>
  <pageMargins left="0.7" right="0.7" top="1.0520833333333333" bottom="0.75" header="0.3" footer="0.3"/>
  <pageSetup orientation="portrait" r:id="rId1"/>
  <headerFooter>
    <oddHeader>&amp;L&amp;G&amp;C(ENTER PROJECT NAME)&amp;R&amp;D</oddHeader>
    <oddFooter>&amp;C&amp;P OF &amp;N</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8314D-CE7C-4B70-8A7E-9D3E0DDB6A26}">
  <dimension ref="A1:I115"/>
  <sheetViews>
    <sheetView view="pageBreakPreview" topLeftCell="A3" zoomScale="60" zoomScaleNormal="100" workbookViewId="0">
      <selection activeCell="E69" sqref="E69"/>
    </sheetView>
  </sheetViews>
  <sheetFormatPr defaultRowHeight="15" x14ac:dyDescent="0.25"/>
  <cols>
    <col min="2" max="2" width="95.85546875" customWidth="1"/>
    <col min="3" max="3" width="22.5703125" style="136" bestFit="1" customWidth="1"/>
    <col min="9" max="9" width="9.28515625" bestFit="1" customWidth="1"/>
  </cols>
  <sheetData>
    <row r="1" spans="1:9" ht="15.75" x14ac:dyDescent="0.25">
      <c r="A1" s="1011" t="s">
        <v>14</v>
      </c>
      <c r="B1" s="1012"/>
      <c r="C1" s="127"/>
      <c r="D1" s="21"/>
      <c r="E1" s="21"/>
      <c r="F1" s="21"/>
      <c r="G1" s="21"/>
      <c r="H1" s="21"/>
    </row>
    <row r="2" spans="1:9" ht="15.75" x14ac:dyDescent="0.25">
      <c r="A2" s="1013" t="s">
        <v>63</v>
      </c>
      <c r="B2" s="1014"/>
      <c r="C2" s="128" t="s">
        <v>64</v>
      </c>
      <c r="D2" s="21"/>
      <c r="E2" s="21"/>
      <c r="F2" s="21"/>
      <c r="G2" s="21"/>
      <c r="H2" s="21"/>
    </row>
    <row r="3" spans="1:9" ht="15.75" x14ac:dyDescent="0.25">
      <c r="A3" s="1015"/>
      <c r="B3" s="1016"/>
      <c r="C3" s="128" t="s">
        <v>65</v>
      </c>
      <c r="D3" s="21"/>
      <c r="E3" s="21"/>
      <c r="F3" s="21"/>
      <c r="G3" s="21"/>
      <c r="H3" s="21"/>
      <c r="I3" s="21"/>
    </row>
    <row r="4" spans="1:9" ht="15.75" x14ac:dyDescent="0.25">
      <c r="A4" s="1015"/>
      <c r="B4" s="1016"/>
      <c r="C4" s="128" t="s">
        <v>66</v>
      </c>
      <c r="D4" s="21"/>
      <c r="E4" s="21"/>
      <c r="F4" s="21"/>
      <c r="G4" s="21"/>
      <c r="H4" s="21"/>
      <c r="I4" s="21"/>
    </row>
    <row r="5" spans="1:9" ht="15.75" x14ac:dyDescent="0.25">
      <c r="A5" s="1017"/>
      <c r="B5" s="1018"/>
      <c r="C5" s="129" t="s">
        <v>19</v>
      </c>
      <c r="D5" s="21"/>
      <c r="E5" s="21"/>
      <c r="F5" s="21"/>
      <c r="G5" s="21"/>
      <c r="H5" s="21"/>
      <c r="I5" s="21"/>
    </row>
    <row r="6" spans="1:9" ht="19.5" customHeight="1" x14ac:dyDescent="0.25">
      <c r="A6" s="1019"/>
      <c r="B6" s="1021" t="s">
        <v>20</v>
      </c>
      <c r="C6" s="1024" t="s">
        <v>67</v>
      </c>
      <c r="D6" s="21"/>
      <c r="E6" s="21"/>
      <c r="F6" s="21"/>
      <c r="G6" s="21"/>
      <c r="H6" s="21"/>
      <c r="I6" s="21"/>
    </row>
    <row r="7" spans="1:9" s="2" customFormat="1" ht="23.25" customHeight="1" x14ac:dyDescent="0.25">
      <c r="A7" s="1020"/>
      <c r="B7" s="1022"/>
      <c r="C7" s="1024"/>
      <c r="D7" s="21"/>
      <c r="E7" s="21"/>
      <c r="F7" s="21"/>
      <c r="G7" s="21"/>
      <c r="H7" s="21"/>
      <c r="I7" s="21"/>
    </row>
    <row r="8" spans="1:9" s="2" customFormat="1" ht="15.75" x14ac:dyDescent="0.25">
      <c r="A8" s="120">
        <v>1</v>
      </c>
      <c r="B8" s="123" t="s">
        <v>21</v>
      </c>
      <c r="C8" s="130"/>
      <c r="D8" s="21"/>
      <c r="E8" s="21"/>
      <c r="F8" s="21"/>
      <c r="G8" s="21"/>
      <c r="H8" s="21"/>
      <c r="I8" s="21"/>
    </row>
    <row r="9" spans="1:9" s="2" customFormat="1" ht="15.75" x14ac:dyDescent="0.25">
      <c r="A9" s="120">
        <v>2</v>
      </c>
      <c r="B9" s="121" t="s">
        <v>22</v>
      </c>
      <c r="C9" s="130"/>
      <c r="D9" s="21"/>
      <c r="E9" s="21"/>
      <c r="F9" s="113"/>
      <c r="G9" s="113"/>
      <c r="H9" s="113"/>
    </row>
    <row r="10" spans="1:9" s="2" customFormat="1" ht="15.75" x14ac:dyDescent="0.25">
      <c r="A10" s="120">
        <v>3</v>
      </c>
      <c r="B10" s="121" t="s">
        <v>23</v>
      </c>
      <c r="C10" s="130"/>
      <c r="D10" s="113"/>
      <c r="E10" s="21"/>
      <c r="F10" s="113"/>
      <c r="G10" s="113"/>
      <c r="H10" s="113"/>
    </row>
    <row r="11" spans="1:9" s="2" customFormat="1" ht="15.75" x14ac:dyDescent="0.25">
      <c r="A11" s="120">
        <v>4</v>
      </c>
      <c r="B11" s="121" t="s">
        <v>24</v>
      </c>
      <c r="C11" s="130"/>
      <c r="D11" s="113"/>
      <c r="E11" s="113"/>
      <c r="F11" s="113"/>
      <c r="G11" s="113"/>
      <c r="H11" s="113"/>
    </row>
    <row r="12" spans="1:9" s="2" customFormat="1" ht="15.75" x14ac:dyDescent="0.25">
      <c r="A12" s="120">
        <v>5</v>
      </c>
      <c r="B12" s="121" t="s">
        <v>68</v>
      </c>
      <c r="C12" s="130"/>
      <c r="D12" s="113"/>
      <c r="E12" s="113"/>
      <c r="F12" s="113"/>
      <c r="G12" s="113"/>
      <c r="H12" s="113"/>
    </row>
    <row r="13" spans="1:9" s="2" customFormat="1" ht="15.75" x14ac:dyDescent="0.25">
      <c r="A13" s="120">
        <v>6</v>
      </c>
      <c r="B13" s="122" t="s">
        <v>26</v>
      </c>
      <c r="C13" s="130"/>
      <c r="D13" s="113"/>
      <c r="E13" s="113"/>
      <c r="F13" s="113"/>
      <c r="G13" s="113"/>
      <c r="H13" s="113"/>
    </row>
    <row r="14" spans="1:9" s="2" customFormat="1" ht="15.75" x14ac:dyDescent="0.25">
      <c r="A14" s="120">
        <v>7</v>
      </c>
      <c r="B14" s="121" t="s">
        <v>28</v>
      </c>
      <c r="C14" s="130"/>
      <c r="D14" s="113"/>
      <c r="E14" s="113"/>
      <c r="F14" s="113"/>
      <c r="G14" s="113"/>
      <c r="H14" s="113"/>
    </row>
    <row r="15" spans="1:9" s="2" customFormat="1" ht="15.75" x14ac:dyDescent="0.25">
      <c r="A15" s="120">
        <v>8</v>
      </c>
      <c r="B15" s="121" t="s">
        <v>29</v>
      </c>
      <c r="C15" s="130"/>
      <c r="D15" s="113"/>
      <c r="E15" s="113"/>
      <c r="F15" s="113"/>
      <c r="G15" s="113"/>
      <c r="H15" s="113"/>
    </row>
    <row r="16" spans="1:9" s="2" customFormat="1" ht="15.75" x14ac:dyDescent="0.25">
      <c r="A16" s="120">
        <v>9</v>
      </c>
      <c r="B16" s="121" t="s">
        <v>69</v>
      </c>
      <c r="C16" s="130"/>
      <c r="D16" s="113"/>
      <c r="E16" s="113"/>
      <c r="F16" s="113"/>
      <c r="G16" s="113"/>
      <c r="H16" s="113"/>
    </row>
    <row r="17" spans="1:8" s="2" customFormat="1" ht="15.75" x14ac:dyDescent="0.25">
      <c r="A17" s="120">
        <v>10</v>
      </c>
      <c r="B17" s="123" t="s">
        <v>70</v>
      </c>
      <c r="C17" s="130"/>
      <c r="D17" s="113"/>
      <c r="E17" s="113"/>
      <c r="F17" s="113"/>
      <c r="G17" s="113"/>
      <c r="H17" s="113"/>
    </row>
    <row r="18" spans="1:8" s="2" customFormat="1" ht="15.75" x14ac:dyDescent="0.25">
      <c r="A18" s="120">
        <v>11</v>
      </c>
      <c r="B18" s="121" t="s">
        <v>71</v>
      </c>
      <c r="C18" s="130"/>
      <c r="D18" s="113"/>
      <c r="E18" s="113"/>
      <c r="F18" s="113"/>
      <c r="G18" s="113"/>
      <c r="H18" s="113"/>
    </row>
    <row r="19" spans="1:8" s="2" customFormat="1" ht="15.75" x14ac:dyDescent="0.25">
      <c r="A19" s="120">
        <v>12</v>
      </c>
      <c r="B19" s="121" t="s">
        <v>72</v>
      </c>
      <c r="C19" s="130"/>
      <c r="D19" s="113"/>
      <c r="E19" s="113"/>
      <c r="F19" s="113"/>
      <c r="G19" s="113"/>
      <c r="H19" s="113"/>
    </row>
    <row r="20" spans="1:8" s="2" customFormat="1" ht="15.75" x14ac:dyDescent="0.25">
      <c r="A20" s="120">
        <v>13</v>
      </c>
      <c r="B20" s="121" t="s">
        <v>73</v>
      </c>
      <c r="C20" s="130"/>
      <c r="D20" s="113"/>
      <c r="E20" s="113"/>
      <c r="F20" s="113"/>
      <c r="G20" s="113"/>
      <c r="H20" s="113"/>
    </row>
    <row r="21" spans="1:8" s="2" customFormat="1" ht="15.75" x14ac:dyDescent="0.25">
      <c r="A21" s="120">
        <v>14</v>
      </c>
      <c r="B21" s="121" t="s">
        <v>74</v>
      </c>
      <c r="C21" s="130"/>
      <c r="D21" s="113"/>
      <c r="E21" s="113"/>
      <c r="F21" s="113"/>
      <c r="G21" s="113"/>
      <c r="H21" s="113"/>
    </row>
    <row r="22" spans="1:8" s="2" customFormat="1" ht="15.75" x14ac:dyDescent="0.25">
      <c r="A22" s="120">
        <v>15</v>
      </c>
      <c r="B22" s="121" t="s">
        <v>75</v>
      </c>
      <c r="C22" s="130"/>
      <c r="D22" s="113"/>
      <c r="E22" s="113"/>
      <c r="F22" s="113"/>
      <c r="G22" s="113"/>
      <c r="H22" s="113"/>
    </row>
    <row r="23" spans="1:8" s="2" customFormat="1" ht="15.75" x14ac:dyDescent="0.25">
      <c r="A23" s="120">
        <v>16</v>
      </c>
      <c r="B23" s="207"/>
      <c r="C23" s="848"/>
      <c r="D23" s="113"/>
      <c r="E23" s="113"/>
      <c r="F23" s="113"/>
      <c r="G23" s="113"/>
      <c r="H23" s="113"/>
    </row>
    <row r="24" spans="1:8" s="2" customFormat="1" ht="15.75" x14ac:dyDescent="0.25">
      <c r="A24" s="120">
        <v>17</v>
      </c>
      <c r="B24" s="242" t="s">
        <v>76</v>
      </c>
      <c r="C24" s="243"/>
      <c r="D24" s="113"/>
      <c r="E24" s="113"/>
      <c r="F24" s="113"/>
      <c r="G24" s="113"/>
      <c r="H24" s="113"/>
    </row>
    <row r="25" spans="1:8" s="2" customFormat="1" ht="15.75" x14ac:dyDescent="0.25">
      <c r="A25" s="120">
        <v>18</v>
      </c>
      <c r="B25" s="121" t="s">
        <v>77</v>
      </c>
      <c r="C25" s="130"/>
      <c r="D25" s="113"/>
      <c r="E25" s="113"/>
      <c r="F25" s="113"/>
      <c r="G25" s="113"/>
      <c r="H25" s="113"/>
    </row>
    <row r="26" spans="1:8" s="2" customFormat="1" ht="15.75" x14ac:dyDescent="0.25">
      <c r="A26" s="120">
        <v>19</v>
      </c>
      <c r="B26" s="121" t="s">
        <v>78</v>
      </c>
      <c r="C26" s="130"/>
      <c r="D26" s="113"/>
      <c r="E26" s="113"/>
      <c r="F26" s="113"/>
      <c r="G26" s="113"/>
      <c r="H26" s="113"/>
    </row>
    <row r="27" spans="1:8" s="2" customFormat="1" ht="15.75" x14ac:dyDescent="0.25">
      <c r="A27" s="120">
        <v>20</v>
      </c>
      <c r="B27" s="121" t="s">
        <v>79</v>
      </c>
      <c r="C27" s="130"/>
      <c r="D27" s="113"/>
      <c r="E27" s="113"/>
      <c r="F27" s="113"/>
      <c r="G27" s="113"/>
      <c r="H27" s="113"/>
    </row>
    <row r="28" spans="1:8" s="2" customFormat="1" ht="15.75" x14ac:dyDescent="0.25">
      <c r="A28" s="120">
        <v>21</v>
      </c>
      <c r="B28" s="121" t="s">
        <v>80</v>
      </c>
      <c r="C28" s="130"/>
      <c r="D28" s="113"/>
      <c r="E28" s="113"/>
      <c r="F28" s="113"/>
      <c r="G28" s="113"/>
      <c r="H28" s="113"/>
    </row>
    <row r="29" spans="1:8" s="2" customFormat="1" ht="15.75" x14ac:dyDescent="0.25">
      <c r="A29" s="120">
        <v>22</v>
      </c>
      <c r="B29" s="121" t="s">
        <v>81</v>
      </c>
      <c r="C29" s="130"/>
      <c r="D29" s="113"/>
      <c r="E29" s="113"/>
      <c r="F29" s="113"/>
      <c r="G29" s="113"/>
      <c r="H29" s="113"/>
    </row>
    <row r="30" spans="1:8" s="2" customFormat="1" ht="15.75" x14ac:dyDescent="0.25">
      <c r="A30" s="120">
        <v>23</v>
      </c>
      <c r="B30" s="121" t="s">
        <v>82</v>
      </c>
      <c r="C30" s="130"/>
      <c r="D30" s="113"/>
      <c r="E30" s="113"/>
      <c r="F30" s="113"/>
      <c r="G30" s="113"/>
      <c r="H30" s="113"/>
    </row>
    <row r="31" spans="1:8" s="2" customFormat="1" ht="15.75" x14ac:dyDescent="0.25">
      <c r="A31" s="120">
        <v>24</v>
      </c>
      <c r="B31" s="451" t="s">
        <v>83</v>
      </c>
      <c r="C31" s="130"/>
      <c r="D31" s="113"/>
      <c r="E31" s="113"/>
      <c r="F31" s="113"/>
      <c r="G31" s="113"/>
      <c r="H31" s="113"/>
    </row>
    <row r="32" spans="1:8" s="2" customFormat="1" ht="15.75" x14ac:dyDescent="0.25">
      <c r="A32" s="120">
        <v>25</v>
      </c>
      <c r="B32" s="290"/>
      <c r="C32" s="450"/>
      <c r="D32" s="113"/>
      <c r="E32" s="113"/>
      <c r="F32" s="113"/>
      <c r="G32" s="113"/>
      <c r="H32" s="113"/>
    </row>
    <row r="33" spans="1:8" s="2" customFormat="1" ht="15.75" x14ac:dyDescent="0.25">
      <c r="A33" s="120">
        <v>26</v>
      </c>
      <c r="B33" s="290"/>
      <c r="C33" s="450"/>
      <c r="D33" s="113"/>
      <c r="E33" s="113"/>
      <c r="F33" s="113"/>
      <c r="G33" s="113"/>
      <c r="H33" s="113"/>
    </row>
    <row r="34" spans="1:8" s="2" customFormat="1" ht="15.75" x14ac:dyDescent="0.25">
      <c r="A34" s="120">
        <v>27</v>
      </c>
      <c r="B34" s="290"/>
      <c r="C34" s="450"/>
      <c r="D34" s="113"/>
      <c r="E34" s="113"/>
      <c r="F34" s="113"/>
      <c r="G34" s="113"/>
      <c r="H34" s="113"/>
    </row>
    <row r="35" spans="1:8" s="2" customFormat="1" ht="15.75" x14ac:dyDescent="0.25">
      <c r="A35" s="120">
        <v>28</v>
      </c>
      <c r="B35" s="240" t="s">
        <v>84</v>
      </c>
      <c r="C35" s="130"/>
      <c r="D35" s="113"/>
      <c r="E35" s="113"/>
      <c r="F35" s="113"/>
      <c r="G35" s="113"/>
      <c r="H35" s="113"/>
    </row>
    <row r="36" spans="1:8" s="2" customFormat="1" ht="15.75" x14ac:dyDescent="0.25">
      <c r="A36" s="120">
        <v>29</v>
      </c>
      <c r="B36" s="121" t="s">
        <v>85</v>
      </c>
      <c r="C36" s="130"/>
      <c r="D36" s="113"/>
      <c r="E36" s="113"/>
      <c r="F36" s="113"/>
      <c r="G36" s="113"/>
      <c r="H36" s="113"/>
    </row>
    <row r="37" spans="1:8" s="2" customFormat="1" ht="15.75" x14ac:dyDescent="0.25">
      <c r="A37" s="120">
        <v>30</v>
      </c>
      <c r="B37" s="121" t="s">
        <v>86</v>
      </c>
      <c r="C37" s="130"/>
      <c r="D37" s="113"/>
      <c r="E37" s="113"/>
      <c r="F37" s="113"/>
      <c r="G37" s="113"/>
      <c r="H37" s="113"/>
    </row>
    <row r="38" spans="1:8" s="2" customFormat="1" ht="15.75" x14ac:dyDescent="0.25">
      <c r="A38" s="120">
        <v>31</v>
      </c>
      <c r="B38" s="121" t="s">
        <v>87</v>
      </c>
      <c r="C38" s="130"/>
      <c r="D38" s="113"/>
      <c r="E38" s="113"/>
      <c r="F38" s="113"/>
      <c r="G38" s="113"/>
      <c r="H38" s="113"/>
    </row>
    <row r="39" spans="1:8" s="2" customFormat="1" ht="15.75" x14ac:dyDescent="0.25">
      <c r="A39" s="120">
        <v>32</v>
      </c>
      <c r="B39" s="272" t="s">
        <v>88</v>
      </c>
      <c r="C39" s="130"/>
      <c r="D39" s="113"/>
      <c r="E39" s="113"/>
      <c r="F39" s="113"/>
      <c r="G39" s="113"/>
      <c r="H39" s="113"/>
    </row>
    <row r="40" spans="1:8" s="2" customFormat="1" ht="15.75" x14ac:dyDescent="0.25">
      <c r="A40" s="120">
        <v>33</v>
      </c>
      <c r="B40" s="272" t="s">
        <v>89</v>
      </c>
      <c r="C40" s="130"/>
      <c r="D40" s="113"/>
      <c r="E40" s="113"/>
      <c r="F40" s="113"/>
      <c r="G40" s="113"/>
      <c r="H40" s="113"/>
    </row>
    <row r="41" spans="1:8" s="2" customFormat="1" ht="15.75" x14ac:dyDescent="0.25">
      <c r="A41" s="120">
        <v>34</v>
      </c>
      <c r="B41" s="121" t="s">
        <v>90</v>
      </c>
      <c r="C41" s="130"/>
      <c r="D41" s="113"/>
      <c r="E41" s="113"/>
      <c r="F41" s="113"/>
      <c r="G41" s="113"/>
      <c r="H41" s="113"/>
    </row>
    <row r="42" spans="1:8" s="2" customFormat="1" ht="15.75" x14ac:dyDescent="0.25">
      <c r="A42" s="120">
        <v>35</v>
      </c>
      <c r="B42" s="121" t="s">
        <v>91</v>
      </c>
      <c r="C42" s="130"/>
      <c r="D42" s="113"/>
      <c r="E42" s="113"/>
      <c r="F42" s="113"/>
      <c r="G42" s="113"/>
      <c r="H42" s="113"/>
    </row>
    <row r="43" spans="1:8" s="2" customFormat="1" ht="15.75" x14ac:dyDescent="0.25">
      <c r="A43" s="120">
        <v>36</v>
      </c>
      <c r="B43" s="121" t="s">
        <v>92</v>
      </c>
      <c r="C43" s="130"/>
      <c r="D43" s="113"/>
      <c r="E43" s="113"/>
      <c r="F43" s="113"/>
      <c r="G43" s="113"/>
      <c r="H43" s="113"/>
    </row>
    <row r="44" spans="1:8" s="2" customFormat="1" ht="15.75" x14ac:dyDescent="0.25">
      <c r="A44" s="120">
        <v>37</v>
      </c>
      <c r="B44" s="121" t="s">
        <v>93</v>
      </c>
      <c r="C44" s="130"/>
      <c r="D44" s="113"/>
      <c r="E44" s="113"/>
      <c r="F44" s="113"/>
      <c r="G44" s="113"/>
      <c r="H44" s="113"/>
    </row>
    <row r="45" spans="1:8" s="2" customFormat="1" ht="15.75" x14ac:dyDescent="0.25">
      <c r="A45" s="120">
        <v>38</v>
      </c>
      <c r="B45" s="121" t="s">
        <v>94</v>
      </c>
      <c r="C45" s="130"/>
      <c r="D45" s="113"/>
      <c r="E45" s="113"/>
      <c r="F45" s="113"/>
      <c r="G45" s="113"/>
      <c r="H45" s="113"/>
    </row>
    <row r="46" spans="1:8" s="2" customFormat="1" ht="15.75" x14ac:dyDescent="0.25">
      <c r="A46" s="120">
        <v>39</v>
      </c>
      <c r="B46" s="121" t="s">
        <v>95</v>
      </c>
      <c r="C46" s="130"/>
      <c r="D46" s="113"/>
      <c r="E46" s="113"/>
      <c r="F46" s="113"/>
      <c r="G46" s="113"/>
      <c r="H46" s="113"/>
    </row>
    <row r="47" spans="1:8" s="2" customFormat="1" ht="15.75" x14ac:dyDescent="0.25">
      <c r="A47" s="120">
        <v>40</v>
      </c>
      <c r="B47" s="121" t="s">
        <v>96</v>
      </c>
      <c r="C47" s="130"/>
      <c r="D47" s="113"/>
      <c r="E47" s="113"/>
      <c r="F47" s="113"/>
      <c r="G47" s="113"/>
      <c r="H47" s="113"/>
    </row>
    <row r="48" spans="1:8" s="2" customFormat="1" ht="15.75" x14ac:dyDescent="0.25">
      <c r="A48" s="120">
        <v>41</v>
      </c>
      <c r="B48" s="121" t="s">
        <v>97</v>
      </c>
      <c r="C48" s="130"/>
      <c r="D48" s="113"/>
      <c r="E48" s="113"/>
      <c r="F48" s="113"/>
      <c r="G48" s="113"/>
      <c r="H48" s="113"/>
    </row>
    <row r="49" spans="1:8" s="2" customFormat="1" ht="15.75" x14ac:dyDescent="0.25">
      <c r="A49" s="120">
        <v>42</v>
      </c>
      <c r="B49" s="121"/>
      <c r="C49" s="130"/>
      <c r="D49" s="113"/>
      <c r="E49" s="113"/>
      <c r="F49" s="113"/>
      <c r="G49" s="113"/>
      <c r="H49" s="113"/>
    </row>
    <row r="50" spans="1:8" s="2" customFormat="1" ht="15.75" x14ac:dyDescent="0.25">
      <c r="A50" s="120">
        <v>43</v>
      </c>
      <c r="B50" s="273"/>
      <c r="C50" s="130"/>
      <c r="D50" s="113"/>
      <c r="E50" s="113"/>
      <c r="F50" s="113"/>
      <c r="G50" s="113"/>
      <c r="H50" s="113"/>
    </row>
    <row r="51" spans="1:8" s="2" customFormat="1" ht="15.75" x14ac:dyDescent="0.25">
      <c r="A51" s="120">
        <v>44</v>
      </c>
      <c r="B51" s="123" t="s">
        <v>98</v>
      </c>
      <c r="C51" s="130"/>
      <c r="D51" s="113"/>
      <c r="E51" s="113"/>
      <c r="F51" s="113"/>
      <c r="G51" s="113"/>
      <c r="H51" s="113"/>
    </row>
    <row r="52" spans="1:8" s="2" customFormat="1" ht="15.75" x14ac:dyDescent="0.25">
      <c r="A52" s="120">
        <v>45</v>
      </c>
      <c r="B52" s="123" t="s">
        <v>99</v>
      </c>
      <c r="C52" s="130"/>
      <c r="D52" s="113"/>
      <c r="E52" s="113"/>
      <c r="F52" s="113"/>
      <c r="G52" s="113"/>
      <c r="H52" s="113"/>
    </row>
    <row r="53" spans="1:8" s="2" customFormat="1" ht="15.75" x14ac:dyDescent="0.25">
      <c r="A53" s="120">
        <v>46</v>
      </c>
      <c r="B53" s="121" t="s">
        <v>100</v>
      </c>
      <c r="C53" s="130"/>
      <c r="D53" s="113"/>
      <c r="E53" s="113"/>
      <c r="F53" s="113"/>
      <c r="G53" s="113"/>
      <c r="H53" s="113"/>
    </row>
    <row r="54" spans="1:8" s="2" customFormat="1" ht="15.75" x14ac:dyDescent="0.25">
      <c r="A54" s="120">
        <v>47</v>
      </c>
      <c r="B54" s="121" t="s">
        <v>101</v>
      </c>
      <c r="C54" s="130"/>
      <c r="D54" s="113"/>
      <c r="E54" s="113"/>
      <c r="F54" s="113"/>
      <c r="G54" s="113"/>
      <c r="H54" s="113"/>
    </row>
    <row r="55" spans="1:8" s="2" customFormat="1" ht="15.75" x14ac:dyDescent="0.25">
      <c r="A55" s="120">
        <v>48</v>
      </c>
      <c r="B55" s="121" t="s">
        <v>102</v>
      </c>
      <c r="C55" s="130"/>
      <c r="D55" s="113"/>
      <c r="E55" s="113"/>
      <c r="F55" s="113"/>
      <c r="G55" s="113"/>
      <c r="H55" s="113"/>
    </row>
    <row r="56" spans="1:8" s="2" customFormat="1" ht="15.75" x14ac:dyDescent="0.25">
      <c r="A56" s="120">
        <v>49</v>
      </c>
      <c r="B56" s="121" t="s">
        <v>103</v>
      </c>
      <c r="C56" s="130"/>
      <c r="D56" s="113"/>
      <c r="E56" s="113"/>
      <c r="F56" s="113"/>
      <c r="G56" s="113"/>
      <c r="H56" s="113"/>
    </row>
    <row r="57" spans="1:8" s="2" customFormat="1" ht="33" customHeight="1" x14ac:dyDescent="0.25">
      <c r="A57" s="120">
        <v>50</v>
      </c>
      <c r="B57" s="126" t="s">
        <v>104</v>
      </c>
      <c r="C57" s="130"/>
      <c r="D57" s="113"/>
      <c r="E57" s="113"/>
      <c r="F57" s="113"/>
      <c r="G57" s="113"/>
      <c r="H57" s="113"/>
    </row>
    <row r="58" spans="1:8" s="2" customFormat="1" ht="15.75" x14ac:dyDescent="0.25">
      <c r="A58" s="120">
        <v>51</v>
      </c>
      <c r="B58" s="242" t="s">
        <v>105</v>
      </c>
      <c r="C58" s="243"/>
      <c r="D58" s="113"/>
      <c r="E58" s="113"/>
      <c r="F58" s="113"/>
      <c r="G58" s="113"/>
      <c r="H58" s="113"/>
    </row>
    <row r="59" spans="1:8" s="2" customFormat="1" ht="15.75" x14ac:dyDescent="0.25">
      <c r="A59" s="120">
        <v>52</v>
      </c>
      <c r="B59" s="240" t="s">
        <v>106</v>
      </c>
      <c r="C59" s="241"/>
      <c r="D59" s="113"/>
      <c r="E59" s="113"/>
      <c r="F59" s="113"/>
      <c r="G59" s="113"/>
      <c r="H59" s="113"/>
    </row>
    <row r="60" spans="1:8" s="2" customFormat="1" ht="15.75" x14ac:dyDescent="0.25">
      <c r="A60" s="120">
        <v>53</v>
      </c>
      <c r="B60" s="121" t="s">
        <v>107</v>
      </c>
      <c r="C60" s="130"/>
      <c r="D60" s="113"/>
      <c r="E60" s="113"/>
      <c r="F60" s="113"/>
      <c r="G60" s="113"/>
      <c r="H60" s="113"/>
    </row>
    <row r="61" spans="1:8" s="2" customFormat="1" ht="15.75" x14ac:dyDescent="0.25">
      <c r="A61" s="120">
        <v>54</v>
      </c>
      <c r="B61" s="121" t="s">
        <v>108</v>
      </c>
      <c r="C61" s="130"/>
      <c r="D61" s="113"/>
      <c r="E61" s="113"/>
      <c r="F61" s="113"/>
      <c r="G61" s="113"/>
      <c r="H61" s="113"/>
    </row>
    <row r="62" spans="1:8" s="2" customFormat="1" ht="15.75" x14ac:dyDescent="0.25">
      <c r="A62" s="120">
        <v>55</v>
      </c>
      <c r="B62" s="121" t="s">
        <v>109</v>
      </c>
      <c r="C62" s="130"/>
      <c r="D62" s="113"/>
      <c r="E62" s="113"/>
      <c r="F62" s="113"/>
      <c r="G62" s="113"/>
      <c r="H62" s="113"/>
    </row>
    <row r="63" spans="1:8" s="2" customFormat="1" ht="15.75" x14ac:dyDescent="0.25">
      <c r="A63" s="120">
        <v>56</v>
      </c>
      <c r="B63" s="121" t="s">
        <v>110</v>
      </c>
      <c r="C63" s="130"/>
      <c r="D63" s="113"/>
      <c r="E63" s="113"/>
      <c r="F63" s="113"/>
      <c r="G63" s="113"/>
      <c r="H63" s="113"/>
    </row>
    <row r="64" spans="1:8" s="2" customFormat="1" ht="15.75" x14ac:dyDescent="0.25">
      <c r="A64" s="120">
        <v>57</v>
      </c>
      <c r="B64" s="121" t="s">
        <v>111</v>
      </c>
      <c r="C64" s="130"/>
      <c r="D64" s="113"/>
      <c r="E64" s="113"/>
      <c r="F64" s="113"/>
      <c r="G64" s="113"/>
      <c r="H64" s="113"/>
    </row>
    <row r="65" spans="1:9" s="2" customFormat="1" ht="15.75" x14ac:dyDescent="0.25">
      <c r="A65" s="120">
        <v>58</v>
      </c>
      <c r="B65" s="121" t="s">
        <v>112</v>
      </c>
      <c r="C65" s="130"/>
      <c r="D65" s="113"/>
      <c r="E65" s="113"/>
      <c r="F65" s="113"/>
      <c r="G65" s="113"/>
      <c r="H65" s="113"/>
    </row>
    <row r="66" spans="1:9" s="2" customFormat="1" ht="15.75" x14ac:dyDescent="0.25">
      <c r="A66" s="120">
        <v>59</v>
      </c>
      <c r="B66" s="121" t="s">
        <v>113</v>
      </c>
      <c r="C66" s="130"/>
      <c r="D66" s="113"/>
      <c r="E66" s="113"/>
      <c r="F66" s="113"/>
      <c r="G66" s="113"/>
      <c r="H66" s="113"/>
    </row>
    <row r="67" spans="1:9" s="2" customFormat="1" ht="15.75" x14ac:dyDescent="0.25">
      <c r="A67" s="120">
        <v>60</v>
      </c>
      <c r="B67" s="121" t="s">
        <v>114</v>
      </c>
      <c r="C67" s="130"/>
      <c r="D67" s="113"/>
      <c r="E67" s="113"/>
      <c r="F67" s="113"/>
      <c r="G67" s="113"/>
      <c r="H67" s="113"/>
    </row>
    <row r="68" spans="1:9" s="2" customFormat="1" ht="15.75" x14ac:dyDescent="0.25">
      <c r="A68" s="120">
        <v>61</v>
      </c>
      <c r="B68" s="121" t="s">
        <v>115</v>
      </c>
      <c r="C68" s="130"/>
      <c r="D68" s="113"/>
      <c r="E68" s="113"/>
      <c r="F68" s="113"/>
      <c r="G68" s="113"/>
      <c r="H68" s="113"/>
    </row>
    <row r="69" spans="1:9" s="2" customFormat="1" ht="15.75" x14ac:dyDescent="0.25">
      <c r="A69" s="120">
        <v>62</v>
      </c>
      <c r="B69" s="121" t="s">
        <v>116</v>
      </c>
      <c r="C69" s="130"/>
      <c r="D69" s="113"/>
      <c r="E69" s="113"/>
      <c r="F69" s="113"/>
      <c r="G69" s="113"/>
      <c r="H69" s="113"/>
    </row>
    <row r="70" spans="1:9" s="2" customFormat="1" ht="15.75" x14ac:dyDescent="0.25">
      <c r="A70" s="120">
        <v>63</v>
      </c>
      <c r="B70" s="121" t="s">
        <v>117</v>
      </c>
      <c r="C70" s="130"/>
      <c r="D70" s="113"/>
      <c r="E70" s="113"/>
      <c r="F70" s="113"/>
      <c r="G70" s="113"/>
      <c r="H70" s="113"/>
    </row>
    <row r="71" spans="1:9" s="2" customFormat="1" ht="15.75" x14ac:dyDescent="0.25">
      <c r="A71" s="120">
        <v>64</v>
      </c>
      <c r="B71" s="121" t="s">
        <v>118</v>
      </c>
      <c r="C71" s="130"/>
      <c r="D71" s="113"/>
      <c r="E71" s="113"/>
      <c r="F71" s="113"/>
      <c r="G71" s="113"/>
      <c r="H71" s="113"/>
    </row>
    <row r="72" spans="1:9" s="2" customFormat="1" ht="15.75" x14ac:dyDescent="0.25">
      <c r="A72" s="120">
        <v>65</v>
      </c>
      <c r="B72" s="121" t="s">
        <v>119</v>
      </c>
      <c r="C72" s="130"/>
      <c r="D72" s="113"/>
      <c r="E72" s="113"/>
      <c r="F72" s="113"/>
      <c r="G72" s="113"/>
      <c r="H72" s="113"/>
    </row>
    <row r="73" spans="1:9" s="2" customFormat="1" ht="15.75" x14ac:dyDescent="0.25">
      <c r="A73" s="120">
        <v>66</v>
      </c>
      <c r="B73" s="121" t="s">
        <v>120</v>
      </c>
      <c r="C73" s="130"/>
      <c r="D73" s="113"/>
      <c r="E73" s="113"/>
      <c r="F73" s="113"/>
      <c r="G73" s="113"/>
      <c r="H73" s="113"/>
    </row>
    <row r="74" spans="1:9" s="2" customFormat="1" ht="15.75" x14ac:dyDescent="0.25">
      <c r="A74" s="120">
        <v>67</v>
      </c>
      <c r="B74" s="121" t="s">
        <v>121</v>
      </c>
      <c r="C74" s="130"/>
      <c r="D74" s="113"/>
      <c r="E74" s="113"/>
      <c r="F74" s="113"/>
      <c r="G74" s="113"/>
      <c r="H74" s="113"/>
    </row>
    <row r="75" spans="1:9" s="2" customFormat="1" ht="15.75" x14ac:dyDescent="0.25">
      <c r="A75" s="120">
        <v>68</v>
      </c>
      <c r="B75" s="835" t="s">
        <v>122</v>
      </c>
      <c r="C75" s="839">
        <f>SUM(C8:C74)</f>
        <v>0</v>
      </c>
      <c r="D75" s="113"/>
      <c r="E75" s="113"/>
      <c r="F75" s="113"/>
      <c r="G75" s="113"/>
      <c r="H75" s="113"/>
    </row>
    <row r="76" spans="1:9" s="2" customFormat="1" ht="15.75" x14ac:dyDescent="0.25">
      <c r="A76" s="120">
        <v>69</v>
      </c>
      <c r="B76" s="838"/>
      <c r="C76" s="312"/>
      <c r="D76" s="113"/>
      <c r="E76" s="113"/>
      <c r="F76" s="113"/>
      <c r="G76" s="113"/>
      <c r="H76" s="113"/>
    </row>
    <row r="77" spans="1:9" s="2" customFormat="1" ht="15.75" x14ac:dyDescent="0.25">
      <c r="A77" s="120">
        <v>70</v>
      </c>
      <c r="B77" s="844" t="s">
        <v>123</v>
      </c>
      <c r="C77" s="479"/>
      <c r="D77" s="113"/>
      <c r="E77" s="113"/>
      <c r="F77" s="113"/>
      <c r="G77" s="113"/>
      <c r="H77" s="113"/>
    </row>
    <row r="78" spans="1:9" s="2" customFormat="1" ht="15.75" x14ac:dyDescent="0.25">
      <c r="A78" s="120">
        <v>71</v>
      </c>
      <c r="B78" s="121" t="s">
        <v>124</v>
      </c>
      <c r="C78" s="131"/>
      <c r="D78" s="113"/>
      <c r="E78" s="113"/>
      <c r="F78" s="113"/>
      <c r="G78" s="113"/>
      <c r="H78" s="113"/>
    </row>
    <row r="79" spans="1:9" ht="15.75" x14ac:dyDescent="0.25">
      <c r="A79" s="120">
        <v>72</v>
      </c>
      <c r="B79" s="124" t="s">
        <v>125</v>
      </c>
      <c r="C79" s="132"/>
      <c r="D79" s="21"/>
      <c r="E79" s="21"/>
      <c r="F79" s="21"/>
      <c r="G79" s="21"/>
      <c r="H79" s="21"/>
      <c r="I79" s="2"/>
    </row>
    <row r="80" spans="1:9" ht="15.75" x14ac:dyDescent="0.25">
      <c r="A80" s="120">
        <v>73</v>
      </c>
      <c r="B80" s="124" t="s">
        <v>126</v>
      </c>
      <c r="C80" s="132"/>
      <c r="D80" s="21"/>
      <c r="E80" s="21"/>
      <c r="F80" s="21"/>
      <c r="G80" s="21"/>
      <c r="H80" s="21"/>
      <c r="I80" s="2"/>
    </row>
    <row r="81" spans="1:8" ht="15.75" x14ac:dyDescent="0.25">
      <c r="A81" s="120">
        <v>74</v>
      </c>
      <c r="B81" s="124" t="s">
        <v>127</v>
      </c>
      <c r="C81" s="132"/>
      <c r="D81" s="21"/>
      <c r="E81" s="21"/>
      <c r="F81" s="21"/>
      <c r="G81" s="21"/>
      <c r="H81" s="21"/>
    </row>
    <row r="82" spans="1:8" ht="15.75" x14ac:dyDescent="0.25">
      <c r="A82" s="120">
        <v>75</v>
      </c>
      <c r="B82" s="124" t="s">
        <v>128</v>
      </c>
      <c r="C82" s="132"/>
      <c r="D82" s="21"/>
      <c r="E82" s="21"/>
      <c r="F82" s="21"/>
      <c r="G82" s="21"/>
      <c r="H82" s="21"/>
    </row>
    <row r="83" spans="1:8" ht="15.75" x14ac:dyDescent="0.25">
      <c r="A83" s="120">
        <v>76</v>
      </c>
      <c r="B83" s="124" t="s">
        <v>129</v>
      </c>
      <c r="C83" s="132"/>
      <c r="D83" s="21"/>
      <c r="E83" s="21"/>
      <c r="F83" s="21"/>
      <c r="G83" s="21"/>
      <c r="H83" s="21"/>
    </row>
    <row r="84" spans="1:8" ht="15.75" x14ac:dyDescent="0.25">
      <c r="A84" s="120">
        <v>77</v>
      </c>
      <c r="B84" s="124" t="s">
        <v>130</v>
      </c>
      <c r="C84" s="132"/>
      <c r="D84" s="21"/>
      <c r="E84" s="21"/>
      <c r="F84" s="21"/>
      <c r="G84" s="21"/>
      <c r="H84" s="21"/>
    </row>
    <row r="85" spans="1:8" ht="15.75" x14ac:dyDescent="0.25">
      <c r="A85" s="120">
        <v>78</v>
      </c>
      <c r="B85" s="124" t="s">
        <v>131</v>
      </c>
      <c r="C85" s="133"/>
      <c r="D85" s="21"/>
      <c r="E85" s="21"/>
      <c r="F85" s="21"/>
      <c r="G85" s="21"/>
      <c r="H85" s="21"/>
    </row>
    <row r="86" spans="1:8" ht="15.75" x14ac:dyDescent="0.25">
      <c r="A86" s="120">
        <v>79</v>
      </c>
      <c r="B86" s="124" t="s">
        <v>132</v>
      </c>
      <c r="C86" s="133"/>
      <c r="D86" s="21"/>
      <c r="E86" s="21"/>
      <c r="F86" s="21"/>
      <c r="G86" s="21"/>
      <c r="H86" s="21"/>
    </row>
    <row r="87" spans="1:8" ht="15.75" x14ac:dyDescent="0.25">
      <c r="A87" s="120">
        <v>80</v>
      </c>
      <c r="B87" s="124" t="s">
        <v>133</v>
      </c>
      <c r="C87" s="133"/>
      <c r="D87" s="21"/>
      <c r="E87" s="21"/>
      <c r="F87" s="21"/>
      <c r="G87" s="21"/>
      <c r="H87" s="21"/>
    </row>
    <row r="88" spans="1:8" ht="16.5" customHeight="1" x14ac:dyDescent="0.25">
      <c r="A88" s="120">
        <v>81</v>
      </c>
      <c r="B88" s="847" t="s">
        <v>134</v>
      </c>
      <c r="C88" s="642">
        <f>SUM(C75:C87)</f>
        <v>0</v>
      </c>
      <c r="D88" s="21"/>
      <c r="E88" s="21"/>
      <c r="F88" s="21"/>
      <c r="G88" s="21"/>
      <c r="H88" s="21"/>
    </row>
    <row r="89" spans="1:8" ht="15.75" x14ac:dyDescent="0.25">
      <c r="A89" s="120">
        <v>82</v>
      </c>
      <c r="B89" s="711"/>
      <c r="C89" s="641"/>
      <c r="D89" s="21"/>
      <c r="E89" s="21"/>
      <c r="F89" s="21"/>
      <c r="G89" s="21"/>
      <c r="H89" s="21"/>
    </row>
    <row r="90" spans="1:8" ht="18.75" x14ac:dyDescent="0.3">
      <c r="A90" s="120">
        <v>83</v>
      </c>
      <c r="B90" s="845" t="s">
        <v>43</v>
      </c>
      <c r="C90" s="715"/>
      <c r="D90" s="21"/>
      <c r="E90" s="21"/>
      <c r="F90" s="21"/>
      <c r="G90" s="21"/>
      <c r="H90" s="21"/>
    </row>
    <row r="91" spans="1:8" ht="15.75" x14ac:dyDescent="0.25">
      <c r="A91" s="120">
        <v>84</v>
      </c>
      <c r="B91" s="718"/>
      <c r="C91" s="719"/>
      <c r="D91" s="21"/>
      <c r="E91" s="21"/>
      <c r="F91" s="21"/>
      <c r="G91" s="21"/>
      <c r="H91" s="21"/>
    </row>
    <row r="92" spans="1:8" ht="15.75" x14ac:dyDescent="0.25">
      <c r="A92" s="120">
        <v>85</v>
      </c>
      <c r="B92" s="836" t="s">
        <v>135</v>
      </c>
      <c r="C92" s="846"/>
      <c r="D92" s="21"/>
      <c r="E92" s="21"/>
      <c r="F92" s="21"/>
      <c r="G92" s="21"/>
      <c r="H92" s="21"/>
    </row>
    <row r="93" spans="1:8" ht="15.75" x14ac:dyDescent="0.25">
      <c r="A93" s="120">
        <v>86</v>
      </c>
      <c r="B93" s="387"/>
      <c r="C93" s="717"/>
      <c r="D93" s="29"/>
      <c r="E93" s="21"/>
      <c r="F93" s="29"/>
      <c r="G93" s="29"/>
      <c r="H93" s="29"/>
    </row>
    <row r="94" spans="1:8" ht="15.75" x14ac:dyDescent="0.25">
      <c r="A94" s="1023"/>
      <c r="B94" s="1023"/>
      <c r="C94" s="135"/>
      <c r="D94" s="29"/>
      <c r="E94" s="21"/>
      <c r="F94" s="29"/>
      <c r="G94" s="29"/>
      <c r="H94" s="29"/>
    </row>
    <row r="95" spans="1:8" ht="15.75" x14ac:dyDescent="0.25">
      <c r="A95" s="1023"/>
      <c r="B95" s="1023"/>
      <c r="C95" s="135"/>
      <c r="D95" s="29"/>
      <c r="E95" s="21"/>
      <c r="F95" s="29"/>
      <c r="G95" s="29"/>
      <c r="H95" s="29"/>
    </row>
    <row r="96" spans="1:8" ht="15.75" x14ac:dyDescent="0.25">
      <c r="A96" s="1023"/>
      <c r="B96" s="1023"/>
      <c r="C96" s="135"/>
      <c r="D96" s="29"/>
      <c r="E96" s="21"/>
      <c r="F96" s="29"/>
      <c r="G96" s="29"/>
      <c r="H96" s="29"/>
    </row>
    <row r="97" spans="1:8" ht="15.75" x14ac:dyDescent="0.25">
      <c r="A97" s="1023"/>
      <c r="B97" s="1023"/>
      <c r="C97" s="135"/>
      <c r="D97" s="29"/>
      <c r="E97" s="21"/>
      <c r="F97" s="29"/>
      <c r="G97" s="29"/>
      <c r="H97" s="29"/>
    </row>
    <row r="98" spans="1:8" ht="15.75" x14ac:dyDescent="0.25">
      <c r="A98" s="1023"/>
      <c r="B98" s="1023"/>
      <c r="C98" s="135"/>
      <c r="D98" s="29"/>
      <c r="E98" s="21"/>
      <c r="F98" s="29"/>
      <c r="G98" s="29"/>
      <c r="H98" s="29"/>
    </row>
    <row r="99" spans="1:8" ht="15.75" x14ac:dyDescent="0.25">
      <c r="A99" s="116"/>
      <c r="B99" s="21"/>
      <c r="C99" s="134"/>
      <c r="D99" s="21"/>
      <c r="E99" s="21"/>
      <c r="F99" s="21"/>
      <c r="G99" s="21"/>
      <c r="H99" s="21"/>
    </row>
    <row r="100" spans="1:8" ht="15.75" x14ac:dyDescent="0.25">
      <c r="A100" s="116"/>
      <c r="B100" s="21"/>
      <c r="C100" s="134"/>
      <c r="D100" s="21"/>
      <c r="E100" s="21"/>
      <c r="F100" s="21"/>
      <c r="G100" s="21"/>
      <c r="H100" s="21"/>
    </row>
    <row r="101" spans="1:8" ht="15.75" x14ac:dyDescent="0.25">
      <c r="A101" s="116"/>
      <c r="B101" s="21"/>
      <c r="C101" s="134"/>
      <c r="D101" s="21"/>
      <c r="E101" s="21"/>
      <c r="F101" s="21"/>
      <c r="G101" s="21"/>
      <c r="H101" s="21"/>
    </row>
    <row r="102" spans="1:8" ht="15.75" x14ac:dyDescent="0.25">
      <c r="A102" s="116"/>
      <c r="B102" s="21"/>
      <c r="C102" s="134"/>
      <c r="D102" s="21"/>
      <c r="E102" s="21"/>
      <c r="F102" s="21"/>
      <c r="G102" s="21"/>
      <c r="H102" s="21"/>
    </row>
    <row r="103" spans="1:8" ht="15.75" x14ac:dyDescent="0.25">
      <c r="A103" s="116"/>
      <c r="B103" s="21"/>
      <c r="C103" s="134"/>
      <c r="D103" s="21"/>
      <c r="E103" s="21"/>
      <c r="F103" s="21"/>
      <c r="G103" s="21"/>
      <c r="H103" s="21"/>
    </row>
    <row r="104" spans="1:8" ht="15.75" x14ac:dyDescent="0.25">
      <c r="A104" s="116"/>
      <c r="B104" s="21"/>
      <c r="C104" s="134"/>
      <c r="D104" s="21"/>
      <c r="E104" s="21"/>
      <c r="F104" s="21"/>
      <c r="G104" s="21"/>
      <c r="H104" s="21"/>
    </row>
    <row r="105" spans="1:8" ht="15.75" x14ac:dyDescent="0.25">
      <c r="A105" s="116"/>
      <c r="B105" s="21"/>
      <c r="C105" s="134"/>
      <c r="D105" s="21"/>
      <c r="E105" s="21"/>
      <c r="F105" s="21"/>
      <c r="G105" s="21"/>
      <c r="H105" s="21"/>
    </row>
    <row r="106" spans="1:8" ht="15.75" x14ac:dyDescent="0.25">
      <c r="A106" s="116"/>
      <c r="B106" s="21"/>
      <c r="C106" s="134"/>
      <c r="D106" s="21"/>
      <c r="E106" s="21"/>
      <c r="F106" s="21"/>
      <c r="G106" s="21"/>
      <c r="H106" s="21"/>
    </row>
    <row r="107" spans="1:8" ht="15.75" x14ac:dyDescent="0.25">
      <c r="A107" s="116"/>
      <c r="B107" s="21"/>
      <c r="C107" s="134"/>
      <c r="D107" s="21"/>
      <c r="E107" s="21"/>
      <c r="F107" s="21"/>
      <c r="G107" s="21"/>
      <c r="H107" s="21"/>
    </row>
    <row r="108" spans="1:8" ht="15.75" x14ac:dyDescent="0.25">
      <c r="A108" s="116"/>
      <c r="B108" s="21"/>
      <c r="C108" s="134"/>
      <c r="D108" s="21"/>
      <c r="E108" s="21"/>
      <c r="F108" s="21"/>
      <c r="G108" s="21"/>
      <c r="H108" s="21"/>
    </row>
    <row r="109" spans="1:8" ht="15.75" x14ac:dyDescent="0.25">
      <c r="A109" s="116"/>
      <c r="B109" s="21"/>
      <c r="C109" s="134"/>
      <c r="D109" s="21"/>
      <c r="E109" s="21"/>
      <c r="F109" s="21"/>
      <c r="G109" s="21"/>
      <c r="H109" s="21"/>
    </row>
    <row r="110" spans="1:8" ht="15.75" x14ac:dyDescent="0.25">
      <c r="A110" s="116"/>
      <c r="B110" s="21"/>
      <c r="C110" s="134"/>
      <c r="D110" s="21"/>
      <c r="E110" s="29"/>
      <c r="F110" s="21"/>
      <c r="G110" s="21"/>
      <c r="H110" s="21"/>
    </row>
    <row r="111" spans="1:8" ht="15.75" x14ac:dyDescent="0.25">
      <c r="A111" s="116"/>
      <c r="B111" s="21"/>
      <c r="C111" s="134"/>
      <c r="D111" s="21"/>
      <c r="E111" s="29"/>
      <c r="F111" s="21"/>
      <c r="G111" s="21"/>
      <c r="H111" s="21"/>
    </row>
    <row r="112" spans="1:8" ht="15.75" x14ac:dyDescent="0.25">
      <c r="A112" s="116"/>
      <c r="B112" s="21"/>
      <c r="C112" s="134"/>
      <c r="D112" s="21"/>
      <c r="E112" s="29"/>
      <c r="F112" s="21"/>
      <c r="G112" s="21"/>
      <c r="H112" s="21"/>
    </row>
    <row r="113" spans="1:8" ht="15.75" x14ac:dyDescent="0.25">
      <c r="A113" s="116"/>
      <c r="B113" s="21"/>
      <c r="C113" s="134"/>
      <c r="D113" s="21"/>
      <c r="E113" s="29"/>
      <c r="F113" s="21"/>
      <c r="G113" s="21"/>
      <c r="H113" s="21"/>
    </row>
    <row r="114" spans="1:8" ht="15.75" x14ac:dyDescent="0.25">
      <c r="A114" s="116"/>
      <c r="B114" s="21"/>
      <c r="C114" s="134"/>
      <c r="D114" s="21"/>
      <c r="E114" s="29"/>
      <c r="F114" s="21"/>
      <c r="G114" s="21"/>
      <c r="H114" s="21"/>
    </row>
    <row r="115" spans="1:8" ht="15.75" x14ac:dyDescent="0.25">
      <c r="A115" s="116"/>
      <c r="B115" s="21"/>
      <c r="C115" s="134"/>
      <c r="D115" s="21"/>
      <c r="E115" s="29"/>
      <c r="F115" s="21"/>
      <c r="G115" s="21"/>
      <c r="H115" s="21"/>
    </row>
  </sheetData>
  <mergeCells count="10">
    <mergeCell ref="A98:B98"/>
    <mergeCell ref="A94:B94"/>
    <mergeCell ref="C6:C7"/>
    <mergeCell ref="A95:B95"/>
    <mergeCell ref="A96:B96"/>
    <mergeCell ref="A1:B1"/>
    <mergeCell ref="A2:B5"/>
    <mergeCell ref="A6:A7"/>
    <mergeCell ref="B6:B7"/>
    <mergeCell ref="A97:B97"/>
  </mergeCells>
  <pageMargins left="0.7" right="0.7" top="1.0520833333333333" bottom="0.75" header="0.3" footer="0.3"/>
  <pageSetup scale="76" orientation="portrait" r:id="rId1"/>
  <headerFooter>
    <oddHeader>&amp;L&amp;G&amp;C(ENTER PROJECT NAME)&amp;R&amp;D</oddHeader>
    <oddFooter>&amp;C&amp;P OF &amp;N</oddFooter>
  </headerFooter>
  <colBreaks count="1" manualBreakCount="1">
    <brk id="1" max="97" man="1"/>
  </col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944CB-CB79-446F-9659-020033F998DC}">
  <dimension ref="A1:Y105"/>
  <sheetViews>
    <sheetView view="pageBreakPreview" zoomScale="60" zoomScaleNormal="100" workbookViewId="0">
      <selection activeCell="E69" sqref="E69"/>
    </sheetView>
  </sheetViews>
  <sheetFormatPr defaultRowHeight="15" x14ac:dyDescent="0.25"/>
  <cols>
    <col min="1" max="1" width="3" style="189" bestFit="1" customWidth="1"/>
    <col min="2" max="2" width="6.42578125" style="188" bestFit="1" customWidth="1"/>
    <col min="3" max="3" width="4.140625" style="188" bestFit="1" customWidth="1"/>
    <col min="4" max="4" width="37" style="188" bestFit="1" customWidth="1"/>
    <col min="5" max="5" width="9.140625" style="188"/>
    <col min="6" max="6" width="12.28515625" style="188" customWidth="1"/>
    <col min="7" max="7" width="9.140625" style="188"/>
    <col min="8" max="8" width="10.5703125" style="188" customWidth="1"/>
    <col min="9" max="16384" width="9.140625" style="188"/>
  </cols>
  <sheetData>
    <row r="1" spans="1:25" ht="15" customHeight="1" x14ac:dyDescent="0.25">
      <c r="A1" s="1056" t="s">
        <v>14</v>
      </c>
      <c r="B1" s="1056"/>
      <c r="C1" s="1056"/>
      <c r="D1" s="1056"/>
      <c r="E1" s="1056"/>
      <c r="F1" s="1056"/>
      <c r="G1" s="1057"/>
      <c r="H1" s="1057"/>
      <c r="I1" s="368"/>
      <c r="J1" s="368"/>
      <c r="K1" s="368"/>
      <c r="L1" s="368"/>
      <c r="M1" s="368"/>
      <c r="N1" s="368"/>
      <c r="O1" s="368"/>
      <c r="P1" s="368"/>
      <c r="Q1" s="368"/>
      <c r="R1" s="368"/>
      <c r="S1" s="368"/>
      <c r="T1" s="368"/>
      <c r="U1" s="368"/>
      <c r="V1" s="368"/>
      <c r="W1" s="368"/>
      <c r="X1" s="368"/>
      <c r="Y1" s="368"/>
    </row>
    <row r="2" spans="1:25" ht="15" customHeight="1" x14ac:dyDescent="0.25">
      <c r="A2" s="1054"/>
      <c r="B2" s="1055"/>
      <c r="C2" s="1055"/>
      <c r="D2" s="1055"/>
      <c r="E2" s="1055"/>
      <c r="F2" s="1055"/>
      <c r="G2" s="1053" t="s">
        <v>17</v>
      </c>
      <c r="H2" s="1053"/>
      <c r="I2" s="368"/>
      <c r="J2" s="368"/>
      <c r="K2" s="368"/>
      <c r="L2" s="368"/>
      <c r="M2" s="368"/>
      <c r="N2" s="368"/>
      <c r="O2" s="368"/>
      <c r="P2" s="368"/>
      <c r="Q2" s="368"/>
      <c r="R2" s="368"/>
      <c r="S2" s="368"/>
      <c r="T2" s="368"/>
      <c r="U2" s="368"/>
      <c r="V2" s="368"/>
      <c r="W2" s="368"/>
      <c r="X2" s="368"/>
      <c r="Y2" s="368"/>
    </row>
    <row r="3" spans="1:25" x14ac:dyDescent="0.25">
      <c r="A3" s="1058" t="s">
        <v>136</v>
      </c>
      <c r="B3" s="1059"/>
      <c r="C3" s="1059"/>
      <c r="D3" s="1059"/>
      <c r="E3" s="1059"/>
      <c r="F3" s="1060"/>
      <c r="G3" s="1067" t="s">
        <v>65</v>
      </c>
      <c r="H3" s="1068"/>
      <c r="I3" s="368"/>
      <c r="J3" s="368"/>
      <c r="K3" s="368"/>
      <c r="L3" s="368"/>
      <c r="M3" s="368"/>
      <c r="N3" s="368"/>
      <c r="O3" s="368"/>
      <c r="P3" s="368"/>
      <c r="Q3" s="368"/>
      <c r="R3" s="368"/>
      <c r="S3" s="368"/>
      <c r="T3" s="368"/>
      <c r="U3" s="368"/>
      <c r="V3" s="368"/>
      <c r="W3" s="368"/>
      <c r="X3" s="368"/>
      <c r="Y3" s="368"/>
    </row>
    <row r="4" spans="1:25" x14ac:dyDescent="0.25">
      <c r="A4" s="1061"/>
      <c r="B4" s="1062"/>
      <c r="C4" s="1062"/>
      <c r="D4" s="1062"/>
      <c r="E4" s="1062"/>
      <c r="F4" s="1063"/>
      <c r="G4" s="1069" t="s">
        <v>18</v>
      </c>
      <c r="H4" s="1070"/>
      <c r="I4" s="368"/>
      <c r="J4" s="368"/>
      <c r="K4" s="368"/>
      <c r="L4" s="368"/>
      <c r="M4" s="368"/>
      <c r="N4" s="368"/>
      <c r="O4" s="368"/>
      <c r="P4" s="368"/>
      <c r="Q4" s="368"/>
      <c r="R4" s="368"/>
      <c r="S4" s="368"/>
      <c r="T4" s="368"/>
      <c r="U4" s="368"/>
      <c r="V4" s="368"/>
      <c r="W4" s="368"/>
      <c r="X4" s="368"/>
      <c r="Y4" s="368"/>
    </row>
    <row r="5" spans="1:25" x14ac:dyDescent="0.25">
      <c r="A5" s="1064"/>
      <c r="B5" s="1065"/>
      <c r="C5" s="1065"/>
      <c r="D5" s="1065"/>
      <c r="E5" s="1065"/>
      <c r="F5" s="1066"/>
      <c r="G5" s="1069" t="s">
        <v>19</v>
      </c>
      <c r="H5" s="1070"/>
      <c r="I5" s="368"/>
      <c r="J5" s="368"/>
      <c r="K5" s="368"/>
      <c r="L5" s="368"/>
      <c r="M5" s="368"/>
      <c r="N5" s="368"/>
      <c r="O5" s="368"/>
      <c r="P5" s="368"/>
      <c r="Q5" s="368"/>
      <c r="R5" s="368"/>
      <c r="S5" s="368"/>
      <c r="T5" s="368"/>
      <c r="U5" s="368"/>
      <c r="V5" s="368"/>
      <c r="W5" s="368"/>
      <c r="X5" s="368"/>
      <c r="Y5" s="368"/>
    </row>
    <row r="6" spans="1:25" s="189" customFormat="1" ht="37.5" customHeight="1" x14ac:dyDescent="0.25">
      <c r="A6" s="470" t="s">
        <v>137</v>
      </c>
      <c r="B6" s="1071" t="s">
        <v>20</v>
      </c>
      <c r="C6" s="1071"/>
      <c r="D6" s="1071"/>
      <c r="E6" s="1071"/>
      <c r="F6" s="1071"/>
      <c r="G6" s="1072" t="s">
        <v>67</v>
      </c>
      <c r="H6" s="1073"/>
      <c r="I6" s="368"/>
      <c r="J6" s="369"/>
      <c r="K6" s="369"/>
      <c r="L6" s="369"/>
      <c r="M6" s="369"/>
      <c r="N6" s="369"/>
      <c r="O6" s="369"/>
      <c r="P6" s="369"/>
      <c r="Q6" s="369"/>
      <c r="R6" s="369"/>
      <c r="S6" s="369"/>
      <c r="T6" s="369"/>
      <c r="U6" s="369"/>
      <c r="V6" s="369"/>
      <c r="W6" s="369"/>
      <c r="X6" s="369"/>
      <c r="Y6" s="369"/>
    </row>
    <row r="7" spans="1:25" x14ac:dyDescent="0.25">
      <c r="A7" s="471">
        <v>1</v>
      </c>
      <c r="B7" s="1046" t="s">
        <v>21</v>
      </c>
      <c r="C7" s="1046"/>
      <c r="D7" s="1046"/>
      <c r="E7" s="1046"/>
      <c r="F7" s="1047"/>
      <c r="G7" s="1048" t="s">
        <v>137</v>
      </c>
      <c r="H7" s="1049"/>
      <c r="I7" s="368"/>
      <c r="J7" s="368"/>
      <c r="K7" s="368"/>
      <c r="L7" s="368"/>
      <c r="M7" s="368"/>
      <c r="N7" s="368"/>
      <c r="O7" s="368"/>
      <c r="P7" s="368"/>
      <c r="Q7" s="368"/>
      <c r="R7" s="368"/>
      <c r="S7" s="368"/>
      <c r="T7" s="368"/>
      <c r="U7" s="368"/>
      <c r="V7" s="368"/>
      <c r="W7" s="368"/>
      <c r="X7" s="368"/>
      <c r="Y7" s="368"/>
    </row>
    <row r="8" spans="1:25" x14ac:dyDescent="0.25">
      <c r="A8" s="471">
        <v>2</v>
      </c>
      <c r="B8" s="1046" t="s">
        <v>22</v>
      </c>
      <c r="C8" s="1046"/>
      <c r="D8" s="1046"/>
      <c r="E8" s="1046"/>
      <c r="F8" s="1047"/>
      <c r="G8" s="1048" t="s">
        <v>137</v>
      </c>
      <c r="H8" s="1049"/>
      <c r="I8" s="368"/>
      <c r="J8" s="368"/>
      <c r="K8" s="368"/>
      <c r="L8" s="368"/>
      <c r="M8" s="368"/>
      <c r="N8" s="368"/>
      <c r="O8" s="368"/>
      <c r="P8" s="368"/>
      <c r="Q8" s="368"/>
      <c r="R8" s="368"/>
      <c r="S8" s="368"/>
      <c r="T8" s="368"/>
      <c r="U8" s="368"/>
      <c r="V8" s="368"/>
      <c r="W8" s="368"/>
      <c r="X8" s="368"/>
      <c r="Y8" s="368"/>
    </row>
    <row r="9" spans="1:25" x14ac:dyDescent="0.25">
      <c r="A9" s="471">
        <v>3</v>
      </c>
      <c r="B9" s="1046" t="s">
        <v>23</v>
      </c>
      <c r="C9" s="1046"/>
      <c r="D9" s="1046"/>
      <c r="E9" s="1046"/>
      <c r="F9" s="1047"/>
      <c r="G9" s="1048" t="s">
        <v>137</v>
      </c>
      <c r="H9" s="1049"/>
      <c r="I9" s="368"/>
      <c r="J9" s="368"/>
      <c r="K9" s="368"/>
      <c r="L9" s="368"/>
      <c r="M9" s="368"/>
      <c r="N9" s="368"/>
      <c r="O9" s="368"/>
      <c r="P9" s="368"/>
      <c r="Q9" s="368"/>
      <c r="R9" s="368"/>
      <c r="S9" s="368"/>
      <c r="T9" s="368"/>
      <c r="U9" s="368"/>
      <c r="V9" s="368"/>
      <c r="W9" s="368"/>
      <c r="X9" s="368"/>
      <c r="Y9" s="368"/>
    </row>
    <row r="10" spans="1:25" x14ac:dyDescent="0.25">
      <c r="A10" s="471">
        <v>4</v>
      </c>
      <c r="B10" s="1046" t="s">
        <v>24</v>
      </c>
      <c r="C10" s="1046"/>
      <c r="D10" s="1046"/>
      <c r="E10" s="1046"/>
      <c r="F10" s="1047"/>
      <c r="G10" s="1048" t="s">
        <v>137</v>
      </c>
      <c r="H10" s="1049"/>
      <c r="I10" s="368"/>
      <c r="J10" s="368"/>
      <c r="K10" s="368"/>
      <c r="L10" s="368"/>
      <c r="M10" s="368"/>
      <c r="N10" s="368"/>
      <c r="O10" s="368"/>
      <c r="P10" s="368"/>
      <c r="Q10" s="368"/>
      <c r="R10" s="368"/>
      <c r="S10" s="368"/>
      <c r="T10" s="368"/>
      <c r="U10" s="368"/>
      <c r="V10" s="368"/>
      <c r="W10" s="368"/>
      <c r="X10" s="368"/>
      <c r="Y10" s="368"/>
    </row>
    <row r="11" spans="1:25" x14ac:dyDescent="0.25">
      <c r="A11" s="471">
        <v>5</v>
      </c>
      <c r="B11" s="1046" t="s">
        <v>25</v>
      </c>
      <c r="C11" s="1046"/>
      <c r="D11" s="1046"/>
      <c r="E11" s="1046"/>
      <c r="F11" s="1047"/>
      <c r="G11" s="1048" t="s">
        <v>137</v>
      </c>
      <c r="H11" s="1049"/>
      <c r="I11" s="368"/>
      <c r="J11" s="368"/>
      <c r="K11" s="368"/>
      <c r="L11" s="368"/>
      <c r="M11" s="368"/>
      <c r="N11" s="368"/>
      <c r="O11" s="368"/>
      <c r="P11" s="368"/>
      <c r="Q11" s="368"/>
      <c r="R11" s="368"/>
      <c r="S11" s="368"/>
      <c r="T11" s="368"/>
      <c r="U11" s="368"/>
      <c r="V11" s="368"/>
      <c r="W11" s="368"/>
      <c r="X11" s="368"/>
      <c r="Y11" s="368"/>
    </row>
    <row r="12" spans="1:25" x14ac:dyDescent="0.25">
      <c r="A12" s="471">
        <v>6</v>
      </c>
      <c r="B12" s="1046" t="s">
        <v>26</v>
      </c>
      <c r="C12" s="1046"/>
      <c r="D12" s="1046"/>
      <c r="E12" s="1046"/>
      <c r="F12" s="1047"/>
      <c r="G12" s="1048" t="s">
        <v>137</v>
      </c>
      <c r="H12" s="1049"/>
      <c r="I12" s="368"/>
      <c r="J12" s="368"/>
      <c r="K12" s="368"/>
      <c r="L12" s="368"/>
      <c r="M12" s="368"/>
      <c r="N12" s="368"/>
      <c r="O12" s="368"/>
      <c r="P12" s="368"/>
      <c r="Q12" s="368"/>
      <c r="R12" s="368"/>
      <c r="S12" s="368"/>
      <c r="T12" s="368"/>
      <c r="U12" s="368"/>
      <c r="V12" s="368"/>
      <c r="W12" s="368"/>
      <c r="X12" s="368"/>
      <c r="Y12" s="368"/>
    </row>
    <row r="13" spans="1:25" x14ac:dyDescent="0.25">
      <c r="A13" s="471">
        <v>7</v>
      </c>
      <c r="B13" s="1046" t="s">
        <v>27</v>
      </c>
      <c r="C13" s="1046"/>
      <c r="D13" s="1046"/>
      <c r="E13" s="1046"/>
      <c r="F13" s="1047"/>
      <c r="G13" s="1048" t="s">
        <v>137</v>
      </c>
      <c r="H13" s="1049"/>
      <c r="I13" s="368"/>
      <c r="J13" s="368"/>
      <c r="K13" s="368"/>
      <c r="L13" s="368"/>
      <c r="M13" s="368"/>
      <c r="N13" s="368"/>
      <c r="O13" s="368"/>
      <c r="P13" s="368"/>
      <c r="Q13" s="368"/>
      <c r="R13" s="368"/>
      <c r="S13" s="368"/>
      <c r="T13" s="368"/>
      <c r="U13" s="368"/>
      <c r="V13" s="368"/>
      <c r="W13" s="368"/>
      <c r="X13" s="368"/>
      <c r="Y13" s="368"/>
    </row>
    <row r="14" spans="1:25" x14ac:dyDescent="0.25">
      <c r="A14" s="471">
        <v>8</v>
      </c>
      <c r="B14" s="1046" t="s">
        <v>28</v>
      </c>
      <c r="C14" s="1046"/>
      <c r="D14" s="1046"/>
      <c r="E14" s="1046"/>
      <c r="F14" s="1047"/>
      <c r="G14" s="1048" t="s">
        <v>137</v>
      </c>
      <c r="H14" s="1049"/>
      <c r="I14" s="368"/>
      <c r="J14" s="368"/>
      <c r="K14" s="368"/>
      <c r="L14" s="368"/>
      <c r="M14" s="368"/>
      <c r="N14" s="368"/>
      <c r="O14" s="368"/>
      <c r="P14" s="368"/>
      <c r="Q14" s="368"/>
      <c r="R14" s="368"/>
      <c r="S14" s="368"/>
      <c r="T14" s="368"/>
      <c r="U14" s="368"/>
      <c r="V14" s="368"/>
      <c r="W14" s="368"/>
      <c r="X14" s="368"/>
      <c r="Y14" s="368"/>
    </row>
    <row r="15" spans="1:25" x14ac:dyDescent="0.25">
      <c r="A15" s="471">
        <v>9</v>
      </c>
      <c r="B15" s="1046" t="s">
        <v>29</v>
      </c>
      <c r="C15" s="1046"/>
      <c r="D15" s="1046"/>
      <c r="E15" s="1046"/>
      <c r="F15" s="1047"/>
      <c r="G15" s="1048" t="s">
        <v>137</v>
      </c>
      <c r="H15" s="1049"/>
      <c r="I15" s="368"/>
      <c r="J15" s="368"/>
      <c r="K15" s="368"/>
      <c r="L15" s="368"/>
      <c r="M15" s="368"/>
      <c r="N15" s="368"/>
      <c r="O15" s="368"/>
      <c r="P15" s="368"/>
      <c r="Q15" s="368"/>
      <c r="R15" s="368"/>
      <c r="S15" s="368"/>
      <c r="T15" s="368"/>
      <c r="U15" s="368"/>
      <c r="V15" s="368"/>
      <c r="W15" s="368"/>
      <c r="X15" s="368"/>
      <c r="Y15" s="368"/>
    </row>
    <row r="16" spans="1:25" x14ac:dyDescent="0.25">
      <c r="A16" s="471">
        <v>10</v>
      </c>
      <c r="B16" s="1046" t="s">
        <v>69</v>
      </c>
      <c r="C16" s="1046"/>
      <c r="D16" s="1046"/>
      <c r="E16" s="1046"/>
      <c r="F16" s="1047"/>
      <c r="G16" s="1048" t="s">
        <v>137</v>
      </c>
      <c r="H16" s="1049"/>
      <c r="I16" s="368"/>
      <c r="J16" s="368"/>
      <c r="K16" s="368"/>
      <c r="L16" s="368"/>
      <c r="M16" s="368"/>
      <c r="N16" s="368"/>
      <c r="O16" s="368"/>
      <c r="P16" s="368"/>
      <c r="Q16" s="368"/>
      <c r="R16" s="368"/>
      <c r="S16" s="368"/>
      <c r="T16" s="368"/>
      <c r="U16" s="368"/>
      <c r="V16" s="368"/>
      <c r="W16" s="368"/>
      <c r="X16" s="368"/>
      <c r="Y16" s="368"/>
    </row>
    <row r="17" spans="1:25" x14ac:dyDescent="0.25">
      <c r="A17" s="471">
        <v>11</v>
      </c>
      <c r="B17" s="1046" t="s">
        <v>138</v>
      </c>
      <c r="C17" s="1046"/>
      <c r="D17" s="1046"/>
      <c r="E17" s="1046"/>
      <c r="F17" s="1047"/>
      <c r="G17" s="1048" t="s">
        <v>137</v>
      </c>
      <c r="H17" s="1049"/>
      <c r="I17" s="368"/>
      <c r="J17" s="368"/>
      <c r="K17" s="368"/>
      <c r="L17" s="368"/>
      <c r="M17" s="368"/>
      <c r="N17" s="368"/>
      <c r="O17" s="368"/>
      <c r="P17" s="368"/>
      <c r="Q17" s="368"/>
      <c r="R17" s="368"/>
      <c r="S17" s="368"/>
      <c r="T17" s="368"/>
      <c r="U17" s="368"/>
      <c r="V17" s="368"/>
      <c r="W17" s="368"/>
      <c r="X17" s="368"/>
      <c r="Y17" s="368"/>
    </row>
    <row r="18" spans="1:25" x14ac:dyDescent="0.25">
      <c r="A18" s="471">
        <v>12</v>
      </c>
      <c r="B18" s="1046" t="s">
        <v>139</v>
      </c>
      <c r="C18" s="1046"/>
      <c r="D18" s="1046"/>
      <c r="E18" s="1046"/>
      <c r="F18" s="1047"/>
      <c r="G18" s="1048" t="s">
        <v>137</v>
      </c>
      <c r="H18" s="1049"/>
      <c r="I18" s="368"/>
      <c r="J18" s="368"/>
      <c r="K18" s="368"/>
      <c r="L18" s="368"/>
      <c r="M18" s="368"/>
      <c r="N18" s="368"/>
      <c r="O18" s="368"/>
      <c r="P18" s="368"/>
      <c r="Q18" s="368"/>
      <c r="R18" s="368"/>
      <c r="S18" s="368"/>
      <c r="T18" s="368"/>
      <c r="U18" s="368"/>
      <c r="V18" s="368"/>
      <c r="W18" s="368"/>
      <c r="X18" s="368"/>
      <c r="Y18" s="368"/>
    </row>
    <row r="19" spans="1:25" x14ac:dyDescent="0.25">
      <c r="A19" s="471">
        <v>13</v>
      </c>
      <c r="B19" s="1046" t="s">
        <v>140</v>
      </c>
      <c r="C19" s="1046"/>
      <c r="D19" s="1046"/>
      <c r="E19" s="1046"/>
      <c r="F19" s="1047"/>
      <c r="G19" s="1048" t="s">
        <v>137</v>
      </c>
      <c r="H19" s="1049"/>
      <c r="I19" s="368"/>
      <c r="J19" s="368"/>
      <c r="K19" s="368"/>
      <c r="L19" s="368"/>
      <c r="M19" s="368"/>
      <c r="N19" s="368"/>
      <c r="O19" s="368"/>
      <c r="P19" s="368"/>
      <c r="Q19" s="368"/>
      <c r="R19" s="368"/>
      <c r="S19" s="368"/>
      <c r="T19" s="368"/>
      <c r="U19" s="368"/>
      <c r="V19" s="368"/>
      <c r="W19" s="368"/>
      <c r="X19" s="368"/>
      <c r="Y19" s="368"/>
    </row>
    <row r="20" spans="1:25" x14ac:dyDescent="0.25">
      <c r="A20" s="471">
        <v>14</v>
      </c>
      <c r="B20" s="1046" t="s">
        <v>141</v>
      </c>
      <c r="C20" s="1046"/>
      <c r="D20" s="1046"/>
      <c r="E20" s="1046"/>
      <c r="F20" s="1047"/>
      <c r="G20" s="1048" t="s">
        <v>137</v>
      </c>
      <c r="H20" s="1049"/>
      <c r="I20" s="368"/>
      <c r="J20" s="368"/>
      <c r="K20" s="368"/>
      <c r="L20" s="368"/>
      <c r="M20" s="368"/>
      <c r="N20" s="368"/>
      <c r="O20" s="368"/>
      <c r="P20" s="368"/>
      <c r="Q20" s="368"/>
      <c r="R20" s="368"/>
      <c r="S20" s="368"/>
      <c r="T20" s="368"/>
      <c r="U20" s="368"/>
      <c r="V20" s="368"/>
      <c r="W20" s="368"/>
      <c r="X20" s="368"/>
      <c r="Y20" s="368"/>
    </row>
    <row r="21" spans="1:25" x14ac:dyDescent="0.25">
      <c r="A21" s="471">
        <v>15</v>
      </c>
      <c r="B21" s="1046" t="s">
        <v>142</v>
      </c>
      <c r="C21" s="1046"/>
      <c r="D21" s="1046"/>
      <c r="E21" s="1046"/>
      <c r="F21" s="1047"/>
      <c r="G21" s="1048" t="s">
        <v>137</v>
      </c>
      <c r="H21" s="1049"/>
      <c r="I21" s="368"/>
      <c r="J21" s="368"/>
      <c r="K21" s="368"/>
      <c r="L21" s="368"/>
      <c r="M21" s="368"/>
      <c r="N21" s="368"/>
      <c r="O21" s="368"/>
      <c r="P21" s="368"/>
      <c r="Q21" s="368"/>
      <c r="R21" s="368"/>
      <c r="S21" s="368"/>
      <c r="T21" s="368"/>
      <c r="U21" s="368"/>
      <c r="V21" s="368"/>
      <c r="W21" s="368"/>
      <c r="X21" s="368"/>
      <c r="Y21" s="368"/>
    </row>
    <row r="22" spans="1:25" x14ac:dyDescent="0.25">
      <c r="A22" s="471">
        <v>16</v>
      </c>
      <c r="B22" s="1046" t="s">
        <v>143</v>
      </c>
      <c r="C22" s="1046"/>
      <c r="D22" s="1046"/>
      <c r="E22" s="1046"/>
      <c r="F22" s="1047"/>
      <c r="G22" s="1048" t="s">
        <v>137</v>
      </c>
      <c r="H22" s="1049"/>
      <c r="I22" s="368"/>
      <c r="J22" s="368"/>
      <c r="K22" s="368"/>
      <c r="L22" s="368"/>
      <c r="M22" s="368"/>
      <c r="N22" s="368"/>
      <c r="O22" s="368"/>
      <c r="P22" s="368"/>
      <c r="Q22" s="368"/>
      <c r="R22" s="368"/>
      <c r="S22" s="368"/>
      <c r="T22" s="368"/>
      <c r="U22" s="368"/>
      <c r="V22" s="368"/>
      <c r="W22" s="368"/>
      <c r="X22" s="368"/>
      <c r="Y22" s="368"/>
    </row>
    <row r="23" spans="1:25" x14ac:dyDescent="0.25">
      <c r="A23" s="471">
        <v>17</v>
      </c>
      <c r="B23" s="1046" t="s">
        <v>144</v>
      </c>
      <c r="C23" s="1046"/>
      <c r="D23" s="1046"/>
      <c r="E23" s="1046"/>
      <c r="F23" s="1047"/>
      <c r="G23" s="1048" t="s">
        <v>137</v>
      </c>
      <c r="H23" s="1049"/>
      <c r="I23" s="368"/>
      <c r="J23" s="368"/>
      <c r="K23" s="368"/>
      <c r="L23" s="368"/>
      <c r="M23" s="368"/>
      <c r="N23" s="368"/>
      <c r="O23" s="368"/>
      <c r="P23" s="368"/>
      <c r="Q23" s="368"/>
      <c r="R23" s="368"/>
      <c r="S23" s="368"/>
      <c r="T23" s="368"/>
      <c r="U23" s="368"/>
      <c r="V23" s="368"/>
      <c r="W23" s="368"/>
      <c r="X23" s="368"/>
      <c r="Y23" s="368"/>
    </row>
    <row r="24" spans="1:25" x14ac:dyDescent="0.25">
      <c r="A24" s="471">
        <v>18</v>
      </c>
      <c r="B24" s="452" t="s">
        <v>145</v>
      </c>
      <c r="C24" s="452"/>
      <c r="D24" s="452"/>
      <c r="E24" s="452"/>
      <c r="F24" s="453"/>
      <c r="G24" s="454"/>
      <c r="H24" s="455"/>
      <c r="I24" s="368"/>
      <c r="J24" s="368"/>
      <c r="K24" s="368"/>
      <c r="L24" s="368"/>
      <c r="M24" s="368"/>
      <c r="N24" s="368"/>
      <c r="O24" s="368"/>
      <c r="P24" s="368"/>
      <c r="Q24" s="368"/>
      <c r="R24" s="368"/>
      <c r="S24" s="368"/>
      <c r="T24" s="368"/>
      <c r="U24" s="368"/>
      <c r="V24" s="368"/>
      <c r="W24" s="368"/>
      <c r="X24" s="368"/>
      <c r="Y24" s="368"/>
    </row>
    <row r="25" spans="1:25" ht="27.75" customHeight="1" x14ac:dyDescent="0.25">
      <c r="A25" s="471">
        <v>19</v>
      </c>
      <c r="B25" s="1050" t="s">
        <v>146</v>
      </c>
      <c r="C25" s="1051"/>
      <c r="D25" s="1051"/>
      <c r="E25" s="1051"/>
      <c r="F25" s="1052"/>
      <c r="G25" s="454"/>
      <c r="H25" s="455"/>
      <c r="I25" s="368"/>
      <c r="J25" s="368"/>
      <c r="K25" s="368"/>
      <c r="L25" s="368"/>
      <c r="M25" s="368"/>
      <c r="N25" s="368"/>
      <c r="O25" s="368"/>
      <c r="P25" s="368"/>
      <c r="Q25" s="368"/>
      <c r="R25" s="368"/>
      <c r="S25" s="368"/>
      <c r="T25" s="368"/>
      <c r="U25" s="368"/>
      <c r="V25" s="368"/>
      <c r="W25" s="368"/>
      <c r="X25" s="368"/>
      <c r="Y25" s="368"/>
    </row>
    <row r="26" spans="1:25" x14ac:dyDescent="0.25">
      <c r="A26" s="471">
        <v>20</v>
      </c>
      <c r="B26" s="1046" t="s">
        <v>147</v>
      </c>
      <c r="C26" s="1046"/>
      <c r="D26" s="1046"/>
      <c r="E26" s="1046"/>
      <c r="F26" s="1047"/>
      <c r="G26" s="1048" t="s">
        <v>137</v>
      </c>
      <c r="H26" s="1049"/>
      <c r="I26" s="368"/>
      <c r="J26" s="368"/>
      <c r="K26" s="368"/>
      <c r="L26" s="368"/>
      <c r="M26" s="368"/>
      <c r="N26" s="368"/>
      <c r="O26" s="368"/>
      <c r="P26" s="368"/>
      <c r="Q26" s="368"/>
      <c r="R26" s="368"/>
      <c r="S26" s="368"/>
      <c r="T26" s="368"/>
      <c r="U26" s="368"/>
      <c r="V26" s="368"/>
      <c r="W26" s="368"/>
      <c r="X26" s="368"/>
      <c r="Y26" s="368"/>
    </row>
    <row r="27" spans="1:25" s="190" customFormat="1" ht="15" customHeight="1" x14ac:dyDescent="0.25">
      <c r="A27" s="471">
        <v>21</v>
      </c>
      <c r="B27" s="1043" t="s">
        <v>148</v>
      </c>
      <c r="C27" s="1044"/>
      <c r="D27" s="1044"/>
      <c r="E27" s="1044"/>
      <c r="F27" s="1044"/>
      <c r="G27" s="1044"/>
      <c r="H27" s="1045"/>
      <c r="I27" s="368"/>
      <c r="J27" s="368"/>
      <c r="K27" s="368"/>
      <c r="L27" s="368"/>
      <c r="M27" s="368"/>
      <c r="N27" s="368"/>
      <c r="O27" s="368"/>
      <c r="P27" s="368"/>
      <c r="Q27" s="368"/>
      <c r="R27" s="368"/>
      <c r="S27" s="368"/>
      <c r="T27" s="368"/>
      <c r="U27" s="368"/>
      <c r="V27" s="368"/>
      <c r="W27" s="368"/>
      <c r="X27" s="368"/>
      <c r="Y27" s="368"/>
    </row>
    <row r="28" spans="1:25" s="190" customFormat="1" ht="15" customHeight="1" x14ac:dyDescent="0.25">
      <c r="A28" s="471">
        <v>22</v>
      </c>
      <c r="B28" s="1034" t="s">
        <v>149</v>
      </c>
      <c r="C28" s="1035"/>
      <c r="D28" s="1035"/>
      <c r="E28" s="1035"/>
      <c r="F28" s="1035"/>
      <c r="G28" s="1035"/>
      <c r="H28" s="1036"/>
      <c r="I28" s="368"/>
      <c r="J28" s="368"/>
      <c r="K28" s="368"/>
      <c r="L28" s="368"/>
      <c r="M28" s="368"/>
      <c r="N28" s="368"/>
      <c r="O28" s="368"/>
      <c r="P28" s="368"/>
      <c r="Q28" s="368"/>
      <c r="R28" s="368"/>
      <c r="S28" s="368"/>
      <c r="T28" s="368"/>
      <c r="U28" s="368"/>
      <c r="V28" s="368"/>
      <c r="W28" s="368"/>
      <c r="X28" s="368"/>
      <c r="Y28" s="368"/>
    </row>
    <row r="29" spans="1:25" ht="25.5" x14ac:dyDescent="0.25">
      <c r="A29" s="471">
        <v>23</v>
      </c>
      <c r="B29" s="456" t="s">
        <v>150</v>
      </c>
      <c r="C29" s="456" t="s">
        <v>151</v>
      </c>
      <c r="D29" s="457" t="s">
        <v>152</v>
      </c>
      <c r="E29" s="456" t="s">
        <v>153</v>
      </c>
      <c r="F29" s="456" t="s">
        <v>154</v>
      </c>
      <c r="G29" s="458" t="s">
        <v>155</v>
      </c>
      <c r="H29" s="458" t="s">
        <v>156</v>
      </c>
      <c r="I29" s="368"/>
      <c r="J29" s="368"/>
      <c r="K29" s="368"/>
      <c r="L29" s="368"/>
      <c r="M29" s="368"/>
      <c r="N29" s="368"/>
      <c r="O29" s="368"/>
      <c r="P29" s="368"/>
      <c r="Q29" s="368"/>
      <c r="R29" s="368"/>
      <c r="S29" s="368"/>
      <c r="T29" s="368"/>
      <c r="U29" s="368"/>
      <c r="V29" s="368"/>
      <c r="W29" s="368"/>
      <c r="X29" s="368"/>
      <c r="Y29" s="368"/>
    </row>
    <row r="30" spans="1:25" ht="25.5" x14ac:dyDescent="0.25">
      <c r="A30" s="471">
        <v>24</v>
      </c>
      <c r="B30" s="236" t="s">
        <v>137</v>
      </c>
      <c r="C30" s="459" t="s">
        <v>137</v>
      </c>
      <c r="D30" s="460" t="s">
        <v>137</v>
      </c>
      <c r="E30" s="459" t="s">
        <v>137</v>
      </c>
      <c r="F30" s="459" t="s">
        <v>137</v>
      </c>
      <c r="G30" s="459" t="s">
        <v>157</v>
      </c>
      <c r="H30" s="459" t="s">
        <v>157</v>
      </c>
      <c r="I30" s="368"/>
      <c r="J30" s="368"/>
      <c r="K30" s="368"/>
      <c r="L30" s="368"/>
      <c r="M30" s="368"/>
      <c r="N30" s="368"/>
      <c r="O30" s="368"/>
      <c r="P30" s="368"/>
      <c r="Q30" s="368"/>
      <c r="R30" s="368"/>
      <c r="S30" s="368"/>
      <c r="T30" s="368"/>
      <c r="U30" s="368"/>
      <c r="V30" s="368"/>
      <c r="W30" s="368"/>
      <c r="X30" s="368"/>
      <c r="Y30" s="368"/>
    </row>
    <row r="31" spans="1:25" ht="25.5" x14ac:dyDescent="0.25">
      <c r="A31" s="471">
        <v>25</v>
      </c>
      <c r="B31" s="236" t="s">
        <v>137</v>
      </c>
      <c r="C31" s="459" t="s">
        <v>137</v>
      </c>
      <c r="D31" s="460" t="s">
        <v>137</v>
      </c>
      <c r="E31" s="459" t="s">
        <v>137</v>
      </c>
      <c r="F31" s="459" t="s">
        <v>137</v>
      </c>
      <c r="G31" s="459" t="s">
        <v>157</v>
      </c>
      <c r="H31" s="459" t="s">
        <v>157</v>
      </c>
      <c r="I31" s="368"/>
      <c r="J31" s="368"/>
      <c r="K31" s="368"/>
      <c r="L31" s="368"/>
      <c r="M31" s="368"/>
      <c r="N31" s="368"/>
      <c r="O31" s="368"/>
      <c r="P31" s="368"/>
      <c r="Q31" s="368"/>
      <c r="R31" s="368"/>
      <c r="S31" s="368"/>
      <c r="T31" s="368"/>
      <c r="U31" s="368"/>
      <c r="V31" s="368"/>
      <c r="W31" s="368"/>
      <c r="X31" s="368"/>
      <c r="Y31" s="368"/>
    </row>
    <row r="32" spans="1:25" s="190" customFormat="1" ht="15" customHeight="1" x14ac:dyDescent="0.25">
      <c r="A32" s="471">
        <v>26</v>
      </c>
      <c r="B32" s="1034" t="s">
        <v>158</v>
      </c>
      <c r="C32" s="1035"/>
      <c r="D32" s="1035"/>
      <c r="E32" s="1035"/>
      <c r="F32" s="1035"/>
      <c r="G32" s="1035" t="s">
        <v>137</v>
      </c>
      <c r="H32" s="1036" t="s">
        <v>137</v>
      </c>
      <c r="I32" s="368"/>
      <c r="J32" s="368"/>
      <c r="K32" s="368"/>
      <c r="L32" s="368"/>
      <c r="M32" s="368"/>
      <c r="N32" s="368"/>
      <c r="O32" s="368"/>
      <c r="P32" s="368"/>
      <c r="Q32" s="368"/>
      <c r="R32" s="368"/>
      <c r="S32" s="368"/>
      <c r="T32" s="368"/>
      <c r="U32" s="368"/>
      <c r="V32" s="368"/>
      <c r="W32" s="368"/>
      <c r="X32" s="368"/>
      <c r="Y32" s="368"/>
    </row>
    <row r="33" spans="1:25" ht="25.5" x14ac:dyDescent="0.25">
      <c r="A33" s="471">
        <v>27</v>
      </c>
      <c r="B33" s="456" t="s">
        <v>159</v>
      </c>
      <c r="C33" s="456" t="s">
        <v>160</v>
      </c>
      <c r="D33" s="457" t="s">
        <v>152</v>
      </c>
      <c r="E33" s="456" t="s">
        <v>153</v>
      </c>
      <c r="F33" s="456" t="s">
        <v>154</v>
      </c>
      <c r="G33" s="458" t="s">
        <v>155</v>
      </c>
      <c r="H33" s="458" t="s">
        <v>156</v>
      </c>
      <c r="I33" s="368"/>
      <c r="J33" s="368"/>
      <c r="K33" s="368"/>
      <c r="L33" s="368"/>
      <c r="M33" s="368"/>
      <c r="N33" s="368"/>
      <c r="O33" s="368"/>
      <c r="P33" s="368"/>
      <c r="Q33" s="368"/>
      <c r="R33" s="368"/>
      <c r="S33" s="368"/>
      <c r="T33" s="368"/>
      <c r="U33" s="368"/>
      <c r="V33" s="368"/>
      <c r="W33" s="368"/>
      <c r="X33" s="368"/>
      <c r="Y33" s="368"/>
    </row>
    <row r="34" spans="1:25" ht="25.5" x14ac:dyDescent="0.25">
      <c r="A34" s="471">
        <v>28</v>
      </c>
      <c r="B34" s="236" t="s">
        <v>137</v>
      </c>
      <c r="C34" s="459" t="s">
        <v>137</v>
      </c>
      <c r="D34" s="461" t="s">
        <v>137</v>
      </c>
      <c r="E34" s="459" t="s">
        <v>137</v>
      </c>
      <c r="F34" s="370" t="s">
        <v>137</v>
      </c>
      <c r="G34" s="459" t="s">
        <v>157</v>
      </c>
      <c r="H34" s="459" t="s">
        <v>157</v>
      </c>
      <c r="I34" s="368"/>
      <c r="J34" s="368"/>
      <c r="K34" s="368"/>
      <c r="L34" s="368"/>
      <c r="M34" s="368"/>
      <c r="N34" s="368"/>
      <c r="O34" s="368"/>
      <c r="P34" s="368"/>
      <c r="Q34" s="368"/>
      <c r="R34" s="368"/>
      <c r="S34" s="368"/>
      <c r="T34" s="368"/>
      <c r="U34" s="368"/>
      <c r="V34" s="368"/>
      <c r="W34" s="368"/>
      <c r="X34" s="368"/>
      <c r="Y34" s="368"/>
    </row>
    <row r="35" spans="1:25" ht="25.5" x14ac:dyDescent="0.25">
      <c r="A35" s="471">
        <v>29</v>
      </c>
      <c r="B35" s="236" t="s">
        <v>137</v>
      </c>
      <c r="C35" s="459" t="s">
        <v>137</v>
      </c>
      <c r="D35" s="461" t="s">
        <v>137</v>
      </c>
      <c r="E35" s="459" t="s">
        <v>137</v>
      </c>
      <c r="F35" s="370" t="s">
        <v>137</v>
      </c>
      <c r="G35" s="459" t="s">
        <v>157</v>
      </c>
      <c r="H35" s="459" t="s">
        <v>157</v>
      </c>
      <c r="I35" s="368"/>
      <c r="J35" s="368"/>
      <c r="K35" s="368"/>
      <c r="L35" s="368"/>
      <c r="M35" s="368"/>
      <c r="N35" s="368"/>
      <c r="O35" s="368"/>
      <c r="P35" s="368"/>
      <c r="Q35" s="368"/>
      <c r="R35" s="368"/>
      <c r="S35" s="368"/>
      <c r="T35" s="368"/>
      <c r="U35" s="368"/>
      <c r="V35" s="368"/>
      <c r="W35" s="368"/>
      <c r="X35" s="368"/>
      <c r="Y35" s="368"/>
    </row>
    <row r="36" spans="1:25" s="190" customFormat="1" ht="15" customHeight="1" x14ac:dyDescent="0.25">
      <c r="A36" s="471">
        <v>30</v>
      </c>
      <c r="B36" s="1034" t="s">
        <v>161</v>
      </c>
      <c r="C36" s="1035"/>
      <c r="D36" s="1035"/>
      <c r="E36" s="1035"/>
      <c r="F36" s="1035"/>
      <c r="G36" s="1035" t="s">
        <v>137</v>
      </c>
      <c r="H36" s="1036" t="s">
        <v>137</v>
      </c>
      <c r="I36" s="368"/>
      <c r="J36" s="368"/>
      <c r="K36" s="368"/>
      <c r="L36" s="368"/>
      <c r="M36" s="368"/>
      <c r="N36" s="368"/>
      <c r="O36" s="368"/>
      <c r="P36" s="368"/>
      <c r="Q36" s="368"/>
      <c r="R36" s="368"/>
      <c r="S36" s="368"/>
      <c r="T36" s="368"/>
      <c r="U36" s="368"/>
      <c r="V36" s="368"/>
      <c r="W36" s="368"/>
      <c r="X36" s="368"/>
      <c r="Y36" s="368"/>
    </row>
    <row r="37" spans="1:25" ht="25.5" x14ac:dyDescent="0.25">
      <c r="A37" s="471">
        <v>31</v>
      </c>
      <c r="B37" s="456" t="s">
        <v>162</v>
      </c>
      <c r="C37" s="456" t="s">
        <v>151</v>
      </c>
      <c r="D37" s="457" t="s">
        <v>152</v>
      </c>
      <c r="E37" s="456" t="s">
        <v>153</v>
      </c>
      <c r="F37" s="456" t="s">
        <v>154</v>
      </c>
      <c r="G37" s="458" t="s">
        <v>155</v>
      </c>
      <c r="H37" s="458" t="s">
        <v>156</v>
      </c>
      <c r="I37" s="368"/>
      <c r="J37" s="368"/>
      <c r="K37" s="368"/>
      <c r="L37" s="368"/>
      <c r="M37" s="368"/>
      <c r="N37" s="368"/>
      <c r="O37" s="368"/>
      <c r="P37" s="368"/>
      <c r="Q37" s="368"/>
      <c r="R37" s="368"/>
      <c r="S37" s="368"/>
      <c r="T37" s="368"/>
      <c r="U37" s="368"/>
      <c r="V37" s="368"/>
      <c r="W37" s="368"/>
      <c r="X37" s="368"/>
      <c r="Y37" s="368"/>
    </row>
    <row r="38" spans="1:25" ht="25.5" x14ac:dyDescent="0.25">
      <c r="A38" s="471">
        <v>32</v>
      </c>
      <c r="B38" s="236" t="s">
        <v>137</v>
      </c>
      <c r="C38" s="459" t="s">
        <v>137</v>
      </c>
      <c r="D38" s="461" t="s">
        <v>137</v>
      </c>
      <c r="E38" s="459" t="s">
        <v>137</v>
      </c>
      <c r="F38" s="459" t="s">
        <v>137</v>
      </c>
      <c r="G38" s="459" t="s">
        <v>157</v>
      </c>
      <c r="H38" s="459" t="s">
        <v>157</v>
      </c>
      <c r="I38" s="368"/>
      <c r="J38" s="368"/>
      <c r="K38" s="368"/>
      <c r="L38" s="368"/>
      <c r="M38" s="368"/>
      <c r="N38" s="368"/>
      <c r="O38" s="368"/>
      <c r="P38" s="368"/>
      <c r="Q38" s="368"/>
      <c r="R38" s="368"/>
      <c r="S38" s="368"/>
      <c r="T38" s="368"/>
      <c r="U38" s="368"/>
      <c r="V38" s="368"/>
      <c r="W38" s="368"/>
      <c r="X38" s="368"/>
      <c r="Y38" s="368"/>
    </row>
    <row r="39" spans="1:25" ht="25.5" x14ac:dyDescent="0.25">
      <c r="A39" s="471">
        <v>33</v>
      </c>
      <c r="B39" s="236" t="s">
        <v>137</v>
      </c>
      <c r="C39" s="459" t="s">
        <v>137</v>
      </c>
      <c r="D39" s="461" t="s">
        <v>137</v>
      </c>
      <c r="E39" s="459" t="s">
        <v>137</v>
      </c>
      <c r="F39" s="459" t="s">
        <v>137</v>
      </c>
      <c r="G39" s="459" t="s">
        <v>157</v>
      </c>
      <c r="H39" s="459" t="s">
        <v>157</v>
      </c>
      <c r="I39" s="368"/>
      <c r="J39" s="368"/>
      <c r="K39" s="368"/>
      <c r="L39" s="368"/>
      <c r="M39" s="368"/>
      <c r="N39" s="368"/>
      <c r="O39" s="368"/>
      <c r="P39" s="368"/>
      <c r="Q39" s="368"/>
      <c r="R39" s="368"/>
      <c r="S39" s="368"/>
      <c r="T39" s="368"/>
      <c r="U39" s="368"/>
      <c r="V39" s="368"/>
      <c r="W39" s="368"/>
      <c r="X39" s="368"/>
      <c r="Y39" s="368"/>
    </row>
    <row r="40" spans="1:25" ht="25.5" x14ac:dyDescent="0.25">
      <c r="A40" s="471">
        <v>34</v>
      </c>
      <c r="B40" s="236" t="s">
        <v>137</v>
      </c>
      <c r="C40" s="459" t="s">
        <v>137</v>
      </c>
      <c r="D40" s="461" t="s">
        <v>137</v>
      </c>
      <c r="E40" s="459" t="s">
        <v>137</v>
      </c>
      <c r="F40" s="459" t="s">
        <v>137</v>
      </c>
      <c r="G40" s="459" t="s">
        <v>157</v>
      </c>
      <c r="H40" s="459" t="s">
        <v>157</v>
      </c>
      <c r="I40" s="368"/>
      <c r="J40" s="368"/>
      <c r="K40" s="368"/>
      <c r="L40" s="368"/>
      <c r="M40" s="368"/>
      <c r="N40" s="368"/>
      <c r="O40" s="368"/>
      <c r="P40" s="368"/>
      <c r="Q40" s="368"/>
      <c r="R40" s="368"/>
      <c r="S40" s="368"/>
      <c r="T40" s="368"/>
      <c r="U40" s="368"/>
      <c r="V40" s="368"/>
      <c r="W40" s="368"/>
      <c r="X40" s="368"/>
      <c r="Y40" s="368"/>
    </row>
    <row r="41" spans="1:25" s="190" customFormat="1" x14ac:dyDescent="0.25">
      <c r="A41" s="471">
        <v>35</v>
      </c>
      <c r="B41" s="1034" t="s">
        <v>163</v>
      </c>
      <c r="C41" s="1035"/>
      <c r="D41" s="1035"/>
      <c r="E41" s="1035"/>
      <c r="F41" s="1035"/>
      <c r="G41" s="1035" t="s">
        <v>137</v>
      </c>
      <c r="H41" s="1036" t="s">
        <v>137</v>
      </c>
      <c r="I41" s="368"/>
      <c r="J41" s="368"/>
      <c r="K41" s="368"/>
      <c r="L41" s="368"/>
      <c r="M41" s="368"/>
      <c r="N41" s="368"/>
      <c r="O41" s="368"/>
      <c r="P41" s="368"/>
      <c r="Q41" s="368"/>
      <c r="R41" s="368"/>
      <c r="S41" s="368"/>
      <c r="T41" s="368"/>
      <c r="U41" s="368"/>
      <c r="V41" s="368"/>
      <c r="W41" s="368"/>
      <c r="X41" s="368"/>
      <c r="Y41" s="368"/>
    </row>
    <row r="42" spans="1:25" ht="25.5" x14ac:dyDescent="0.25">
      <c r="A42" s="471">
        <v>36</v>
      </c>
      <c r="B42" s="456" t="s">
        <v>162</v>
      </c>
      <c r="C42" s="456" t="s">
        <v>151</v>
      </c>
      <c r="D42" s="457" t="s">
        <v>152</v>
      </c>
      <c r="E42" s="456" t="s">
        <v>153</v>
      </c>
      <c r="F42" s="456" t="s">
        <v>154</v>
      </c>
      <c r="G42" s="458" t="s">
        <v>155</v>
      </c>
      <c r="H42" s="458" t="s">
        <v>156</v>
      </c>
      <c r="I42" s="368"/>
      <c r="J42" s="368"/>
      <c r="K42" s="368"/>
      <c r="L42" s="368"/>
      <c r="M42" s="368"/>
      <c r="N42" s="368"/>
      <c r="O42" s="368"/>
      <c r="P42" s="368"/>
      <c r="Q42" s="368"/>
      <c r="R42" s="368"/>
      <c r="S42" s="368"/>
      <c r="T42" s="368"/>
      <c r="U42" s="368"/>
      <c r="V42" s="368"/>
      <c r="W42" s="368"/>
      <c r="X42" s="368"/>
      <c r="Y42" s="368"/>
    </row>
    <row r="43" spans="1:25" ht="25.5" x14ac:dyDescent="0.25">
      <c r="A43" s="471">
        <v>37</v>
      </c>
      <c r="B43" s="236" t="s">
        <v>137</v>
      </c>
      <c r="C43" s="459" t="s">
        <v>137</v>
      </c>
      <c r="D43" s="461" t="s">
        <v>137</v>
      </c>
      <c r="E43" s="459" t="s">
        <v>137</v>
      </c>
      <c r="F43" s="459" t="s">
        <v>137</v>
      </c>
      <c r="G43" s="459" t="s">
        <v>157</v>
      </c>
      <c r="H43" s="459" t="s">
        <v>157</v>
      </c>
      <c r="I43" s="368"/>
      <c r="J43" s="368"/>
      <c r="K43" s="368"/>
      <c r="L43" s="368"/>
      <c r="M43" s="368"/>
      <c r="N43" s="368"/>
      <c r="O43" s="368"/>
      <c r="P43" s="368"/>
      <c r="Q43" s="368"/>
      <c r="R43" s="368"/>
      <c r="S43" s="368"/>
      <c r="T43" s="368"/>
      <c r="U43" s="368"/>
      <c r="V43" s="368"/>
      <c r="W43" s="368"/>
      <c r="X43" s="368"/>
      <c r="Y43" s="368"/>
    </row>
    <row r="44" spans="1:25" ht="25.5" x14ac:dyDescent="0.25">
      <c r="A44" s="471">
        <v>38</v>
      </c>
      <c r="B44" s="236" t="s">
        <v>137</v>
      </c>
      <c r="C44" s="459" t="s">
        <v>137</v>
      </c>
      <c r="D44" s="461" t="s">
        <v>137</v>
      </c>
      <c r="E44" s="459" t="s">
        <v>137</v>
      </c>
      <c r="F44" s="459" t="s">
        <v>137</v>
      </c>
      <c r="G44" s="459" t="s">
        <v>157</v>
      </c>
      <c r="H44" s="459" t="s">
        <v>157</v>
      </c>
      <c r="I44" s="368"/>
      <c r="J44" s="368"/>
      <c r="K44" s="368"/>
      <c r="L44" s="368"/>
      <c r="M44" s="368"/>
      <c r="N44" s="368"/>
      <c r="O44" s="368"/>
      <c r="P44" s="368"/>
      <c r="Q44" s="368"/>
      <c r="R44" s="368"/>
      <c r="S44" s="368"/>
      <c r="T44" s="368"/>
      <c r="U44" s="368"/>
      <c r="V44" s="368"/>
      <c r="W44" s="368"/>
      <c r="X44" s="368"/>
      <c r="Y44" s="368"/>
    </row>
    <row r="45" spans="1:25" ht="25.5" x14ac:dyDescent="0.25">
      <c r="A45" s="471">
        <v>39</v>
      </c>
      <c r="B45" s="236" t="s">
        <v>137</v>
      </c>
      <c r="C45" s="459" t="s">
        <v>137</v>
      </c>
      <c r="D45" s="461" t="s">
        <v>137</v>
      </c>
      <c r="E45" s="459" t="s">
        <v>137</v>
      </c>
      <c r="F45" s="459" t="s">
        <v>137</v>
      </c>
      <c r="G45" s="459" t="s">
        <v>157</v>
      </c>
      <c r="H45" s="459" t="s">
        <v>157</v>
      </c>
      <c r="I45" s="368"/>
      <c r="J45" s="368"/>
      <c r="K45" s="368"/>
      <c r="L45" s="368"/>
      <c r="M45" s="368"/>
      <c r="N45" s="368"/>
      <c r="O45" s="368"/>
      <c r="P45" s="368"/>
      <c r="Q45" s="368"/>
      <c r="R45" s="368"/>
      <c r="S45" s="368"/>
      <c r="T45" s="368"/>
      <c r="U45" s="368"/>
      <c r="V45" s="368"/>
      <c r="W45" s="368"/>
      <c r="X45" s="368"/>
      <c r="Y45" s="368"/>
    </row>
    <row r="46" spans="1:25" s="190" customFormat="1" x14ac:dyDescent="0.25">
      <c r="A46" s="471">
        <v>40</v>
      </c>
      <c r="B46" s="1034" t="s">
        <v>164</v>
      </c>
      <c r="C46" s="1035"/>
      <c r="D46" s="1035"/>
      <c r="E46" s="1035"/>
      <c r="F46" s="1035"/>
      <c r="G46" s="1035" t="s">
        <v>137</v>
      </c>
      <c r="H46" s="1036" t="s">
        <v>137</v>
      </c>
      <c r="I46" s="368"/>
      <c r="J46" s="368"/>
      <c r="K46" s="368"/>
      <c r="L46" s="368"/>
      <c r="M46" s="368"/>
      <c r="N46" s="368"/>
      <c r="O46" s="368"/>
      <c r="P46" s="368"/>
      <c r="Q46" s="368"/>
      <c r="R46" s="368"/>
      <c r="S46" s="368"/>
      <c r="T46" s="368"/>
      <c r="U46" s="368"/>
      <c r="V46" s="368"/>
      <c r="W46" s="368"/>
      <c r="X46" s="368"/>
      <c r="Y46" s="368"/>
    </row>
    <row r="47" spans="1:25" ht="26.25" customHeight="1" x14ac:dyDescent="0.25">
      <c r="A47" s="471">
        <v>41</v>
      </c>
      <c r="B47" s="456" t="s">
        <v>162</v>
      </c>
      <c r="C47" s="456" t="s">
        <v>151</v>
      </c>
      <c r="D47" s="457" t="s">
        <v>152</v>
      </c>
      <c r="E47" s="456" t="s">
        <v>153</v>
      </c>
      <c r="F47" s="456" t="s">
        <v>154</v>
      </c>
      <c r="G47" s="458" t="s">
        <v>155</v>
      </c>
      <c r="H47" s="458" t="s">
        <v>156</v>
      </c>
      <c r="I47" s="368"/>
      <c r="J47" s="368"/>
      <c r="K47" s="368"/>
      <c r="L47" s="368"/>
      <c r="M47" s="368"/>
      <c r="N47" s="368"/>
      <c r="O47" s="368"/>
      <c r="P47" s="368"/>
      <c r="Q47" s="368"/>
      <c r="R47" s="368"/>
      <c r="S47" s="368"/>
      <c r="T47" s="368"/>
      <c r="U47" s="368"/>
      <c r="V47" s="368"/>
      <c r="W47" s="368"/>
      <c r="X47" s="368"/>
      <c r="Y47" s="368"/>
    </row>
    <row r="48" spans="1:25" ht="25.5" x14ac:dyDescent="0.25">
      <c r="A48" s="471">
        <v>42</v>
      </c>
      <c r="B48" s="236" t="s">
        <v>137</v>
      </c>
      <c r="C48" s="459" t="s">
        <v>137</v>
      </c>
      <c r="D48" s="461" t="s">
        <v>137</v>
      </c>
      <c r="E48" s="459" t="s">
        <v>137</v>
      </c>
      <c r="F48" s="459" t="s">
        <v>137</v>
      </c>
      <c r="G48" s="459" t="s">
        <v>157</v>
      </c>
      <c r="H48" s="459" t="s">
        <v>157</v>
      </c>
      <c r="I48" s="368"/>
      <c r="J48" s="368"/>
      <c r="K48" s="368"/>
      <c r="L48" s="368"/>
      <c r="M48" s="368"/>
      <c r="N48" s="368"/>
      <c r="O48" s="368"/>
      <c r="P48" s="368"/>
      <c r="Q48" s="368"/>
      <c r="R48" s="368"/>
      <c r="S48" s="368"/>
      <c r="T48" s="368"/>
      <c r="U48" s="368"/>
      <c r="V48" s="368"/>
      <c r="W48" s="368"/>
      <c r="X48" s="368"/>
      <c r="Y48" s="368"/>
    </row>
    <row r="49" spans="1:25" ht="25.5" x14ac:dyDescent="0.25">
      <c r="A49" s="471">
        <v>43</v>
      </c>
      <c r="B49" s="236" t="s">
        <v>137</v>
      </c>
      <c r="C49" s="459" t="s">
        <v>137</v>
      </c>
      <c r="D49" s="461" t="s">
        <v>137</v>
      </c>
      <c r="E49" s="459" t="s">
        <v>137</v>
      </c>
      <c r="F49" s="459" t="s">
        <v>137</v>
      </c>
      <c r="G49" s="459" t="s">
        <v>157</v>
      </c>
      <c r="H49" s="459" t="s">
        <v>157</v>
      </c>
      <c r="I49" s="368"/>
      <c r="J49" s="368"/>
      <c r="K49" s="368"/>
      <c r="L49" s="368"/>
      <c r="M49" s="368"/>
      <c r="N49" s="368"/>
      <c r="O49" s="368"/>
      <c r="P49" s="368"/>
      <c r="Q49" s="368"/>
      <c r="R49" s="368"/>
      <c r="S49" s="368"/>
      <c r="T49" s="368"/>
      <c r="U49" s="368"/>
      <c r="V49" s="368"/>
      <c r="W49" s="368"/>
      <c r="X49" s="368"/>
      <c r="Y49" s="368"/>
    </row>
    <row r="50" spans="1:25" ht="25.5" x14ac:dyDescent="0.25">
      <c r="A50" s="471">
        <v>44</v>
      </c>
      <c r="B50" s="236" t="s">
        <v>137</v>
      </c>
      <c r="C50" s="459" t="s">
        <v>137</v>
      </c>
      <c r="D50" s="461" t="s">
        <v>137</v>
      </c>
      <c r="E50" s="459" t="s">
        <v>137</v>
      </c>
      <c r="F50" s="459" t="s">
        <v>137</v>
      </c>
      <c r="G50" s="459" t="s">
        <v>157</v>
      </c>
      <c r="H50" s="459" t="s">
        <v>157</v>
      </c>
      <c r="I50" s="368"/>
      <c r="J50" s="368"/>
      <c r="K50" s="368"/>
      <c r="L50" s="368"/>
      <c r="M50" s="368"/>
      <c r="N50" s="368"/>
      <c r="O50" s="368"/>
      <c r="P50" s="368"/>
      <c r="Q50" s="368"/>
      <c r="R50" s="368"/>
      <c r="S50" s="368"/>
      <c r="T50" s="368"/>
      <c r="U50" s="368"/>
      <c r="V50" s="368"/>
      <c r="W50" s="368"/>
      <c r="X50" s="368"/>
      <c r="Y50" s="368"/>
    </row>
    <row r="51" spans="1:25" ht="25.5" x14ac:dyDescent="0.25">
      <c r="A51" s="471">
        <v>45</v>
      </c>
      <c r="B51" s="236" t="s">
        <v>137</v>
      </c>
      <c r="C51" s="459" t="s">
        <v>137</v>
      </c>
      <c r="D51" s="461" t="s">
        <v>137</v>
      </c>
      <c r="E51" s="459" t="s">
        <v>137</v>
      </c>
      <c r="F51" s="459" t="s">
        <v>137</v>
      </c>
      <c r="G51" s="459" t="s">
        <v>157</v>
      </c>
      <c r="H51" s="459" t="s">
        <v>157</v>
      </c>
      <c r="I51" s="368"/>
      <c r="J51" s="368"/>
      <c r="K51" s="368"/>
      <c r="L51" s="368"/>
      <c r="M51" s="368"/>
      <c r="N51" s="368"/>
      <c r="O51" s="368"/>
      <c r="P51" s="368"/>
      <c r="Q51" s="368"/>
      <c r="R51" s="368"/>
      <c r="S51" s="368"/>
      <c r="T51" s="368"/>
      <c r="U51" s="368"/>
      <c r="V51" s="368"/>
      <c r="W51" s="368"/>
      <c r="X51" s="368"/>
      <c r="Y51" s="368"/>
    </row>
    <row r="52" spans="1:25" ht="25.5" x14ac:dyDescent="0.25">
      <c r="A52" s="471">
        <v>46</v>
      </c>
      <c r="B52" s="236" t="s">
        <v>137</v>
      </c>
      <c r="C52" s="459" t="s">
        <v>137</v>
      </c>
      <c r="D52" s="461" t="s">
        <v>137</v>
      </c>
      <c r="E52" s="459" t="s">
        <v>137</v>
      </c>
      <c r="F52" s="459" t="s">
        <v>137</v>
      </c>
      <c r="G52" s="459" t="s">
        <v>157</v>
      </c>
      <c r="H52" s="459" t="s">
        <v>157</v>
      </c>
      <c r="I52" s="368"/>
      <c r="J52" s="368"/>
      <c r="K52" s="368"/>
      <c r="L52" s="368"/>
      <c r="M52" s="368"/>
      <c r="N52" s="368"/>
      <c r="O52" s="368"/>
      <c r="P52" s="368"/>
      <c r="Q52" s="368"/>
      <c r="R52" s="368"/>
      <c r="S52" s="368"/>
      <c r="T52" s="368"/>
      <c r="U52" s="368"/>
      <c r="V52" s="368"/>
      <c r="W52" s="368"/>
      <c r="X52" s="368"/>
      <c r="Y52" s="368"/>
    </row>
    <row r="53" spans="1:25" s="190" customFormat="1" ht="15" customHeight="1" x14ac:dyDescent="0.25">
      <c r="A53" s="471">
        <v>47</v>
      </c>
      <c r="B53" s="1034" t="s">
        <v>165</v>
      </c>
      <c r="C53" s="1035"/>
      <c r="D53" s="1035"/>
      <c r="E53" s="1035"/>
      <c r="F53" s="1035"/>
      <c r="G53" s="1035" t="s">
        <v>137</v>
      </c>
      <c r="H53" s="1036" t="s">
        <v>137</v>
      </c>
      <c r="I53" s="368"/>
      <c r="J53" s="368"/>
      <c r="K53" s="368"/>
      <c r="L53" s="368"/>
      <c r="M53" s="368"/>
      <c r="N53" s="368"/>
      <c r="O53" s="368"/>
      <c r="P53" s="368"/>
      <c r="Q53" s="368"/>
      <c r="R53" s="368"/>
      <c r="S53" s="368"/>
      <c r="T53" s="368"/>
      <c r="U53" s="368"/>
      <c r="V53" s="368"/>
      <c r="W53" s="368"/>
      <c r="X53" s="368"/>
      <c r="Y53" s="368"/>
    </row>
    <row r="54" spans="1:25" ht="25.5" x14ac:dyDescent="0.25">
      <c r="A54" s="471">
        <v>48</v>
      </c>
      <c r="B54" s="456" t="s">
        <v>162</v>
      </c>
      <c r="C54" s="456" t="s">
        <v>151</v>
      </c>
      <c r="D54" s="457" t="s">
        <v>152</v>
      </c>
      <c r="E54" s="456" t="s">
        <v>153</v>
      </c>
      <c r="F54" s="456" t="s">
        <v>154</v>
      </c>
      <c r="G54" s="458" t="s">
        <v>155</v>
      </c>
      <c r="H54" s="458" t="s">
        <v>156</v>
      </c>
      <c r="I54" s="368"/>
      <c r="J54" s="368"/>
      <c r="K54" s="368"/>
      <c r="L54" s="368"/>
      <c r="M54" s="368"/>
      <c r="N54" s="368"/>
      <c r="O54" s="368"/>
      <c r="P54" s="368"/>
      <c r="Q54" s="368"/>
      <c r="R54" s="368"/>
      <c r="S54" s="368"/>
      <c r="T54" s="368"/>
      <c r="U54" s="368"/>
      <c r="V54" s="368"/>
      <c r="W54" s="368"/>
      <c r="X54" s="368"/>
      <c r="Y54" s="368"/>
    </row>
    <row r="55" spans="1:25" ht="25.5" x14ac:dyDescent="0.25">
      <c r="A55" s="471">
        <v>49</v>
      </c>
      <c r="B55" s="236" t="s">
        <v>137</v>
      </c>
      <c r="C55" s="459" t="s">
        <v>137</v>
      </c>
      <c r="D55" s="461" t="s">
        <v>137</v>
      </c>
      <c r="E55" s="459" t="s">
        <v>137</v>
      </c>
      <c r="F55" s="459" t="s">
        <v>137</v>
      </c>
      <c r="G55" s="459" t="s">
        <v>157</v>
      </c>
      <c r="H55" s="459" t="s">
        <v>157</v>
      </c>
      <c r="I55" s="368"/>
      <c r="J55" s="368"/>
      <c r="K55" s="368"/>
      <c r="L55" s="368"/>
      <c r="M55" s="368"/>
      <c r="N55" s="368"/>
      <c r="O55" s="368"/>
      <c r="P55" s="368"/>
      <c r="Q55" s="368"/>
      <c r="R55" s="368"/>
      <c r="S55" s="368"/>
      <c r="T55" s="368"/>
      <c r="U55" s="368"/>
      <c r="V55" s="368"/>
      <c r="W55" s="368"/>
      <c r="X55" s="368"/>
      <c r="Y55" s="368"/>
    </row>
    <row r="56" spans="1:25" ht="25.5" x14ac:dyDescent="0.25">
      <c r="A56" s="471">
        <v>50</v>
      </c>
      <c r="B56" s="236" t="s">
        <v>137</v>
      </c>
      <c r="C56" s="459" t="s">
        <v>137</v>
      </c>
      <c r="D56" s="461" t="s">
        <v>137</v>
      </c>
      <c r="E56" s="459" t="s">
        <v>137</v>
      </c>
      <c r="F56" s="459" t="s">
        <v>137</v>
      </c>
      <c r="G56" s="459" t="s">
        <v>157</v>
      </c>
      <c r="H56" s="459" t="s">
        <v>157</v>
      </c>
      <c r="I56" s="368"/>
      <c r="J56" s="368"/>
      <c r="K56" s="368"/>
      <c r="L56" s="368"/>
      <c r="M56" s="368"/>
      <c r="N56" s="368"/>
      <c r="O56" s="368"/>
      <c r="P56" s="368"/>
      <c r="Q56" s="368"/>
      <c r="R56" s="368"/>
      <c r="S56" s="368"/>
      <c r="T56" s="368"/>
      <c r="U56" s="368"/>
      <c r="V56" s="368"/>
      <c r="W56" s="368"/>
      <c r="X56" s="368"/>
      <c r="Y56" s="368"/>
    </row>
    <row r="57" spans="1:25" ht="25.5" x14ac:dyDescent="0.25">
      <c r="A57" s="471">
        <v>51</v>
      </c>
      <c r="B57" s="236" t="s">
        <v>137</v>
      </c>
      <c r="C57" s="459" t="s">
        <v>137</v>
      </c>
      <c r="D57" s="461" t="s">
        <v>137</v>
      </c>
      <c r="E57" s="459" t="s">
        <v>137</v>
      </c>
      <c r="F57" s="459" t="s">
        <v>137</v>
      </c>
      <c r="G57" s="459" t="s">
        <v>157</v>
      </c>
      <c r="H57" s="459" t="s">
        <v>157</v>
      </c>
      <c r="I57" s="368"/>
      <c r="J57" s="368"/>
      <c r="K57" s="368"/>
      <c r="L57" s="368"/>
      <c r="M57" s="368"/>
      <c r="N57" s="368"/>
      <c r="O57" s="368"/>
      <c r="P57" s="368"/>
      <c r="Q57" s="368"/>
      <c r="R57" s="368"/>
      <c r="S57" s="368"/>
      <c r="T57" s="368"/>
      <c r="U57" s="368"/>
      <c r="V57" s="368"/>
      <c r="W57" s="368"/>
      <c r="X57" s="368"/>
      <c r="Y57" s="368"/>
    </row>
    <row r="58" spans="1:25" s="190" customFormat="1" x14ac:dyDescent="0.25">
      <c r="A58" s="471">
        <v>52</v>
      </c>
      <c r="B58" s="1034" t="s">
        <v>166</v>
      </c>
      <c r="C58" s="1035"/>
      <c r="D58" s="1035"/>
      <c r="E58" s="1035"/>
      <c r="F58" s="1035"/>
      <c r="G58" s="1035" t="s">
        <v>137</v>
      </c>
      <c r="H58" s="1036" t="s">
        <v>137</v>
      </c>
      <c r="I58" s="368"/>
      <c r="J58" s="368"/>
      <c r="K58" s="368"/>
      <c r="L58" s="368"/>
      <c r="M58" s="368"/>
      <c r="N58" s="368"/>
      <c r="O58" s="368"/>
      <c r="P58" s="368"/>
      <c r="Q58" s="368"/>
      <c r="R58" s="368"/>
      <c r="S58" s="368"/>
      <c r="T58" s="368"/>
      <c r="U58" s="368"/>
      <c r="V58" s="368"/>
      <c r="W58" s="368"/>
      <c r="X58" s="368"/>
      <c r="Y58" s="368"/>
    </row>
    <row r="59" spans="1:25" ht="25.5" x14ac:dyDescent="0.25">
      <c r="A59" s="471">
        <v>53</v>
      </c>
      <c r="B59" s="456" t="s">
        <v>162</v>
      </c>
      <c r="C59" s="456" t="s">
        <v>151</v>
      </c>
      <c r="D59" s="457" t="s">
        <v>152</v>
      </c>
      <c r="E59" s="456" t="s">
        <v>153</v>
      </c>
      <c r="F59" s="456" t="s">
        <v>154</v>
      </c>
      <c r="G59" s="458" t="s">
        <v>155</v>
      </c>
      <c r="H59" s="458" t="s">
        <v>156</v>
      </c>
      <c r="I59" s="368"/>
      <c r="J59" s="368"/>
      <c r="K59" s="368"/>
      <c r="L59" s="368"/>
      <c r="M59" s="368"/>
      <c r="N59" s="368"/>
      <c r="O59" s="368"/>
      <c r="P59" s="368"/>
      <c r="Q59" s="368"/>
      <c r="R59" s="368"/>
      <c r="S59" s="368"/>
      <c r="T59" s="368"/>
      <c r="U59" s="368"/>
      <c r="V59" s="368"/>
      <c r="W59" s="368"/>
      <c r="X59" s="368"/>
      <c r="Y59" s="368"/>
    </row>
    <row r="60" spans="1:25" ht="25.5" x14ac:dyDescent="0.25">
      <c r="A60" s="471">
        <v>54</v>
      </c>
      <c r="B60" s="236" t="s">
        <v>137</v>
      </c>
      <c r="C60" s="459" t="s">
        <v>137</v>
      </c>
      <c r="D60" s="461" t="s">
        <v>137</v>
      </c>
      <c r="E60" s="459" t="s">
        <v>137</v>
      </c>
      <c r="F60" s="459" t="s">
        <v>137</v>
      </c>
      <c r="G60" s="459" t="s">
        <v>157</v>
      </c>
      <c r="H60" s="459" t="s">
        <v>157</v>
      </c>
      <c r="I60" s="368"/>
      <c r="J60" s="368"/>
      <c r="K60" s="368"/>
      <c r="L60" s="368"/>
      <c r="M60" s="368"/>
      <c r="N60" s="368"/>
      <c r="O60" s="368"/>
      <c r="P60" s="368"/>
      <c r="Q60" s="368"/>
      <c r="R60" s="368"/>
      <c r="S60" s="368"/>
      <c r="T60" s="368"/>
      <c r="U60" s="368"/>
      <c r="V60" s="368"/>
      <c r="W60" s="368"/>
      <c r="X60" s="368"/>
      <c r="Y60" s="368"/>
    </row>
    <row r="61" spans="1:25" ht="25.5" x14ac:dyDescent="0.25">
      <c r="A61" s="471">
        <v>55</v>
      </c>
      <c r="B61" s="236" t="s">
        <v>137</v>
      </c>
      <c r="C61" s="459" t="s">
        <v>137</v>
      </c>
      <c r="D61" s="461" t="s">
        <v>137</v>
      </c>
      <c r="E61" s="459" t="s">
        <v>137</v>
      </c>
      <c r="F61" s="459" t="s">
        <v>137</v>
      </c>
      <c r="G61" s="459" t="s">
        <v>157</v>
      </c>
      <c r="H61" s="459" t="s">
        <v>157</v>
      </c>
      <c r="I61" s="368"/>
      <c r="J61" s="368"/>
      <c r="K61" s="368"/>
      <c r="L61" s="368"/>
      <c r="M61" s="368"/>
      <c r="N61" s="368"/>
      <c r="O61" s="368"/>
      <c r="P61" s="368"/>
      <c r="Q61" s="368"/>
      <c r="R61" s="368"/>
      <c r="S61" s="368"/>
      <c r="T61" s="368"/>
      <c r="U61" s="368"/>
      <c r="V61" s="368"/>
      <c r="W61" s="368"/>
      <c r="X61" s="368"/>
      <c r="Y61" s="368"/>
    </row>
    <row r="62" spans="1:25" ht="25.5" x14ac:dyDescent="0.25">
      <c r="A62" s="471">
        <v>56</v>
      </c>
      <c r="B62" s="236" t="s">
        <v>137</v>
      </c>
      <c r="C62" s="459" t="s">
        <v>137</v>
      </c>
      <c r="D62" s="459" t="s">
        <v>137</v>
      </c>
      <c r="E62" s="459" t="s">
        <v>137</v>
      </c>
      <c r="F62" s="459" t="s">
        <v>137</v>
      </c>
      <c r="G62" s="459" t="s">
        <v>157</v>
      </c>
      <c r="H62" s="459" t="s">
        <v>157</v>
      </c>
      <c r="I62" s="368"/>
      <c r="J62" s="368"/>
      <c r="K62" s="368"/>
      <c r="L62" s="368"/>
      <c r="M62" s="368"/>
      <c r="N62" s="368"/>
      <c r="O62" s="368"/>
      <c r="P62" s="368"/>
      <c r="Q62" s="368"/>
      <c r="R62" s="368"/>
      <c r="S62" s="368"/>
      <c r="T62" s="368"/>
      <c r="U62" s="368"/>
      <c r="V62" s="368"/>
      <c r="W62" s="368"/>
      <c r="X62" s="368"/>
      <c r="Y62" s="368"/>
    </row>
    <row r="63" spans="1:25" s="190" customFormat="1" ht="15" customHeight="1" x14ac:dyDescent="0.25">
      <c r="A63" s="471">
        <v>57</v>
      </c>
      <c r="B63" s="1034" t="s">
        <v>167</v>
      </c>
      <c r="C63" s="1035"/>
      <c r="D63" s="1035"/>
      <c r="E63" s="1035"/>
      <c r="F63" s="1035"/>
      <c r="G63" s="1035" t="s">
        <v>137</v>
      </c>
      <c r="H63" s="1036" t="s">
        <v>137</v>
      </c>
      <c r="I63" s="368"/>
      <c r="J63" s="368"/>
      <c r="K63" s="368"/>
      <c r="L63" s="368"/>
      <c r="M63" s="368"/>
      <c r="N63" s="368"/>
      <c r="O63" s="368"/>
      <c r="P63" s="368"/>
      <c r="Q63" s="368"/>
      <c r="R63" s="368"/>
      <c r="S63" s="368"/>
      <c r="T63" s="368"/>
      <c r="U63" s="368"/>
      <c r="V63" s="368"/>
      <c r="W63" s="368"/>
      <c r="X63" s="368"/>
      <c r="Y63" s="368"/>
    </row>
    <row r="64" spans="1:25" ht="25.5" x14ac:dyDescent="0.25">
      <c r="A64" s="471">
        <v>58</v>
      </c>
      <c r="B64" s="456" t="s">
        <v>162</v>
      </c>
      <c r="C64" s="456" t="s">
        <v>151</v>
      </c>
      <c r="D64" s="457" t="s">
        <v>152</v>
      </c>
      <c r="E64" s="456" t="s">
        <v>153</v>
      </c>
      <c r="F64" s="456" t="s">
        <v>154</v>
      </c>
      <c r="G64" s="458" t="s">
        <v>155</v>
      </c>
      <c r="H64" s="458" t="s">
        <v>156</v>
      </c>
      <c r="I64" s="368"/>
      <c r="J64" s="368"/>
      <c r="K64" s="368"/>
      <c r="L64" s="368"/>
      <c r="M64" s="368"/>
      <c r="N64" s="368"/>
      <c r="O64" s="368"/>
      <c r="P64" s="368"/>
      <c r="Q64" s="368"/>
      <c r="R64" s="368"/>
      <c r="S64" s="368"/>
      <c r="T64" s="368"/>
      <c r="U64" s="368"/>
      <c r="V64" s="368"/>
      <c r="W64" s="368"/>
      <c r="X64" s="368"/>
      <c r="Y64" s="368"/>
    </row>
    <row r="65" spans="1:25" ht="25.5" x14ac:dyDescent="0.25">
      <c r="A65" s="471">
        <v>59</v>
      </c>
      <c r="B65" s="236" t="s">
        <v>137</v>
      </c>
      <c r="C65" s="459" t="s">
        <v>137</v>
      </c>
      <c r="D65" s="461" t="s">
        <v>137</v>
      </c>
      <c r="E65" s="459" t="s">
        <v>137</v>
      </c>
      <c r="F65" s="459" t="s">
        <v>137</v>
      </c>
      <c r="G65" s="459" t="s">
        <v>157</v>
      </c>
      <c r="H65" s="459" t="s">
        <v>157</v>
      </c>
      <c r="I65" s="368"/>
      <c r="J65" s="368"/>
      <c r="K65" s="368"/>
      <c r="L65" s="368"/>
      <c r="M65" s="368"/>
      <c r="N65" s="368"/>
      <c r="O65" s="368"/>
      <c r="P65" s="368"/>
      <c r="Q65" s="368"/>
      <c r="R65" s="368"/>
      <c r="S65" s="368"/>
      <c r="T65" s="368"/>
      <c r="U65" s="368"/>
      <c r="V65" s="368"/>
      <c r="W65" s="368"/>
      <c r="X65" s="368"/>
      <c r="Y65" s="368"/>
    </row>
    <row r="66" spans="1:25" ht="25.5" x14ac:dyDescent="0.25">
      <c r="A66" s="471">
        <v>60</v>
      </c>
      <c r="B66" s="236" t="s">
        <v>137</v>
      </c>
      <c r="C66" s="459" t="s">
        <v>137</v>
      </c>
      <c r="D66" s="461" t="s">
        <v>137</v>
      </c>
      <c r="E66" s="459" t="s">
        <v>137</v>
      </c>
      <c r="F66" s="459" t="s">
        <v>137</v>
      </c>
      <c r="G66" s="459" t="s">
        <v>157</v>
      </c>
      <c r="H66" s="459" t="s">
        <v>157</v>
      </c>
      <c r="I66" s="368"/>
      <c r="J66" s="368"/>
      <c r="K66" s="368"/>
      <c r="L66" s="368"/>
      <c r="M66" s="368"/>
      <c r="N66" s="368"/>
      <c r="O66" s="368"/>
      <c r="P66" s="368"/>
      <c r="Q66" s="368"/>
      <c r="R66" s="368"/>
      <c r="S66" s="368"/>
      <c r="T66" s="368"/>
      <c r="U66" s="368"/>
      <c r="V66" s="368"/>
      <c r="W66" s="368"/>
      <c r="X66" s="368"/>
      <c r="Y66" s="368"/>
    </row>
    <row r="67" spans="1:25" ht="25.5" x14ac:dyDescent="0.25">
      <c r="A67" s="471">
        <v>61</v>
      </c>
      <c r="B67" s="236" t="s">
        <v>137</v>
      </c>
      <c r="C67" s="459" t="s">
        <v>137</v>
      </c>
      <c r="D67" s="461" t="s">
        <v>137</v>
      </c>
      <c r="E67" s="459" t="s">
        <v>137</v>
      </c>
      <c r="F67" s="459" t="s">
        <v>137</v>
      </c>
      <c r="G67" s="459" t="s">
        <v>157</v>
      </c>
      <c r="H67" s="459" t="s">
        <v>157</v>
      </c>
      <c r="I67" s="368"/>
      <c r="J67" s="368"/>
      <c r="K67" s="368"/>
      <c r="L67" s="368"/>
      <c r="M67" s="368"/>
      <c r="N67" s="368"/>
      <c r="O67" s="368"/>
      <c r="P67" s="368"/>
      <c r="Q67" s="368"/>
      <c r="R67" s="368"/>
      <c r="S67" s="368"/>
      <c r="T67" s="368"/>
      <c r="U67" s="368"/>
      <c r="V67" s="368"/>
      <c r="W67" s="368"/>
      <c r="X67" s="368"/>
      <c r="Y67" s="368"/>
    </row>
    <row r="68" spans="1:25" s="190" customFormat="1" ht="15" customHeight="1" x14ac:dyDescent="0.25">
      <c r="A68" s="471">
        <v>62</v>
      </c>
      <c r="B68" s="1034" t="s">
        <v>168</v>
      </c>
      <c r="C68" s="1035"/>
      <c r="D68" s="1035"/>
      <c r="E68" s="1035"/>
      <c r="F68" s="1035"/>
      <c r="G68" s="1035" t="s">
        <v>137</v>
      </c>
      <c r="H68" s="1036" t="s">
        <v>137</v>
      </c>
      <c r="I68" s="368"/>
      <c r="J68" s="368"/>
      <c r="K68" s="368"/>
      <c r="L68" s="368"/>
      <c r="M68" s="368"/>
      <c r="N68" s="368"/>
      <c r="O68" s="368"/>
      <c r="P68" s="368"/>
      <c r="Q68" s="368"/>
      <c r="R68" s="368"/>
      <c r="S68" s="368"/>
      <c r="T68" s="368"/>
      <c r="U68" s="368"/>
      <c r="V68" s="368"/>
      <c r="W68" s="368"/>
      <c r="X68" s="368"/>
      <c r="Y68" s="368"/>
    </row>
    <row r="69" spans="1:25" ht="25.5" x14ac:dyDescent="0.25">
      <c r="A69" s="471">
        <v>63</v>
      </c>
      <c r="B69" s="456" t="s">
        <v>162</v>
      </c>
      <c r="C69" s="456" t="s">
        <v>151</v>
      </c>
      <c r="D69" s="457" t="s">
        <v>152</v>
      </c>
      <c r="E69" s="456" t="s">
        <v>153</v>
      </c>
      <c r="F69" s="456" t="s">
        <v>154</v>
      </c>
      <c r="G69" s="458" t="s">
        <v>155</v>
      </c>
      <c r="H69" s="458" t="s">
        <v>156</v>
      </c>
      <c r="I69" s="368"/>
      <c r="J69" s="368"/>
      <c r="K69" s="368"/>
      <c r="L69" s="368"/>
      <c r="M69" s="368"/>
      <c r="N69" s="368"/>
      <c r="O69" s="368"/>
      <c r="P69" s="368"/>
      <c r="Q69" s="368"/>
      <c r="R69" s="368"/>
      <c r="S69" s="368"/>
      <c r="T69" s="368"/>
      <c r="U69" s="368"/>
      <c r="V69" s="368"/>
      <c r="W69" s="368"/>
      <c r="X69" s="368"/>
      <c r="Y69" s="368"/>
    </row>
    <row r="70" spans="1:25" ht="25.5" x14ac:dyDescent="0.25">
      <c r="A70" s="471">
        <v>64</v>
      </c>
      <c r="B70" s="236" t="s">
        <v>137</v>
      </c>
      <c r="C70" s="459" t="s">
        <v>137</v>
      </c>
      <c r="D70" s="459" t="s">
        <v>137</v>
      </c>
      <c r="E70" s="459" t="s">
        <v>137</v>
      </c>
      <c r="F70" s="459" t="s">
        <v>137</v>
      </c>
      <c r="G70" s="459" t="s">
        <v>157</v>
      </c>
      <c r="H70" s="459" t="s">
        <v>157</v>
      </c>
      <c r="I70" s="368"/>
      <c r="J70" s="368"/>
      <c r="K70" s="368"/>
      <c r="L70" s="368"/>
      <c r="M70" s="368"/>
      <c r="N70" s="368"/>
      <c r="O70" s="368"/>
      <c r="P70" s="368"/>
      <c r="Q70" s="368"/>
      <c r="R70" s="368"/>
      <c r="S70" s="368"/>
      <c r="T70" s="368"/>
      <c r="U70" s="368"/>
      <c r="V70" s="368"/>
      <c r="W70" s="368"/>
      <c r="X70" s="368"/>
      <c r="Y70" s="368"/>
    </row>
    <row r="71" spans="1:25" ht="25.5" x14ac:dyDescent="0.25">
      <c r="A71" s="471">
        <v>65</v>
      </c>
      <c r="B71" s="236" t="s">
        <v>137</v>
      </c>
      <c r="C71" s="459" t="s">
        <v>137</v>
      </c>
      <c r="D71" s="459" t="s">
        <v>169</v>
      </c>
      <c r="E71" s="459" t="s">
        <v>137</v>
      </c>
      <c r="F71" s="459" t="s">
        <v>137</v>
      </c>
      <c r="G71" s="459" t="s">
        <v>157</v>
      </c>
      <c r="H71" s="459" t="s">
        <v>157</v>
      </c>
      <c r="I71" s="368"/>
      <c r="J71" s="368"/>
      <c r="K71" s="368"/>
      <c r="L71" s="368"/>
      <c r="M71" s="368"/>
      <c r="N71" s="368"/>
      <c r="O71" s="368"/>
      <c r="P71" s="368"/>
      <c r="Q71" s="368"/>
      <c r="R71" s="368"/>
      <c r="S71" s="368"/>
      <c r="T71" s="368"/>
      <c r="U71" s="368"/>
      <c r="V71" s="368"/>
      <c r="W71" s="368"/>
      <c r="X71" s="368"/>
      <c r="Y71" s="368"/>
    </row>
    <row r="72" spans="1:25" ht="25.5" x14ac:dyDescent="0.25">
      <c r="A72" s="471">
        <v>66</v>
      </c>
      <c r="B72" s="236" t="s">
        <v>137</v>
      </c>
      <c r="C72" s="459" t="s">
        <v>137</v>
      </c>
      <c r="D72" s="459" t="s">
        <v>170</v>
      </c>
      <c r="E72" s="459" t="s">
        <v>137</v>
      </c>
      <c r="F72" s="459" t="s">
        <v>137</v>
      </c>
      <c r="G72" s="459" t="s">
        <v>157</v>
      </c>
      <c r="H72" s="459" t="s">
        <v>157</v>
      </c>
      <c r="I72" s="368"/>
      <c r="J72" s="368"/>
      <c r="K72" s="368"/>
      <c r="L72" s="368"/>
      <c r="M72" s="368"/>
      <c r="N72" s="368"/>
      <c r="O72" s="368"/>
      <c r="P72" s="368"/>
      <c r="Q72" s="368"/>
      <c r="R72" s="368"/>
      <c r="S72" s="368"/>
      <c r="T72" s="368"/>
      <c r="U72" s="368"/>
      <c r="V72" s="368"/>
      <c r="W72" s="368"/>
      <c r="X72" s="368"/>
      <c r="Y72" s="368"/>
    </row>
    <row r="73" spans="1:25" ht="25.5" x14ac:dyDescent="0.25">
      <c r="A73" s="471">
        <v>67</v>
      </c>
      <c r="B73" s="236" t="s">
        <v>137</v>
      </c>
      <c r="C73" s="459" t="s">
        <v>137</v>
      </c>
      <c r="D73" s="459" t="s">
        <v>171</v>
      </c>
      <c r="E73" s="459" t="s">
        <v>137</v>
      </c>
      <c r="F73" s="459" t="s">
        <v>137</v>
      </c>
      <c r="G73" s="459" t="s">
        <v>157</v>
      </c>
      <c r="H73" s="459" t="s">
        <v>157</v>
      </c>
      <c r="I73" s="368"/>
      <c r="J73" s="368"/>
      <c r="K73" s="368"/>
      <c r="L73" s="368"/>
      <c r="M73" s="368"/>
      <c r="N73" s="368"/>
      <c r="O73" s="368"/>
      <c r="P73" s="368"/>
      <c r="Q73" s="368"/>
      <c r="R73" s="368"/>
      <c r="S73" s="368"/>
      <c r="T73" s="368"/>
      <c r="U73" s="368"/>
      <c r="V73" s="368"/>
      <c r="W73" s="368"/>
      <c r="X73" s="368"/>
      <c r="Y73" s="368"/>
    </row>
    <row r="74" spans="1:25" x14ac:dyDescent="0.25">
      <c r="A74" s="471">
        <v>68</v>
      </c>
      <c r="B74" s="236"/>
      <c r="C74" s="459"/>
      <c r="D74" s="462" t="s">
        <v>172</v>
      </c>
      <c r="E74" s="459"/>
      <c r="F74" s="459"/>
      <c r="G74" s="459"/>
      <c r="H74" s="459"/>
      <c r="I74" s="368"/>
      <c r="J74" s="368"/>
      <c r="K74" s="368"/>
      <c r="L74" s="368"/>
      <c r="M74" s="368"/>
      <c r="N74" s="368"/>
      <c r="O74" s="368"/>
      <c r="P74" s="368"/>
      <c r="Q74" s="368"/>
      <c r="R74" s="368"/>
      <c r="S74" s="368"/>
      <c r="T74" s="368"/>
      <c r="U74" s="368"/>
      <c r="V74" s="368"/>
      <c r="W74" s="368"/>
      <c r="X74" s="368"/>
      <c r="Y74" s="368"/>
    </row>
    <row r="75" spans="1:25" ht="25.5" x14ac:dyDescent="0.25">
      <c r="A75" s="471">
        <v>69</v>
      </c>
      <c r="B75" s="236" t="s">
        <v>137</v>
      </c>
      <c r="C75" s="459" t="s">
        <v>137</v>
      </c>
      <c r="D75" s="459" t="s">
        <v>173</v>
      </c>
      <c r="E75" s="459" t="s">
        <v>137</v>
      </c>
      <c r="F75" s="459" t="s">
        <v>137</v>
      </c>
      <c r="G75" s="459" t="s">
        <v>157</v>
      </c>
      <c r="H75" s="459" t="s">
        <v>157</v>
      </c>
      <c r="I75" s="368"/>
      <c r="J75" s="368"/>
      <c r="K75" s="368"/>
      <c r="L75" s="368"/>
      <c r="M75" s="368"/>
      <c r="N75" s="368"/>
      <c r="O75" s="368"/>
      <c r="P75" s="368"/>
      <c r="Q75" s="368"/>
      <c r="R75" s="368"/>
      <c r="S75" s="368"/>
      <c r="T75" s="368"/>
      <c r="U75" s="368"/>
      <c r="V75" s="368"/>
      <c r="W75" s="368"/>
      <c r="X75" s="368"/>
      <c r="Y75" s="368"/>
    </row>
    <row r="76" spans="1:25" ht="25.5" x14ac:dyDescent="0.25">
      <c r="A76" s="471">
        <v>70</v>
      </c>
      <c r="B76" s="236" t="s">
        <v>137</v>
      </c>
      <c r="C76" s="459" t="s">
        <v>137</v>
      </c>
      <c r="D76" s="459" t="s">
        <v>174</v>
      </c>
      <c r="E76" s="459" t="s">
        <v>137</v>
      </c>
      <c r="F76" s="459" t="s">
        <v>137</v>
      </c>
      <c r="G76" s="459" t="s">
        <v>157</v>
      </c>
      <c r="H76" s="459" t="s">
        <v>157</v>
      </c>
      <c r="I76" s="368"/>
      <c r="J76" s="368"/>
      <c r="K76" s="368"/>
      <c r="L76" s="368"/>
      <c r="M76" s="368"/>
      <c r="N76" s="368"/>
      <c r="O76" s="368"/>
      <c r="P76" s="368"/>
      <c r="Q76" s="368"/>
      <c r="R76" s="368"/>
      <c r="S76" s="368"/>
      <c r="T76" s="368"/>
      <c r="U76" s="368"/>
      <c r="V76" s="368"/>
      <c r="W76" s="368"/>
      <c r="X76" s="368"/>
      <c r="Y76" s="368"/>
    </row>
    <row r="77" spans="1:25" x14ac:dyDescent="0.25">
      <c r="A77" s="471">
        <v>71</v>
      </c>
      <c r="B77" s="236"/>
      <c r="C77" s="459"/>
      <c r="D77" s="459" t="s">
        <v>175</v>
      </c>
      <c r="E77" s="459"/>
      <c r="F77" s="459"/>
      <c r="G77" s="459"/>
      <c r="H77" s="459"/>
      <c r="I77" s="368"/>
      <c r="J77" s="368"/>
      <c r="K77" s="368"/>
      <c r="L77" s="368"/>
      <c r="M77" s="368"/>
      <c r="N77" s="368"/>
      <c r="O77" s="368"/>
      <c r="P77" s="368"/>
      <c r="Q77" s="368"/>
      <c r="R77" s="368"/>
      <c r="S77" s="368"/>
      <c r="T77" s="368"/>
      <c r="U77" s="368"/>
      <c r="V77" s="368"/>
      <c r="W77" s="368"/>
      <c r="X77" s="368"/>
      <c r="Y77" s="368"/>
    </row>
    <row r="78" spans="1:25" s="190" customFormat="1" ht="15" customHeight="1" x14ac:dyDescent="0.25">
      <c r="A78" s="471">
        <v>72</v>
      </c>
      <c r="B78" s="1034" t="s">
        <v>176</v>
      </c>
      <c r="C78" s="1035"/>
      <c r="D78" s="1035"/>
      <c r="E78" s="1035"/>
      <c r="F78" s="1035"/>
      <c r="G78" s="1035" t="s">
        <v>137</v>
      </c>
      <c r="H78" s="1036" t="s">
        <v>137</v>
      </c>
      <c r="I78" s="368"/>
      <c r="J78" s="368"/>
      <c r="K78" s="368"/>
      <c r="L78" s="368"/>
      <c r="M78" s="368"/>
      <c r="N78" s="368"/>
      <c r="O78" s="368"/>
      <c r="P78" s="368"/>
      <c r="Q78" s="368"/>
      <c r="R78" s="368"/>
      <c r="S78" s="368"/>
      <c r="T78" s="368"/>
      <c r="U78" s="368"/>
      <c r="V78" s="368"/>
      <c r="W78" s="368"/>
      <c r="X78" s="368"/>
      <c r="Y78" s="368"/>
    </row>
    <row r="79" spans="1:25" x14ac:dyDescent="0.25">
      <c r="A79" s="471">
        <v>73</v>
      </c>
      <c r="B79" s="463" t="s">
        <v>137</v>
      </c>
      <c r="C79" s="463" t="s">
        <v>137</v>
      </c>
      <c r="D79" s="464" t="s">
        <v>137</v>
      </c>
      <c r="E79" s="463" t="s">
        <v>137</v>
      </c>
      <c r="F79" s="463" t="s">
        <v>137</v>
      </c>
      <c r="G79" s="465" t="s">
        <v>155</v>
      </c>
      <c r="H79" s="465" t="s">
        <v>156</v>
      </c>
      <c r="I79" s="368"/>
      <c r="J79" s="368"/>
      <c r="K79" s="368"/>
      <c r="L79" s="368"/>
      <c r="M79" s="368"/>
      <c r="N79" s="368"/>
      <c r="O79" s="368"/>
      <c r="P79" s="368"/>
      <c r="Q79" s="368"/>
      <c r="R79" s="368"/>
      <c r="S79" s="368"/>
      <c r="T79" s="368"/>
      <c r="U79" s="368"/>
      <c r="V79" s="368"/>
      <c r="W79" s="368"/>
      <c r="X79" s="368"/>
      <c r="Y79" s="368"/>
    </row>
    <row r="80" spans="1:25" ht="25.5" x14ac:dyDescent="0.25">
      <c r="A80" s="471">
        <v>74</v>
      </c>
      <c r="B80" s="236" t="s">
        <v>137</v>
      </c>
      <c r="C80" s="236" t="s">
        <v>137</v>
      </c>
      <c r="D80" s="459" t="s">
        <v>177</v>
      </c>
      <c r="E80" s="236" t="s">
        <v>137</v>
      </c>
      <c r="F80" s="236" t="s">
        <v>137</v>
      </c>
      <c r="G80" s="459" t="s">
        <v>157</v>
      </c>
      <c r="H80" s="459" t="s">
        <v>157</v>
      </c>
      <c r="I80" s="368"/>
      <c r="J80" s="368"/>
      <c r="K80" s="368"/>
      <c r="L80" s="368"/>
      <c r="M80" s="368"/>
      <c r="N80" s="368"/>
      <c r="O80" s="368"/>
      <c r="P80" s="368"/>
      <c r="Q80" s="368"/>
      <c r="R80" s="368"/>
      <c r="S80" s="368"/>
      <c r="T80" s="368"/>
      <c r="U80" s="368"/>
      <c r="V80" s="368"/>
      <c r="W80" s="368"/>
      <c r="X80" s="368"/>
      <c r="Y80" s="368"/>
    </row>
    <row r="81" spans="1:25" s="211" customFormat="1" ht="25.5" x14ac:dyDescent="0.25">
      <c r="A81" s="471">
        <v>75</v>
      </c>
      <c r="B81" s="371" t="s">
        <v>137</v>
      </c>
      <c r="C81" s="371" t="s">
        <v>137</v>
      </c>
      <c r="D81" s="371" t="s">
        <v>178</v>
      </c>
      <c r="E81" s="371" t="s">
        <v>137</v>
      </c>
      <c r="F81" s="371" t="s">
        <v>137</v>
      </c>
      <c r="G81" s="466" t="s">
        <v>157</v>
      </c>
      <c r="H81" s="466" t="s">
        <v>157</v>
      </c>
      <c r="I81" s="372"/>
      <c r="J81" s="372"/>
      <c r="K81" s="372"/>
      <c r="L81" s="372"/>
      <c r="M81" s="372"/>
      <c r="N81" s="372"/>
      <c r="O81" s="372"/>
      <c r="P81" s="372"/>
      <c r="Q81" s="372"/>
      <c r="R81" s="372"/>
      <c r="S81" s="372"/>
      <c r="T81" s="372"/>
      <c r="U81" s="372"/>
      <c r="V81" s="372"/>
      <c r="W81" s="372"/>
      <c r="X81" s="372"/>
      <c r="Y81" s="372"/>
    </row>
    <row r="82" spans="1:25" s="211" customFormat="1" x14ac:dyDescent="0.25">
      <c r="A82" s="471">
        <v>76</v>
      </c>
      <c r="B82" s="373"/>
      <c r="C82" s="373"/>
      <c r="D82" s="373" t="s">
        <v>179</v>
      </c>
      <c r="E82" s="373"/>
      <c r="F82" s="474"/>
      <c r="G82" s="472"/>
      <c r="H82" s="472"/>
      <c r="I82" s="372"/>
      <c r="J82" s="372"/>
      <c r="K82" s="372"/>
      <c r="L82" s="372"/>
      <c r="M82" s="372"/>
      <c r="N82" s="372"/>
      <c r="O82" s="372"/>
      <c r="P82" s="372"/>
      <c r="Q82" s="372"/>
      <c r="R82" s="372"/>
      <c r="S82" s="372"/>
      <c r="T82" s="372"/>
      <c r="U82" s="372"/>
      <c r="V82" s="372"/>
      <c r="W82" s="372"/>
      <c r="X82" s="372"/>
      <c r="Y82" s="372"/>
    </row>
    <row r="83" spans="1:25" ht="25.5" x14ac:dyDescent="0.25">
      <c r="A83" s="471">
        <v>77</v>
      </c>
      <c r="B83" s="236" t="s">
        <v>137</v>
      </c>
      <c r="C83" s="236" t="s">
        <v>137</v>
      </c>
      <c r="D83" s="459" t="s">
        <v>180</v>
      </c>
      <c r="E83" s="236" t="s">
        <v>137</v>
      </c>
      <c r="F83" s="475" t="s">
        <v>137</v>
      </c>
      <c r="G83" s="473" t="s">
        <v>157</v>
      </c>
      <c r="H83" s="473" t="s">
        <v>157</v>
      </c>
      <c r="I83" s="368"/>
      <c r="J83" s="368"/>
      <c r="K83" s="368"/>
      <c r="L83" s="368"/>
      <c r="M83" s="368"/>
      <c r="N83" s="368"/>
      <c r="O83" s="368"/>
      <c r="P83" s="368"/>
      <c r="Q83" s="368"/>
      <c r="R83" s="368"/>
      <c r="S83" s="368"/>
      <c r="T83" s="368"/>
      <c r="U83" s="368"/>
      <c r="V83" s="368"/>
      <c r="W83" s="368"/>
      <c r="X83" s="368"/>
      <c r="Y83" s="368"/>
    </row>
    <row r="84" spans="1:25" x14ac:dyDescent="0.25">
      <c r="A84" s="471">
        <v>78</v>
      </c>
      <c r="B84" s="236"/>
      <c r="C84" s="236"/>
      <c r="D84" s="459" t="s">
        <v>181</v>
      </c>
      <c r="E84" s="236"/>
      <c r="F84" s="236"/>
      <c r="G84" s="459"/>
      <c r="H84" s="459"/>
      <c r="I84" s="368"/>
      <c r="J84" s="368"/>
      <c r="K84" s="368"/>
      <c r="L84" s="368"/>
      <c r="M84" s="368"/>
      <c r="N84" s="368"/>
      <c r="O84" s="368"/>
      <c r="P84" s="368"/>
      <c r="Q84" s="368"/>
      <c r="R84" s="368"/>
      <c r="S84" s="368"/>
      <c r="T84" s="368"/>
      <c r="U84" s="368"/>
      <c r="V84" s="368"/>
      <c r="W84" s="368"/>
      <c r="X84" s="368"/>
      <c r="Y84" s="368"/>
    </row>
    <row r="85" spans="1:25" x14ac:dyDescent="0.25">
      <c r="A85" s="471">
        <v>79</v>
      </c>
      <c r="B85" s="236"/>
      <c r="C85" s="236"/>
      <c r="D85" s="459" t="s">
        <v>182</v>
      </c>
      <c r="E85" s="236"/>
      <c r="F85" s="236"/>
      <c r="G85" s="459"/>
      <c r="H85" s="459"/>
      <c r="I85" s="368"/>
      <c r="J85" s="368"/>
      <c r="K85" s="368"/>
      <c r="L85" s="368"/>
      <c r="M85" s="368"/>
      <c r="N85" s="368"/>
      <c r="O85" s="368"/>
      <c r="P85" s="368"/>
      <c r="Q85" s="368"/>
      <c r="R85" s="368"/>
      <c r="S85" s="368"/>
      <c r="T85" s="368"/>
      <c r="U85" s="368"/>
      <c r="V85" s="368"/>
      <c r="W85" s="368"/>
      <c r="X85" s="368"/>
      <c r="Y85" s="368"/>
    </row>
    <row r="86" spans="1:25" x14ac:dyDescent="0.25">
      <c r="A86" s="471">
        <v>80</v>
      </c>
      <c r="B86" s="236"/>
      <c r="C86" s="236"/>
      <c r="D86" s="459" t="s">
        <v>183</v>
      </c>
      <c r="E86" s="236"/>
      <c r="F86" s="236"/>
      <c r="G86" s="459"/>
      <c r="H86" s="459"/>
      <c r="I86" s="368"/>
      <c r="J86" s="368"/>
      <c r="K86" s="368"/>
      <c r="L86" s="368"/>
      <c r="M86" s="368"/>
      <c r="N86" s="368"/>
      <c r="O86" s="368"/>
      <c r="P86" s="368"/>
      <c r="Q86" s="368"/>
      <c r="R86" s="368"/>
      <c r="S86" s="368"/>
      <c r="T86" s="368"/>
      <c r="U86" s="368"/>
      <c r="V86" s="368"/>
      <c r="W86" s="368"/>
      <c r="X86" s="368"/>
      <c r="Y86" s="368"/>
    </row>
    <row r="87" spans="1:25" s="190" customFormat="1" ht="15" customHeight="1" x14ac:dyDescent="0.25">
      <c r="A87" s="471">
        <v>81</v>
      </c>
      <c r="B87" s="1034" t="s">
        <v>184</v>
      </c>
      <c r="C87" s="1035"/>
      <c r="D87" s="1035"/>
      <c r="E87" s="1035"/>
      <c r="F87" s="1035"/>
      <c r="G87" s="1035" t="s">
        <v>137</v>
      </c>
      <c r="H87" s="1036" t="s">
        <v>137</v>
      </c>
      <c r="I87" s="368"/>
      <c r="J87" s="368"/>
      <c r="K87" s="368"/>
      <c r="L87" s="368"/>
      <c r="M87" s="368"/>
      <c r="N87" s="368"/>
      <c r="O87" s="368"/>
      <c r="P87" s="368"/>
      <c r="Q87" s="368"/>
      <c r="R87" s="368"/>
      <c r="S87" s="368"/>
      <c r="T87" s="368"/>
      <c r="U87" s="368"/>
      <c r="V87" s="368"/>
      <c r="W87" s="368"/>
      <c r="X87" s="368"/>
      <c r="Y87" s="368"/>
    </row>
    <row r="88" spans="1:25" x14ac:dyDescent="0.25">
      <c r="A88" s="471">
        <v>82</v>
      </c>
      <c r="B88" s="463" t="s">
        <v>137</v>
      </c>
      <c r="C88" s="463" t="s">
        <v>137</v>
      </c>
      <c r="D88" s="464" t="s">
        <v>137</v>
      </c>
      <c r="E88" s="463" t="s">
        <v>137</v>
      </c>
      <c r="F88" s="463" t="s">
        <v>137</v>
      </c>
      <c r="G88" s="465" t="s">
        <v>155</v>
      </c>
      <c r="H88" s="465" t="s">
        <v>156</v>
      </c>
      <c r="I88" s="368"/>
      <c r="J88" s="368"/>
      <c r="K88" s="368"/>
      <c r="L88" s="368"/>
      <c r="M88" s="368"/>
      <c r="N88" s="368"/>
      <c r="O88" s="368"/>
      <c r="P88" s="368"/>
      <c r="Q88" s="368"/>
      <c r="R88" s="368"/>
      <c r="S88" s="368"/>
      <c r="T88" s="368"/>
      <c r="U88" s="368"/>
      <c r="V88" s="368"/>
      <c r="W88" s="368"/>
      <c r="X88" s="368"/>
      <c r="Y88" s="368"/>
    </row>
    <row r="89" spans="1:25" ht="25.5" x14ac:dyDescent="0.25">
      <c r="A89" s="471">
        <v>83</v>
      </c>
      <c r="B89" s="236" t="s">
        <v>137</v>
      </c>
      <c r="C89" s="467" t="s">
        <v>137</v>
      </c>
      <c r="D89" s="459" t="s">
        <v>185</v>
      </c>
      <c r="E89" s="467" t="s">
        <v>137</v>
      </c>
      <c r="F89" s="467" t="s">
        <v>137</v>
      </c>
      <c r="G89" s="459" t="s">
        <v>157</v>
      </c>
      <c r="H89" s="459" t="s">
        <v>157</v>
      </c>
      <c r="I89" s="368"/>
      <c r="J89" s="368"/>
      <c r="K89" s="368"/>
      <c r="L89" s="368"/>
      <c r="M89" s="368"/>
      <c r="N89" s="368"/>
      <c r="O89" s="368"/>
      <c r="P89" s="368"/>
      <c r="Q89" s="368"/>
      <c r="R89" s="368"/>
      <c r="S89" s="368"/>
      <c r="T89" s="368"/>
      <c r="U89" s="368"/>
      <c r="V89" s="368"/>
      <c r="W89" s="368"/>
      <c r="X89" s="368"/>
      <c r="Y89" s="368"/>
    </row>
    <row r="90" spans="1:25" ht="25.5" x14ac:dyDescent="0.25">
      <c r="A90" s="471">
        <v>84</v>
      </c>
      <c r="B90" s="236" t="s">
        <v>137</v>
      </c>
      <c r="C90" s="468" t="s">
        <v>137</v>
      </c>
      <c r="D90" s="459" t="s">
        <v>186</v>
      </c>
      <c r="E90" s="468" t="s">
        <v>137</v>
      </c>
      <c r="F90" s="468" t="s">
        <v>137</v>
      </c>
      <c r="G90" s="459" t="s">
        <v>157</v>
      </c>
      <c r="H90" s="459" t="s">
        <v>157</v>
      </c>
      <c r="I90" s="368"/>
      <c r="J90" s="368"/>
      <c r="K90" s="368"/>
      <c r="L90" s="368"/>
      <c r="M90" s="368"/>
      <c r="N90" s="368"/>
      <c r="O90" s="368"/>
      <c r="P90" s="368"/>
      <c r="Q90" s="368"/>
      <c r="R90" s="368"/>
      <c r="S90" s="368"/>
      <c r="T90" s="368"/>
      <c r="U90" s="368"/>
      <c r="V90" s="368"/>
      <c r="W90" s="368"/>
      <c r="X90" s="368"/>
      <c r="Y90" s="368"/>
    </row>
    <row r="91" spans="1:25" ht="25.5" x14ac:dyDescent="0.25">
      <c r="A91" s="471">
        <v>85</v>
      </c>
      <c r="B91" s="236" t="s">
        <v>137</v>
      </c>
      <c r="C91" s="468" t="s">
        <v>137</v>
      </c>
      <c r="D91" s="459" t="s">
        <v>187</v>
      </c>
      <c r="E91" s="468" t="s">
        <v>137</v>
      </c>
      <c r="F91" s="468" t="s">
        <v>137</v>
      </c>
      <c r="G91" s="459" t="s">
        <v>157</v>
      </c>
      <c r="H91" s="459" t="s">
        <v>157</v>
      </c>
      <c r="I91" s="368"/>
      <c r="J91" s="368"/>
      <c r="K91" s="368"/>
      <c r="L91" s="368"/>
      <c r="M91" s="368"/>
      <c r="N91" s="368"/>
      <c r="O91" s="368"/>
      <c r="P91" s="368"/>
      <c r="Q91" s="368"/>
      <c r="R91" s="368"/>
      <c r="S91" s="368"/>
      <c r="T91" s="368"/>
      <c r="U91" s="368"/>
      <c r="V91" s="368"/>
      <c r="W91" s="368"/>
      <c r="X91" s="368"/>
      <c r="Y91" s="368"/>
    </row>
    <row r="92" spans="1:25" ht="25.5" x14ac:dyDescent="0.25">
      <c r="A92" s="471">
        <v>86</v>
      </c>
      <c r="B92" s="236" t="s">
        <v>137</v>
      </c>
      <c r="C92" s="468" t="s">
        <v>137</v>
      </c>
      <c r="D92" s="459" t="s">
        <v>188</v>
      </c>
      <c r="E92" s="468" t="s">
        <v>137</v>
      </c>
      <c r="F92" s="468" t="s">
        <v>137</v>
      </c>
      <c r="G92" s="459" t="s">
        <v>157</v>
      </c>
      <c r="H92" s="459" t="s">
        <v>157</v>
      </c>
      <c r="I92" s="368"/>
      <c r="J92" s="368"/>
      <c r="K92" s="368"/>
      <c r="L92" s="368"/>
      <c r="M92" s="368"/>
      <c r="N92" s="368"/>
      <c r="O92" s="368"/>
      <c r="P92" s="368"/>
      <c r="Q92" s="368"/>
      <c r="R92" s="368"/>
      <c r="S92" s="368"/>
      <c r="T92" s="368"/>
      <c r="U92" s="368"/>
      <c r="V92" s="368"/>
      <c r="W92" s="368"/>
      <c r="X92" s="368"/>
      <c r="Y92" s="368"/>
    </row>
    <row r="93" spans="1:25" ht="25.5" x14ac:dyDescent="0.25">
      <c r="A93" s="471">
        <v>87</v>
      </c>
      <c r="B93" s="236" t="s">
        <v>137</v>
      </c>
      <c r="C93" s="468" t="s">
        <v>137</v>
      </c>
      <c r="D93" s="459" t="s">
        <v>189</v>
      </c>
      <c r="E93" s="468" t="s">
        <v>137</v>
      </c>
      <c r="F93" s="468" t="s">
        <v>137</v>
      </c>
      <c r="G93" s="459" t="s">
        <v>157</v>
      </c>
      <c r="H93" s="459" t="s">
        <v>157</v>
      </c>
      <c r="I93" s="368"/>
      <c r="J93" s="368"/>
      <c r="K93" s="368"/>
      <c r="L93" s="368"/>
      <c r="M93" s="368"/>
      <c r="N93" s="368"/>
      <c r="O93" s="368"/>
      <c r="P93" s="368"/>
      <c r="Q93" s="368"/>
      <c r="R93" s="368"/>
      <c r="S93" s="368"/>
      <c r="T93" s="368"/>
      <c r="U93" s="368"/>
      <c r="V93" s="368"/>
      <c r="W93" s="368"/>
      <c r="X93" s="368"/>
      <c r="Y93" s="368"/>
    </row>
    <row r="94" spans="1:25" ht="25.5" x14ac:dyDescent="0.25">
      <c r="A94" s="471">
        <v>88</v>
      </c>
      <c r="B94" s="236" t="s">
        <v>137</v>
      </c>
      <c r="C94" s="468" t="s">
        <v>137</v>
      </c>
      <c r="D94" s="459" t="s">
        <v>190</v>
      </c>
      <c r="E94" s="468" t="s">
        <v>137</v>
      </c>
      <c r="F94" s="468" t="s">
        <v>137</v>
      </c>
      <c r="G94" s="459" t="s">
        <v>157</v>
      </c>
      <c r="H94" s="459" t="s">
        <v>157</v>
      </c>
      <c r="I94" s="368"/>
      <c r="J94" s="368"/>
      <c r="K94" s="368"/>
      <c r="L94" s="368"/>
      <c r="M94" s="368"/>
      <c r="N94" s="368"/>
      <c r="O94" s="368"/>
      <c r="P94" s="368"/>
      <c r="Q94" s="368"/>
      <c r="R94" s="368"/>
      <c r="S94" s="368"/>
      <c r="T94" s="368"/>
      <c r="U94" s="368"/>
      <c r="V94" s="368"/>
      <c r="W94" s="368"/>
      <c r="X94" s="368"/>
      <c r="Y94" s="368"/>
    </row>
    <row r="95" spans="1:25" ht="40.5" customHeight="1" x14ac:dyDescent="0.25">
      <c r="A95" s="471">
        <v>89</v>
      </c>
      <c r="B95" s="236" t="s">
        <v>137</v>
      </c>
      <c r="C95" s="468" t="s">
        <v>137</v>
      </c>
      <c r="D95" s="459" t="s">
        <v>191</v>
      </c>
      <c r="E95" s="468" t="s">
        <v>137</v>
      </c>
      <c r="F95" s="468" t="s">
        <v>137</v>
      </c>
      <c r="G95" s="459" t="s">
        <v>157</v>
      </c>
      <c r="H95" s="459" t="s">
        <v>157</v>
      </c>
      <c r="I95" s="368"/>
      <c r="J95" s="368"/>
      <c r="K95" s="368"/>
      <c r="L95" s="368"/>
      <c r="M95" s="368"/>
      <c r="N95" s="368"/>
      <c r="O95" s="368"/>
      <c r="P95" s="368"/>
      <c r="Q95" s="368"/>
      <c r="R95" s="368"/>
      <c r="S95" s="368"/>
      <c r="T95" s="368"/>
      <c r="U95" s="368"/>
      <c r="V95" s="368"/>
      <c r="W95" s="368"/>
      <c r="X95" s="368"/>
      <c r="Y95" s="368"/>
    </row>
    <row r="96" spans="1:25" ht="25.5" x14ac:dyDescent="0.25">
      <c r="A96" s="471">
        <v>90</v>
      </c>
      <c r="B96" s="236" t="s">
        <v>137</v>
      </c>
      <c r="C96" s="468" t="s">
        <v>137</v>
      </c>
      <c r="D96" s="459" t="s">
        <v>91</v>
      </c>
      <c r="E96" s="468" t="s">
        <v>137</v>
      </c>
      <c r="F96" s="468" t="s">
        <v>137</v>
      </c>
      <c r="G96" s="459" t="s">
        <v>157</v>
      </c>
      <c r="H96" s="459" t="s">
        <v>157</v>
      </c>
      <c r="I96" s="368"/>
      <c r="J96" s="368"/>
      <c r="K96" s="368"/>
      <c r="L96" s="368"/>
      <c r="M96" s="368"/>
      <c r="N96" s="368"/>
      <c r="O96" s="368"/>
      <c r="P96" s="368"/>
      <c r="Q96" s="368"/>
      <c r="R96" s="368"/>
      <c r="S96" s="368"/>
      <c r="T96" s="368"/>
      <c r="U96" s="368"/>
      <c r="V96" s="368"/>
      <c r="W96" s="368"/>
      <c r="X96" s="368"/>
      <c r="Y96" s="368"/>
    </row>
    <row r="97" spans="1:25" ht="25.5" x14ac:dyDescent="0.25">
      <c r="A97" s="471">
        <v>91</v>
      </c>
      <c r="B97" s="469" t="s">
        <v>137</v>
      </c>
      <c r="C97" s="468" t="s">
        <v>137</v>
      </c>
      <c r="D97" s="467" t="s">
        <v>192</v>
      </c>
      <c r="E97" s="468" t="s">
        <v>137</v>
      </c>
      <c r="F97" s="468" t="s">
        <v>137</v>
      </c>
      <c r="G97" s="467" t="s">
        <v>157</v>
      </c>
      <c r="H97" s="467" t="s">
        <v>157</v>
      </c>
      <c r="I97" s="368"/>
      <c r="J97" s="368"/>
      <c r="K97" s="368"/>
      <c r="L97" s="368"/>
      <c r="M97" s="368"/>
      <c r="N97" s="368"/>
      <c r="O97" s="368"/>
      <c r="P97" s="368"/>
      <c r="Q97" s="368"/>
      <c r="R97" s="368"/>
      <c r="S97" s="368"/>
      <c r="T97" s="368"/>
      <c r="U97" s="368"/>
      <c r="V97" s="368"/>
      <c r="W97" s="368"/>
      <c r="X97" s="368"/>
      <c r="Y97" s="368"/>
    </row>
    <row r="98" spans="1:25" x14ac:dyDescent="0.25">
      <c r="A98" s="840">
        <v>92</v>
      </c>
      <c r="B98" s="1039" t="s">
        <v>193</v>
      </c>
      <c r="C98" s="1040"/>
      <c r="D98" s="1040"/>
      <c r="E98" s="1040"/>
      <c r="F98" s="1040"/>
      <c r="G98" s="1037" t="s">
        <v>137</v>
      </c>
      <c r="H98" s="1038"/>
      <c r="I98" s="368"/>
      <c r="J98" s="368"/>
      <c r="K98" s="368"/>
      <c r="L98" s="368"/>
      <c r="M98" s="368"/>
      <c r="N98" s="368"/>
      <c r="O98" s="368"/>
      <c r="P98" s="368"/>
      <c r="Q98" s="368"/>
      <c r="R98" s="368"/>
      <c r="S98" s="368"/>
      <c r="T98" s="368"/>
      <c r="U98" s="368"/>
      <c r="V98" s="368"/>
      <c r="W98" s="368"/>
      <c r="X98" s="368"/>
      <c r="Y98" s="368"/>
    </row>
    <row r="99" spans="1:25" x14ac:dyDescent="0.25">
      <c r="A99" s="841">
        <v>93</v>
      </c>
      <c r="B99" s="1029"/>
      <c r="C99" s="1029"/>
      <c r="D99" s="1029"/>
      <c r="E99" s="1029"/>
      <c r="F99" s="1029"/>
      <c r="G99" s="1029"/>
      <c r="H99" s="1030"/>
      <c r="I99" s="368"/>
      <c r="J99" s="368"/>
      <c r="K99" s="368"/>
      <c r="L99" s="368"/>
      <c r="M99" s="368"/>
      <c r="N99" s="368"/>
      <c r="O99" s="368"/>
      <c r="P99" s="368"/>
      <c r="Q99" s="368"/>
      <c r="R99" s="368"/>
      <c r="S99" s="368"/>
      <c r="T99" s="368"/>
      <c r="U99" s="368"/>
      <c r="V99" s="368"/>
      <c r="W99" s="368"/>
      <c r="X99" s="368"/>
      <c r="Y99" s="368"/>
    </row>
    <row r="100" spans="1:25" x14ac:dyDescent="0.25">
      <c r="A100" s="840">
        <v>94</v>
      </c>
      <c r="B100" s="1041" t="s">
        <v>43</v>
      </c>
      <c r="C100" s="1042"/>
      <c r="D100" s="1042"/>
      <c r="E100" s="1042"/>
      <c r="F100" s="1042"/>
      <c r="G100" s="1042"/>
      <c r="H100" s="1042"/>
      <c r="I100" s="368"/>
      <c r="J100" s="368"/>
      <c r="K100" s="368"/>
      <c r="L100" s="368"/>
      <c r="M100" s="368"/>
      <c r="N100" s="368"/>
      <c r="O100" s="368"/>
      <c r="P100" s="368"/>
      <c r="Q100" s="368"/>
      <c r="R100" s="368"/>
      <c r="S100" s="368"/>
      <c r="T100" s="368"/>
      <c r="U100" s="368"/>
      <c r="V100" s="368"/>
      <c r="W100" s="368"/>
      <c r="X100" s="368"/>
      <c r="Y100" s="368"/>
    </row>
    <row r="101" spans="1:25" x14ac:dyDescent="0.25">
      <c r="A101" s="842">
        <v>95</v>
      </c>
      <c r="B101" s="1031"/>
      <c r="C101" s="1032"/>
      <c r="D101" s="1032"/>
      <c r="E101" s="1032"/>
      <c r="F101" s="1032"/>
      <c r="G101" s="1032"/>
      <c r="H101" s="1033"/>
      <c r="I101" s="368"/>
      <c r="J101" s="368"/>
      <c r="K101" s="368"/>
      <c r="L101" s="368"/>
      <c r="M101" s="368"/>
      <c r="N101" s="368"/>
      <c r="O101" s="368"/>
      <c r="P101" s="368"/>
      <c r="Q101" s="368"/>
      <c r="R101" s="368"/>
      <c r="S101" s="368"/>
      <c r="T101" s="368"/>
      <c r="U101" s="368"/>
      <c r="V101" s="368"/>
      <c r="W101" s="368"/>
      <c r="X101" s="368"/>
      <c r="Y101" s="368"/>
    </row>
    <row r="102" spans="1:25" x14ac:dyDescent="0.25">
      <c r="A102" s="842">
        <v>96</v>
      </c>
      <c r="B102" s="1025" t="s">
        <v>135</v>
      </c>
      <c r="C102" s="1025"/>
      <c r="D102" s="1025"/>
      <c r="E102" s="1025"/>
      <c r="F102" s="1025"/>
      <c r="G102" s="1025"/>
      <c r="H102" s="1025"/>
      <c r="I102" s="368"/>
      <c r="J102" s="368"/>
      <c r="K102" s="368"/>
      <c r="L102" s="368"/>
      <c r="M102" s="368"/>
      <c r="N102" s="368"/>
      <c r="O102" s="368"/>
      <c r="P102" s="368"/>
      <c r="Q102" s="368"/>
      <c r="R102" s="368"/>
      <c r="S102" s="368"/>
      <c r="T102" s="368"/>
      <c r="U102" s="368"/>
      <c r="V102" s="368"/>
      <c r="W102" s="368"/>
      <c r="X102" s="368"/>
      <c r="Y102" s="368"/>
    </row>
    <row r="103" spans="1:25" x14ac:dyDescent="0.25">
      <c r="A103" s="843">
        <v>97</v>
      </c>
      <c r="B103" s="1026"/>
      <c r="C103" s="1027"/>
      <c r="D103" s="1027"/>
      <c r="E103" s="1027"/>
      <c r="F103" s="1027"/>
      <c r="G103" s="1027"/>
      <c r="H103" s="1028"/>
      <c r="I103" s="368"/>
      <c r="J103" s="368"/>
      <c r="K103" s="368"/>
      <c r="L103" s="368"/>
      <c r="M103" s="368"/>
      <c r="N103" s="368"/>
      <c r="O103" s="368"/>
      <c r="P103" s="368"/>
      <c r="Q103" s="368"/>
      <c r="R103" s="368"/>
      <c r="S103" s="368"/>
      <c r="T103" s="368"/>
      <c r="U103" s="368"/>
      <c r="V103" s="368"/>
      <c r="W103" s="368"/>
      <c r="X103" s="368"/>
      <c r="Y103" s="368"/>
    </row>
    <row r="104" spans="1:25" x14ac:dyDescent="0.25">
      <c r="A104" s="369"/>
      <c r="B104" s="368"/>
      <c r="C104" s="368"/>
      <c r="D104" s="368"/>
      <c r="E104" s="368"/>
      <c r="F104" s="368"/>
      <c r="G104" s="368"/>
      <c r="H104" s="368"/>
      <c r="I104" s="368"/>
      <c r="J104" s="368"/>
      <c r="K104" s="368"/>
      <c r="L104" s="368"/>
      <c r="M104" s="368"/>
      <c r="N104" s="368"/>
      <c r="O104" s="368"/>
      <c r="P104" s="368"/>
      <c r="Q104" s="368"/>
      <c r="R104" s="368"/>
      <c r="S104" s="368"/>
      <c r="T104" s="368"/>
      <c r="U104" s="368"/>
      <c r="V104" s="368"/>
      <c r="W104" s="368"/>
      <c r="X104" s="368"/>
      <c r="Y104" s="368"/>
    </row>
    <row r="105" spans="1:25" x14ac:dyDescent="0.25">
      <c r="A105" s="369"/>
      <c r="B105" s="368"/>
      <c r="C105" s="368"/>
      <c r="D105" s="368"/>
      <c r="E105" s="368"/>
      <c r="F105" s="368"/>
      <c r="G105" s="368"/>
      <c r="H105" s="368"/>
      <c r="I105" s="368"/>
      <c r="J105" s="368"/>
      <c r="K105" s="368"/>
      <c r="L105" s="368"/>
      <c r="M105" s="368"/>
      <c r="N105" s="368"/>
      <c r="O105" s="368"/>
      <c r="P105" s="368"/>
      <c r="Q105" s="368"/>
      <c r="R105" s="368"/>
      <c r="S105" s="368"/>
      <c r="T105" s="368"/>
      <c r="U105" s="368"/>
      <c r="V105" s="368"/>
      <c r="W105" s="368"/>
      <c r="X105" s="368"/>
      <c r="Y105" s="368"/>
    </row>
  </sheetData>
  <mergeCells count="65">
    <mergeCell ref="B9:F9"/>
    <mergeCell ref="G9:H9"/>
    <mergeCell ref="B6:F6"/>
    <mergeCell ref="G6:H6"/>
    <mergeCell ref="B7:F7"/>
    <mergeCell ref="G7:H7"/>
    <mergeCell ref="B8:F8"/>
    <mergeCell ref="G8:H8"/>
    <mergeCell ref="G2:H2"/>
    <mergeCell ref="A2:F2"/>
    <mergeCell ref="A1:H1"/>
    <mergeCell ref="A3:F5"/>
    <mergeCell ref="G3:H3"/>
    <mergeCell ref="G4:H4"/>
    <mergeCell ref="G5:H5"/>
    <mergeCell ref="B10:F10"/>
    <mergeCell ref="G10:H10"/>
    <mergeCell ref="B11:F11"/>
    <mergeCell ref="G11:H11"/>
    <mergeCell ref="B12:F12"/>
    <mergeCell ref="G12:H12"/>
    <mergeCell ref="B13:F13"/>
    <mergeCell ref="G13:H13"/>
    <mergeCell ref="B14:F14"/>
    <mergeCell ref="G14:H14"/>
    <mergeCell ref="B15:F15"/>
    <mergeCell ref="G15:H15"/>
    <mergeCell ref="B16:F16"/>
    <mergeCell ref="G16:H16"/>
    <mergeCell ref="B17:F17"/>
    <mergeCell ref="G17:H17"/>
    <mergeCell ref="B18:F18"/>
    <mergeCell ref="G18:H18"/>
    <mergeCell ref="B19:F19"/>
    <mergeCell ref="G19:H19"/>
    <mergeCell ref="B20:F20"/>
    <mergeCell ref="G20:H20"/>
    <mergeCell ref="B21:F21"/>
    <mergeCell ref="G21:H21"/>
    <mergeCell ref="B22:F22"/>
    <mergeCell ref="G22:H22"/>
    <mergeCell ref="B23:F23"/>
    <mergeCell ref="G23:H23"/>
    <mergeCell ref="B26:F26"/>
    <mergeCell ref="G26:H26"/>
    <mergeCell ref="B25:F25"/>
    <mergeCell ref="B28:H28"/>
    <mergeCell ref="B27:H27"/>
    <mergeCell ref="B32:H32"/>
    <mergeCell ref="B36:H36"/>
    <mergeCell ref="B41:H41"/>
    <mergeCell ref="B46:H46"/>
    <mergeCell ref="B53:H53"/>
    <mergeCell ref="B58:H58"/>
    <mergeCell ref="B63:H63"/>
    <mergeCell ref="B68:H68"/>
    <mergeCell ref="B102:H102"/>
    <mergeCell ref="B103:H103"/>
    <mergeCell ref="B99:H99"/>
    <mergeCell ref="B101:H101"/>
    <mergeCell ref="B78:H78"/>
    <mergeCell ref="B87:H87"/>
    <mergeCell ref="G98:H98"/>
    <mergeCell ref="B98:F98"/>
    <mergeCell ref="B100:H100"/>
  </mergeCells>
  <pageMargins left="0.7" right="0.7" top="1.0520833333333333" bottom="0.75" header="0.3" footer="0.3"/>
  <pageSetup scale="98" orientation="portrait" r:id="rId1"/>
  <headerFooter>
    <oddHeader>&amp;L&amp;G&amp;C(ENTER PROJECT NAME)&amp;R&amp;D</oddHeader>
    <oddFooter>&amp;C&amp;P OF &amp;N</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C059-C41B-4BA4-9602-FA6A8BF779C0}">
  <dimension ref="A1:I136"/>
  <sheetViews>
    <sheetView view="pageBreakPreview" zoomScale="60" zoomScaleNormal="100" workbookViewId="0">
      <selection activeCell="B36" sqref="B36"/>
    </sheetView>
  </sheetViews>
  <sheetFormatPr defaultRowHeight="15" x14ac:dyDescent="0.25"/>
  <cols>
    <col min="1" max="1" width="4.140625" bestFit="1" customWidth="1"/>
    <col min="2" max="2" width="90.85546875" customWidth="1"/>
    <col min="3" max="3" width="22.5703125" bestFit="1" customWidth="1"/>
  </cols>
  <sheetData>
    <row r="1" spans="1:9" ht="15.75" x14ac:dyDescent="0.25">
      <c r="A1" s="1011" t="s">
        <v>14</v>
      </c>
      <c r="B1" s="1012"/>
      <c r="C1" s="127"/>
      <c r="D1" s="21"/>
      <c r="E1" s="21"/>
      <c r="F1" s="21"/>
      <c r="G1" s="21"/>
      <c r="H1" s="21"/>
    </row>
    <row r="2" spans="1:9" ht="15.75" x14ac:dyDescent="0.25">
      <c r="A2" s="1013" t="s">
        <v>194</v>
      </c>
      <c r="B2" s="1014"/>
      <c r="C2" s="128" t="s">
        <v>64</v>
      </c>
      <c r="D2" s="21"/>
      <c r="E2" s="21"/>
      <c r="F2" s="21"/>
      <c r="G2" s="21"/>
      <c r="H2" s="21"/>
    </row>
    <row r="3" spans="1:9" ht="15.75" x14ac:dyDescent="0.25">
      <c r="A3" s="1015"/>
      <c r="B3" s="1016"/>
      <c r="C3" s="128" t="s">
        <v>65</v>
      </c>
      <c r="D3" s="21"/>
      <c r="E3" s="21"/>
      <c r="F3" s="21"/>
      <c r="G3" s="21"/>
      <c r="H3" s="21"/>
      <c r="I3" s="21"/>
    </row>
    <row r="4" spans="1:9" ht="15.75" x14ac:dyDescent="0.25">
      <c r="A4" s="1015"/>
      <c r="B4" s="1016"/>
      <c r="C4" s="128" t="s">
        <v>66</v>
      </c>
      <c r="D4" s="21"/>
      <c r="E4" s="21"/>
      <c r="F4" s="21"/>
      <c r="G4" s="21"/>
      <c r="H4" s="21"/>
      <c r="I4" s="21"/>
    </row>
    <row r="5" spans="1:9" ht="15.75" x14ac:dyDescent="0.25">
      <c r="A5" s="1017"/>
      <c r="B5" s="1018"/>
      <c r="C5" s="129" t="s">
        <v>19</v>
      </c>
      <c r="D5" s="21"/>
      <c r="E5" s="21"/>
      <c r="F5" s="21"/>
      <c r="G5" s="21"/>
      <c r="H5" s="21"/>
      <c r="I5" s="21"/>
    </row>
    <row r="6" spans="1:9" ht="15.75" x14ac:dyDescent="0.25">
      <c r="A6" s="1019"/>
      <c r="B6" s="1021" t="s">
        <v>20</v>
      </c>
      <c r="C6" s="1024" t="s">
        <v>67</v>
      </c>
      <c r="D6" s="21"/>
      <c r="E6" s="21"/>
      <c r="F6" s="21"/>
      <c r="G6" s="21"/>
      <c r="H6" s="21"/>
      <c r="I6" s="21"/>
    </row>
    <row r="7" spans="1:9" ht="27" customHeight="1" x14ac:dyDescent="0.25">
      <c r="A7" s="1020"/>
      <c r="B7" s="1022"/>
      <c r="C7" s="1024"/>
      <c r="D7" s="21"/>
      <c r="E7" s="21"/>
      <c r="F7" s="21"/>
      <c r="G7" s="21"/>
      <c r="H7" s="21"/>
      <c r="I7" s="21"/>
    </row>
    <row r="8" spans="1:9" ht="15.75" x14ac:dyDescent="0.25">
      <c r="A8" s="120">
        <v>1</v>
      </c>
      <c r="B8" s="123" t="s">
        <v>21</v>
      </c>
      <c r="C8" s="130"/>
      <c r="D8" s="21"/>
      <c r="E8" s="21"/>
      <c r="F8" s="21"/>
      <c r="G8" s="21"/>
      <c r="H8" s="21"/>
      <c r="I8" s="21"/>
    </row>
    <row r="9" spans="1:9" ht="15.75" x14ac:dyDescent="0.25">
      <c r="A9" s="120">
        <v>2</v>
      </c>
      <c r="B9" s="121" t="s">
        <v>22</v>
      </c>
      <c r="C9" s="130"/>
      <c r="D9" s="21"/>
      <c r="E9" s="21"/>
      <c r="F9" s="113"/>
      <c r="G9" s="113"/>
      <c r="H9" s="113"/>
      <c r="I9" s="2"/>
    </row>
    <row r="10" spans="1:9" ht="15.75" x14ac:dyDescent="0.25">
      <c r="A10" s="120">
        <v>3</v>
      </c>
      <c r="B10" s="121" t="s">
        <v>23</v>
      </c>
      <c r="C10" s="130"/>
      <c r="D10" s="113"/>
      <c r="E10" s="21"/>
      <c r="F10" s="113"/>
      <c r="G10" s="113"/>
      <c r="H10" s="113"/>
      <c r="I10" s="2"/>
    </row>
    <row r="11" spans="1:9" ht="15.75" x14ac:dyDescent="0.25">
      <c r="A11" s="120">
        <v>4</v>
      </c>
      <c r="B11" s="121" t="s">
        <v>24</v>
      </c>
      <c r="C11" s="130"/>
      <c r="D11" s="113"/>
      <c r="E11" s="113"/>
      <c r="F11" s="113"/>
      <c r="G11" s="113"/>
      <c r="H11" s="113"/>
      <c r="I11" s="2"/>
    </row>
    <row r="12" spans="1:9" ht="15.75" x14ac:dyDescent="0.25">
      <c r="A12" s="120">
        <v>5</v>
      </c>
      <c r="B12" s="121" t="s">
        <v>68</v>
      </c>
      <c r="C12" s="130"/>
      <c r="D12" s="113"/>
      <c r="E12" s="113"/>
      <c r="F12" s="113"/>
      <c r="G12" s="113"/>
      <c r="H12" s="113"/>
      <c r="I12" s="2"/>
    </row>
    <row r="13" spans="1:9" ht="15.75" x14ac:dyDescent="0.25">
      <c r="A13" s="120">
        <v>6</v>
      </c>
      <c r="B13" s="122" t="s">
        <v>26</v>
      </c>
      <c r="C13" s="130"/>
      <c r="D13" s="113"/>
      <c r="E13" s="113"/>
      <c r="F13" s="113"/>
      <c r="G13" s="113"/>
      <c r="H13" s="113"/>
      <c r="I13" s="2"/>
    </row>
    <row r="14" spans="1:9" ht="15.75" x14ac:dyDescent="0.25">
      <c r="A14" s="120">
        <v>7</v>
      </c>
      <c r="B14" s="121" t="s">
        <v>28</v>
      </c>
      <c r="C14" s="130"/>
      <c r="D14" s="113"/>
      <c r="E14" s="113"/>
      <c r="F14" s="113"/>
      <c r="G14" s="113"/>
      <c r="H14" s="113"/>
      <c r="I14" s="2"/>
    </row>
    <row r="15" spans="1:9" ht="15.75" x14ac:dyDescent="0.25">
      <c r="A15" s="120">
        <v>8</v>
      </c>
      <c r="B15" s="121" t="s">
        <v>29</v>
      </c>
      <c r="C15" s="130"/>
      <c r="D15" s="113"/>
      <c r="E15" s="113"/>
      <c r="F15" s="113"/>
      <c r="G15" s="113"/>
      <c r="H15" s="113"/>
      <c r="I15" s="2"/>
    </row>
    <row r="16" spans="1:9" ht="15.75" x14ac:dyDescent="0.25">
      <c r="A16" s="120">
        <v>9</v>
      </c>
      <c r="B16" s="121" t="s">
        <v>69</v>
      </c>
      <c r="C16" s="130"/>
      <c r="D16" s="113"/>
      <c r="E16" s="113"/>
      <c r="F16" s="113"/>
      <c r="G16" s="113"/>
      <c r="H16" s="113"/>
      <c r="I16" s="2"/>
    </row>
    <row r="17" spans="1:9" ht="25.5" x14ac:dyDescent="0.25">
      <c r="A17" s="120">
        <v>10</v>
      </c>
      <c r="B17" s="123" t="s">
        <v>70</v>
      </c>
      <c r="C17" s="130"/>
      <c r="D17" s="113"/>
      <c r="E17" s="113"/>
      <c r="F17" s="113"/>
      <c r="G17" s="113"/>
      <c r="H17" s="113"/>
      <c r="I17" s="2"/>
    </row>
    <row r="18" spans="1:9" ht="15.75" x14ac:dyDescent="0.25">
      <c r="A18" s="120">
        <v>11</v>
      </c>
      <c r="B18" s="121" t="s">
        <v>71</v>
      </c>
      <c r="C18" s="130"/>
      <c r="D18" s="113"/>
      <c r="E18" s="113"/>
      <c r="F18" s="113"/>
      <c r="G18" s="113"/>
      <c r="H18" s="113"/>
      <c r="I18" s="2"/>
    </row>
    <row r="19" spans="1:9" ht="15.75" x14ac:dyDescent="0.25">
      <c r="A19" s="120">
        <v>12</v>
      </c>
      <c r="B19" s="121" t="s">
        <v>72</v>
      </c>
      <c r="C19" s="130"/>
      <c r="D19" s="113"/>
      <c r="E19" s="113"/>
      <c r="F19" s="113"/>
      <c r="G19" s="113"/>
      <c r="H19" s="113"/>
      <c r="I19" s="2"/>
    </row>
    <row r="20" spans="1:9" ht="15.75" x14ac:dyDescent="0.25">
      <c r="A20" s="120">
        <v>13</v>
      </c>
      <c r="B20" s="121" t="s">
        <v>73</v>
      </c>
      <c r="C20" s="130"/>
      <c r="D20" s="113"/>
      <c r="E20" s="113"/>
      <c r="F20" s="113"/>
      <c r="G20" s="113"/>
      <c r="H20" s="113"/>
      <c r="I20" s="2"/>
    </row>
    <row r="21" spans="1:9" ht="15.75" x14ac:dyDescent="0.25">
      <c r="A21" s="120">
        <v>14</v>
      </c>
      <c r="B21" s="121" t="s">
        <v>74</v>
      </c>
      <c r="C21" s="130"/>
      <c r="D21" s="113"/>
      <c r="E21" s="113"/>
      <c r="F21" s="113"/>
      <c r="G21" s="113"/>
      <c r="H21" s="113"/>
      <c r="I21" s="2"/>
    </row>
    <row r="22" spans="1:9" ht="15.75" x14ac:dyDescent="0.25">
      <c r="A22" s="120">
        <v>15</v>
      </c>
      <c r="B22" s="121" t="s">
        <v>75</v>
      </c>
      <c r="C22" s="130"/>
      <c r="D22" s="113"/>
      <c r="E22" s="113"/>
      <c r="F22" s="113"/>
      <c r="G22" s="113"/>
      <c r="H22" s="113"/>
      <c r="I22" s="2"/>
    </row>
    <row r="23" spans="1:9" ht="15.75" x14ac:dyDescent="0.25">
      <c r="A23" s="120">
        <v>16</v>
      </c>
      <c r="B23" s="207"/>
      <c r="C23" s="130"/>
      <c r="D23" s="113"/>
      <c r="E23" s="113"/>
      <c r="F23" s="113"/>
      <c r="G23" s="113"/>
      <c r="H23" s="113"/>
      <c r="I23" s="2"/>
    </row>
    <row r="24" spans="1:9" ht="15.75" x14ac:dyDescent="0.25">
      <c r="A24" s="120">
        <v>17</v>
      </c>
      <c r="B24" s="296" t="s">
        <v>195</v>
      </c>
      <c r="C24" s="243"/>
      <c r="D24" s="113"/>
      <c r="E24" s="113"/>
      <c r="F24" s="113"/>
      <c r="G24" s="113"/>
      <c r="H24" s="113"/>
      <c r="I24" s="2"/>
    </row>
    <row r="25" spans="1:9" ht="15.75" x14ac:dyDescent="0.25">
      <c r="A25" s="120">
        <v>18</v>
      </c>
      <c r="B25" s="297" t="s">
        <v>196</v>
      </c>
      <c r="C25" s="130"/>
      <c r="D25" s="113"/>
      <c r="E25" s="113"/>
      <c r="F25" s="113"/>
      <c r="G25" s="113"/>
      <c r="H25" s="113"/>
      <c r="I25" s="2"/>
    </row>
    <row r="26" spans="1:9" ht="15.75" x14ac:dyDescent="0.25">
      <c r="A26" s="120">
        <v>19</v>
      </c>
      <c r="B26" s="265" t="s">
        <v>197</v>
      </c>
      <c r="C26" s="130"/>
      <c r="D26" s="113"/>
      <c r="E26" s="113"/>
      <c r="F26" s="113"/>
      <c r="G26" s="113"/>
      <c r="H26" s="113"/>
      <c r="I26" s="2"/>
    </row>
    <row r="27" spans="1:9" ht="15.75" x14ac:dyDescent="0.25">
      <c r="A27" s="120">
        <v>20</v>
      </c>
      <c r="B27" s="265" t="s">
        <v>198</v>
      </c>
      <c r="C27" s="130"/>
      <c r="D27" s="113"/>
      <c r="E27" s="113"/>
      <c r="F27" s="113"/>
      <c r="G27" s="113"/>
      <c r="H27" s="113"/>
      <c r="I27" s="2"/>
    </row>
    <row r="28" spans="1:9" ht="15.75" x14ac:dyDescent="0.25">
      <c r="A28" s="120">
        <v>21</v>
      </c>
      <c r="B28" s="297" t="s">
        <v>199</v>
      </c>
      <c r="C28" s="130"/>
      <c r="D28" s="113"/>
      <c r="E28" s="113"/>
      <c r="F28" s="113"/>
      <c r="G28" s="113"/>
      <c r="H28" s="113"/>
      <c r="I28" s="2"/>
    </row>
    <row r="29" spans="1:9" ht="15.75" x14ac:dyDescent="0.25">
      <c r="A29" s="120">
        <v>22</v>
      </c>
      <c r="B29" s="297" t="s">
        <v>200</v>
      </c>
      <c r="C29" s="130"/>
      <c r="D29" s="113"/>
      <c r="E29" s="113"/>
      <c r="F29" s="113"/>
      <c r="G29" s="113"/>
      <c r="H29" s="113"/>
      <c r="I29" s="2"/>
    </row>
    <row r="30" spans="1:9" ht="15.75" x14ac:dyDescent="0.25">
      <c r="A30" s="120">
        <v>23</v>
      </c>
      <c r="B30" s="297" t="s">
        <v>201</v>
      </c>
      <c r="C30" s="130"/>
      <c r="D30" s="113"/>
      <c r="E30" s="113"/>
      <c r="F30" s="113"/>
      <c r="G30" s="113"/>
      <c r="H30" s="113"/>
      <c r="I30" s="2"/>
    </row>
    <row r="31" spans="1:9" ht="15.75" x14ac:dyDescent="0.25">
      <c r="A31" s="120">
        <v>24</v>
      </c>
      <c r="B31" s="298" t="s">
        <v>202</v>
      </c>
      <c r="C31" s="130"/>
      <c r="D31" s="113"/>
      <c r="E31" s="113"/>
      <c r="F31" s="113"/>
      <c r="G31" s="113"/>
      <c r="H31" s="113"/>
      <c r="I31" s="2"/>
    </row>
    <row r="32" spans="1:9" ht="15.75" x14ac:dyDescent="0.25">
      <c r="A32" s="120">
        <v>25</v>
      </c>
      <c r="B32" s="297" t="s">
        <v>203</v>
      </c>
      <c r="C32" s="130"/>
      <c r="D32" s="113"/>
      <c r="E32" s="113"/>
      <c r="F32" s="113"/>
      <c r="G32" s="113"/>
      <c r="H32" s="113"/>
      <c r="I32" s="2"/>
    </row>
    <row r="33" spans="1:9" ht="15.75" x14ac:dyDescent="0.25">
      <c r="A33" s="120">
        <v>26</v>
      </c>
      <c r="B33" s="374" t="s">
        <v>204</v>
      </c>
      <c r="C33" s="130"/>
      <c r="D33" s="113"/>
      <c r="E33" s="113"/>
      <c r="F33" s="113"/>
      <c r="G33" s="113"/>
      <c r="H33" s="113"/>
      <c r="I33" s="2"/>
    </row>
    <row r="34" spans="1:9" ht="15.75" x14ac:dyDescent="0.25">
      <c r="A34" s="120">
        <v>27</v>
      </c>
      <c r="B34" s="248" t="s">
        <v>205</v>
      </c>
      <c r="C34" s="130"/>
      <c r="D34" s="113"/>
      <c r="E34" s="113"/>
      <c r="F34" s="113"/>
      <c r="G34" s="113"/>
      <c r="H34" s="113"/>
      <c r="I34" s="2"/>
    </row>
    <row r="35" spans="1:9" ht="15.75" x14ac:dyDescent="0.25">
      <c r="A35" s="120">
        <v>28</v>
      </c>
      <c r="B35" s="248"/>
      <c r="C35" s="130"/>
      <c r="D35" s="113"/>
      <c r="E35" s="113"/>
      <c r="F35" s="113"/>
      <c r="G35" s="113"/>
      <c r="H35" s="113"/>
      <c r="I35" s="2"/>
    </row>
    <row r="36" spans="1:9" ht="15.75" x14ac:dyDescent="0.25">
      <c r="A36" s="120">
        <v>29</v>
      </c>
      <c r="B36" s="477"/>
      <c r="C36" s="158"/>
      <c r="D36" s="113"/>
      <c r="E36" s="113"/>
      <c r="F36" s="113"/>
      <c r="G36" s="113"/>
      <c r="H36" s="113"/>
      <c r="I36" s="2"/>
    </row>
    <row r="37" spans="1:9" ht="15.75" x14ac:dyDescent="0.25">
      <c r="A37" s="449">
        <v>30</v>
      </c>
      <c r="B37" s="159"/>
      <c r="C37" s="163"/>
      <c r="D37" s="113"/>
      <c r="E37" s="113"/>
      <c r="F37" s="113"/>
      <c r="G37" s="113"/>
      <c r="H37" s="113"/>
      <c r="I37" s="2"/>
    </row>
    <row r="38" spans="1:9" ht="15.75" x14ac:dyDescent="0.25">
      <c r="A38" s="449">
        <v>31</v>
      </c>
      <c r="B38" s="431"/>
      <c r="C38" s="163"/>
      <c r="D38" s="113"/>
      <c r="E38" s="113"/>
      <c r="F38" s="113"/>
      <c r="G38" s="113"/>
      <c r="H38" s="113"/>
      <c r="I38" s="2"/>
    </row>
    <row r="39" spans="1:9" ht="15.75" x14ac:dyDescent="0.25">
      <c r="A39" s="120">
        <v>32</v>
      </c>
      <c r="B39" s="478" t="s">
        <v>206</v>
      </c>
      <c r="C39" s="479"/>
      <c r="D39" s="113"/>
      <c r="E39" s="113"/>
      <c r="F39" s="113"/>
      <c r="G39" s="113"/>
      <c r="H39" s="113"/>
      <c r="I39" s="2"/>
    </row>
    <row r="40" spans="1:9" ht="15.75" x14ac:dyDescent="0.25">
      <c r="A40" s="120">
        <v>33</v>
      </c>
      <c r="B40" s="265" t="s">
        <v>207</v>
      </c>
      <c r="C40" s="130"/>
      <c r="D40" s="113"/>
      <c r="E40" s="113"/>
      <c r="F40" s="113"/>
      <c r="G40" s="113"/>
      <c r="H40" s="113"/>
      <c r="I40" s="2"/>
    </row>
    <row r="41" spans="1:9" ht="15.75" x14ac:dyDescent="0.25">
      <c r="A41" s="120"/>
      <c r="B41" s="265" t="s">
        <v>208</v>
      </c>
      <c r="C41" s="130"/>
      <c r="D41" s="113"/>
      <c r="E41" s="113"/>
      <c r="F41" s="113"/>
      <c r="G41" s="113"/>
      <c r="H41" s="113"/>
      <c r="I41" s="2"/>
    </row>
    <row r="42" spans="1:9" ht="15.75" x14ac:dyDescent="0.25">
      <c r="A42" s="120"/>
      <c r="B42" s="265" t="s">
        <v>209</v>
      </c>
      <c r="C42" s="130"/>
      <c r="D42" s="113"/>
      <c r="E42" s="113"/>
      <c r="F42" s="113"/>
      <c r="G42" s="113"/>
      <c r="H42" s="113"/>
      <c r="I42" s="2"/>
    </row>
    <row r="43" spans="1:9" ht="15.75" x14ac:dyDescent="0.25">
      <c r="A43" s="120">
        <v>34</v>
      </c>
      <c r="B43" s="265" t="s">
        <v>210</v>
      </c>
      <c r="C43" s="130"/>
      <c r="D43" s="113"/>
      <c r="E43" s="113"/>
      <c r="F43" s="113"/>
      <c r="G43" s="113"/>
      <c r="H43" s="113"/>
      <c r="I43" s="2"/>
    </row>
    <row r="44" spans="1:9" ht="15.75" x14ac:dyDescent="0.25">
      <c r="A44" s="120">
        <v>35</v>
      </c>
      <c r="B44" s="265" t="s">
        <v>211</v>
      </c>
      <c r="C44" s="130"/>
      <c r="D44" s="113"/>
      <c r="E44" s="113"/>
      <c r="F44" s="113"/>
      <c r="G44" s="113"/>
      <c r="H44" s="113"/>
      <c r="I44" s="2"/>
    </row>
    <row r="45" spans="1:9" ht="15.75" x14ac:dyDescent="0.25">
      <c r="A45" s="120">
        <v>36</v>
      </c>
      <c r="B45" s="265" t="s">
        <v>212</v>
      </c>
      <c r="C45" s="130"/>
      <c r="D45" s="113"/>
      <c r="E45" s="113"/>
      <c r="F45" s="113"/>
      <c r="G45" s="113"/>
      <c r="H45" s="113"/>
      <c r="I45" s="2"/>
    </row>
    <row r="46" spans="1:9" ht="15.75" x14ac:dyDescent="0.25">
      <c r="A46" s="120">
        <v>37</v>
      </c>
      <c r="B46" s="265" t="s">
        <v>213</v>
      </c>
      <c r="C46" s="130"/>
      <c r="D46" s="113"/>
      <c r="E46" s="113"/>
      <c r="F46" s="113"/>
      <c r="G46" s="113"/>
      <c r="H46" s="113"/>
      <c r="I46" s="2"/>
    </row>
    <row r="47" spans="1:9" ht="15.75" x14ac:dyDescent="0.25">
      <c r="A47" s="120">
        <v>38</v>
      </c>
      <c r="B47" s="265" t="s">
        <v>214</v>
      </c>
      <c r="C47" s="130"/>
      <c r="D47" s="113"/>
      <c r="E47" s="113"/>
      <c r="F47" s="113"/>
      <c r="G47" s="113"/>
      <c r="H47" s="113"/>
      <c r="I47" s="2"/>
    </row>
    <row r="48" spans="1:9" ht="15.75" x14ac:dyDescent="0.25">
      <c r="A48" s="120">
        <v>39</v>
      </c>
      <c r="B48" s="165" t="s">
        <v>215</v>
      </c>
      <c r="C48" s="130"/>
      <c r="D48" s="113"/>
      <c r="E48" s="113"/>
      <c r="F48" s="113"/>
      <c r="G48" s="113"/>
      <c r="H48" s="113"/>
      <c r="I48" s="2"/>
    </row>
    <row r="49" spans="1:9" ht="15.75" x14ac:dyDescent="0.25">
      <c r="A49" s="120">
        <v>40</v>
      </c>
      <c r="B49" s="165" t="s">
        <v>216</v>
      </c>
      <c r="C49" s="130"/>
      <c r="D49" s="113"/>
      <c r="E49" s="113"/>
      <c r="F49" s="113"/>
      <c r="G49" s="113"/>
      <c r="H49" s="113"/>
      <c r="I49" s="2"/>
    </row>
    <row r="50" spans="1:9" ht="15.75" x14ac:dyDescent="0.25">
      <c r="A50" s="120">
        <v>41</v>
      </c>
      <c r="B50" s="165" t="s">
        <v>217</v>
      </c>
      <c r="C50" s="130"/>
      <c r="D50" s="113"/>
      <c r="E50" s="113"/>
      <c r="F50" s="113"/>
      <c r="G50" s="113"/>
      <c r="H50" s="113"/>
      <c r="I50" s="2"/>
    </row>
    <row r="51" spans="1:9" ht="15.75" x14ac:dyDescent="0.25">
      <c r="A51" s="120">
        <v>42</v>
      </c>
      <c r="B51" s="165" t="s">
        <v>218</v>
      </c>
      <c r="C51" s="130"/>
      <c r="D51" s="113"/>
      <c r="E51" s="113"/>
      <c r="F51" s="113"/>
      <c r="G51" s="113"/>
      <c r="H51" s="113"/>
      <c r="I51" s="2"/>
    </row>
    <row r="52" spans="1:9" ht="15.75" x14ac:dyDescent="0.25">
      <c r="A52" s="120">
        <v>43</v>
      </c>
      <c r="B52" s="165" t="s">
        <v>219</v>
      </c>
      <c r="C52" s="130"/>
      <c r="D52" s="113"/>
      <c r="E52" s="113"/>
      <c r="F52" s="113"/>
      <c r="G52" s="113"/>
      <c r="H52" s="113"/>
      <c r="I52" s="2"/>
    </row>
    <row r="53" spans="1:9" ht="15.75" x14ac:dyDescent="0.25">
      <c r="A53" s="120">
        <v>44</v>
      </c>
      <c r="B53" s="165" t="s">
        <v>220</v>
      </c>
      <c r="C53" s="130"/>
      <c r="D53" s="113"/>
      <c r="E53" s="113"/>
      <c r="F53" s="113"/>
      <c r="G53" s="113"/>
      <c r="H53" s="113"/>
      <c r="I53" s="2"/>
    </row>
    <row r="54" spans="1:9" ht="15.75" x14ac:dyDescent="0.25">
      <c r="A54" s="120">
        <v>45</v>
      </c>
      <c r="B54" s="165" t="s">
        <v>221</v>
      </c>
      <c r="C54" s="130"/>
      <c r="D54" s="113"/>
      <c r="E54" s="113"/>
      <c r="F54" s="113"/>
      <c r="G54" s="113"/>
      <c r="H54" s="113"/>
      <c r="I54" s="2"/>
    </row>
    <row r="55" spans="1:9" ht="15.75" x14ac:dyDescent="0.25">
      <c r="A55" s="120">
        <v>46</v>
      </c>
      <c r="B55" s="165" t="s">
        <v>222</v>
      </c>
      <c r="C55" s="130"/>
      <c r="D55" s="113"/>
      <c r="E55" s="113"/>
      <c r="F55" s="113"/>
      <c r="G55" s="113"/>
      <c r="H55" s="113"/>
      <c r="I55" s="2"/>
    </row>
    <row r="56" spans="1:9" ht="15.75" x14ac:dyDescent="0.25">
      <c r="A56" s="120">
        <v>47</v>
      </c>
      <c r="B56" s="165" t="s">
        <v>223</v>
      </c>
      <c r="C56" s="130"/>
      <c r="D56" s="113"/>
      <c r="E56" s="113"/>
      <c r="F56" s="113"/>
      <c r="G56" s="113"/>
      <c r="H56" s="113"/>
      <c r="I56" s="2"/>
    </row>
    <row r="57" spans="1:9" ht="15.75" x14ac:dyDescent="0.25">
      <c r="A57" s="120">
        <v>48</v>
      </c>
      <c r="B57" s="165"/>
      <c r="C57" s="130"/>
      <c r="D57" s="113"/>
      <c r="E57" s="113"/>
      <c r="F57" s="113"/>
      <c r="G57" s="113"/>
      <c r="H57" s="113"/>
      <c r="I57" s="2"/>
    </row>
    <row r="58" spans="1:9" ht="15.75" x14ac:dyDescent="0.25">
      <c r="A58" s="120">
        <v>49</v>
      </c>
      <c r="B58" s="165" t="s">
        <v>224</v>
      </c>
      <c r="C58" s="130"/>
      <c r="D58" s="113"/>
      <c r="E58" s="113"/>
      <c r="F58" s="113"/>
      <c r="G58" s="113"/>
      <c r="H58" s="113"/>
      <c r="I58" s="2"/>
    </row>
    <row r="59" spans="1:9" ht="15.75" x14ac:dyDescent="0.25">
      <c r="A59" s="120">
        <v>50</v>
      </c>
      <c r="B59" s="287" t="s">
        <v>225</v>
      </c>
      <c r="C59" s="130"/>
      <c r="D59" s="113"/>
      <c r="E59" s="113"/>
      <c r="F59" s="113"/>
      <c r="G59" s="113"/>
      <c r="H59" s="113"/>
      <c r="I59" s="2"/>
    </row>
    <row r="60" spans="1:9" ht="15.75" x14ac:dyDescent="0.25">
      <c r="A60" s="120">
        <v>51</v>
      </c>
      <c r="B60" s="165" t="s">
        <v>226</v>
      </c>
      <c r="C60" s="130"/>
      <c r="D60" s="113"/>
      <c r="E60" s="113"/>
      <c r="F60" s="113"/>
      <c r="G60" s="113"/>
      <c r="H60" s="113"/>
      <c r="I60" s="2"/>
    </row>
    <row r="61" spans="1:9" ht="15.75" x14ac:dyDescent="0.25">
      <c r="A61" s="120">
        <v>54</v>
      </c>
      <c r="B61" s="265" t="s">
        <v>227</v>
      </c>
      <c r="C61" s="130"/>
      <c r="D61" s="113"/>
      <c r="E61" s="113"/>
      <c r="F61" s="113"/>
      <c r="G61" s="113"/>
      <c r="H61" s="113"/>
      <c r="I61" s="2"/>
    </row>
    <row r="62" spans="1:9" ht="15.75" x14ac:dyDescent="0.25">
      <c r="A62" s="120">
        <v>55</v>
      </c>
      <c r="B62" s="375" t="s">
        <v>228</v>
      </c>
      <c r="C62" s="130"/>
      <c r="D62" s="113"/>
      <c r="E62" s="113"/>
      <c r="F62" s="113"/>
      <c r="G62" s="113"/>
      <c r="H62" s="113"/>
      <c r="I62" s="2"/>
    </row>
    <row r="63" spans="1:9" ht="15.75" x14ac:dyDescent="0.25">
      <c r="A63" s="120">
        <v>56</v>
      </c>
      <c r="B63" s="265" t="s">
        <v>229</v>
      </c>
      <c r="C63" s="130"/>
      <c r="D63" s="113"/>
      <c r="E63" s="113"/>
      <c r="F63" s="113"/>
      <c r="G63" s="113"/>
      <c r="H63" s="113"/>
      <c r="I63" s="2"/>
    </row>
    <row r="64" spans="1:9" ht="15.75" x14ac:dyDescent="0.25">
      <c r="A64" s="120">
        <v>57</v>
      </c>
      <c r="B64" s="265" t="s">
        <v>230</v>
      </c>
      <c r="C64" s="130"/>
      <c r="D64" s="113"/>
      <c r="E64" s="113"/>
      <c r="F64" s="113"/>
      <c r="G64" s="113"/>
      <c r="H64" s="113"/>
      <c r="I64" s="2"/>
    </row>
    <row r="65" spans="1:9" ht="15.75" x14ac:dyDescent="0.25">
      <c r="A65" s="120">
        <v>58</v>
      </c>
      <c r="B65" s="265" t="s">
        <v>231</v>
      </c>
      <c r="C65" s="130"/>
      <c r="D65" s="113"/>
      <c r="E65" s="113"/>
      <c r="F65" s="113"/>
      <c r="G65" s="113"/>
      <c r="H65" s="113"/>
      <c r="I65" s="2"/>
    </row>
    <row r="66" spans="1:9" ht="15.75" x14ac:dyDescent="0.25">
      <c r="A66" s="120">
        <v>59</v>
      </c>
      <c r="B66" s="265" t="s">
        <v>232</v>
      </c>
      <c r="C66" s="130"/>
      <c r="D66" s="113"/>
      <c r="E66" s="113"/>
      <c r="F66" s="113"/>
      <c r="G66" s="113"/>
      <c r="H66" s="113"/>
      <c r="I66" s="2"/>
    </row>
    <row r="67" spans="1:9" ht="15.75" x14ac:dyDescent="0.25">
      <c r="A67" s="120">
        <v>60</v>
      </c>
      <c r="B67" s="265" t="s">
        <v>233</v>
      </c>
      <c r="C67" s="130"/>
      <c r="D67" s="113"/>
      <c r="E67" s="113"/>
      <c r="F67" s="113"/>
      <c r="G67" s="113"/>
      <c r="H67" s="113"/>
      <c r="I67" s="2"/>
    </row>
    <row r="68" spans="1:9" ht="15.75" x14ac:dyDescent="0.25">
      <c r="A68" s="120">
        <v>61</v>
      </c>
      <c r="B68" s="265" t="s">
        <v>234</v>
      </c>
      <c r="C68" s="130"/>
      <c r="D68" s="113"/>
      <c r="E68" s="113"/>
      <c r="F68" s="113"/>
      <c r="G68" s="113"/>
      <c r="H68" s="113"/>
      <c r="I68" s="2"/>
    </row>
    <row r="69" spans="1:9" ht="15.75" x14ac:dyDescent="0.25">
      <c r="A69" s="120">
        <v>62</v>
      </c>
      <c r="B69" s="265" t="s">
        <v>235</v>
      </c>
      <c r="C69" s="130"/>
      <c r="D69" s="113"/>
      <c r="E69" s="113"/>
      <c r="F69" s="113"/>
      <c r="G69" s="113"/>
      <c r="H69" s="113"/>
      <c r="I69" s="2"/>
    </row>
    <row r="70" spans="1:9" ht="15.75" x14ac:dyDescent="0.25">
      <c r="A70" s="120">
        <v>63</v>
      </c>
      <c r="B70" s="265" t="s">
        <v>236</v>
      </c>
      <c r="C70" s="130"/>
      <c r="D70" s="113"/>
      <c r="E70" s="113"/>
      <c r="F70" s="113"/>
      <c r="G70" s="113"/>
      <c r="H70" s="113"/>
      <c r="I70" s="2"/>
    </row>
    <row r="71" spans="1:9" ht="15.75" x14ac:dyDescent="0.25">
      <c r="A71" s="120">
        <v>64</v>
      </c>
      <c r="B71" s="265" t="s">
        <v>237</v>
      </c>
      <c r="C71" s="130"/>
      <c r="D71" s="113"/>
      <c r="E71" s="113"/>
      <c r="F71" s="113"/>
      <c r="G71" s="113"/>
      <c r="H71" s="113"/>
      <c r="I71" s="2"/>
    </row>
    <row r="72" spans="1:9" ht="15.75" x14ac:dyDescent="0.25">
      <c r="A72" s="120">
        <v>65</v>
      </c>
      <c r="B72" s="265" t="s">
        <v>238</v>
      </c>
      <c r="C72" s="130"/>
      <c r="D72" s="113"/>
      <c r="E72" s="113"/>
      <c r="F72" s="113"/>
      <c r="G72" s="113"/>
      <c r="H72" s="113"/>
      <c r="I72" s="2"/>
    </row>
    <row r="73" spans="1:9" ht="15.75" x14ac:dyDescent="0.25">
      <c r="A73" s="120">
        <v>66</v>
      </c>
      <c r="B73" s="265" t="s">
        <v>239</v>
      </c>
      <c r="C73" s="130"/>
      <c r="D73" s="113"/>
      <c r="E73" s="113"/>
      <c r="F73" s="113"/>
      <c r="G73" s="113"/>
      <c r="H73" s="113"/>
      <c r="I73" s="2"/>
    </row>
    <row r="74" spans="1:9" ht="15.75" x14ac:dyDescent="0.25">
      <c r="A74" s="120">
        <v>67</v>
      </c>
      <c r="B74" s="240"/>
      <c r="C74" s="241"/>
      <c r="D74" s="113"/>
      <c r="E74" s="113"/>
      <c r="F74" s="113"/>
      <c r="G74" s="113"/>
      <c r="H74" s="113"/>
      <c r="I74" s="2"/>
    </row>
    <row r="75" spans="1:9" ht="15.75" x14ac:dyDescent="0.25">
      <c r="A75" s="120">
        <v>68</v>
      </c>
      <c r="B75" s="242" t="s">
        <v>240</v>
      </c>
      <c r="C75" s="243"/>
      <c r="D75" s="113"/>
      <c r="E75" s="113"/>
      <c r="F75" s="113"/>
      <c r="G75" s="113"/>
      <c r="H75" s="113"/>
      <c r="I75" s="2"/>
    </row>
    <row r="76" spans="1:9" ht="15.75" x14ac:dyDescent="0.25">
      <c r="A76" s="120">
        <v>69</v>
      </c>
      <c r="B76" s="265" t="s">
        <v>241</v>
      </c>
      <c r="C76" s="130"/>
      <c r="D76" s="113"/>
      <c r="E76" s="113"/>
      <c r="F76" s="113"/>
      <c r="G76" s="113"/>
      <c r="H76" s="113"/>
      <c r="I76" s="2"/>
    </row>
    <row r="77" spans="1:9" ht="15.75" x14ac:dyDescent="0.25">
      <c r="A77" s="120">
        <v>70</v>
      </c>
      <c r="B77" s="265" t="s">
        <v>242</v>
      </c>
      <c r="C77" s="130"/>
      <c r="D77" s="113"/>
      <c r="E77" s="113"/>
      <c r="F77" s="113"/>
      <c r="G77" s="113"/>
      <c r="H77" s="113"/>
      <c r="I77" s="2"/>
    </row>
    <row r="78" spans="1:9" ht="15.75" x14ac:dyDescent="0.25">
      <c r="A78" s="120">
        <v>71</v>
      </c>
      <c r="B78" s="265" t="s">
        <v>243</v>
      </c>
      <c r="C78" s="130"/>
      <c r="D78" s="113"/>
      <c r="E78" s="113"/>
      <c r="F78" s="113"/>
      <c r="G78" s="113"/>
      <c r="H78" s="113"/>
      <c r="I78" s="2"/>
    </row>
    <row r="79" spans="1:9" ht="15.75" x14ac:dyDescent="0.25">
      <c r="A79" s="120">
        <v>72</v>
      </c>
      <c r="B79" s="265" t="s">
        <v>244</v>
      </c>
      <c r="C79" s="130"/>
      <c r="D79" s="113"/>
      <c r="E79" s="113"/>
      <c r="F79" s="113"/>
      <c r="G79" s="113"/>
      <c r="H79" s="113"/>
      <c r="I79" s="2"/>
    </row>
    <row r="80" spans="1:9" ht="15.75" x14ac:dyDescent="0.25">
      <c r="A80" s="120">
        <v>73</v>
      </c>
      <c r="B80" s="265" t="s">
        <v>245</v>
      </c>
      <c r="C80" s="130"/>
      <c r="D80" s="113"/>
      <c r="E80" s="113"/>
      <c r="F80" s="113"/>
      <c r="G80" s="113"/>
      <c r="H80" s="113"/>
      <c r="I80" s="2"/>
    </row>
    <row r="81" spans="1:9" ht="15.75" x14ac:dyDescent="0.25">
      <c r="A81" s="120">
        <v>74</v>
      </c>
      <c r="B81" s="121"/>
      <c r="C81" s="130"/>
      <c r="D81" s="113"/>
      <c r="E81" s="113"/>
      <c r="F81" s="113"/>
      <c r="G81" s="113"/>
      <c r="H81" s="113"/>
      <c r="I81" s="2"/>
    </row>
    <row r="82" spans="1:9" ht="15.75" x14ac:dyDescent="0.25">
      <c r="A82" s="120">
        <v>75</v>
      </c>
      <c r="B82" s="242" t="s">
        <v>246</v>
      </c>
      <c r="C82" s="243"/>
      <c r="D82" s="113"/>
      <c r="E82" s="113"/>
      <c r="F82" s="113"/>
      <c r="G82" s="113"/>
      <c r="H82" s="113"/>
      <c r="I82" s="2"/>
    </row>
    <row r="83" spans="1:9" ht="15.75" x14ac:dyDescent="0.25">
      <c r="A83" s="120">
        <v>76</v>
      </c>
      <c r="B83" s="265" t="s">
        <v>247</v>
      </c>
      <c r="C83" s="130"/>
      <c r="D83" s="113"/>
      <c r="E83" s="113"/>
      <c r="F83" s="113"/>
      <c r="G83" s="113"/>
      <c r="H83" s="113"/>
      <c r="I83" s="2"/>
    </row>
    <row r="84" spans="1:9" ht="15.75" x14ac:dyDescent="0.25">
      <c r="A84" s="120">
        <v>77</v>
      </c>
      <c r="B84" s="265" t="s">
        <v>248</v>
      </c>
      <c r="C84" s="130"/>
      <c r="D84" s="113"/>
      <c r="E84" s="113"/>
      <c r="F84" s="113"/>
      <c r="G84" s="113"/>
      <c r="H84" s="113"/>
      <c r="I84" s="2"/>
    </row>
    <row r="85" spans="1:9" ht="15.75" x14ac:dyDescent="0.25">
      <c r="A85" s="120">
        <v>78</v>
      </c>
      <c r="B85" s="265" t="s">
        <v>249</v>
      </c>
      <c r="C85" s="130"/>
      <c r="D85" s="113"/>
      <c r="E85" s="113"/>
      <c r="F85" s="113"/>
      <c r="G85" s="113"/>
      <c r="H85" s="113"/>
      <c r="I85" s="2"/>
    </row>
    <row r="86" spans="1:9" ht="15.75" x14ac:dyDescent="0.25">
      <c r="A86" s="120">
        <v>79</v>
      </c>
      <c r="B86" s="265" t="s">
        <v>250</v>
      </c>
      <c r="C86" s="130"/>
      <c r="D86" s="113"/>
      <c r="E86" s="113"/>
      <c r="F86" s="113"/>
      <c r="G86" s="113"/>
      <c r="H86" s="113"/>
      <c r="I86" s="2"/>
    </row>
    <row r="87" spans="1:9" ht="15.75" x14ac:dyDescent="0.25">
      <c r="A87" s="120">
        <v>80</v>
      </c>
      <c r="B87" s="265" t="s">
        <v>251</v>
      </c>
      <c r="C87" s="130"/>
      <c r="D87" s="113"/>
      <c r="E87" s="113"/>
      <c r="F87" s="113"/>
      <c r="G87" s="113"/>
      <c r="H87" s="113"/>
      <c r="I87" s="2"/>
    </row>
    <row r="88" spans="1:9" ht="15.75" x14ac:dyDescent="0.25">
      <c r="A88" s="120">
        <v>81</v>
      </c>
      <c r="B88" s="374" t="s">
        <v>252</v>
      </c>
      <c r="C88" s="130"/>
      <c r="D88" s="113"/>
      <c r="E88" s="113"/>
      <c r="F88" s="113"/>
      <c r="G88" s="113"/>
      <c r="H88" s="113"/>
      <c r="I88" s="2"/>
    </row>
    <row r="89" spans="1:9" ht="15.75" x14ac:dyDescent="0.25">
      <c r="A89" s="120">
        <v>82</v>
      </c>
      <c r="B89" s="248" t="s">
        <v>253</v>
      </c>
      <c r="C89" s="130"/>
      <c r="D89" s="113"/>
      <c r="E89" s="113"/>
      <c r="F89" s="113"/>
      <c r="G89" s="113"/>
      <c r="H89" s="113"/>
      <c r="I89" s="2"/>
    </row>
    <row r="90" spans="1:9" ht="15.75" x14ac:dyDescent="0.25">
      <c r="A90" s="120">
        <v>83</v>
      </c>
      <c r="B90" s="248"/>
      <c r="C90" s="130"/>
      <c r="D90" s="113"/>
      <c r="E90" s="113"/>
      <c r="F90" s="113"/>
      <c r="G90" s="113"/>
      <c r="H90" s="113"/>
      <c r="I90" s="2"/>
    </row>
    <row r="91" spans="1:9" ht="15.75" x14ac:dyDescent="0.25">
      <c r="A91" s="120">
        <v>84</v>
      </c>
      <c r="B91" s="248"/>
      <c r="C91" s="130"/>
      <c r="D91" s="113"/>
      <c r="E91" s="113"/>
      <c r="F91" s="113"/>
      <c r="G91" s="113"/>
      <c r="H91" s="113"/>
      <c r="I91" s="2"/>
    </row>
    <row r="92" spans="1:9" ht="15.75" x14ac:dyDescent="0.25">
      <c r="A92" s="120">
        <v>85</v>
      </c>
      <c r="B92" s="374"/>
      <c r="C92" s="130"/>
      <c r="D92" s="113"/>
      <c r="E92" s="113"/>
      <c r="F92" s="113"/>
      <c r="G92" s="113"/>
      <c r="H92" s="113"/>
      <c r="I92" s="2"/>
    </row>
    <row r="93" spans="1:9" ht="15.75" x14ac:dyDescent="0.25">
      <c r="A93" s="120">
        <v>86</v>
      </c>
      <c r="B93" s="265"/>
      <c r="C93" s="130"/>
      <c r="D93" s="113"/>
      <c r="E93" s="113"/>
      <c r="F93" s="113"/>
      <c r="G93" s="113"/>
      <c r="H93" s="113"/>
      <c r="I93" s="2"/>
    </row>
    <row r="94" spans="1:9" ht="15.75" x14ac:dyDescent="0.25">
      <c r="A94" s="120">
        <v>87</v>
      </c>
      <c r="B94" s="242" t="s">
        <v>254</v>
      </c>
      <c r="C94" s="243"/>
      <c r="D94" s="113"/>
      <c r="E94" s="113"/>
      <c r="F94" s="113"/>
      <c r="G94" s="113"/>
      <c r="H94" s="113"/>
      <c r="I94" s="2"/>
    </row>
    <row r="95" spans="1:9" ht="15.75" x14ac:dyDescent="0.25">
      <c r="A95" s="120">
        <v>88</v>
      </c>
      <c r="B95" s="297" t="s">
        <v>255</v>
      </c>
      <c r="C95" s="130"/>
      <c r="D95" s="113"/>
      <c r="E95" s="113"/>
      <c r="F95" s="113"/>
      <c r="G95" s="113"/>
      <c r="H95" s="113"/>
      <c r="I95" s="2"/>
    </row>
    <row r="96" spans="1:9" ht="15.75" x14ac:dyDescent="0.25">
      <c r="A96" s="120">
        <v>89</v>
      </c>
      <c r="B96" s="265" t="s">
        <v>256</v>
      </c>
      <c r="C96" s="130"/>
      <c r="D96" s="113"/>
      <c r="E96" s="113"/>
      <c r="F96" s="113"/>
      <c r="G96" s="113"/>
      <c r="H96" s="113"/>
      <c r="I96" s="2"/>
    </row>
    <row r="97" spans="1:9" ht="15.75" x14ac:dyDescent="0.25">
      <c r="A97" s="120">
        <v>90</v>
      </c>
      <c r="B97" s="265" t="s">
        <v>257</v>
      </c>
      <c r="C97" s="130"/>
      <c r="D97" s="113"/>
      <c r="E97" s="113"/>
      <c r="F97" s="113"/>
      <c r="G97" s="113"/>
      <c r="H97" s="113"/>
      <c r="I97" s="2"/>
    </row>
    <row r="98" spans="1:9" ht="15.75" x14ac:dyDescent="0.25">
      <c r="A98" s="120">
        <v>91</v>
      </c>
      <c r="B98" s="265" t="s">
        <v>258</v>
      </c>
      <c r="C98" s="130"/>
      <c r="D98" s="113"/>
      <c r="E98" s="113"/>
      <c r="F98" s="113"/>
      <c r="G98" s="113"/>
      <c r="H98" s="113"/>
      <c r="I98" s="2"/>
    </row>
    <row r="99" spans="1:9" ht="15.75" x14ac:dyDescent="0.25">
      <c r="A99" s="120">
        <v>92</v>
      </c>
      <c r="B99" s="265" t="s">
        <v>259</v>
      </c>
      <c r="C99" s="130"/>
      <c r="D99" s="113"/>
      <c r="E99" s="113"/>
      <c r="F99" s="113"/>
      <c r="G99" s="113"/>
      <c r="H99" s="113"/>
      <c r="I99" s="2"/>
    </row>
    <row r="100" spans="1:9" ht="15.75" x14ac:dyDescent="0.25">
      <c r="A100" s="120">
        <v>93</v>
      </c>
      <c r="B100" s="265" t="s">
        <v>260</v>
      </c>
      <c r="C100" s="130"/>
      <c r="D100" s="113"/>
      <c r="E100" s="113"/>
      <c r="F100" s="113"/>
      <c r="G100" s="113"/>
      <c r="H100" s="113"/>
      <c r="I100" s="2"/>
    </row>
    <row r="101" spans="1:9" ht="15.75" x14ac:dyDescent="0.25">
      <c r="A101" s="120">
        <v>94</v>
      </c>
      <c r="B101" s="265" t="s">
        <v>261</v>
      </c>
      <c r="C101" s="130"/>
      <c r="D101" s="113"/>
      <c r="E101" s="113"/>
      <c r="F101" s="113"/>
      <c r="G101" s="113"/>
      <c r="H101" s="113"/>
      <c r="I101" s="2"/>
    </row>
    <row r="102" spans="1:9" ht="15.75" x14ac:dyDescent="0.25">
      <c r="A102" s="120">
        <v>95</v>
      </c>
      <c r="B102" s="248" t="s">
        <v>262</v>
      </c>
      <c r="C102" s="130"/>
      <c r="D102" s="113"/>
      <c r="E102" s="113"/>
      <c r="F102" s="113"/>
      <c r="G102" s="113"/>
      <c r="H102" s="113"/>
      <c r="I102" s="2"/>
    </row>
    <row r="103" spans="1:9" ht="15.75" x14ac:dyDescent="0.25">
      <c r="A103" s="120">
        <v>96</v>
      </c>
      <c r="B103" s="248" t="s">
        <v>263</v>
      </c>
      <c r="C103" s="130"/>
      <c r="D103" s="113"/>
      <c r="E103" s="113"/>
      <c r="F103" s="113"/>
      <c r="G103" s="113"/>
      <c r="H103" s="113"/>
      <c r="I103" s="2"/>
    </row>
    <row r="104" spans="1:9" ht="15.75" x14ac:dyDescent="0.25">
      <c r="A104" s="120">
        <v>97</v>
      </c>
      <c r="B104" s="248" t="s">
        <v>264</v>
      </c>
      <c r="C104" s="130"/>
      <c r="D104" s="113"/>
      <c r="E104" s="113"/>
      <c r="F104" s="113"/>
      <c r="G104" s="113"/>
      <c r="H104" s="113"/>
      <c r="I104" s="2"/>
    </row>
    <row r="105" spans="1:9" ht="15.75" x14ac:dyDescent="0.25">
      <c r="A105" s="120">
        <v>98</v>
      </c>
      <c r="B105" s="265"/>
      <c r="C105" s="130"/>
      <c r="D105" s="113"/>
      <c r="E105" s="113"/>
      <c r="F105" s="113"/>
      <c r="G105" s="113"/>
      <c r="H105" s="113"/>
      <c r="I105" s="2"/>
    </row>
    <row r="106" spans="1:9" ht="15.75" x14ac:dyDescent="0.25">
      <c r="A106" s="120">
        <v>99</v>
      </c>
      <c r="B106" s="187"/>
      <c r="C106" s="186"/>
      <c r="D106" s="113"/>
      <c r="E106" s="113"/>
      <c r="F106" s="113"/>
      <c r="G106" s="113"/>
      <c r="H106" s="113"/>
      <c r="I106" s="2"/>
    </row>
    <row r="107" spans="1:9" ht="15.75" x14ac:dyDescent="0.25">
      <c r="A107" s="120">
        <v>100</v>
      </c>
      <c r="B107" s="292" t="s">
        <v>265</v>
      </c>
      <c r="C107" s="130"/>
      <c r="D107" s="113"/>
      <c r="E107" s="113"/>
      <c r="F107" s="113"/>
      <c r="G107" s="113"/>
      <c r="H107" s="113"/>
      <c r="I107" s="2"/>
    </row>
    <row r="108" spans="1:9" ht="15.75" x14ac:dyDescent="0.25">
      <c r="A108" s="120">
        <v>101</v>
      </c>
      <c r="B108" s="297" t="s">
        <v>266</v>
      </c>
      <c r="C108" s="130"/>
      <c r="D108" s="113"/>
      <c r="E108" s="113"/>
      <c r="F108" s="113"/>
      <c r="G108" s="113"/>
      <c r="H108" s="113"/>
      <c r="I108" s="2"/>
    </row>
    <row r="109" spans="1:9" ht="15.75" x14ac:dyDescent="0.25">
      <c r="A109" s="120">
        <v>102</v>
      </c>
      <c r="B109" s="297" t="s">
        <v>267</v>
      </c>
      <c r="C109" s="130"/>
      <c r="D109" s="113"/>
      <c r="E109" s="113"/>
      <c r="F109" s="113"/>
      <c r="G109" s="113"/>
      <c r="H109" s="113"/>
      <c r="I109" s="2"/>
    </row>
    <row r="110" spans="1:9" ht="15.75" x14ac:dyDescent="0.25">
      <c r="A110" s="120">
        <v>103</v>
      </c>
      <c r="B110" s="297" t="s">
        <v>268</v>
      </c>
      <c r="C110" s="130"/>
      <c r="D110" s="113"/>
      <c r="E110" s="113"/>
      <c r="F110" s="113"/>
      <c r="G110" s="113"/>
      <c r="H110" s="113"/>
      <c r="I110" s="2"/>
    </row>
    <row r="111" spans="1:9" ht="15.75" x14ac:dyDescent="0.25">
      <c r="A111" s="120">
        <v>104</v>
      </c>
      <c r="B111" s="297" t="s">
        <v>269</v>
      </c>
      <c r="C111" s="130"/>
      <c r="D111" s="113"/>
      <c r="E111" s="113"/>
      <c r="F111" s="113"/>
      <c r="G111" s="113"/>
      <c r="H111" s="113"/>
      <c r="I111" s="2"/>
    </row>
    <row r="112" spans="1:9" ht="15.75" x14ac:dyDescent="0.25">
      <c r="A112" s="120">
        <v>105</v>
      </c>
      <c r="B112" s="297"/>
      <c r="C112" s="130"/>
      <c r="D112" s="113"/>
      <c r="E112" s="113"/>
      <c r="F112" s="113"/>
      <c r="G112" s="113"/>
      <c r="H112" s="113"/>
      <c r="I112" s="2"/>
    </row>
    <row r="113" spans="1:9" ht="15.75" x14ac:dyDescent="0.25">
      <c r="A113" s="120">
        <v>106</v>
      </c>
      <c r="B113" s="297"/>
      <c r="C113" s="130"/>
      <c r="D113" s="113"/>
      <c r="E113" s="113"/>
      <c r="F113" s="113"/>
      <c r="G113" s="113"/>
      <c r="H113" s="113"/>
      <c r="I113" s="2"/>
    </row>
    <row r="114" spans="1:9" ht="15.75" x14ac:dyDescent="0.25">
      <c r="A114" s="120">
        <v>107</v>
      </c>
      <c r="B114" s="835" t="s">
        <v>122</v>
      </c>
      <c r="C114" s="839">
        <f>SUM(C8:C113)</f>
        <v>0</v>
      </c>
      <c r="D114" s="113"/>
      <c r="E114" s="113"/>
      <c r="F114" s="113"/>
      <c r="G114" s="113"/>
      <c r="H114" s="113"/>
      <c r="I114" s="2"/>
    </row>
    <row r="115" spans="1:9" ht="15.75" x14ac:dyDescent="0.25">
      <c r="A115" s="449">
        <v>108</v>
      </c>
      <c r="B115" s="838"/>
      <c r="C115" s="312"/>
      <c r="D115" s="113"/>
      <c r="E115" s="113"/>
      <c r="F115" s="113"/>
      <c r="G115" s="113"/>
      <c r="H115" s="113"/>
      <c r="I115" s="2"/>
    </row>
    <row r="116" spans="1:9" ht="15.75" x14ac:dyDescent="0.25">
      <c r="A116" s="556">
        <v>109</v>
      </c>
      <c r="B116" s="511" t="s">
        <v>43</v>
      </c>
      <c r="C116" s="749"/>
      <c r="D116" s="113"/>
      <c r="E116" s="113"/>
      <c r="F116" s="113"/>
      <c r="G116" s="113"/>
      <c r="H116" s="113"/>
      <c r="I116" s="2"/>
    </row>
    <row r="117" spans="1:9" ht="15.75" x14ac:dyDescent="0.25">
      <c r="A117" s="120">
        <v>110</v>
      </c>
      <c r="B117" s="834"/>
      <c r="C117" s="717"/>
      <c r="D117" s="29"/>
      <c r="E117" s="21"/>
      <c r="F117" s="29"/>
      <c r="G117" s="29"/>
      <c r="H117" s="29"/>
    </row>
    <row r="118" spans="1:9" ht="15.75" x14ac:dyDescent="0.25">
      <c r="A118" s="556">
        <v>111</v>
      </c>
      <c r="B118" s="836" t="s">
        <v>135</v>
      </c>
      <c r="C118" s="837"/>
      <c r="D118" s="29"/>
      <c r="E118" s="21"/>
      <c r="F118" s="29"/>
      <c r="G118" s="29"/>
      <c r="H118" s="29"/>
    </row>
    <row r="119" spans="1:9" ht="15.75" x14ac:dyDescent="0.25">
      <c r="A119" s="387"/>
      <c r="B119" s="387"/>
      <c r="C119" s="717"/>
      <c r="D119" s="29"/>
      <c r="E119" s="21"/>
      <c r="F119" s="29"/>
      <c r="G119" s="29"/>
      <c r="H119" s="29"/>
    </row>
    <row r="120" spans="1:9" ht="15.75" x14ac:dyDescent="0.25">
      <c r="A120" s="116"/>
      <c r="B120" s="21"/>
      <c r="C120" s="134"/>
      <c r="D120" s="21"/>
      <c r="E120" s="21"/>
      <c r="F120" s="21"/>
      <c r="G120" s="21"/>
      <c r="H120" s="21"/>
    </row>
    <row r="121" spans="1:9" ht="15.75" x14ac:dyDescent="0.25">
      <c r="A121" s="116"/>
      <c r="B121" s="21"/>
      <c r="C121" s="134"/>
      <c r="D121" s="21"/>
      <c r="E121" s="21"/>
      <c r="F121" s="21"/>
      <c r="G121" s="21"/>
      <c r="H121" s="21"/>
    </row>
    <row r="122" spans="1:9" ht="15.75" x14ac:dyDescent="0.25">
      <c r="A122" s="116"/>
      <c r="B122" s="21"/>
      <c r="C122" s="134"/>
      <c r="D122" s="21"/>
      <c r="E122" s="21"/>
      <c r="F122" s="21"/>
      <c r="G122" s="21"/>
      <c r="H122" s="21"/>
    </row>
    <row r="123" spans="1:9" ht="15.75" x14ac:dyDescent="0.25">
      <c r="A123" s="116"/>
      <c r="B123" s="21"/>
      <c r="C123" s="134"/>
      <c r="D123" s="21"/>
      <c r="E123" s="21"/>
      <c r="F123" s="21"/>
      <c r="G123" s="21"/>
      <c r="H123" s="21"/>
    </row>
    <row r="124" spans="1:9" ht="15.75" x14ac:dyDescent="0.25">
      <c r="A124" s="116"/>
      <c r="B124" s="21"/>
      <c r="C124" s="134"/>
      <c r="D124" s="21"/>
      <c r="E124" s="21"/>
      <c r="F124" s="21"/>
      <c r="G124" s="21"/>
      <c r="H124" s="21"/>
    </row>
    <row r="125" spans="1:9" ht="15.75" x14ac:dyDescent="0.25">
      <c r="A125" s="116"/>
      <c r="B125" s="21"/>
      <c r="C125" s="134"/>
      <c r="D125" s="21"/>
      <c r="E125" s="21"/>
      <c r="F125" s="21"/>
      <c r="G125" s="21"/>
      <c r="H125" s="21"/>
    </row>
    <row r="126" spans="1:9" ht="15.75" x14ac:dyDescent="0.25">
      <c r="A126" s="116"/>
      <c r="B126" s="21"/>
      <c r="C126" s="134"/>
      <c r="D126" s="21"/>
      <c r="E126" s="21"/>
      <c r="F126" s="21"/>
      <c r="G126" s="21"/>
      <c r="H126" s="21"/>
    </row>
    <row r="127" spans="1:9" ht="15.75" x14ac:dyDescent="0.25">
      <c r="A127" s="116"/>
      <c r="B127" s="21"/>
      <c r="C127" s="134"/>
      <c r="D127" s="21"/>
      <c r="E127" s="21"/>
      <c r="F127" s="21"/>
      <c r="G127" s="21"/>
      <c r="H127" s="21"/>
    </row>
    <row r="128" spans="1:9" ht="15.75" x14ac:dyDescent="0.25">
      <c r="A128" s="116"/>
      <c r="B128" s="21"/>
      <c r="C128" s="134"/>
      <c r="D128" s="21"/>
      <c r="E128" s="21"/>
      <c r="F128" s="21"/>
      <c r="G128" s="21"/>
      <c r="H128" s="21"/>
    </row>
    <row r="129" spans="1:8" ht="15.75" x14ac:dyDescent="0.25">
      <c r="A129" s="116"/>
      <c r="B129" s="21"/>
      <c r="C129" s="134"/>
      <c r="D129" s="21"/>
      <c r="E129" s="21"/>
      <c r="F129" s="21"/>
      <c r="G129" s="21"/>
      <c r="H129" s="21"/>
    </row>
    <row r="130" spans="1:8" ht="15.75" x14ac:dyDescent="0.25">
      <c r="A130" s="116"/>
      <c r="B130" s="21"/>
      <c r="C130" s="134"/>
      <c r="D130" s="21"/>
      <c r="E130" s="21"/>
      <c r="F130" s="21"/>
      <c r="G130" s="21"/>
      <c r="H130" s="21"/>
    </row>
    <row r="131" spans="1:8" ht="15.75" x14ac:dyDescent="0.25">
      <c r="A131" s="116"/>
      <c r="B131" s="21"/>
      <c r="C131" s="134"/>
      <c r="D131" s="21"/>
      <c r="E131" s="29"/>
      <c r="F131" s="21"/>
      <c r="G131" s="21"/>
      <c r="H131" s="21"/>
    </row>
    <row r="132" spans="1:8" ht="15.75" x14ac:dyDescent="0.25">
      <c r="A132" s="116"/>
      <c r="B132" s="21"/>
      <c r="C132" s="134"/>
      <c r="D132" s="21"/>
      <c r="E132" s="29"/>
      <c r="F132" s="21"/>
      <c r="G132" s="21"/>
      <c r="H132" s="21"/>
    </row>
    <row r="133" spans="1:8" ht="15.75" x14ac:dyDescent="0.25">
      <c r="A133" s="116"/>
      <c r="B133" s="21"/>
      <c r="C133" s="134"/>
      <c r="D133" s="21"/>
      <c r="E133" s="29"/>
      <c r="F133" s="21"/>
      <c r="G133" s="21"/>
      <c r="H133" s="21"/>
    </row>
    <row r="134" spans="1:8" ht="15.75" x14ac:dyDescent="0.25">
      <c r="A134" s="116"/>
      <c r="B134" s="21"/>
      <c r="C134" s="134"/>
      <c r="D134" s="21"/>
      <c r="E134" s="29"/>
      <c r="F134" s="21"/>
      <c r="G134" s="21"/>
      <c r="H134" s="21"/>
    </row>
    <row r="135" spans="1:8" ht="15.75" x14ac:dyDescent="0.25">
      <c r="A135" s="116"/>
      <c r="B135" s="21"/>
      <c r="C135" s="134"/>
      <c r="D135" s="21"/>
      <c r="E135" s="29"/>
      <c r="F135" s="21"/>
      <c r="G135" s="21"/>
      <c r="H135" s="21"/>
    </row>
    <row r="136" spans="1:8" ht="15.75" x14ac:dyDescent="0.25">
      <c r="A136" s="116"/>
      <c r="B136" s="21"/>
      <c r="C136" s="134"/>
      <c r="D136" s="21"/>
      <c r="E136" s="29"/>
      <c r="F136" s="21"/>
      <c r="G136" s="21"/>
      <c r="H136" s="21"/>
    </row>
  </sheetData>
  <mergeCells count="5">
    <mergeCell ref="C6:C7"/>
    <mergeCell ref="A1:B1"/>
    <mergeCell ref="A2:B5"/>
    <mergeCell ref="A6:A7"/>
    <mergeCell ref="B6:B7"/>
  </mergeCells>
  <pageMargins left="0.7" right="0.7" top="1.0520833333333333" bottom="0.75" header="0.3" footer="0.3"/>
  <pageSetup scale="79" orientation="portrait" r:id="rId1"/>
  <headerFooter>
    <oddHeader>&amp;L&amp;G&amp;C(ENTER PROJECT NAME)&amp;R&amp;D</oddHeader>
    <oddFooter>&amp;C&amp;P OF &amp;N</oddFooter>
  </headerFooter>
  <colBreaks count="1" manualBreakCount="1">
    <brk id="1" max="118" man="1"/>
  </colBreaks>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62013-DE71-4D16-9046-8283CF2F1A42}">
  <dimension ref="A1:C119"/>
  <sheetViews>
    <sheetView view="pageBreakPreview" zoomScale="60" zoomScaleNormal="100" workbookViewId="0">
      <selection activeCell="B49" sqref="B49"/>
    </sheetView>
  </sheetViews>
  <sheetFormatPr defaultRowHeight="15" x14ac:dyDescent="0.25"/>
  <cols>
    <col min="1" max="1" width="12.42578125" customWidth="1"/>
    <col min="2" max="2" width="73.7109375" customWidth="1"/>
    <col min="3" max="3" width="36.5703125" customWidth="1"/>
  </cols>
  <sheetData>
    <row r="1" spans="1:3" ht="15.75" x14ac:dyDescent="0.25">
      <c r="A1" s="1078" t="s">
        <v>14</v>
      </c>
      <c r="B1" s="1078"/>
      <c r="C1" s="1079"/>
    </row>
    <row r="2" spans="1:3" x14ac:dyDescent="0.25">
      <c r="A2" s="1074" t="s">
        <v>270</v>
      </c>
      <c r="B2" s="1075"/>
      <c r="C2" s="128" t="s">
        <v>64</v>
      </c>
    </row>
    <row r="3" spans="1:3" x14ac:dyDescent="0.25">
      <c r="A3" s="1076"/>
      <c r="B3" s="1076"/>
      <c r="C3" s="128" t="s">
        <v>65</v>
      </c>
    </row>
    <row r="4" spans="1:3" x14ac:dyDescent="0.25">
      <c r="A4" s="1076"/>
      <c r="B4" s="1077"/>
      <c r="C4" s="128" t="s">
        <v>66</v>
      </c>
    </row>
    <row r="5" spans="1:3" x14ac:dyDescent="0.25">
      <c r="A5" s="319"/>
      <c r="B5" s="268" t="s">
        <v>20</v>
      </c>
      <c r="C5" s="320" t="s">
        <v>19</v>
      </c>
    </row>
    <row r="6" spans="1:3" ht="42" customHeight="1" x14ac:dyDescent="0.25">
      <c r="A6" s="315"/>
      <c r="B6" s="309"/>
      <c r="C6" s="444" t="s">
        <v>67</v>
      </c>
    </row>
    <row r="7" spans="1:3" ht="15" customHeight="1" x14ac:dyDescent="0.25">
      <c r="A7" s="317">
        <v>1</v>
      </c>
      <c r="B7" s="318" t="s">
        <v>21</v>
      </c>
      <c r="C7" s="316"/>
    </row>
    <row r="8" spans="1:3" x14ac:dyDescent="0.25">
      <c r="A8" s="317">
        <v>2</v>
      </c>
      <c r="B8" s="164" t="s">
        <v>22</v>
      </c>
      <c r="C8" s="316"/>
    </row>
    <row r="9" spans="1:3" x14ac:dyDescent="0.25">
      <c r="A9" s="317">
        <v>3</v>
      </c>
      <c r="B9" s="313" t="s">
        <v>23</v>
      </c>
      <c r="C9" s="163"/>
    </row>
    <row r="10" spans="1:3" x14ac:dyDescent="0.25">
      <c r="A10" s="317">
        <v>4</v>
      </c>
      <c r="B10" s="313" t="s">
        <v>24</v>
      </c>
      <c r="C10" s="163"/>
    </row>
    <row r="11" spans="1:3" x14ac:dyDescent="0.25">
      <c r="A11" s="317">
        <v>5</v>
      </c>
      <c r="B11" s="313" t="s">
        <v>25</v>
      </c>
      <c r="C11" s="163"/>
    </row>
    <row r="12" spans="1:3" x14ac:dyDescent="0.25">
      <c r="A12" s="317">
        <v>6</v>
      </c>
      <c r="B12" s="313" t="s">
        <v>26</v>
      </c>
      <c r="C12" s="163"/>
    </row>
    <row r="13" spans="1:3" x14ac:dyDescent="0.25">
      <c r="A13" s="317">
        <v>7</v>
      </c>
      <c r="B13" s="313" t="s">
        <v>27</v>
      </c>
      <c r="C13" s="163"/>
    </row>
    <row r="14" spans="1:3" x14ac:dyDescent="0.25">
      <c r="A14" s="317">
        <v>8</v>
      </c>
      <c r="B14" s="313" t="s">
        <v>28</v>
      </c>
      <c r="C14" s="163"/>
    </row>
    <row r="15" spans="1:3" ht="29.25" customHeight="1" x14ac:dyDescent="0.25">
      <c r="A15" s="317">
        <v>9</v>
      </c>
      <c r="B15" s="330" t="s">
        <v>138</v>
      </c>
      <c r="C15" s="163"/>
    </row>
    <row r="16" spans="1:3" ht="15" customHeight="1" x14ac:dyDescent="0.25">
      <c r="A16" s="271">
        <v>10</v>
      </c>
      <c r="B16" s="162" t="s">
        <v>271</v>
      </c>
      <c r="C16" s="329"/>
    </row>
    <row r="17" spans="1:3" ht="15.75" customHeight="1" x14ac:dyDescent="0.25">
      <c r="A17" s="271">
        <v>11</v>
      </c>
      <c r="B17" s="162" t="s">
        <v>272</v>
      </c>
      <c r="C17" s="329"/>
    </row>
    <row r="18" spans="1:3" x14ac:dyDescent="0.25">
      <c r="A18" s="317">
        <v>12</v>
      </c>
      <c r="B18" s="331" t="s">
        <v>273</v>
      </c>
      <c r="C18" s="163"/>
    </row>
    <row r="19" spans="1:3" x14ac:dyDescent="0.25">
      <c r="A19" s="317">
        <v>13</v>
      </c>
      <c r="B19" s="288" t="s">
        <v>274</v>
      </c>
      <c r="C19" s="163"/>
    </row>
    <row r="20" spans="1:3" x14ac:dyDescent="0.25">
      <c r="A20" s="317">
        <v>14</v>
      </c>
      <c r="B20" s="288" t="s">
        <v>275</v>
      </c>
      <c r="C20" s="163"/>
    </row>
    <row r="21" spans="1:3" x14ac:dyDescent="0.25">
      <c r="A21" s="317">
        <v>15</v>
      </c>
      <c r="B21" s="288" t="s">
        <v>276</v>
      </c>
      <c r="C21" s="163"/>
    </row>
    <row r="22" spans="1:3" x14ac:dyDescent="0.25">
      <c r="A22" s="317">
        <v>16</v>
      </c>
      <c r="B22" s="288" t="s">
        <v>277</v>
      </c>
      <c r="C22" s="163"/>
    </row>
    <row r="23" spans="1:3" x14ac:dyDescent="0.25">
      <c r="A23" s="317">
        <v>17</v>
      </c>
      <c r="B23" s="288" t="s">
        <v>278</v>
      </c>
      <c r="C23" s="163"/>
    </row>
    <row r="24" spans="1:3" x14ac:dyDescent="0.25">
      <c r="A24" s="317">
        <v>18</v>
      </c>
      <c r="B24" s="288" t="s">
        <v>279</v>
      </c>
      <c r="C24" s="163"/>
    </row>
    <row r="25" spans="1:3" x14ac:dyDescent="0.25">
      <c r="A25" s="317">
        <v>19</v>
      </c>
      <c r="B25" s="288" t="s">
        <v>280</v>
      </c>
      <c r="C25" s="163"/>
    </row>
    <row r="26" spans="1:3" x14ac:dyDescent="0.25">
      <c r="A26" s="317">
        <v>20</v>
      </c>
      <c r="B26" s="288" t="s">
        <v>281</v>
      </c>
      <c r="C26" s="163"/>
    </row>
    <row r="27" spans="1:3" x14ac:dyDescent="0.25">
      <c r="A27" s="317">
        <v>21</v>
      </c>
      <c r="B27" s="333" t="s">
        <v>282</v>
      </c>
      <c r="C27" s="325"/>
    </row>
    <row r="28" spans="1:3" x14ac:dyDescent="0.25">
      <c r="A28" s="317">
        <v>22</v>
      </c>
      <c r="B28" s="180" t="s">
        <v>283</v>
      </c>
      <c r="C28" s="325"/>
    </row>
    <row r="29" spans="1:3" x14ac:dyDescent="0.25">
      <c r="A29" s="317">
        <v>23</v>
      </c>
      <c r="B29" s="332" t="s">
        <v>284</v>
      </c>
      <c r="C29" s="325"/>
    </row>
    <row r="30" spans="1:3" x14ac:dyDescent="0.25">
      <c r="A30" s="317">
        <v>24</v>
      </c>
      <c r="B30" s="332" t="s">
        <v>285</v>
      </c>
      <c r="C30" s="325"/>
    </row>
    <row r="31" spans="1:3" x14ac:dyDescent="0.25">
      <c r="A31" s="317">
        <v>25</v>
      </c>
      <c r="B31" s="344" t="s">
        <v>286</v>
      </c>
      <c r="C31" s="325"/>
    </row>
    <row r="32" spans="1:3" x14ac:dyDescent="0.25">
      <c r="A32" s="317">
        <v>26</v>
      </c>
      <c r="B32" s="180" t="s">
        <v>287</v>
      </c>
      <c r="C32" s="325"/>
    </row>
    <row r="33" spans="1:3" x14ac:dyDescent="0.25">
      <c r="A33" s="317">
        <v>28</v>
      </c>
      <c r="B33" s="288" t="s">
        <v>288</v>
      </c>
      <c r="C33" s="163"/>
    </row>
    <row r="34" spans="1:3" x14ac:dyDescent="0.25">
      <c r="A34" s="317">
        <v>29</v>
      </c>
      <c r="B34" s="334" t="s">
        <v>29</v>
      </c>
      <c r="C34" s="163"/>
    </row>
    <row r="35" spans="1:3" x14ac:dyDescent="0.25">
      <c r="A35" s="317">
        <v>30</v>
      </c>
      <c r="B35" s="313" t="s">
        <v>289</v>
      </c>
      <c r="C35" s="335"/>
    </row>
    <row r="36" spans="1:3" x14ac:dyDescent="0.25">
      <c r="A36" s="317">
        <v>31</v>
      </c>
      <c r="B36" s="313" t="s">
        <v>30</v>
      </c>
      <c r="C36" s="335"/>
    </row>
    <row r="37" spans="1:3" x14ac:dyDescent="0.25">
      <c r="A37" s="317">
        <v>32</v>
      </c>
      <c r="B37" s="313" t="s">
        <v>290</v>
      </c>
      <c r="C37" s="335"/>
    </row>
    <row r="38" spans="1:3" x14ac:dyDescent="0.25">
      <c r="A38" s="317">
        <v>33</v>
      </c>
      <c r="B38" s="327" t="s">
        <v>291</v>
      </c>
      <c r="C38" s="335"/>
    </row>
    <row r="39" spans="1:3" x14ac:dyDescent="0.25">
      <c r="A39" s="317">
        <v>34</v>
      </c>
      <c r="B39" s="164" t="s">
        <v>292</v>
      </c>
      <c r="C39" s="323"/>
    </row>
    <row r="40" spans="1:3" x14ac:dyDescent="0.25">
      <c r="A40" s="317">
        <v>35</v>
      </c>
      <c r="B40" s="351" t="s">
        <v>293</v>
      </c>
      <c r="C40" s="312"/>
    </row>
    <row r="41" spans="1:3" x14ac:dyDescent="0.25">
      <c r="A41" s="317">
        <v>36</v>
      </c>
      <c r="B41" s="351"/>
      <c r="C41" s="312"/>
    </row>
    <row r="42" spans="1:3" x14ac:dyDescent="0.25">
      <c r="A42" s="317">
        <v>37</v>
      </c>
      <c r="B42" s="481" t="s">
        <v>294</v>
      </c>
      <c r="C42" s="482"/>
    </row>
    <row r="43" spans="1:3" x14ac:dyDescent="0.25">
      <c r="A43" s="317">
        <v>38</v>
      </c>
      <c r="B43" s="308"/>
      <c r="C43" s="241"/>
    </row>
    <row r="44" spans="1:3" x14ac:dyDescent="0.25">
      <c r="A44" s="317">
        <v>39</v>
      </c>
      <c r="B44" s="823" t="s">
        <v>295</v>
      </c>
      <c r="C44" s="186"/>
    </row>
    <row r="45" spans="1:3" x14ac:dyDescent="0.25">
      <c r="A45" s="317">
        <v>40</v>
      </c>
      <c r="B45" s="308" t="s">
        <v>296</v>
      </c>
      <c r="C45" s="130"/>
    </row>
    <row r="46" spans="1:3" x14ac:dyDescent="0.25">
      <c r="A46" s="317">
        <v>41</v>
      </c>
      <c r="B46" s="332" t="s">
        <v>297</v>
      </c>
      <c r="C46" s="130"/>
    </row>
    <row r="47" spans="1:3" x14ac:dyDescent="0.25">
      <c r="A47" s="317">
        <v>42</v>
      </c>
      <c r="B47" s="310" t="s">
        <v>298</v>
      </c>
      <c r="C47" s="130"/>
    </row>
    <row r="48" spans="1:3" x14ac:dyDescent="0.25">
      <c r="A48" s="317">
        <v>43</v>
      </c>
      <c r="B48" s="310" t="s">
        <v>299</v>
      </c>
      <c r="C48" s="130"/>
    </row>
    <row r="49" spans="1:3" x14ac:dyDescent="0.25">
      <c r="A49" s="317">
        <v>44</v>
      </c>
      <c r="B49" s="310" t="s">
        <v>300</v>
      </c>
      <c r="C49" s="130"/>
    </row>
    <row r="50" spans="1:3" x14ac:dyDescent="0.25">
      <c r="A50" s="317">
        <v>45</v>
      </c>
      <c r="B50" s="376" t="s">
        <v>301</v>
      </c>
      <c r="C50" s="158"/>
    </row>
    <row r="51" spans="1:3" x14ac:dyDescent="0.25">
      <c r="A51" s="317">
        <v>46</v>
      </c>
      <c r="B51" s="353" t="s">
        <v>302</v>
      </c>
      <c r="C51" s="325"/>
    </row>
    <row r="52" spans="1:3" x14ac:dyDescent="0.25">
      <c r="A52" s="317">
        <v>47</v>
      </c>
      <c r="B52" s="355" t="s">
        <v>303</v>
      </c>
      <c r="C52" s="354"/>
    </row>
    <row r="53" spans="1:3" x14ac:dyDescent="0.25">
      <c r="A53" s="317">
        <v>48</v>
      </c>
      <c r="B53" s="348" t="s">
        <v>304</v>
      </c>
      <c r="C53" s="329"/>
    </row>
    <row r="54" spans="1:3" x14ac:dyDescent="0.25">
      <c r="A54" s="317">
        <v>49</v>
      </c>
      <c r="B54" s="352" t="s">
        <v>305</v>
      </c>
      <c r="C54" s="335"/>
    </row>
    <row r="55" spans="1:3" x14ac:dyDescent="0.25">
      <c r="A55" s="317">
        <v>50</v>
      </c>
      <c r="B55" s="349"/>
      <c r="C55" s="335"/>
    </row>
    <row r="56" spans="1:3" x14ac:dyDescent="0.25">
      <c r="A56" s="317">
        <v>51</v>
      </c>
      <c r="B56" s="824" t="s">
        <v>306</v>
      </c>
      <c r="C56" s="749"/>
    </row>
    <row r="57" spans="1:3" x14ac:dyDescent="0.25">
      <c r="A57" s="317">
        <v>52</v>
      </c>
      <c r="B57" s="306" t="s">
        <v>307</v>
      </c>
      <c r="C57" s="323"/>
    </row>
    <row r="58" spans="1:3" x14ac:dyDescent="0.25">
      <c r="A58" s="317">
        <v>53</v>
      </c>
      <c r="B58" s="306" t="s">
        <v>308</v>
      </c>
      <c r="C58" s="323"/>
    </row>
    <row r="59" spans="1:3" x14ac:dyDescent="0.25">
      <c r="A59" s="317">
        <v>54</v>
      </c>
      <c r="B59" s="377" t="s">
        <v>309</v>
      </c>
      <c r="C59" s="323"/>
    </row>
    <row r="60" spans="1:3" x14ac:dyDescent="0.25">
      <c r="A60" s="317">
        <v>55</v>
      </c>
      <c r="B60" s="321" t="s">
        <v>310</v>
      </c>
      <c r="C60" s="323"/>
    </row>
    <row r="61" spans="1:3" x14ac:dyDescent="0.25">
      <c r="A61" s="317">
        <v>56</v>
      </c>
      <c r="B61" s="314" t="s">
        <v>311</v>
      </c>
      <c r="C61" s="130"/>
    </row>
    <row r="62" spans="1:3" x14ac:dyDescent="0.25">
      <c r="A62" s="317">
        <v>57</v>
      </c>
      <c r="B62" s="310" t="s">
        <v>312</v>
      </c>
      <c r="C62" s="130"/>
    </row>
    <row r="63" spans="1:3" x14ac:dyDescent="0.25">
      <c r="A63" s="317">
        <v>58</v>
      </c>
      <c r="B63" s="310" t="s">
        <v>313</v>
      </c>
      <c r="C63" s="130"/>
    </row>
    <row r="64" spans="1:3" x14ac:dyDescent="0.25">
      <c r="A64" s="317">
        <v>59</v>
      </c>
      <c r="B64" s="310"/>
      <c r="C64" s="130"/>
    </row>
    <row r="65" spans="1:3" x14ac:dyDescent="0.25">
      <c r="A65" s="317">
        <v>60</v>
      </c>
      <c r="B65" s="825" t="s">
        <v>314</v>
      </c>
      <c r="C65" s="186"/>
    </row>
    <row r="66" spans="1:3" x14ac:dyDescent="0.25">
      <c r="A66" s="317">
        <v>61</v>
      </c>
      <c r="B66" s="308" t="s">
        <v>315</v>
      </c>
      <c r="C66" s="130"/>
    </row>
    <row r="67" spans="1:3" x14ac:dyDescent="0.25">
      <c r="A67" s="317">
        <v>62</v>
      </c>
      <c r="B67" s="308" t="s">
        <v>316</v>
      </c>
      <c r="C67" s="130"/>
    </row>
    <row r="68" spans="1:3" x14ac:dyDescent="0.25">
      <c r="A68" s="317">
        <v>63</v>
      </c>
      <c r="B68" s="310" t="s">
        <v>317</v>
      </c>
      <c r="C68" s="130"/>
    </row>
    <row r="69" spans="1:3" x14ac:dyDescent="0.25">
      <c r="A69" s="317">
        <v>64</v>
      </c>
      <c r="B69" s="310" t="s">
        <v>318</v>
      </c>
      <c r="C69" s="130"/>
    </row>
    <row r="70" spans="1:3" x14ac:dyDescent="0.25">
      <c r="A70" s="317">
        <v>65</v>
      </c>
      <c r="B70" s="310"/>
      <c r="C70" s="130"/>
    </row>
    <row r="71" spans="1:3" x14ac:dyDescent="0.25">
      <c r="A71" s="317">
        <v>66</v>
      </c>
      <c r="B71" s="826" t="s">
        <v>319</v>
      </c>
      <c r="C71" s="186"/>
    </row>
    <row r="72" spans="1:3" x14ac:dyDescent="0.25">
      <c r="A72" s="317">
        <v>67</v>
      </c>
      <c r="B72" s="306" t="s">
        <v>320</v>
      </c>
      <c r="C72" s="130"/>
    </row>
    <row r="73" spans="1:3" x14ac:dyDescent="0.25">
      <c r="A73" s="317">
        <v>68</v>
      </c>
      <c r="B73" s="306" t="s">
        <v>321</v>
      </c>
      <c r="C73" s="130"/>
    </row>
    <row r="74" spans="1:3" x14ac:dyDescent="0.25">
      <c r="A74" s="317">
        <v>69</v>
      </c>
      <c r="B74" s="306" t="s">
        <v>322</v>
      </c>
      <c r="C74" s="130"/>
    </row>
    <row r="75" spans="1:3" x14ac:dyDescent="0.25">
      <c r="A75" s="317">
        <v>70</v>
      </c>
      <c r="B75" s="306" t="s">
        <v>323</v>
      </c>
      <c r="C75" s="130"/>
    </row>
    <row r="76" spans="1:3" x14ac:dyDescent="0.25">
      <c r="A76" s="317">
        <v>71</v>
      </c>
      <c r="B76" s="321" t="s">
        <v>324</v>
      </c>
      <c r="C76" s="130"/>
    </row>
    <row r="77" spans="1:3" x14ac:dyDescent="0.25">
      <c r="A77" s="317">
        <v>72</v>
      </c>
      <c r="B77" s="306" t="s">
        <v>325</v>
      </c>
      <c r="C77" s="130"/>
    </row>
    <row r="78" spans="1:3" x14ac:dyDescent="0.25">
      <c r="A78" s="317">
        <v>73</v>
      </c>
      <c r="B78" s="306" t="s">
        <v>326</v>
      </c>
      <c r="C78" s="323"/>
    </row>
    <row r="79" spans="1:3" x14ac:dyDescent="0.25">
      <c r="A79" s="317">
        <v>74</v>
      </c>
      <c r="B79" s="307"/>
      <c r="C79" s="311"/>
    </row>
    <row r="80" spans="1:3" x14ac:dyDescent="0.25">
      <c r="A80" s="317">
        <v>75</v>
      </c>
      <c r="B80" s="827" t="s">
        <v>327</v>
      </c>
      <c r="C80" s="243"/>
    </row>
    <row r="81" spans="1:3" x14ac:dyDescent="0.25">
      <c r="A81" s="317">
        <v>76</v>
      </c>
      <c r="B81" s="378" t="s">
        <v>328</v>
      </c>
      <c r="C81" s="323"/>
    </row>
    <row r="82" spans="1:3" x14ac:dyDescent="0.25">
      <c r="A82" s="317">
        <v>77</v>
      </c>
      <c r="B82" s="322" t="s">
        <v>329</v>
      </c>
      <c r="C82" s="323"/>
    </row>
    <row r="83" spans="1:3" x14ac:dyDescent="0.25">
      <c r="A83" s="317">
        <v>78</v>
      </c>
      <c r="B83" s="378" t="s">
        <v>330</v>
      </c>
      <c r="C83" s="323"/>
    </row>
    <row r="84" spans="1:3" x14ac:dyDescent="0.25">
      <c r="A84" s="317">
        <v>79</v>
      </c>
      <c r="B84" s="379" t="s">
        <v>331</v>
      </c>
      <c r="C84" s="323"/>
    </row>
    <row r="85" spans="1:3" ht="15.75" x14ac:dyDescent="0.25">
      <c r="A85" s="317">
        <v>80</v>
      </c>
      <c r="B85" s="326"/>
      <c r="C85" s="323"/>
    </row>
    <row r="86" spans="1:3" x14ac:dyDescent="0.25">
      <c r="A86" s="317">
        <v>81</v>
      </c>
      <c r="B86" s="828" t="s">
        <v>332</v>
      </c>
      <c r="C86" s="291"/>
    </row>
    <row r="87" spans="1:3" x14ac:dyDescent="0.25">
      <c r="A87" s="317">
        <v>82</v>
      </c>
      <c r="B87" s="306" t="s">
        <v>333</v>
      </c>
      <c r="C87" s="323"/>
    </row>
    <row r="88" spans="1:3" x14ac:dyDescent="0.25">
      <c r="A88" s="317">
        <v>83</v>
      </c>
      <c r="B88" s="307"/>
      <c r="C88" s="323"/>
    </row>
    <row r="89" spans="1:3" x14ac:dyDescent="0.25">
      <c r="A89" s="317">
        <v>84</v>
      </c>
      <c r="B89" s="828" t="s">
        <v>334</v>
      </c>
      <c r="C89" s="291"/>
    </row>
    <row r="90" spans="1:3" x14ac:dyDescent="0.25">
      <c r="A90" s="317">
        <v>85</v>
      </c>
      <c r="B90" s="380" t="s">
        <v>335</v>
      </c>
      <c r="C90" s="328"/>
    </row>
    <row r="91" spans="1:3" x14ac:dyDescent="0.25">
      <c r="A91" s="271">
        <v>86</v>
      </c>
      <c r="B91" s="159"/>
      <c r="C91" s="159"/>
    </row>
    <row r="92" spans="1:3" x14ac:dyDescent="0.25">
      <c r="A92" s="317">
        <v>87</v>
      </c>
      <c r="B92" s="484" t="s">
        <v>336</v>
      </c>
      <c r="C92" s="749"/>
    </row>
    <row r="93" spans="1:3" x14ac:dyDescent="0.25">
      <c r="A93" s="317">
        <v>88</v>
      </c>
      <c r="B93" s="344" t="s">
        <v>337</v>
      </c>
      <c r="C93" s="323"/>
    </row>
    <row r="94" spans="1:3" x14ac:dyDescent="0.25">
      <c r="A94" s="317">
        <v>89</v>
      </c>
      <c r="B94" s="180" t="s">
        <v>338</v>
      </c>
      <c r="C94" s="323"/>
    </row>
    <row r="95" spans="1:3" x14ac:dyDescent="0.25">
      <c r="A95" s="317">
        <v>90</v>
      </c>
      <c r="B95" s="380" t="s">
        <v>339</v>
      </c>
      <c r="C95" s="312"/>
    </row>
    <row r="96" spans="1:3" x14ac:dyDescent="0.25">
      <c r="A96" s="317">
        <v>91</v>
      </c>
      <c r="B96" s="381" t="s">
        <v>340</v>
      </c>
      <c r="C96" s="350"/>
    </row>
    <row r="97" spans="1:3" x14ac:dyDescent="0.25">
      <c r="A97" s="317">
        <v>92</v>
      </c>
      <c r="B97" s="306" t="s">
        <v>341</v>
      </c>
      <c r="C97" s="324"/>
    </row>
    <row r="98" spans="1:3" x14ac:dyDescent="0.25">
      <c r="A98" s="317">
        <v>93</v>
      </c>
      <c r="B98" s="382" t="s">
        <v>342</v>
      </c>
      <c r="C98" s="324"/>
    </row>
    <row r="99" spans="1:3" x14ac:dyDescent="0.25">
      <c r="A99" s="317">
        <v>94</v>
      </c>
      <c r="B99" s="383" t="s">
        <v>343</v>
      </c>
      <c r="C99" s="350"/>
    </row>
    <row r="100" spans="1:3" x14ac:dyDescent="0.25">
      <c r="A100" s="317">
        <v>95</v>
      </c>
      <c r="B100" s="308" t="s">
        <v>344</v>
      </c>
      <c r="C100" s="324"/>
    </row>
    <row r="101" spans="1:3" x14ac:dyDescent="0.25">
      <c r="A101" s="317">
        <v>96</v>
      </c>
      <c r="B101" s="346"/>
      <c r="C101" s="347"/>
    </row>
    <row r="102" spans="1:3" x14ac:dyDescent="0.25">
      <c r="A102" s="317">
        <v>97</v>
      </c>
      <c r="B102" s="829" t="s">
        <v>345</v>
      </c>
      <c r="C102" s="830"/>
    </row>
    <row r="103" spans="1:3" x14ac:dyDescent="0.25">
      <c r="A103" s="317">
        <v>98</v>
      </c>
      <c r="B103" s="180" t="s">
        <v>346</v>
      </c>
      <c r="C103" s="345"/>
    </row>
    <row r="104" spans="1:3" x14ac:dyDescent="0.25">
      <c r="A104" s="317">
        <v>99</v>
      </c>
      <c r="B104" s="180" t="s">
        <v>347</v>
      </c>
      <c r="C104" s="323"/>
    </row>
    <row r="105" spans="1:3" x14ac:dyDescent="0.25">
      <c r="A105" s="317">
        <v>100</v>
      </c>
      <c r="B105" s="180" t="s">
        <v>348</v>
      </c>
      <c r="C105" s="323"/>
    </row>
    <row r="106" spans="1:3" x14ac:dyDescent="0.25">
      <c r="A106" s="317">
        <v>101</v>
      </c>
      <c r="B106" s="212" t="s">
        <v>349</v>
      </c>
      <c r="C106" s="312"/>
    </row>
    <row r="107" spans="1:3" x14ac:dyDescent="0.25">
      <c r="A107" s="317">
        <v>102</v>
      </c>
      <c r="B107" s="306" t="s">
        <v>350</v>
      </c>
      <c r="C107" s="312"/>
    </row>
    <row r="108" spans="1:3" x14ac:dyDescent="0.25">
      <c r="A108" s="317">
        <v>103</v>
      </c>
      <c r="B108" s="381" t="s">
        <v>351</v>
      </c>
      <c r="C108" s="350"/>
    </row>
    <row r="109" spans="1:3" x14ac:dyDescent="0.25">
      <c r="A109" s="317">
        <v>104</v>
      </c>
      <c r="B109" s="306" t="s">
        <v>352</v>
      </c>
      <c r="C109" s="324"/>
    </row>
    <row r="110" spans="1:3" x14ac:dyDescent="0.25">
      <c r="A110" s="317">
        <v>105</v>
      </c>
      <c r="B110" s="384" t="s">
        <v>353</v>
      </c>
      <c r="C110" s="324"/>
    </row>
    <row r="111" spans="1:3" x14ac:dyDescent="0.25">
      <c r="A111" s="317">
        <v>106</v>
      </c>
      <c r="B111" s="385" t="s">
        <v>354</v>
      </c>
      <c r="C111" s="324"/>
    </row>
    <row r="112" spans="1:3" x14ac:dyDescent="0.25">
      <c r="A112" s="317">
        <v>107</v>
      </c>
      <c r="B112" s="383" t="s">
        <v>355</v>
      </c>
      <c r="C112" s="350"/>
    </row>
    <row r="113" spans="1:3" x14ac:dyDescent="0.25">
      <c r="A113" s="317">
        <v>108</v>
      </c>
      <c r="B113" s="308" t="s">
        <v>344</v>
      </c>
      <c r="C113" s="345"/>
    </row>
    <row r="114" spans="1:3" x14ac:dyDescent="0.25">
      <c r="A114" s="317">
        <v>109</v>
      </c>
      <c r="B114" s="480" t="s">
        <v>122</v>
      </c>
      <c r="C114" s="483"/>
    </row>
    <row r="115" spans="1:3" x14ac:dyDescent="0.25">
      <c r="A115" s="317">
        <v>110</v>
      </c>
      <c r="B115" s="831"/>
      <c r="C115" s="832"/>
    </row>
    <row r="116" spans="1:3" x14ac:dyDescent="0.25">
      <c r="A116" s="317">
        <v>111</v>
      </c>
      <c r="B116" s="820" t="s">
        <v>43</v>
      </c>
      <c r="C116" s="833"/>
    </row>
    <row r="117" spans="1:3" x14ac:dyDescent="0.25">
      <c r="A117" s="317">
        <v>112</v>
      </c>
      <c r="B117" s="808"/>
      <c r="C117" s="159"/>
    </row>
    <row r="118" spans="1:3" x14ac:dyDescent="0.25">
      <c r="A118" s="357">
        <v>113</v>
      </c>
      <c r="B118" s="746" t="s">
        <v>135</v>
      </c>
      <c r="C118" s="728"/>
    </row>
    <row r="119" spans="1:3" x14ac:dyDescent="0.25">
      <c r="A119" s="317">
        <v>114</v>
      </c>
      <c r="B119" s="159"/>
      <c r="C119" s="159"/>
    </row>
  </sheetData>
  <mergeCells count="2">
    <mergeCell ref="A2:B4"/>
    <mergeCell ref="A1:C1"/>
  </mergeCells>
  <pageMargins left="0.7" right="0.7" top="1.0520833333333333" bottom="0.75" header="0.3" footer="0.3"/>
  <pageSetup scale="73" orientation="portrait" r:id="rId1"/>
  <headerFooter>
    <oddHeader>&amp;L&amp;G&amp;C(ENTER PROJECT NAME)&amp;R&amp;D</oddHeader>
    <oddFooter>&amp;C&amp;P OF &amp;N</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B706-E055-4A2E-A22C-FDDA8920B790}">
  <dimension ref="A1:C56"/>
  <sheetViews>
    <sheetView view="pageBreakPreview" zoomScale="60" zoomScaleNormal="100" workbookViewId="0">
      <selection activeCell="B22" sqref="B22"/>
    </sheetView>
  </sheetViews>
  <sheetFormatPr defaultRowHeight="15" x14ac:dyDescent="0.25"/>
  <cols>
    <col min="1" max="1" width="4.42578125" bestFit="1" customWidth="1"/>
    <col min="2" max="2" width="82.5703125" customWidth="1"/>
    <col min="3" max="3" width="36.28515625" customWidth="1"/>
  </cols>
  <sheetData>
    <row r="1" spans="1:3" ht="15.75" x14ac:dyDescent="0.25">
      <c r="A1" s="1078" t="s">
        <v>14</v>
      </c>
      <c r="B1" s="1078"/>
      <c r="C1" s="1079"/>
    </row>
    <row r="2" spans="1:3" x14ac:dyDescent="0.25">
      <c r="A2" s="1080" t="s">
        <v>356</v>
      </c>
      <c r="B2" s="1081"/>
      <c r="C2" s="128" t="s">
        <v>64</v>
      </c>
    </row>
    <row r="3" spans="1:3" x14ac:dyDescent="0.25">
      <c r="A3" s="1082"/>
      <c r="B3" s="1082"/>
      <c r="C3" s="128" t="s">
        <v>65</v>
      </c>
    </row>
    <row r="4" spans="1:3" x14ac:dyDescent="0.25">
      <c r="A4" s="1082"/>
      <c r="B4" s="1083"/>
      <c r="C4" s="128" t="s">
        <v>66</v>
      </c>
    </row>
    <row r="5" spans="1:3" x14ac:dyDescent="0.25">
      <c r="A5" s="319"/>
      <c r="B5" s="268" t="s">
        <v>20</v>
      </c>
      <c r="C5" s="320" t="s">
        <v>19</v>
      </c>
    </row>
    <row r="6" spans="1:3" ht="47.25" customHeight="1" x14ac:dyDescent="0.25">
      <c r="A6" s="781"/>
      <c r="B6" s="782"/>
      <c r="C6" s="783" t="s">
        <v>67</v>
      </c>
    </row>
    <row r="7" spans="1:3" ht="15.75" customHeight="1" x14ac:dyDescent="0.25">
      <c r="A7" s="784">
        <v>1</v>
      </c>
      <c r="B7" s="785" t="s">
        <v>21</v>
      </c>
      <c r="C7" s="786"/>
    </row>
    <row r="8" spans="1:3" x14ac:dyDescent="0.25">
      <c r="A8" s="784">
        <v>2</v>
      </c>
      <c r="B8" s="549" t="s">
        <v>22</v>
      </c>
      <c r="C8" s="786"/>
    </row>
    <row r="9" spans="1:3" x14ac:dyDescent="0.25">
      <c r="A9" s="784">
        <v>3</v>
      </c>
      <c r="B9" s="787" t="s">
        <v>23</v>
      </c>
      <c r="C9" s="788"/>
    </row>
    <row r="10" spans="1:3" x14ac:dyDescent="0.25">
      <c r="A10" s="784">
        <v>4</v>
      </c>
      <c r="B10" s="787" t="s">
        <v>24</v>
      </c>
      <c r="C10" s="788"/>
    </row>
    <row r="11" spans="1:3" x14ac:dyDescent="0.25">
      <c r="A11" s="784">
        <v>5</v>
      </c>
      <c r="B11" s="787" t="s">
        <v>25</v>
      </c>
      <c r="C11" s="788"/>
    </row>
    <row r="12" spans="1:3" x14ac:dyDescent="0.25">
      <c r="A12" s="784">
        <v>6</v>
      </c>
      <c r="B12" s="787" t="s">
        <v>26</v>
      </c>
      <c r="C12" s="788"/>
    </row>
    <row r="13" spans="1:3" x14ac:dyDescent="0.25">
      <c r="A13" s="784">
        <v>7</v>
      </c>
      <c r="B13" s="787" t="s">
        <v>27</v>
      </c>
      <c r="C13" s="788"/>
    </row>
    <row r="14" spans="1:3" x14ac:dyDescent="0.25">
      <c r="A14" s="784">
        <v>8</v>
      </c>
      <c r="B14" s="787" t="s">
        <v>28</v>
      </c>
      <c r="C14" s="788"/>
    </row>
    <row r="15" spans="1:3" ht="29.25" customHeight="1" x14ac:dyDescent="0.25">
      <c r="A15" s="784">
        <v>9</v>
      </c>
      <c r="B15" s="789" t="s">
        <v>138</v>
      </c>
      <c r="C15" s="788"/>
    </row>
    <row r="16" spans="1:3" ht="16.5" customHeight="1" x14ac:dyDescent="0.25">
      <c r="A16" s="790">
        <v>10</v>
      </c>
      <c r="B16" s="547" t="s">
        <v>271</v>
      </c>
      <c r="C16" s="791"/>
    </row>
    <row r="17" spans="1:3" ht="15" customHeight="1" x14ac:dyDescent="0.25">
      <c r="A17" s="790">
        <v>11</v>
      </c>
      <c r="B17" s="547" t="s">
        <v>272</v>
      </c>
      <c r="C17" s="791"/>
    </row>
    <row r="18" spans="1:3" x14ac:dyDescent="0.25">
      <c r="A18" s="784">
        <v>12</v>
      </c>
      <c r="B18" s="792" t="s">
        <v>273</v>
      </c>
      <c r="C18" s="788"/>
    </row>
    <row r="19" spans="1:3" x14ac:dyDescent="0.25">
      <c r="A19" s="784">
        <v>13</v>
      </c>
      <c r="B19" s="793" t="s">
        <v>274</v>
      </c>
      <c r="C19" s="788"/>
    </row>
    <row r="20" spans="1:3" x14ac:dyDescent="0.25">
      <c r="A20" s="784">
        <v>14</v>
      </c>
      <c r="B20" s="793" t="s">
        <v>275</v>
      </c>
      <c r="C20" s="788"/>
    </row>
    <row r="21" spans="1:3" x14ac:dyDescent="0.25">
      <c r="A21" s="784">
        <v>15</v>
      </c>
      <c r="B21" s="793" t="s">
        <v>276</v>
      </c>
      <c r="C21" s="788"/>
    </row>
    <row r="22" spans="1:3" x14ac:dyDescent="0.25">
      <c r="A22" s="784">
        <v>16</v>
      </c>
      <c r="B22" s="793" t="s">
        <v>277</v>
      </c>
      <c r="C22" s="788"/>
    </row>
    <row r="23" spans="1:3" x14ac:dyDescent="0.25">
      <c r="A23" s="784">
        <v>17</v>
      </c>
      <c r="B23" s="793" t="s">
        <v>278</v>
      </c>
      <c r="C23" s="788"/>
    </row>
    <row r="24" spans="1:3" x14ac:dyDescent="0.25">
      <c r="A24" s="784">
        <v>18</v>
      </c>
      <c r="B24" s="793" t="s">
        <v>279</v>
      </c>
      <c r="C24" s="788"/>
    </row>
    <row r="25" spans="1:3" x14ac:dyDescent="0.25">
      <c r="A25" s="784">
        <v>19</v>
      </c>
      <c r="B25" s="793" t="s">
        <v>280</v>
      </c>
      <c r="C25" s="788"/>
    </row>
    <row r="26" spans="1:3" x14ac:dyDescent="0.25">
      <c r="A26" s="784">
        <v>20</v>
      </c>
      <c r="B26" s="793" t="s">
        <v>281</v>
      </c>
      <c r="C26" s="788"/>
    </row>
    <row r="27" spans="1:3" x14ac:dyDescent="0.25">
      <c r="A27" s="784">
        <v>21</v>
      </c>
      <c r="B27" s="794" t="s">
        <v>282</v>
      </c>
      <c r="C27" s="795"/>
    </row>
    <row r="28" spans="1:3" x14ac:dyDescent="0.25">
      <c r="A28" s="784">
        <v>22</v>
      </c>
      <c r="B28" s="796" t="s">
        <v>283</v>
      </c>
      <c r="C28" s="795"/>
    </row>
    <row r="29" spans="1:3" x14ac:dyDescent="0.25">
      <c r="A29" s="784">
        <v>23</v>
      </c>
      <c r="B29" s="797" t="s">
        <v>284</v>
      </c>
      <c r="C29" s="795"/>
    </row>
    <row r="30" spans="1:3" x14ac:dyDescent="0.25">
      <c r="A30" s="784">
        <v>24</v>
      </c>
      <c r="B30" s="797" t="s">
        <v>285</v>
      </c>
      <c r="C30" s="795"/>
    </row>
    <row r="31" spans="1:3" x14ac:dyDescent="0.25">
      <c r="A31" s="784">
        <v>25</v>
      </c>
      <c r="B31" s="798" t="s">
        <v>286</v>
      </c>
      <c r="C31" s="795"/>
    </row>
    <row r="32" spans="1:3" x14ac:dyDescent="0.25">
      <c r="A32" s="784">
        <v>26</v>
      </c>
      <c r="B32" s="796" t="s">
        <v>287</v>
      </c>
      <c r="C32" s="795"/>
    </row>
    <row r="33" spans="1:3" x14ac:dyDescent="0.25">
      <c r="A33" s="784">
        <v>28</v>
      </c>
      <c r="B33" s="793" t="s">
        <v>288</v>
      </c>
      <c r="C33" s="788"/>
    </row>
    <row r="34" spans="1:3" x14ac:dyDescent="0.25">
      <c r="A34" s="784">
        <v>29</v>
      </c>
      <c r="B34" s="799" t="s">
        <v>29</v>
      </c>
      <c r="C34" s="788"/>
    </row>
    <row r="35" spans="1:3" x14ac:dyDescent="0.25">
      <c r="A35" s="784">
        <v>30</v>
      </c>
      <c r="B35" s="787" t="s">
        <v>289</v>
      </c>
      <c r="C35" s="800"/>
    </row>
    <row r="36" spans="1:3" x14ac:dyDescent="0.25">
      <c r="A36" s="784">
        <v>31</v>
      </c>
      <c r="B36" s="787" t="s">
        <v>30</v>
      </c>
      <c r="C36" s="800"/>
    </row>
    <row r="37" spans="1:3" x14ac:dyDescent="0.25">
      <c r="A37" s="784">
        <v>32</v>
      </c>
      <c r="B37" s="787" t="s">
        <v>290</v>
      </c>
      <c r="C37" s="800"/>
    </row>
    <row r="38" spans="1:3" x14ac:dyDescent="0.25">
      <c r="A38" s="784">
        <v>33</v>
      </c>
      <c r="B38" s="801" t="s">
        <v>291</v>
      </c>
      <c r="C38" s="800"/>
    </row>
    <row r="39" spans="1:3" x14ac:dyDescent="0.25">
      <c r="A39" s="784">
        <v>34</v>
      </c>
      <c r="B39" s="549" t="s">
        <v>292</v>
      </c>
      <c r="C39" s="802"/>
    </row>
    <row r="40" spans="1:3" x14ac:dyDescent="0.25">
      <c r="A40" s="784">
        <v>35</v>
      </c>
      <c r="B40" s="803" t="s">
        <v>293</v>
      </c>
      <c r="C40" s="804"/>
    </row>
    <row r="41" spans="1:3" x14ac:dyDescent="0.25">
      <c r="A41" s="805">
        <v>36</v>
      </c>
      <c r="B41" s="806"/>
      <c r="C41" s="807"/>
    </row>
    <row r="42" spans="1:3" x14ac:dyDescent="0.25">
      <c r="A42" s="784">
        <v>37</v>
      </c>
      <c r="B42" s="808"/>
      <c r="C42" s="808"/>
    </row>
    <row r="43" spans="1:3" x14ac:dyDescent="0.25">
      <c r="A43" s="805">
        <v>38</v>
      </c>
      <c r="B43" s="809" t="s">
        <v>357</v>
      </c>
      <c r="C43" s="810"/>
    </row>
    <row r="44" spans="1:3" x14ac:dyDescent="0.25">
      <c r="A44" s="784">
        <v>39</v>
      </c>
      <c r="B44" s="811"/>
      <c r="C44" s="812"/>
    </row>
    <row r="45" spans="1:3" x14ac:dyDescent="0.25">
      <c r="A45" s="805">
        <v>40</v>
      </c>
      <c r="B45" s="751" t="s">
        <v>358</v>
      </c>
      <c r="C45" s="812"/>
    </row>
    <row r="46" spans="1:3" x14ac:dyDescent="0.25">
      <c r="A46" s="784">
        <v>41</v>
      </c>
      <c r="B46" s="751" t="s">
        <v>359</v>
      </c>
      <c r="C46" s="812"/>
    </row>
    <row r="47" spans="1:3" x14ac:dyDescent="0.25">
      <c r="A47" s="805">
        <v>42</v>
      </c>
      <c r="B47" s="813" t="s">
        <v>360</v>
      </c>
      <c r="C47" s="812"/>
    </row>
    <row r="48" spans="1:3" x14ac:dyDescent="0.25">
      <c r="A48" s="784">
        <v>43</v>
      </c>
      <c r="B48" s="813" t="s">
        <v>361</v>
      </c>
      <c r="C48" s="812"/>
    </row>
    <row r="49" spans="1:3" x14ac:dyDescent="0.25">
      <c r="A49" s="805">
        <v>44</v>
      </c>
      <c r="B49" s="813" t="s">
        <v>362</v>
      </c>
      <c r="C49" s="812"/>
    </row>
    <row r="50" spans="1:3" x14ac:dyDescent="0.25">
      <c r="A50" s="805">
        <v>45</v>
      </c>
      <c r="B50" s="813" t="s">
        <v>363</v>
      </c>
      <c r="C50" s="814"/>
    </row>
    <row r="51" spans="1:3" x14ac:dyDescent="0.25">
      <c r="A51" s="784">
        <v>46</v>
      </c>
      <c r="B51" s="815" t="s">
        <v>364</v>
      </c>
      <c r="C51" s="788"/>
    </row>
    <row r="52" spans="1:3" x14ac:dyDescent="0.25">
      <c r="A52" s="805">
        <v>47</v>
      </c>
      <c r="B52" s="816" t="s">
        <v>122</v>
      </c>
      <c r="C52" s="817"/>
    </row>
    <row r="53" spans="1:3" x14ac:dyDescent="0.25">
      <c r="A53" s="805">
        <v>48</v>
      </c>
      <c r="B53" s="818"/>
      <c r="C53" s="819"/>
    </row>
    <row r="54" spans="1:3" x14ac:dyDescent="0.25">
      <c r="A54" s="805">
        <v>49</v>
      </c>
      <c r="B54" s="820" t="s">
        <v>43</v>
      </c>
      <c r="C54" s="821"/>
    </row>
    <row r="55" spans="1:3" x14ac:dyDescent="0.25">
      <c r="A55" s="805">
        <v>50</v>
      </c>
      <c r="B55" s="159"/>
      <c r="C55" s="159"/>
    </row>
    <row r="56" spans="1:3" x14ac:dyDescent="0.25">
      <c r="A56" s="784">
        <v>51</v>
      </c>
      <c r="B56" s="822" t="s">
        <v>135</v>
      </c>
      <c r="C56" s="754"/>
    </row>
  </sheetData>
  <mergeCells count="2">
    <mergeCell ref="A2:B4"/>
    <mergeCell ref="A1:C1"/>
  </mergeCells>
  <pageMargins left="0.7" right="0.7" top="1.0520833333333333" bottom="0.75" header="0.3" footer="0.3"/>
  <pageSetup scale="68" orientation="portrait" r:id="rId1"/>
  <headerFooter>
    <oddHeader>&amp;L&amp;G&amp;C(ENTER PROJECT NAME)&amp;R&amp;D</oddHeader>
    <oddFooter>&amp;C&amp;P OF &amp;N</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E003-F791-43EF-94B9-BCF5526CAB51}">
  <dimension ref="A1:C51"/>
  <sheetViews>
    <sheetView view="pageBreakPreview" zoomScale="60" zoomScaleNormal="100" workbookViewId="0">
      <selection activeCell="F32" sqref="F32"/>
    </sheetView>
  </sheetViews>
  <sheetFormatPr defaultRowHeight="15.75" x14ac:dyDescent="0.25"/>
  <cols>
    <col min="1" max="1" width="4" style="218" customWidth="1"/>
    <col min="2" max="2" width="77.42578125" style="21" customWidth="1"/>
    <col min="3" max="3" width="21.7109375" style="29" customWidth="1"/>
    <col min="4" max="252" width="9.140625" style="21"/>
    <col min="253" max="253" width="4" style="21" customWidth="1"/>
    <col min="254" max="254" width="56.28515625" style="21" customWidth="1"/>
    <col min="255" max="255" width="10" style="21" customWidth="1"/>
    <col min="256" max="256" width="23.28515625" style="21" customWidth="1"/>
    <col min="257" max="257" width="22.140625" style="21" customWidth="1"/>
    <col min="258" max="259" width="22.28515625" style="21" customWidth="1"/>
    <col min="260" max="508" width="9.140625" style="21"/>
    <col min="509" max="509" width="4" style="21" customWidth="1"/>
    <col min="510" max="510" width="56.28515625" style="21" customWidth="1"/>
    <col min="511" max="511" width="10" style="21" customWidth="1"/>
    <col min="512" max="512" width="23.28515625" style="21" customWidth="1"/>
    <col min="513" max="513" width="22.140625" style="21" customWidth="1"/>
    <col min="514" max="515" width="22.28515625" style="21" customWidth="1"/>
    <col min="516" max="764" width="9.140625" style="21"/>
    <col min="765" max="765" width="4" style="21" customWidth="1"/>
    <col min="766" max="766" width="56.28515625" style="21" customWidth="1"/>
    <col min="767" max="767" width="10" style="21" customWidth="1"/>
    <col min="768" max="768" width="23.28515625" style="21" customWidth="1"/>
    <col min="769" max="769" width="22.140625" style="21" customWidth="1"/>
    <col min="770" max="771" width="22.28515625" style="21" customWidth="1"/>
    <col min="772" max="1020" width="9.140625" style="21"/>
    <col min="1021" max="1021" width="4" style="21" customWidth="1"/>
    <col min="1022" max="1022" width="56.28515625" style="21" customWidth="1"/>
    <col min="1023" max="1023" width="10" style="21" customWidth="1"/>
    <col min="1024" max="1024" width="23.28515625" style="21" customWidth="1"/>
    <col min="1025" max="1025" width="22.140625" style="21" customWidth="1"/>
    <col min="1026" max="1027" width="22.28515625" style="21" customWidth="1"/>
    <col min="1028" max="1276" width="9.140625" style="21"/>
    <col min="1277" max="1277" width="4" style="21" customWidth="1"/>
    <col min="1278" max="1278" width="56.28515625" style="21" customWidth="1"/>
    <col min="1279" max="1279" width="10" style="21" customWidth="1"/>
    <col min="1280" max="1280" width="23.28515625" style="21" customWidth="1"/>
    <col min="1281" max="1281" width="22.140625" style="21" customWidth="1"/>
    <col min="1282" max="1283" width="22.28515625" style="21" customWidth="1"/>
    <col min="1284" max="1532" width="9.140625" style="21"/>
    <col min="1533" max="1533" width="4" style="21" customWidth="1"/>
    <col min="1534" max="1534" width="56.28515625" style="21" customWidth="1"/>
    <col min="1535" max="1535" width="10" style="21" customWidth="1"/>
    <col min="1536" max="1536" width="23.28515625" style="21" customWidth="1"/>
    <col min="1537" max="1537" width="22.140625" style="21" customWidth="1"/>
    <col min="1538" max="1539" width="22.28515625" style="21" customWidth="1"/>
    <col min="1540" max="1788" width="9.140625" style="21"/>
    <col min="1789" max="1789" width="4" style="21" customWidth="1"/>
    <col min="1790" max="1790" width="56.28515625" style="21" customWidth="1"/>
    <col min="1791" max="1791" width="10" style="21" customWidth="1"/>
    <col min="1792" max="1792" width="23.28515625" style="21" customWidth="1"/>
    <col min="1793" max="1793" width="22.140625" style="21" customWidth="1"/>
    <col min="1794" max="1795" width="22.28515625" style="21" customWidth="1"/>
    <col min="1796" max="2044" width="9.140625" style="21"/>
    <col min="2045" max="2045" width="4" style="21" customWidth="1"/>
    <col min="2046" max="2046" width="56.28515625" style="21" customWidth="1"/>
    <col min="2047" max="2047" width="10" style="21" customWidth="1"/>
    <col min="2048" max="2048" width="23.28515625" style="21" customWidth="1"/>
    <col min="2049" max="2049" width="22.140625" style="21" customWidth="1"/>
    <col min="2050" max="2051" width="22.28515625" style="21" customWidth="1"/>
    <col min="2052" max="2300" width="9.140625" style="21"/>
    <col min="2301" max="2301" width="4" style="21" customWidth="1"/>
    <col min="2302" max="2302" width="56.28515625" style="21" customWidth="1"/>
    <col min="2303" max="2303" width="10" style="21" customWidth="1"/>
    <col min="2304" max="2304" width="23.28515625" style="21" customWidth="1"/>
    <col min="2305" max="2305" width="22.140625" style="21" customWidth="1"/>
    <col min="2306" max="2307" width="22.28515625" style="21" customWidth="1"/>
    <col min="2308" max="2556" width="9.140625" style="21"/>
    <col min="2557" max="2557" width="4" style="21" customWidth="1"/>
    <col min="2558" max="2558" width="56.28515625" style="21" customWidth="1"/>
    <col min="2559" max="2559" width="10" style="21" customWidth="1"/>
    <col min="2560" max="2560" width="23.28515625" style="21" customWidth="1"/>
    <col min="2561" max="2561" width="22.140625" style="21" customWidth="1"/>
    <col min="2562" max="2563" width="22.28515625" style="21" customWidth="1"/>
    <col min="2564" max="2812" width="9.140625" style="21"/>
    <col min="2813" max="2813" width="4" style="21" customWidth="1"/>
    <col min="2814" max="2814" width="56.28515625" style="21" customWidth="1"/>
    <col min="2815" max="2815" width="10" style="21" customWidth="1"/>
    <col min="2816" max="2816" width="23.28515625" style="21" customWidth="1"/>
    <col min="2817" max="2817" width="22.140625" style="21" customWidth="1"/>
    <col min="2818" max="2819" width="22.28515625" style="21" customWidth="1"/>
    <col min="2820" max="3068" width="9.140625" style="21"/>
    <col min="3069" max="3069" width="4" style="21" customWidth="1"/>
    <col min="3070" max="3070" width="56.28515625" style="21" customWidth="1"/>
    <col min="3071" max="3071" width="10" style="21" customWidth="1"/>
    <col min="3072" max="3072" width="23.28515625" style="21" customWidth="1"/>
    <col min="3073" max="3073" width="22.140625" style="21" customWidth="1"/>
    <col min="3074" max="3075" width="22.28515625" style="21" customWidth="1"/>
    <col min="3076" max="3324" width="9.140625" style="21"/>
    <col min="3325" max="3325" width="4" style="21" customWidth="1"/>
    <col min="3326" max="3326" width="56.28515625" style="21" customWidth="1"/>
    <col min="3327" max="3327" width="10" style="21" customWidth="1"/>
    <col min="3328" max="3328" width="23.28515625" style="21" customWidth="1"/>
    <col min="3329" max="3329" width="22.140625" style="21" customWidth="1"/>
    <col min="3330" max="3331" width="22.28515625" style="21" customWidth="1"/>
    <col min="3332" max="3580" width="9.140625" style="21"/>
    <col min="3581" max="3581" width="4" style="21" customWidth="1"/>
    <col min="3582" max="3582" width="56.28515625" style="21" customWidth="1"/>
    <col min="3583" max="3583" width="10" style="21" customWidth="1"/>
    <col min="3584" max="3584" width="23.28515625" style="21" customWidth="1"/>
    <col min="3585" max="3585" width="22.140625" style="21" customWidth="1"/>
    <col min="3586" max="3587" width="22.28515625" style="21" customWidth="1"/>
    <col min="3588" max="3836" width="9.140625" style="21"/>
    <col min="3837" max="3837" width="4" style="21" customWidth="1"/>
    <col min="3838" max="3838" width="56.28515625" style="21" customWidth="1"/>
    <col min="3839" max="3839" width="10" style="21" customWidth="1"/>
    <col min="3840" max="3840" width="23.28515625" style="21" customWidth="1"/>
    <col min="3841" max="3841" width="22.140625" style="21" customWidth="1"/>
    <col min="3842" max="3843" width="22.28515625" style="21" customWidth="1"/>
    <col min="3844" max="4092" width="9.140625" style="21"/>
    <col min="4093" max="4093" width="4" style="21" customWidth="1"/>
    <col min="4094" max="4094" width="56.28515625" style="21" customWidth="1"/>
    <col min="4095" max="4095" width="10" style="21" customWidth="1"/>
    <col min="4096" max="4096" width="23.28515625" style="21" customWidth="1"/>
    <col min="4097" max="4097" width="22.140625" style="21" customWidth="1"/>
    <col min="4098" max="4099" width="22.28515625" style="21" customWidth="1"/>
    <col min="4100" max="4348" width="9.140625" style="21"/>
    <col min="4349" max="4349" width="4" style="21" customWidth="1"/>
    <col min="4350" max="4350" width="56.28515625" style="21" customWidth="1"/>
    <col min="4351" max="4351" width="10" style="21" customWidth="1"/>
    <col min="4352" max="4352" width="23.28515625" style="21" customWidth="1"/>
    <col min="4353" max="4353" width="22.140625" style="21" customWidth="1"/>
    <col min="4354" max="4355" width="22.28515625" style="21" customWidth="1"/>
    <col min="4356" max="4604" width="9.140625" style="21"/>
    <col min="4605" max="4605" width="4" style="21" customWidth="1"/>
    <col min="4606" max="4606" width="56.28515625" style="21" customWidth="1"/>
    <col min="4607" max="4607" width="10" style="21" customWidth="1"/>
    <col min="4608" max="4608" width="23.28515625" style="21" customWidth="1"/>
    <col min="4609" max="4609" width="22.140625" style="21" customWidth="1"/>
    <col min="4610" max="4611" width="22.28515625" style="21" customWidth="1"/>
    <col min="4612" max="4860" width="9.140625" style="21"/>
    <col min="4861" max="4861" width="4" style="21" customWidth="1"/>
    <col min="4862" max="4862" width="56.28515625" style="21" customWidth="1"/>
    <col min="4863" max="4863" width="10" style="21" customWidth="1"/>
    <col min="4864" max="4864" width="23.28515625" style="21" customWidth="1"/>
    <col min="4865" max="4865" width="22.140625" style="21" customWidth="1"/>
    <col min="4866" max="4867" width="22.28515625" style="21" customWidth="1"/>
    <col min="4868" max="5116" width="9.140625" style="21"/>
    <col min="5117" max="5117" width="4" style="21" customWidth="1"/>
    <col min="5118" max="5118" width="56.28515625" style="21" customWidth="1"/>
    <col min="5119" max="5119" width="10" style="21" customWidth="1"/>
    <col min="5120" max="5120" width="23.28515625" style="21" customWidth="1"/>
    <col min="5121" max="5121" width="22.140625" style="21" customWidth="1"/>
    <col min="5122" max="5123" width="22.28515625" style="21" customWidth="1"/>
    <col min="5124" max="5372" width="9.140625" style="21"/>
    <col min="5373" max="5373" width="4" style="21" customWidth="1"/>
    <col min="5374" max="5374" width="56.28515625" style="21" customWidth="1"/>
    <col min="5375" max="5375" width="10" style="21" customWidth="1"/>
    <col min="5376" max="5376" width="23.28515625" style="21" customWidth="1"/>
    <col min="5377" max="5377" width="22.140625" style="21" customWidth="1"/>
    <col min="5378" max="5379" width="22.28515625" style="21" customWidth="1"/>
    <col min="5380" max="5628" width="9.140625" style="21"/>
    <col min="5629" max="5629" width="4" style="21" customWidth="1"/>
    <col min="5630" max="5630" width="56.28515625" style="21" customWidth="1"/>
    <col min="5631" max="5631" width="10" style="21" customWidth="1"/>
    <col min="5632" max="5632" width="23.28515625" style="21" customWidth="1"/>
    <col min="5633" max="5633" width="22.140625" style="21" customWidth="1"/>
    <col min="5634" max="5635" width="22.28515625" style="21" customWidth="1"/>
    <col min="5636" max="5884" width="9.140625" style="21"/>
    <col min="5885" max="5885" width="4" style="21" customWidth="1"/>
    <col min="5886" max="5886" width="56.28515625" style="21" customWidth="1"/>
    <col min="5887" max="5887" width="10" style="21" customWidth="1"/>
    <col min="5888" max="5888" width="23.28515625" style="21" customWidth="1"/>
    <col min="5889" max="5889" width="22.140625" style="21" customWidth="1"/>
    <col min="5890" max="5891" width="22.28515625" style="21" customWidth="1"/>
    <col min="5892" max="6140" width="9.140625" style="21"/>
    <col min="6141" max="6141" width="4" style="21" customWidth="1"/>
    <col min="6142" max="6142" width="56.28515625" style="21" customWidth="1"/>
    <col min="6143" max="6143" width="10" style="21" customWidth="1"/>
    <col min="6144" max="6144" width="23.28515625" style="21" customWidth="1"/>
    <col min="6145" max="6145" width="22.140625" style="21" customWidth="1"/>
    <col min="6146" max="6147" width="22.28515625" style="21" customWidth="1"/>
    <col min="6148" max="6396" width="9.140625" style="21"/>
    <col min="6397" max="6397" width="4" style="21" customWidth="1"/>
    <col min="6398" max="6398" width="56.28515625" style="21" customWidth="1"/>
    <col min="6399" max="6399" width="10" style="21" customWidth="1"/>
    <col min="6400" max="6400" width="23.28515625" style="21" customWidth="1"/>
    <col min="6401" max="6401" width="22.140625" style="21" customWidth="1"/>
    <col min="6402" max="6403" width="22.28515625" style="21" customWidth="1"/>
    <col min="6404" max="6652" width="9.140625" style="21"/>
    <col min="6653" max="6653" width="4" style="21" customWidth="1"/>
    <col min="6654" max="6654" width="56.28515625" style="21" customWidth="1"/>
    <col min="6655" max="6655" width="10" style="21" customWidth="1"/>
    <col min="6656" max="6656" width="23.28515625" style="21" customWidth="1"/>
    <col min="6657" max="6657" width="22.140625" style="21" customWidth="1"/>
    <col min="6658" max="6659" width="22.28515625" style="21" customWidth="1"/>
    <col min="6660" max="6908" width="9.140625" style="21"/>
    <col min="6909" max="6909" width="4" style="21" customWidth="1"/>
    <col min="6910" max="6910" width="56.28515625" style="21" customWidth="1"/>
    <col min="6911" max="6911" width="10" style="21" customWidth="1"/>
    <col min="6912" max="6912" width="23.28515625" style="21" customWidth="1"/>
    <col min="6913" max="6913" width="22.140625" style="21" customWidth="1"/>
    <col min="6914" max="6915" width="22.28515625" style="21" customWidth="1"/>
    <col min="6916" max="7164" width="9.140625" style="21"/>
    <col min="7165" max="7165" width="4" style="21" customWidth="1"/>
    <col min="7166" max="7166" width="56.28515625" style="21" customWidth="1"/>
    <col min="7167" max="7167" width="10" style="21" customWidth="1"/>
    <col min="7168" max="7168" width="23.28515625" style="21" customWidth="1"/>
    <col min="7169" max="7169" width="22.140625" style="21" customWidth="1"/>
    <col min="7170" max="7171" width="22.28515625" style="21" customWidth="1"/>
    <col min="7172" max="7420" width="9.140625" style="21"/>
    <col min="7421" max="7421" width="4" style="21" customWidth="1"/>
    <col min="7422" max="7422" width="56.28515625" style="21" customWidth="1"/>
    <col min="7423" max="7423" width="10" style="21" customWidth="1"/>
    <col min="7424" max="7424" width="23.28515625" style="21" customWidth="1"/>
    <col min="7425" max="7425" width="22.140625" style="21" customWidth="1"/>
    <col min="7426" max="7427" width="22.28515625" style="21" customWidth="1"/>
    <col min="7428" max="7676" width="9.140625" style="21"/>
    <col min="7677" max="7677" width="4" style="21" customWidth="1"/>
    <col min="7678" max="7678" width="56.28515625" style="21" customWidth="1"/>
    <col min="7679" max="7679" width="10" style="21" customWidth="1"/>
    <col min="7680" max="7680" width="23.28515625" style="21" customWidth="1"/>
    <col min="7681" max="7681" width="22.140625" style="21" customWidth="1"/>
    <col min="7682" max="7683" width="22.28515625" style="21" customWidth="1"/>
    <col min="7684" max="7932" width="9.140625" style="21"/>
    <col min="7933" max="7933" width="4" style="21" customWidth="1"/>
    <col min="7934" max="7934" width="56.28515625" style="21" customWidth="1"/>
    <col min="7935" max="7935" width="10" style="21" customWidth="1"/>
    <col min="7936" max="7936" width="23.28515625" style="21" customWidth="1"/>
    <col min="7937" max="7937" width="22.140625" style="21" customWidth="1"/>
    <col min="7938" max="7939" width="22.28515625" style="21" customWidth="1"/>
    <col min="7940" max="8188" width="9.140625" style="21"/>
    <col min="8189" max="8189" width="4" style="21" customWidth="1"/>
    <col min="8190" max="8190" width="56.28515625" style="21" customWidth="1"/>
    <col min="8191" max="8191" width="10" style="21" customWidth="1"/>
    <col min="8192" max="8192" width="23.28515625" style="21" customWidth="1"/>
    <col min="8193" max="8193" width="22.140625" style="21" customWidth="1"/>
    <col min="8194" max="8195" width="22.28515625" style="21" customWidth="1"/>
    <col min="8196" max="8444" width="9.140625" style="21"/>
    <col min="8445" max="8445" width="4" style="21" customWidth="1"/>
    <col min="8446" max="8446" width="56.28515625" style="21" customWidth="1"/>
    <col min="8447" max="8447" width="10" style="21" customWidth="1"/>
    <col min="8448" max="8448" width="23.28515625" style="21" customWidth="1"/>
    <col min="8449" max="8449" width="22.140625" style="21" customWidth="1"/>
    <col min="8450" max="8451" width="22.28515625" style="21" customWidth="1"/>
    <col min="8452" max="8700" width="9.140625" style="21"/>
    <col min="8701" max="8701" width="4" style="21" customWidth="1"/>
    <col min="8702" max="8702" width="56.28515625" style="21" customWidth="1"/>
    <col min="8703" max="8703" width="10" style="21" customWidth="1"/>
    <col min="8704" max="8704" width="23.28515625" style="21" customWidth="1"/>
    <col min="8705" max="8705" width="22.140625" style="21" customWidth="1"/>
    <col min="8706" max="8707" width="22.28515625" style="21" customWidth="1"/>
    <col min="8708" max="8956" width="9.140625" style="21"/>
    <col min="8957" max="8957" width="4" style="21" customWidth="1"/>
    <col min="8958" max="8958" width="56.28515625" style="21" customWidth="1"/>
    <col min="8959" max="8959" width="10" style="21" customWidth="1"/>
    <col min="8960" max="8960" width="23.28515625" style="21" customWidth="1"/>
    <col min="8961" max="8961" width="22.140625" style="21" customWidth="1"/>
    <col min="8962" max="8963" width="22.28515625" style="21" customWidth="1"/>
    <col min="8964" max="9212" width="9.140625" style="21"/>
    <col min="9213" max="9213" width="4" style="21" customWidth="1"/>
    <col min="9214" max="9214" width="56.28515625" style="21" customWidth="1"/>
    <col min="9215" max="9215" width="10" style="21" customWidth="1"/>
    <col min="9216" max="9216" width="23.28515625" style="21" customWidth="1"/>
    <col min="9217" max="9217" width="22.140625" style="21" customWidth="1"/>
    <col min="9218" max="9219" width="22.28515625" style="21" customWidth="1"/>
    <col min="9220" max="9468" width="9.140625" style="21"/>
    <col min="9469" max="9469" width="4" style="21" customWidth="1"/>
    <col min="9470" max="9470" width="56.28515625" style="21" customWidth="1"/>
    <col min="9471" max="9471" width="10" style="21" customWidth="1"/>
    <col min="9472" max="9472" width="23.28515625" style="21" customWidth="1"/>
    <col min="9473" max="9473" width="22.140625" style="21" customWidth="1"/>
    <col min="9474" max="9475" width="22.28515625" style="21" customWidth="1"/>
    <col min="9476" max="9724" width="9.140625" style="21"/>
    <col min="9725" max="9725" width="4" style="21" customWidth="1"/>
    <col min="9726" max="9726" width="56.28515625" style="21" customWidth="1"/>
    <col min="9727" max="9727" width="10" style="21" customWidth="1"/>
    <col min="9728" max="9728" width="23.28515625" style="21" customWidth="1"/>
    <col min="9729" max="9729" width="22.140625" style="21" customWidth="1"/>
    <col min="9730" max="9731" width="22.28515625" style="21" customWidth="1"/>
    <col min="9732" max="9980" width="9.140625" style="21"/>
    <col min="9981" max="9981" width="4" style="21" customWidth="1"/>
    <col min="9982" max="9982" width="56.28515625" style="21" customWidth="1"/>
    <col min="9983" max="9983" width="10" style="21" customWidth="1"/>
    <col min="9984" max="9984" width="23.28515625" style="21" customWidth="1"/>
    <col min="9985" max="9985" width="22.140625" style="21" customWidth="1"/>
    <col min="9986" max="9987" width="22.28515625" style="21" customWidth="1"/>
    <col min="9988" max="10236" width="9.140625" style="21"/>
    <col min="10237" max="10237" width="4" style="21" customWidth="1"/>
    <col min="10238" max="10238" width="56.28515625" style="21" customWidth="1"/>
    <col min="10239" max="10239" width="10" style="21" customWidth="1"/>
    <col min="10240" max="10240" width="23.28515625" style="21" customWidth="1"/>
    <col min="10241" max="10241" width="22.140625" style="21" customWidth="1"/>
    <col min="10242" max="10243" width="22.28515625" style="21" customWidth="1"/>
    <col min="10244" max="10492" width="9.140625" style="21"/>
    <col min="10493" max="10493" width="4" style="21" customWidth="1"/>
    <col min="10494" max="10494" width="56.28515625" style="21" customWidth="1"/>
    <col min="10495" max="10495" width="10" style="21" customWidth="1"/>
    <col min="10496" max="10496" width="23.28515625" style="21" customWidth="1"/>
    <col min="10497" max="10497" width="22.140625" style="21" customWidth="1"/>
    <col min="10498" max="10499" width="22.28515625" style="21" customWidth="1"/>
    <col min="10500" max="10748" width="9.140625" style="21"/>
    <col min="10749" max="10749" width="4" style="21" customWidth="1"/>
    <col min="10750" max="10750" width="56.28515625" style="21" customWidth="1"/>
    <col min="10751" max="10751" width="10" style="21" customWidth="1"/>
    <col min="10752" max="10752" width="23.28515625" style="21" customWidth="1"/>
    <col min="10753" max="10753" width="22.140625" style="21" customWidth="1"/>
    <col min="10754" max="10755" width="22.28515625" style="21" customWidth="1"/>
    <col min="10756" max="11004" width="9.140625" style="21"/>
    <col min="11005" max="11005" width="4" style="21" customWidth="1"/>
    <col min="11006" max="11006" width="56.28515625" style="21" customWidth="1"/>
    <col min="11007" max="11007" width="10" style="21" customWidth="1"/>
    <col min="11008" max="11008" width="23.28515625" style="21" customWidth="1"/>
    <col min="11009" max="11009" width="22.140625" style="21" customWidth="1"/>
    <col min="11010" max="11011" width="22.28515625" style="21" customWidth="1"/>
    <col min="11012" max="11260" width="9.140625" style="21"/>
    <col min="11261" max="11261" width="4" style="21" customWidth="1"/>
    <col min="11262" max="11262" width="56.28515625" style="21" customWidth="1"/>
    <col min="11263" max="11263" width="10" style="21" customWidth="1"/>
    <col min="11264" max="11264" width="23.28515625" style="21" customWidth="1"/>
    <col min="11265" max="11265" width="22.140625" style="21" customWidth="1"/>
    <col min="11266" max="11267" width="22.28515625" style="21" customWidth="1"/>
    <col min="11268" max="11516" width="9.140625" style="21"/>
    <col min="11517" max="11517" width="4" style="21" customWidth="1"/>
    <col min="11518" max="11518" width="56.28515625" style="21" customWidth="1"/>
    <col min="11519" max="11519" width="10" style="21" customWidth="1"/>
    <col min="11520" max="11520" width="23.28515625" style="21" customWidth="1"/>
    <col min="11521" max="11521" width="22.140625" style="21" customWidth="1"/>
    <col min="11522" max="11523" width="22.28515625" style="21" customWidth="1"/>
    <col min="11524" max="11772" width="9.140625" style="21"/>
    <col min="11773" max="11773" width="4" style="21" customWidth="1"/>
    <col min="11774" max="11774" width="56.28515625" style="21" customWidth="1"/>
    <col min="11775" max="11775" width="10" style="21" customWidth="1"/>
    <col min="11776" max="11776" width="23.28515625" style="21" customWidth="1"/>
    <col min="11777" max="11777" width="22.140625" style="21" customWidth="1"/>
    <col min="11778" max="11779" width="22.28515625" style="21" customWidth="1"/>
    <col min="11780" max="12028" width="9.140625" style="21"/>
    <col min="12029" max="12029" width="4" style="21" customWidth="1"/>
    <col min="12030" max="12030" width="56.28515625" style="21" customWidth="1"/>
    <col min="12031" max="12031" width="10" style="21" customWidth="1"/>
    <col min="12032" max="12032" width="23.28515625" style="21" customWidth="1"/>
    <col min="12033" max="12033" width="22.140625" style="21" customWidth="1"/>
    <col min="12034" max="12035" width="22.28515625" style="21" customWidth="1"/>
    <col min="12036" max="12284" width="9.140625" style="21"/>
    <col min="12285" max="12285" width="4" style="21" customWidth="1"/>
    <col min="12286" max="12286" width="56.28515625" style="21" customWidth="1"/>
    <col min="12287" max="12287" width="10" style="21" customWidth="1"/>
    <col min="12288" max="12288" width="23.28515625" style="21" customWidth="1"/>
    <col min="12289" max="12289" width="22.140625" style="21" customWidth="1"/>
    <col min="12290" max="12291" width="22.28515625" style="21" customWidth="1"/>
    <col min="12292" max="12540" width="9.140625" style="21"/>
    <col min="12541" max="12541" width="4" style="21" customWidth="1"/>
    <col min="12542" max="12542" width="56.28515625" style="21" customWidth="1"/>
    <col min="12543" max="12543" width="10" style="21" customWidth="1"/>
    <col min="12544" max="12544" width="23.28515625" style="21" customWidth="1"/>
    <col min="12545" max="12545" width="22.140625" style="21" customWidth="1"/>
    <col min="12546" max="12547" width="22.28515625" style="21" customWidth="1"/>
    <col min="12548" max="12796" width="9.140625" style="21"/>
    <col min="12797" max="12797" width="4" style="21" customWidth="1"/>
    <col min="12798" max="12798" width="56.28515625" style="21" customWidth="1"/>
    <col min="12799" max="12799" width="10" style="21" customWidth="1"/>
    <col min="12800" max="12800" width="23.28515625" style="21" customWidth="1"/>
    <col min="12801" max="12801" width="22.140625" style="21" customWidth="1"/>
    <col min="12802" max="12803" width="22.28515625" style="21" customWidth="1"/>
    <col min="12804" max="13052" width="9.140625" style="21"/>
    <col min="13053" max="13053" width="4" style="21" customWidth="1"/>
    <col min="13054" max="13054" width="56.28515625" style="21" customWidth="1"/>
    <col min="13055" max="13055" width="10" style="21" customWidth="1"/>
    <col min="13056" max="13056" width="23.28515625" style="21" customWidth="1"/>
    <col min="13057" max="13057" width="22.140625" style="21" customWidth="1"/>
    <col min="13058" max="13059" width="22.28515625" style="21" customWidth="1"/>
    <col min="13060" max="13308" width="9.140625" style="21"/>
    <col min="13309" max="13309" width="4" style="21" customWidth="1"/>
    <col min="13310" max="13310" width="56.28515625" style="21" customWidth="1"/>
    <col min="13311" max="13311" width="10" style="21" customWidth="1"/>
    <col min="13312" max="13312" width="23.28515625" style="21" customWidth="1"/>
    <col min="13313" max="13313" width="22.140625" style="21" customWidth="1"/>
    <col min="13314" max="13315" width="22.28515625" style="21" customWidth="1"/>
    <col min="13316" max="13564" width="9.140625" style="21"/>
    <col min="13565" max="13565" width="4" style="21" customWidth="1"/>
    <col min="13566" max="13566" width="56.28515625" style="21" customWidth="1"/>
    <col min="13567" max="13567" width="10" style="21" customWidth="1"/>
    <col min="13568" max="13568" width="23.28515625" style="21" customWidth="1"/>
    <col min="13569" max="13569" width="22.140625" style="21" customWidth="1"/>
    <col min="13570" max="13571" width="22.28515625" style="21" customWidth="1"/>
    <col min="13572" max="13820" width="9.140625" style="21"/>
    <col min="13821" max="13821" width="4" style="21" customWidth="1"/>
    <col min="13822" max="13822" width="56.28515625" style="21" customWidth="1"/>
    <col min="13823" max="13823" width="10" style="21" customWidth="1"/>
    <col min="13824" max="13824" width="23.28515625" style="21" customWidth="1"/>
    <col min="13825" max="13825" width="22.140625" style="21" customWidth="1"/>
    <col min="13826" max="13827" width="22.28515625" style="21" customWidth="1"/>
    <col min="13828" max="14076" width="9.140625" style="21"/>
    <col min="14077" max="14077" width="4" style="21" customWidth="1"/>
    <col min="14078" max="14078" width="56.28515625" style="21" customWidth="1"/>
    <col min="14079" max="14079" width="10" style="21" customWidth="1"/>
    <col min="14080" max="14080" width="23.28515625" style="21" customWidth="1"/>
    <col min="14081" max="14081" width="22.140625" style="21" customWidth="1"/>
    <col min="14082" max="14083" width="22.28515625" style="21" customWidth="1"/>
    <col min="14084" max="14332" width="9.140625" style="21"/>
    <col min="14333" max="14333" width="4" style="21" customWidth="1"/>
    <col min="14334" max="14334" width="56.28515625" style="21" customWidth="1"/>
    <col min="14335" max="14335" width="10" style="21" customWidth="1"/>
    <col min="14336" max="14336" width="23.28515625" style="21" customWidth="1"/>
    <col min="14337" max="14337" width="22.140625" style="21" customWidth="1"/>
    <col min="14338" max="14339" width="22.28515625" style="21" customWidth="1"/>
    <col min="14340" max="14588" width="9.140625" style="21"/>
    <col min="14589" max="14589" width="4" style="21" customWidth="1"/>
    <col min="14590" max="14590" width="56.28515625" style="21" customWidth="1"/>
    <col min="14591" max="14591" width="10" style="21" customWidth="1"/>
    <col min="14592" max="14592" width="23.28515625" style="21" customWidth="1"/>
    <col min="14593" max="14593" width="22.140625" style="21" customWidth="1"/>
    <col min="14594" max="14595" width="22.28515625" style="21" customWidth="1"/>
    <col min="14596" max="14844" width="9.140625" style="21"/>
    <col min="14845" max="14845" width="4" style="21" customWidth="1"/>
    <col min="14846" max="14846" width="56.28515625" style="21" customWidth="1"/>
    <col min="14847" max="14847" width="10" style="21" customWidth="1"/>
    <col min="14848" max="14848" width="23.28515625" style="21" customWidth="1"/>
    <col min="14849" max="14849" width="22.140625" style="21" customWidth="1"/>
    <col min="14850" max="14851" width="22.28515625" style="21" customWidth="1"/>
    <col min="14852" max="15100" width="9.140625" style="21"/>
    <col min="15101" max="15101" width="4" style="21" customWidth="1"/>
    <col min="15102" max="15102" width="56.28515625" style="21" customWidth="1"/>
    <col min="15103" max="15103" width="10" style="21" customWidth="1"/>
    <col min="15104" max="15104" width="23.28515625" style="21" customWidth="1"/>
    <col min="15105" max="15105" width="22.140625" style="21" customWidth="1"/>
    <col min="15106" max="15107" width="22.28515625" style="21" customWidth="1"/>
    <col min="15108" max="15356" width="9.140625" style="21"/>
    <col min="15357" max="15357" width="4" style="21" customWidth="1"/>
    <col min="15358" max="15358" width="56.28515625" style="21" customWidth="1"/>
    <col min="15359" max="15359" width="10" style="21" customWidth="1"/>
    <col min="15360" max="15360" width="23.28515625" style="21" customWidth="1"/>
    <col min="15361" max="15361" width="22.140625" style="21" customWidth="1"/>
    <col min="15362" max="15363" width="22.28515625" style="21" customWidth="1"/>
    <col min="15364" max="15612" width="9.140625" style="21"/>
    <col min="15613" max="15613" width="4" style="21" customWidth="1"/>
    <col min="15614" max="15614" width="56.28515625" style="21" customWidth="1"/>
    <col min="15615" max="15615" width="10" style="21" customWidth="1"/>
    <col min="15616" max="15616" width="23.28515625" style="21" customWidth="1"/>
    <col min="15617" max="15617" width="22.140625" style="21" customWidth="1"/>
    <col min="15618" max="15619" width="22.28515625" style="21" customWidth="1"/>
    <col min="15620" max="15868" width="9.140625" style="21"/>
    <col min="15869" max="15869" width="4" style="21" customWidth="1"/>
    <col min="15870" max="15870" width="56.28515625" style="21" customWidth="1"/>
    <col min="15871" max="15871" width="10" style="21" customWidth="1"/>
    <col min="15872" max="15872" width="23.28515625" style="21" customWidth="1"/>
    <col min="15873" max="15873" width="22.140625" style="21" customWidth="1"/>
    <col min="15874" max="15875" width="22.28515625" style="21" customWidth="1"/>
    <col min="15876" max="16124" width="9.140625" style="21"/>
    <col min="16125" max="16125" width="4" style="21" customWidth="1"/>
    <col min="16126" max="16126" width="56.28515625" style="21" customWidth="1"/>
    <col min="16127" max="16127" width="10" style="21" customWidth="1"/>
    <col min="16128" max="16128" width="23.28515625" style="21" customWidth="1"/>
    <col min="16129" max="16129" width="22.140625" style="21" customWidth="1"/>
    <col min="16130" max="16131" width="22.28515625" style="21" customWidth="1"/>
    <col min="16132" max="16384" width="9.140625" style="21"/>
  </cols>
  <sheetData>
    <row r="1" spans="1:3" ht="15.75" customHeight="1" x14ac:dyDescent="0.25">
      <c r="A1" s="1078" t="s">
        <v>14</v>
      </c>
      <c r="B1" s="1078"/>
      <c r="C1" s="1079"/>
    </row>
    <row r="2" spans="1:3" ht="15.75" customHeight="1" x14ac:dyDescent="0.25">
      <c r="A2" s="1088"/>
      <c r="B2" s="1089"/>
      <c r="C2" s="213" t="s">
        <v>365</v>
      </c>
    </row>
    <row r="3" spans="1:3" ht="15.75" customHeight="1" x14ac:dyDescent="0.25">
      <c r="A3" s="1084" t="s">
        <v>366</v>
      </c>
      <c r="B3" s="1085"/>
      <c r="C3" s="766" t="s">
        <v>51</v>
      </c>
    </row>
    <row r="4" spans="1:3" ht="15.75" customHeight="1" x14ac:dyDescent="0.25">
      <c r="A4" s="1086"/>
      <c r="B4" s="1087"/>
      <c r="C4" s="766" t="s">
        <v>367</v>
      </c>
    </row>
    <row r="5" spans="1:3" ht="15.75" customHeight="1" x14ac:dyDescent="0.25">
      <c r="A5" s="1086"/>
      <c r="B5" s="1087"/>
      <c r="C5" s="767" t="s">
        <v>368</v>
      </c>
    </row>
    <row r="6" spans="1:3" ht="69.75" customHeight="1" x14ac:dyDescent="0.25">
      <c r="A6" s="768"/>
      <c r="B6" s="516" t="s">
        <v>20</v>
      </c>
      <c r="C6" s="769" t="s">
        <v>369</v>
      </c>
    </row>
    <row r="7" spans="1:3" ht="15.75" customHeight="1" x14ac:dyDescent="0.25">
      <c r="A7" s="770">
        <v>1</v>
      </c>
      <c r="B7" s="771" t="s">
        <v>21</v>
      </c>
      <c r="C7" s="772"/>
    </row>
    <row r="8" spans="1:3" ht="15.75" customHeight="1" x14ac:dyDescent="0.25">
      <c r="A8" s="773">
        <f>A7+1</f>
        <v>2</v>
      </c>
      <c r="B8" s="774" t="s">
        <v>22</v>
      </c>
      <c r="C8" s="772"/>
    </row>
    <row r="9" spans="1:3" ht="15.75" customHeight="1" x14ac:dyDescent="0.25">
      <c r="A9" s="773">
        <f t="shared" ref="A9:A51" si="0">A8+1</f>
        <v>3</v>
      </c>
      <c r="B9" s="774" t="s">
        <v>23</v>
      </c>
      <c r="C9" s="772"/>
    </row>
    <row r="10" spans="1:3" ht="15.75" customHeight="1" x14ac:dyDescent="0.25">
      <c r="A10" s="773">
        <f t="shared" si="0"/>
        <v>4</v>
      </c>
      <c r="B10" s="774" t="s">
        <v>24</v>
      </c>
      <c r="C10" s="772"/>
    </row>
    <row r="11" spans="1:3" ht="15.75" customHeight="1" x14ac:dyDescent="0.25">
      <c r="A11" s="773">
        <f t="shared" si="0"/>
        <v>5</v>
      </c>
      <c r="B11" s="774" t="s">
        <v>25</v>
      </c>
      <c r="C11" s="772"/>
    </row>
    <row r="12" spans="1:3" ht="15.75" customHeight="1" x14ac:dyDescent="0.25">
      <c r="A12" s="773">
        <f t="shared" si="0"/>
        <v>6</v>
      </c>
      <c r="B12" s="775" t="s">
        <v>26</v>
      </c>
      <c r="C12" s="772"/>
    </row>
    <row r="13" spans="1:3" ht="15.75" customHeight="1" x14ac:dyDescent="0.25">
      <c r="A13" s="773">
        <f t="shared" si="0"/>
        <v>7</v>
      </c>
      <c r="B13" s="776" t="s">
        <v>27</v>
      </c>
      <c r="C13" s="772"/>
    </row>
    <row r="14" spans="1:3" ht="15.75" customHeight="1" x14ac:dyDescent="0.25">
      <c r="A14" s="773">
        <f t="shared" si="0"/>
        <v>8</v>
      </c>
      <c r="B14" s="774" t="s">
        <v>28</v>
      </c>
      <c r="C14" s="772"/>
    </row>
    <row r="15" spans="1:3" ht="15.75" customHeight="1" x14ac:dyDescent="0.25">
      <c r="A15" s="773">
        <f t="shared" si="0"/>
        <v>9</v>
      </c>
      <c r="B15" s="774" t="s">
        <v>29</v>
      </c>
      <c r="C15" s="772"/>
    </row>
    <row r="16" spans="1:3" ht="15.75" customHeight="1" x14ac:dyDescent="0.25">
      <c r="A16" s="773">
        <f t="shared" si="0"/>
        <v>10</v>
      </c>
      <c r="B16" s="774" t="s">
        <v>30</v>
      </c>
      <c r="C16" s="772"/>
    </row>
    <row r="17" spans="1:3" ht="15.75" customHeight="1" x14ac:dyDescent="0.25">
      <c r="A17" s="777">
        <v>12</v>
      </c>
      <c r="B17" s="778" t="s">
        <v>370</v>
      </c>
      <c r="C17" s="779"/>
    </row>
    <row r="18" spans="1:3" ht="15.75" customHeight="1" x14ac:dyDescent="0.25">
      <c r="A18" s="777">
        <v>13</v>
      </c>
      <c r="B18" s="778" t="s">
        <v>371</v>
      </c>
      <c r="C18" s="779"/>
    </row>
    <row r="19" spans="1:3" ht="15.75" customHeight="1" x14ac:dyDescent="0.25">
      <c r="A19" s="773">
        <f t="shared" si="0"/>
        <v>14</v>
      </c>
      <c r="B19" s="774"/>
      <c r="C19" s="780"/>
    </row>
    <row r="20" spans="1:3" ht="15.75" customHeight="1" x14ac:dyDescent="0.25">
      <c r="A20" s="773">
        <f t="shared" si="0"/>
        <v>15</v>
      </c>
      <c r="B20" s="774"/>
      <c r="C20" s="780"/>
    </row>
    <row r="21" spans="1:3" ht="15.75" customHeight="1" x14ac:dyDescent="0.25">
      <c r="A21" s="777">
        <v>14</v>
      </c>
      <c r="B21" s="774"/>
      <c r="C21" s="780"/>
    </row>
    <row r="22" spans="1:3" ht="15.75" customHeight="1" x14ac:dyDescent="0.25">
      <c r="A22" s="485">
        <v>15</v>
      </c>
      <c r="B22" s="759" t="s">
        <v>372</v>
      </c>
      <c r="C22" s="486"/>
    </row>
    <row r="23" spans="1:3" ht="15.75" customHeight="1" x14ac:dyDescent="0.25">
      <c r="A23" s="197">
        <f t="shared" si="0"/>
        <v>16</v>
      </c>
      <c r="B23" s="765" t="s">
        <v>373</v>
      </c>
      <c r="C23" s="220"/>
    </row>
    <row r="24" spans="1:3" ht="15.75" customHeight="1" x14ac:dyDescent="0.25">
      <c r="A24" s="197">
        <f t="shared" si="0"/>
        <v>17</v>
      </c>
      <c r="B24" s="760" t="s">
        <v>374</v>
      </c>
      <c r="C24" s="220"/>
    </row>
    <row r="25" spans="1:3" ht="15.75" customHeight="1" x14ac:dyDescent="0.25">
      <c r="A25" s="485">
        <v>16</v>
      </c>
      <c r="B25" s="760" t="s">
        <v>375</v>
      </c>
      <c r="C25" s="220"/>
    </row>
    <row r="26" spans="1:3" ht="15.75" customHeight="1" x14ac:dyDescent="0.25">
      <c r="A26" s="485">
        <v>17</v>
      </c>
      <c r="B26" s="760"/>
      <c r="C26" s="220"/>
    </row>
    <row r="27" spans="1:3" ht="15.75" customHeight="1" x14ac:dyDescent="0.25">
      <c r="A27" s="197">
        <f t="shared" si="0"/>
        <v>18</v>
      </c>
      <c r="B27" s="763" t="s">
        <v>376</v>
      </c>
      <c r="C27" s="486"/>
    </row>
    <row r="28" spans="1:3" ht="15.75" customHeight="1" x14ac:dyDescent="0.25">
      <c r="A28" s="197">
        <f t="shared" si="0"/>
        <v>19</v>
      </c>
      <c r="B28" s="760" t="s">
        <v>377</v>
      </c>
      <c r="C28" s="214"/>
    </row>
    <row r="29" spans="1:3" ht="15.75" customHeight="1" x14ac:dyDescent="0.25">
      <c r="A29" s="485">
        <v>18</v>
      </c>
      <c r="B29" s="760" t="s">
        <v>378</v>
      </c>
      <c r="C29" s="214"/>
    </row>
    <row r="30" spans="1:3" ht="15.75" customHeight="1" x14ac:dyDescent="0.25">
      <c r="A30" s="485">
        <v>19</v>
      </c>
      <c r="B30" s="760"/>
      <c r="C30" s="214"/>
    </row>
    <row r="31" spans="1:3" ht="15.75" customHeight="1" x14ac:dyDescent="0.25">
      <c r="A31" s="197">
        <f t="shared" si="0"/>
        <v>20</v>
      </c>
      <c r="B31" s="763" t="s">
        <v>379</v>
      </c>
      <c r="C31" s="486"/>
    </row>
    <row r="32" spans="1:3" ht="15.75" customHeight="1" x14ac:dyDescent="0.25">
      <c r="A32" s="197">
        <f t="shared" si="0"/>
        <v>21</v>
      </c>
      <c r="B32" s="764" t="s">
        <v>380</v>
      </c>
      <c r="C32" s="220"/>
    </row>
    <row r="33" spans="1:3" ht="15.75" customHeight="1" x14ac:dyDescent="0.25">
      <c r="A33" s="485">
        <v>20</v>
      </c>
      <c r="B33" s="760" t="s">
        <v>381</v>
      </c>
      <c r="C33" s="214"/>
    </row>
    <row r="34" spans="1:3" ht="15.75" customHeight="1" x14ac:dyDescent="0.25">
      <c r="A34" s="485">
        <v>21</v>
      </c>
      <c r="B34" s="760" t="s">
        <v>382</v>
      </c>
      <c r="C34" s="214"/>
    </row>
    <row r="35" spans="1:3" ht="15.75" customHeight="1" x14ac:dyDescent="0.25">
      <c r="A35" s="197">
        <f t="shared" si="0"/>
        <v>22</v>
      </c>
      <c r="B35" s="760" t="s">
        <v>383</v>
      </c>
      <c r="C35" s="214"/>
    </row>
    <row r="36" spans="1:3" ht="15.75" customHeight="1" x14ac:dyDescent="0.25">
      <c r="A36" s="197">
        <f t="shared" si="0"/>
        <v>23</v>
      </c>
      <c r="B36" s="760" t="s">
        <v>384</v>
      </c>
      <c r="C36" s="214"/>
    </row>
    <row r="37" spans="1:3" ht="15.75" customHeight="1" x14ac:dyDescent="0.25">
      <c r="A37" s="485">
        <v>22</v>
      </c>
      <c r="B37" s="764" t="s">
        <v>385</v>
      </c>
      <c r="C37" s="214"/>
    </row>
    <row r="38" spans="1:3" ht="15.75" customHeight="1" x14ac:dyDescent="0.25">
      <c r="A38" s="485">
        <v>23</v>
      </c>
      <c r="B38" s="764" t="s">
        <v>386</v>
      </c>
      <c r="C38" s="214"/>
    </row>
    <row r="39" spans="1:3" ht="15.75" customHeight="1" x14ac:dyDescent="0.25">
      <c r="A39" s="197">
        <f t="shared" si="0"/>
        <v>24</v>
      </c>
      <c r="B39" s="764"/>
      <c r="C39" s="214"/>
    </row>
    <row r="40" spans="1:3" ht="15.75" customHeight="1" x14ac:dyDescent="0.25">
      <c r="A40" s="197">
        <f t="shared" si="0"/>
        <v>25</v>
      </c>
      <c r="B40" s="759" t="s">
        <v>387</v>
      </c>
      <c r="C40" s="486"/>
    </row>
    <row r="41" spans="1:3" ht="15.75" customHeight="1" x14ac:dyDescent="0.25">
      <c r="A41" s="485">
        <v>24</v>
      </c>
      <c r="B41" s="760" t="s">
        <v>388</v>
      </c>
      <c r="C41" s="214"/>
    </row>
    <row r="42" spans="1:3" ht="15.75" customHeight="1" x14ac:dyDescent="0.25">
      <c r="A42" s="485">
        <v>25</v>
      </c>
      <c r="B42" s="761" t="s">
        <v>389</v>
      </c>
      <c r="C42" s="214"/>
    </row>
    <row r="43" spans="1:3" ht="15.75" customHeight="1" x14ac:dyDescent="0.25">
      <c r="A43" s="197">
        <f t="shared" si="0"/>
        <v>26</v>
      </c>
      <c r="B43" s="760" t="s">
        <v>390</v>
      </c>
      <c r="C43" s="214"/>
    </row>
    <row r="44" spans="1:3" ht="15.75" customHeight="1" x14ac:dyDescent="0.25">
      <c r="A44" s="197">
        <f t="shared" si="0"/>
        <v>27</v>
      </c>
      <c r="B44" s="760" t="s">
        <v>391</v>
      </c>
      <c r="C44" s="214"/>
    </row>
    <row r="45" spans="1:3" ht="15.75" customHeight="1" x14ac:dyDescent="0.25">
      <c r="A45" s="485">
        <v>26</v>
      </c>
      <c r="B45" s="762" t="s">
        <v>392</v>
      </c>
      <c r="C45" s="214"/>
    </row>
    <row r="46" spans="1:3" ht="15.75" customHeight="1" x14ac:dyDescent="0.25">
      <c r="A46" s="485">
        <v>27</v>
      </c>
      <c r="B46" s="761" t="s">
        <v>393</v>
      </c>
      <c r="C46" s="214"/>
    </row>
    <row r="47" spans="1:3" ht="15.75" customHeight="1" x14ac:dyDescent="0.25">
      <c r="A47" s="197">
        <f t="shared" si="0"/>
        <v>28</v>
      </c>
      <c r="B47" s="245"/>
      <c r="C47" s="214"/>
    </row>
    <row r="48" spans="1:3" ht="15.75" customHeight="1" x14ac:dyDescent="0.25">
      <c r="A48" s="197">
        <f t="shared" si="0"/>
        <v>29</v>
      </c>
      <c r="B48" s="757" t="s">
        <v>394</v>
      </c>
      <c r="C48" s="487">
        <f>SUBTOTAL(9,C7:C47)</f>
        <v>0</v>
      </c>
    </row>
    <row r="49" spans="1:3" s="29" customFormat="1" ht="15.75" customHeight="1" x14ac:dyDescent="0.2">
      <c r="A49" s="485">
        <v>28</v>
      </c>
      <c r="B49" s="219"/>
      <c r="C49" s="215"/>
    </row>
    <row r="50" spans="1:3" x14ac:dyDescent="0.25">
      <c r="A50" s="485">
        <v>29</v>
      </c>
      <c r="B50" s="758" t="s">
        <v>395</v>
      </c>
      <c r="C50" s="491"/>
    </row>
    <row r="51" spans="1:3" s="29" customFormat="1" ht="15.75" customHeight="1" x14ac:dyDescent="0.25">
      <c r="A51" s="197">
        <f t="shared" si="0"/>
        <v>30</v>
      </c>
      <c r="B51" s="216"/>
      <c r="C51" s="217"/>
    </row>
  </sheetData>
  <mergeCells count="3">
    <mergeCell ref="A3:B5"/>
    <mergeCell ref="A1:C1"/>
    <mergeCell ref="A2:B2"/>
  </mergeCells>
  <pageMargins left="0.7" right="0.7" top="1.0520833333333333" bottom="0.75" header="0.3" footer="0.3"/>
  <pageSetup scale="87" orientation="portrait" r:id="rId1"/>
  <headerFooter>
    <oddHeader>&amp;L&amp;G&amp;C(ENTER PROJECT NAME)&amp;R&amp;D</oddHeader>
    <oddFooter>&amp;C&amp;P OF &amp;N</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CC06E-C417-4919-98FB-B60484D7ED8E}">
  <dimension ref="A1:C71"/>
  <sheetViews>
    <sheetView view="pageBreakPreview" zoomScale="60" zoomScaleNormal="100" workbookViewId="0">
      <selection activeCell="E69" sqref="E69"/>
    </sheetView>
  </sheetViews>
  <sheetFormatPr defaultRowHeight="15" x14ac:dyDescent="0.25"/>
  <cols>
    <col min="2" max="2" width="69.42578125" customWidth="1"/>
    <col min="3" max="3" width="22.5703125" bestFit="1" customWidth="1"/>
  </cols>
  <sheetData>
    <row r="1" spans="1:3" ht="15.75" x14ac:dyDescent="0.25">
      <c r="A1" s="1011" t="s">
        <v>14</v>
      </c>
      <c r="B1" s="1012"/>
      <c r="C1" s="127"/>
    </row>
    <row r="2" spans="1:3" x14ac:dyDescent="0.25">
      <c r="A2" s="1013" t="s">
        <v>396</v>
      </c>
      <c r="B2" s="1014"/>
      <c r="C2" s="128" t="s">
        <v>64</v>
      </c>
    </row>
    <row r="3" spans="1:3" x14ac:dyDescent="0.25">
      <c r="A3" s="1015"/>
      <c r="B3" s="1016"/>
      <c r="C3" s="128" t="s">
        <v>65</v>
      </c>
    </row>
    <row r="4" spans="1:3" x14ac:dyDescent="0.25">
      <c r="A4" s="1015"/>
      <c r="B4" s="1016"/>
      <c r="C4" s="128" t="s">
        <v>66</v>
      </c>
    </row>
    <row r="5" spans="1:3" x14ac:dyDescent="0.25">
      <c r="A5" s="1017"/>
      <c r="B5" s="1018"/>
      <c r="C5" s="129" t="s">
        <v>19</v>
      </c>
    </row>
    <row r="6" spans="1:3" x14ac:dyDescent="0.25">
      <c r="A6" s="1091">
        <v>1</v>
      </c>
      <c r="B6" s="1093" t="s">
        <v>20</v>
      </c>
      <c r="C6" s="1024" t="s">
        <v>67</v>
      </c>
    </row>
    <row r="7" spans="1:3" ht="25.5" customHeight="1" x14ac:dyDescent="0.25">
      <c r="A7" s="1092"/>
      <c r="B7" s="1094"/>
      <c r="C7" s="1090"/>
    </row>
    <row r="8" spans="1:3" x14ac:dyDescent="0.25">
      <c r="A8" s="161">
        <v>2</v>
      </c>
      <c r="B8" s="420" t="s">
        <v>21</v>
      </c>
      <c r="C8" s="163"/>
    </row>
    <row r="9" spans="1:3" x14ac:dyDescent="0.25">
      <c r="A9" s="161">
        <v>3</v>
      </c>
      <c r="B9" s="420" t="s">
        <v>22</v>
      </c>
      <c r="C9" s="163"/>
    </row>
    <row r="10" spans="1:3" x14ac:dyDescent="0.25">
      <c r="A10" s="161">
        <v>4</v>
      </c>
      <c r="B10" s="420" t="s">
        <v>23</v>
      </c>
      <c r="C10" s="163"/>
    </row>
    <row r="11" spans="1:3" x14ac:dyDescent="0.25">
      <c r="A11" s="161">
        <v>5</v>
      </c>
      <c r="B11" s="420" t="s">
        <v>24</v>
      </c>
      <c r="C11" s="163"/>
    </row>
    <row r="12" spans="1:3" x14ac:dyDescent="0.25">
      <c r="A12" s="161">
        <v>6</v>
      </c>
      <c r="B12" s="420" t="s">
        <v>25</v>
      </c>
      <c r="C12" s="163"/>
    </row>
    <row r="13" spans="1:3" x14ac:dyDescent="0.25">
      <c r="A13" s="161">
        <v>7</v>
      </c>
      <c r="B13" s="420" t="s">
        <v>26</v>
      </c>
      <c r="C13" s="163"/>
    </row>
    <row r="14" spans="1:3" x14ac:dyDescent="0.25">
      <c r="A14" s="161">
        <v>8</v>
      </c>
      <c r="B14" s="420" t="s">
        <v>27</v>
      </c>
      <c r="C14" s="163"/>
    </row>
    <row r="15" spans="1:3" x14ac:dyDescent="0.25">
      <c r="A15" s="161">
        <v>9</v>
      </c>
      <c r="B15" s="420" t="s">
        <v>28</v>
      </c>
      <c r="C15" s="163"/>
    </row>
    <row r="16" spans="1:3" x14ac:dyDescent="0.25">
      <c r="A16" s="161">
        <v>10</v>
      </c>
      <c r="B16" s="420" t="s">
        <v>29</v>
      </c>
      <c r="C16" s="163"/>
    </row>
    <row r="17" spans="1:3" x14ac:dyDescent="0.25">
      <c r="A17" s="161">
        <v>11</v>
      </c>
      <c r="B17" s="420" t="s">
        <v>30</v>
      </c>
      <c r="C17" s="163"/>
    </row>
    <row r="18" spans="1:3" ht="26.25" x14ac:dyDescent="0.25">
      <c r="A18" s="161">
        <v>12</v>
      </c>
      <c r="B18" s="420" t="s">
        <v>397</v>
      </c>
      <c r="C18" s="163"/>
    </row>
    <row r="19" spans="1:3" ht="26.25" x14ac:dyDescent="0.25">
      <c r="A19" s="161">
        <v>13</v>
      </c>
      <c r="B19" s="420" t="s">
        <v>138</v>
      </c>
      <c r="C19" s="163"/>
    </row>
    <row r="20" spans="1:3" x14ac:dyDescent="0.25">
      <c r="A20" s="161">
        <v>14</v>
      </c>
      <c r="B20" s="420" t="s">
        <v>398</v>
      </c>
      <c r="C20" s="163"/>
    </row>
    <row r="21" spans="1:3" x14ac:dyDescent="0.25">
      <c r="A21" s="161">
        <v>15</v>
      </c>
      <c r="B21" s="420" t="s">
        <v>399</v>
      </c>
      <c r="C21" s="163"/>
    </row>
    <row r="22" spans="1:3" x14ac:dyDescent="0.25">
      <c r="A22" s="161">
        <v>16</v>
      </c>
      <c r="B22" s="488"/>
      <c r="C22" s="482"/>
    </row>
    <row r="23" spans="1:3" x14ac:dyDescent="0.25">
      <c r="A23" s="161">
        <v>17</v>
      </c>
      <c r="B23" s="422" t="s">
        <v>398</v>
      </c>
      <c r="C23" s="422"/>
    </row>
    <row r="24" spans="1:3" x14ac:dyDescent="0.25">
      <c r="A24" s="161">
        <v>18</v>
      </c>
      <c r="B24" s="422" t="s">
        <v>400</v>
      </c>
      <c r="C24" s="422"/>
    </row>
    <row r="25" spans="1:3" ht="30" customHeight="1" x14ac:dyDescent="0.25">
      <c r="A25" s="161">
        <v>19</v>
      </c>
      <c r="B25" s="420" t="s">
        <v>401</v>
      </c>
      <c r="C25" s="422"/>
    </row>
    <row r="26" spans="1:3" x14ac:dyDescent="0.25">
      <c r="A26" s="161">
        <v>20</v>
      </c>
      <c r="B26" s="422" t="s">
        <v>402</v>
      </c>
      <c r="C26" s="422"/>
    </row>
    <row r="27" spans="1:3" ht="15" customHeight="1" x14ac:dyDescent="0.25">
      <c r="A27" s="161">
        <v>21</v>
      </c>
      <c r="B27" s="420" t="s">
        <v>403</v>
      </c>
      <c r="C27" s="422"/>
    </row>
    <row r="28" spans="1:3" x14ac:dyDescent="0.25">
      <c r="A28" s="161">
        <v>22</v>
      </c>
      <c r="B28" s="422" t="s">
        <v>404</v>
      </c>
      <c r="C28" s="422"/>
    </row>
    <row r="29" spans="1:3" x14ac:dyDescent="0.25">
      <c r="A29" s="161">
        <v>23</v>
      </c>
      <c r="B29" s="422" t="s">
        <v>405</v>
      </c>
      <c r="C29" s="422"/>
    </row>
    <row r="30" spans="1:3" x14ac:dyDescent="0.25">
      <c r="A30" s="161">
        <v>24</v>
      </c>
      <c r="B30" s="422" t="s">
        <v>406</v>
      </c>
      <c r="C30" s="422"/>
    </row>
    <row r="31" spans="1:3" x14ac:dyDescent="0.25">
      <c r="A31" s="161">
        <v>25</v>
      </c>
      <c r="B31" s="422" t="s">
        <v>407</v>
      </c>
      <c r="C31" s="422"/>
    </row>
    <row r="32" spans="1:3" s="2" customFormat="1" ht="31.5" customHeight="1" x14ac:dyDescent="0.2">
      <c r="A32" s="161">
        <v>26</v>
      </c>
      <c r="B32" s="489" t="s">
        <v>408</v>
      </c>
      <c r="C32" s="422"/>
    </row>
    <row r="33" spans="1:3" x14ac:dyDescent="0.25">
      <c r="A33" s="161">
        <v>27</v>
      </c>
      <c r="B33" s="422" t="s">
        <v>44</v>
      </c>
      <c r="C33" s="422"/>
    </row>
    <row r="34" spans="1:3" x14ac:dyDescent="0.25">
      <c r="A34" s="161">
        <v>28</v>
      </c>
      <c r="B34" s="422" t="s">
        <v>409</v>
      </c>
      <c r="C34" s="422"/>
    </row>
    <row r="35" spans="1:3" x14ac:dyDescent="0.25">
      <c r="A35" s="161">
        <v>29</v>
      </c>
      <c r="B35" s="422" t="s">
        <v>410</v>
      </c>
      <c r="C35" s="422"/>
    </row>
    <row r="36" spans="1:3" x14ac:dyDescent="0.25">
      <c r="A36" s="161">
        <v>30</v>
      </c>
      <c r="B36" s="422" t="s">
        <v>411</v>
      </c>
      <c r="C36" s="422"/>
    </row>
    <row r="37" spans="1:3" x14ac:dyDescent="0.25">
      <c r="A37" s="161">
        <v>31</v>
      </c>
      <c r="B37" s="422"/>
      <c r="C37" s="422"/>
    </row>
    <row r="38" spans="1:3" x14ac:dyDescent="0.25">
      <c r="A38" s="161">
        <v>32</v>
      </c>
      <c r="B38" s="490" t="s">
        <v>412</v>
      </c>
      <c r="C38" s="448"/>
    </row>
    <row r="39" spans="1:3" x14ac:dyDescent="0.25">
      <c r="A39" s="161">
        <v>33</v>
      </c>
      <c r="B39" s="422" t="s">
        <v>413</v>
      </c>
      <c r="C39" s="422"/>
    </row>
    <row r="40" spans="1:3" x14ac:dyDescent="0.25">
      <c r="A40" s="161">
        <v>34</v>
      </c>
      <c r="B40" s="422" t="s">
        <v>414</v>
      </c>
      <c r="C40" s="422"/>
    </row>
    <row r="41" spans="1:3" x14ac:dyDescent="0.25">
      <c r="A41" s="161">
        <v>35</v>
      </c>
      <c r="B41" s="422" t="s">
        <v>411</v>
      </c>
      <c r="C41" s="422"/>
    </row>
    <row r="42" spans="1:3" x14ac:dyDescent="0.25">
      <c r="A42" s="161">
        <v>36</v>
      </c>
      <c r="B42" s="422"/>
      <c r="C42" s="422"/>
    </row>
    <row r="43" spans="1:3" x14ac:dyDescent="0.25">
      <c r="A43" s="161">
        <v>37</v>
      </c>
      <c r="B43" s="490" t="s">
        <v>415</v>
      </c>
      <c r="C43" s="448"/>
    </row>
    <row r="44" spans="1:3" x14ac:dyDescent="0.25">
      <c r="A44" s="161">
        <v>38</v>
      </c>
      <c r="B44" s="422" t="s">
        <v>416</v>
      </c>
      <c r="C44" s="422"/>
    </row>
    <row r="45" spans="1:3" x14ac:dyDescent="0.25">
      <c r="A45" s="161">
        <v>39</v>
      </c>
      <c r="B45" s="422" t="s">
        <v>137</v>
      </c>
      <c r="C45" s="422"/>
    </row>
    <row r="46" spans="1:3" x14ac:dyDescent="0.25">
      <c r="A46" s="161">
        <v>40</v>
      </c>
      <c r="B46" s="490" t="s">
        <v>417</v>
      </c>
      <c r="C46" s="448"/>
    </row>
    <row r="47" spans="1:3" x14ac:dyDescent="0.25">
      <c r="A47" s="161">
        <v>41</v>
      </c>
      <c r="B47" s="422" t="s">
        <v>418</v>
      </c>
      <c r="C47" s="422"/>
    </row>
    <row r="48" spans="1:3" x14ac:dyDescent="0.25">
      <c r="A48" s="161">
        <v>42</v>
      </c>
      <c r="B48" s="422" t="s">
        <v>137</v>
      </c>
      <c r="C48" s="422"/>
    </row>
    <row r="49" spans="1:3" x14ac:dyDescent="0.25">
      <c r="A49" s="161">
        <v>43</v>
      </c>
      <c r="B49" s="422" t="s">
        <v>419</v>
      </c>
      <c r="C49" s="422"/>
    </row>
    <row r="50" spans="1:3" x14ac:dyDescent="0.25">
      <c r="A50" s="161">
        <v>44</v>
      </c>
      <c r="B50" s="422" t="s">
        <v>420</v>
      </c>
      <c r="C50" s="422"/>
    </row>
    <row r="51" spans="1:3" x14ac:dyDescent="0.25">
      <c r="A51" s="161">
        <v>45</v>
      </c>
      <c r="B51" s="422" t="s">
        <v>137</v>
      </c>
      <c r="C51" s="422"/>
    </row>
    <row r="52" spans="1:3" x14ac:dyDescent="0.25">
      <c r="A52" s="161">
        <v>46</v>
      </c>
      <c r="B52" s="490" t="s">
        <v>421</v>
      </c>
      <c r="C52" s="448"/>
    </row>
    <row r="53" spans="1:3" x14ac:dyDescent="0.25">
      <c r="A53" s="161">
        <v>47</v>
      </c>
      <c r="B53" s="422" t="s">
        <v>422</v>
      </c>
      <c r="C53" s="422"/>
    </row>
    <row r="54" spans="1:3" x14ac:dyDescent="0.25">
      <c r="A54" s="161">
        <v>48</v>
      </c>
      <c r="B54" s="422"/>
      <c r="C54" s="422"/>
    </row>
    <row r="55" spans="1:3" x14ac:dyDescent="0.25">
      <c r="A55" s="161">
        <v>49</v>
      </c>
      <c r="B55" s="422" t="s">
        <v>423</v>
      </c>
      <c r="C55" s="422"/>
    </row>
    <row r="56" spans="1:3" x14ac:dyDescent="0.25">
      <c r="A56" s="161">
        <v>50</v>
      </c>
      <c r="B56" s="422"/>
      <c r="C56" s="422"/>
    </row>
    <row r="57" spans="1:3" x14ac:dyDescent="0.25">
      <c r="A57" s="161">
        <v>51</v>
      </c>
      <c r="B57" s="422" t="s">
        <v>420</v>
      </c>
      <c r="C57" s="422"/>
    </row>
    <row r="58" spans="1:3" x14ac:dyDescent="0.25">
      <c r="A58" s="161">
        <v>52</v>
      </c>
      <c r="B58" s="422" t="s">
        <v>137</v>
      </c>
      <c r="C58" s="422"/>
    </row>
    <row r="59" spans="1:3" x14ac:dyDescent="0.25">
      <c r="A59" s="161">
        <v>53</v>
      </c>
      <c r="B59" s="422" t="s">
        <v>424</v>
      </c>
      <c r="C59" s="422"/>
    </row>
    <row r="60" spans="1:3" x14ac:dyDescent="0.25">
      <c r="A60" s="161">
        <v>54</v>
      </c>
      <c r="B60" s="422" t="s">
        <v>425</v>
      </c>
      <c r="C60" s="422"/>
    </row>
    <row r="61" spans="1:3" x14ac:dyDescent="0.25">
      <c r="A61" s="161">
        <v>55</v>
      </c>
      <c r="B61" s="422" t="s">
        <v>426</v>
      </c>
      <c r="C61" s="422"/>
    </row>
    <row r="62" spans="1:3" x14ac:dyDescent="0.25">
      <c r="A62" s="161">
        <v>56</v>
      </c>
      <c r="B62" s="422" t="s">
        <v>427</v>
      </c>
      <c r="C62" s="422"/>
    </row>
    <row r="63" spans="1:3" x14ac:dyDescent="0.25">
      <c r="A63" s="161">
        <v>57</v>
      </c>
      <c r="B63" s="422" t="s">
        <v>428</v>
      </c>
      <c r="C63" s="422"/>
    </row>
    <row r="64" spans="1:3" x14ac:dyDescent="0.25">
      <c r="A64" s="161">
        <v>58</v>
      </c>
      <c r="B64" s="422" t="s">
        <v>429</v>
      </c>
      <c r="C64" s="422"/>
    </row>
    <row r="65" spans="1:3" x14ac:dyDescent="0.25">
      <c r="A65" s="748">
        <v>59</v>
      </c>
      <c r="B65" s="750" t="s">
        <v>137</v>
      </c>
      <c r="C65" s="496"/>
    </row>
    <row r="66" spans="1:3" x14ac:dyDescent="0.25">
      <c r="A66" s="161">
        <v>60</v>
      </c>
      <c r="B66" s="752" t="s">
        <v>430</v>
      </c>
      <c r="C66" s="727"/>
    </row>
    <row r="67" spans="1:3" x14ac:dyDescent="0.25">
      <c r="A67" s="748">
        <v>61</v>
      </c>
      <c r="B67" s="753"/>
      <c r="C67" s="753"/>
    </row>
    <row r="68" spans="1:3" x14ac:dyDescent="0.25">
      <c r="A68" s="748">
        <v>62</v>
      </c>
      <c r="B68" s="731" t="s">
        <v>43</v>
      </c>
      <c r="C68" s="726"/>
    </row>
    <row r="69" spans="1:3" x14ac:dyDescent="0.25">
      <c r="A69" s="748">
        <v>63</v>
      </c>
      <c r="B69" s="755"/>
      <c r="C69" s="515"/>
    </row>
    <row r="70" spans="1:3" x14ac:dyDescent="0.25">
      <c r="A70" s="756">
        <v>64</v>
      </c>
      <c r="B70" s="729" t="s">
        <v>135</v>
      </c>
      <c r="C70" s="728"/>
    </row>
    <row r="71" spans="1:3" x14ac:dyDescent="0.25">
      <c r="A71" s="756">
        <v>65</v>
      </c>
      <c r="B71" s="159"/>
      <c r="C71" s="159"/>
    </row>
  </sheetData>
  <mergeCells count="5">
    <mergeCell ref="C6:C7"/>
    <mergeCell ref="A1:B1"/>
    <mergeCell ref="A2:B5"/>
    <mergeCell ref="A6:A7"/>
    <mergeCell ref="B6:B7"/>
  </mergeCells>
  <pageMargins left="0.7" right="0.7" top="1.0520833333333333" bottom="0.75" header="0.3" footer="0.3"/>
  <pageSetup scale="89" orientation="portrait" r:id="rId1"/>
  <headerFooter>
    <oddHeader>&amp;L&amp;G&amp;C(ENTER PROJECT NAME)&amp;R&amp;D</oddHeader>
    <oddFooter>&amp;C&amp;P OF &amp;N</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3DA45-D63E-4732-A0A7-F9E909D9432A}">
  <dimension ref="A1:Q71"/>
  <sheetViews>
    <sheetView view="pageBreakPreview" zoomScale="60" zoomScaleNormal="100" workbookViewId="0">
      <selection activeCell="B14" sqref="B14:L14"/>
    </sheetView>
  </sheetViews>
  <sheetFormatPr defaultRowHeight="15" x14ac:dyDescent="0.25"/>
  <cols>
    <col min="1" max="1" width="3.140625" bestFit="1" customWidth="1"/>
    <col min="9" max="9" width="10.7109375" customWidth="1"/>
    <col min="12" max="12" width="10.85546875" customWidth="1"/>
    <col min="13" max="13" width="22.7109375" customWidth="1"/>
  </cols>
  <sheetData>
    <row r="1" spans="1:17" ht="15.75" x14ac:dyDescent="0.25">
      <c r="A1" s="1104" t="s">
        <v>14</v>
      </c>
      <c r="B1" s="1105"/>
      <c r="C1" s="1105"/>
      <c r="D1" s="1105"/>
      <c r="E1" s="1105"/>
      <c r="F1" s="1105"/>
      <c r="G1" s="1105"/>
      <c r="H1" s="1105"/>
      <c r="I1" s="1105"/>
      <c r="J1" s="1105"/>
      <c r="K1" s="1105"/>
      <c r="L1" s="1105"/>
      <c r="M1" s="1106"/>
      <c r="N1" s="388"/>
      <c r="O1" s="388"/>
      <c r="P1" s="388"/>
      <c r="Q1" s="388"/>
    </row>
    <row r="2" spans="1:17" x14ac:dyDescent="0.25">
      <c r="A2" s="1095" t="s">
        <v>433</v>
      </c>
      <c r="B2" s="1096"/>
      <c r="C2" s="1096"/>
      <c r="D2" s="1096"/>
      <c r="E2" s="1096"/>
      <c r="F2" s="1096"/>
      <c r="G2" s="1096"/>
      <c r="H2" s="1096"/>
      <c r="I2" s="1096"/>
      <c r="J2" s="1096"/>
      <c r="K2" s="1096"/>
      <c r="L2" s="1096"/>
      <c r="M2" s="160" t="s">
        <v>64</v>
      </c>
      <c r="N2" s="388"/>
      <c r="O2" s="388"/>
      <c r="P2" s="388"/>
      <c r="Q2" s="388"/>
    </row>
    <row r="3" spans="1:17" x14ac:dyDescent="0.25">
      <c r="A3" s="1097"/>
      <c r="B3" s="1098"/>
      <c r="C3" s="1098"/>
      <c r="D3" s="1098"/>
      <c r="E3" s="1098"/>
      <c r="F3" s="1098"/>
      <c r="G3" s="1098"/>
      <c r="H3" s="1098"/>
      <c r="I3" s="1098"/>
      <c r="J3" s="1098"/>
      <c r="K3" s="1098"/>
      <c r="L3" s="1098"/>
      <c r="M3" s="160" t="s">
        <v>65</v>
      </c>
      <c r="N3" s="388"/>
      <c r="O3" s="388"/>
      <c r="P3" s="388"/>
      <c r="Q3" s="388"/>
    </row>
    <row r="4" spans="1:17" x14ac:dyDescent="0.25">
      <c r="A4" s="1099"/>
      <c r="B4" s="1100"/>
      <c r="C4" s="1100"/>
      <c r="D4" s="1100"/>
      <c r="E4" s="1100"/>
      <c r="F4" s="1100"/>
      <c r="G4" s="1100"/>
      <c r="H4" s="1100"/>
      <c r="I4" s="1100"/>
      <c r="J4" s="1100"/>
      <c r="K4" s="1100"/>
      <c r="L4" s="1100"/>
      <c r="M4" s="160" t="s">
        <v>66</v>
      </c>
      <c r="N4" s="388"/>
      <c r="O4" s="388"/>
      <c r="P4" s="388"/>
      <c r="Q4" s="388"/>
    </row>
    <row r="5" spans="1:17" ht="21" x14ac:dyDescent="0.25">
      <c r="A5" s="1107"/>
      <c r="B5" s="1107"/>
      <c r="C5" s="1107"/>
      <c r="D5" s="1107"/>
      <c r="E5" s="1107"/>
      <c r="F5" s="1107"/>
      <c r="G5" s="1107"/>
      <c r="H5" s="1107"/>
      <c r="I5" s="1107"/>
      <c r="J5" s="1107"/>
      <c r="K5" s="1107"/>
      <c r="L5" s="1108"/>
      <c r="M5" s="160" t="s">
        <v>19</v>
      </c>
      <c r="N5" s="388"/>
      <c r="O5" s="388"/>
      <c r="P5" s="388"/>
      <c r="Q5" s="388"/>
    </row>
    <row r="6" spans="1:17" ht="42" customHeight="1" x14ac:dyDescent="0.25">
      <c r="A6" s="422">
        <v>1</v>
      </c>
      <c r="B6" s="1101" t="s">
        <v>20</v>
      </c>
      <c r="C6" s="1101"/>
      <c r="D6" s="1101"/>
      <c r="E6" s="1101"/>
      <c r="F6" s="1101"/>
      <c r="G6" s="1101"/>
      <c r="H6" s="1101"/>
      <c r="I6" s="1101"/>
      <c r="J6" s="1101"/>
      <c r="K6" s="1101"/>
      <c r="L6" s="1101"/>
      <c r="M6" s="444" t="s">
        <v>67</v>
      </c>
      <c r="N6" s="388"/>
      <c r="O6" s="388"/>
      <c r="P6" s="388"/>
      <c r="Q6" s="388"/>
    </row>
    <row r="7" spans="1:17" x14ac:dyDescent="0.25">
      <c r="A7" s="338">
        <v>2</v>
      </c>
      <c r="B7" s="1102" t="s">
        <v>21</v>
      </c>
      <c r="C7" s="1102"/>
      <c r="D7" s="1102"/>
      <c r="E7" s="1102"/>
      <c r="F7" s="1102"/>
      <c r="G7" s="1102"/>
      <c r="H7" s="1102"/>
      <c r="I7" s="1102"/>
      <c r="J7" s="1102"/>
      <c r="K7" s="1102"/>
      <c r="L7" s="1103"/>
      <c r="M7" s="499"/>
      <c r="N7" s="388"/>
      <c r="O7" s="388"/>
      <c r="P7" s="388"/>
      <c r="Q7" s="388"/>
    </row>
    <row r="8" spans="1:17" x14ac:dyDescent="0.25">
      <c r="A8" s="338">
        <v>3</v>
      </c>
      <c r="B8" s="1102" t="s">
        <v>22</v>
      </c>
      <c r="C8" s="1102"/>
      <c r="D8" s="1102"/>
      <c r="E8" s="1102"/>
      <c r="F8" s="1102"/>
      <c r="G8" s="1102"/>
      <c r="H8" s="1102"/>
      <c r="I8" s="1102"/>
      <c r="J8" s="1102"/>
      <c r="K8" s="1102"/>
      <c r="L8" s="1103"/>
      <c r="M8" s="97"/>
      <c r="N8" s="388"/>
      <c r="O8" s="388"/>
      <c r="P8" s="388"/>
      <c r="Q8" s="388"/>
    </row>
    <row r="9" spans="1:17" x14ac:dyDescent="0.25">
      <c r="A9" s="338">
        <v>4</v>
      </c>
      <c r="B9" s="1102" t="s">
        <v>23</v>
      </c>
      <c r="C9" s="1102"/>
      <c r="D9" s="1102"/>
      <c r="E9" s="1102"/>
      <c r="F9" s="1102"/>
      <c r="G9" s="1102"/>
      <c r="H9" s="1102"/>
      <c r="I9" s="1102"/>
      <c r="J9" s="1102"/>
      <c r="K9" s="1102"/>
      <c r="L9" s="1103"/>
      <c r="M9" s="97"/>
      <c r="N9" s="388"/>
      <c r="O9" s="388"/>
      <c r="P9" s="388"/>
      <c r="Q9" s="388"/>
    </row>
    <row r="10" spans="1:17" x14ac:dyDescent="0.25">
      <c r="A10" s="338">
        <v>5</v>
      </c>
      <c r="B10" s="1102" t="s">
        <v>24</v>
      </c>
      <c r="C10" s="1102"/>
      <c r="D10" s="1102"/>
      <c r="E10" s="1102"/>
      <c r="F10" s="1102"/>
      <c r="G10" s="1102"/>
      <c r="H10" s="1102"/>
      <c r="I10" s="1102"/>
      <c r="J10" s="1102"/>
      <c r="K10" s="1102"/>
      <c r="L10" s="1103"/>
      <c r="M10" s="97"/>
      <c r="N10" s="388"/>
      <c r="O10" s="388"/>
      <c r="P10" s="388"/>
      <c r="Q10" s="388"/>
    </row>
    <row r="11" spans="1:17" x14ac:dyDescent="0.25">
      <c r="A11" s="338">
        <v>6</v>
      </c>
      <c r="B11" s="1102" t="s">
        <v>25</v>
      </c>
      <c r="C11" s="1102"/>
      <c r="D11" s="1102"/>
      <c r="E11" s="1102"/>
      <c r="F11" s="1102"/>
      <c r="G11" s="1102"/>
      <c r="H11" s="1102"/>
      <c r="I11" s="1102"/>
      <c r="J11" s="1102"/>
      <c r="K11" s="1102"/>
      <c r="L11" s="1103"/>
      <c r="M11" s="97"/>
      <c r="N11" s="388"/>
      <c r="O11" s="388"/>
      <c r="P11" s="388"/>
      <c r="Q11" s="388"/>
    </row>
    <row r="12" spans="1:17" x14ac:dyDescent="0.25">
      <c r="A12" s="338">
        <v>7</v>
      </c>
      <c r="B12" s="1102" t="s">
        <v>26</v>
      </c>
      <c r="C12" s="1102"/>
      <c r="D12" s="1102"/>
      <c r="E12" s="1102"/>
      <c r="F12" s="1102"/>
      <c r="G12" s="1102"/>
      <c r="H12" s="1102"/>
      <c r="I12" s="1102"/>
      <c r="J12" s="1102"/>
      <c r="K12" s="1102"/>
      <c r="L12" s="1103"/>
      <c r="M12" s="97"/>
      <c r="N12" s="388"/>
      <c r="O12" s="388"/>
      <c r="P12" s="388"/>
      <c r="Q12" s="388"/>
    </row>
    <row r="13" spans="1:17" x14ac:dyDescent="0.25">
      <c r="A13" s="338">
        <v>8</v>
      </c>
      <c r="B13" s="1102" t="s">
        <v>27</v>
      </c>
      <c r="C13" s="1102"/>
      <c r="D13" s="1102"/>
      <c r="E13" s="1102"/>
      <c r="F13" s="1102"/>
      <c r="G13" s="1102"/>
      <c r="H13" s="1102"/>
      <c r="I13" s="1102"/>
      <c r="J13" s="1102"/>
      <c r="K13" s="1102"/>
      <c r="L13" s="1103"/>
      <c r="M13" s="97"/>
      <c r="N13" s="388"/>
      <c r="O13" s="388"/>
      <c r="P13" s="388"/>
      <c r="Q13" s="388"/>
    </row>
    <row r="14" spans="1:17" x14ac:dyDescent="0.25">
      <c r="A14" s="338">
        <v>9</v>
      </c>
      <c r="B14" s="1102" t="s">
        <v>28</v>
      </c>
      <c r="C14" s="1102"/>
      <c r="D14" s="1102"/>
      <c r="E14" s="1102"/>
      <c r="F14" s="1102"/>
      <c r="G14" s="1102"/>
      <c r="H14" s="1102"/>
      <c r="I14" s="1102"/>
      <c r="J14" s="1102"/>
      <c r="K14" s="1102"/>
      <c r="L14" s="1103"/>
      <c r="M14" s="97"/>
      <c r="N14" s="388"/>
      <c r="O14" s="388"/>
      <c r="P14" s="388"/>
      <c r="Q14" s="388"/>
    </row>
    <row r="15" spans="1:17" x14ac:dyDescent="0.25">
      <c r="A15" s="338">
        <v>10</v>
      </c>
      <c r="B15" s="1102" t="s">
        <v>29</v>
      </c>
      <c r="C15" s="1102"/>
      <c r="D15" s="1102"/>
      <c r="E15" s="1102"/>
      <c r="F15" s="1102"/>
      <c r="G15" s="1102"/>
      <c r="H15" s="1102"/>
      <c r="I15" s="1102"/>
      <c r="J15" s="1102"/>
      <c r="K15" s="1102"/>
      <c r="L15" s="1103"/>
      <c r="M15" s="97"/>
      <c r="N15" s="388"/>
      <c r="O15" s="388"/>
      <c r="P15" s="388"/>
      <c r="Q15" s="388"/>
    </row>
    <row r="16" spans="1:17" x14ac:dyDescent="0.25">
      <c r="A16" s="338">
        <v>11</v>
      </c>
      <c r="B16" s="1102" t="s">
        <v>69</v>
      </c>
      <c r="C16" s="1102"/>
      <c r="D16" s="1102"/>
      <c r="E16" s="1102"/>
      <c r="F16" s="1102"/>
      <c r="G16" s="1102"/>
      <c r="H16" s="1102"/>
      <c r="I16" s="1102"/>
      <c r="J16" s="1102"/>
      <c r="K16" s="1102"/>
      <c r="L16" s="1103"/>
      <c r="M16" s="97"/>
      <c r="N16" s="388"/>
      <c r="O16" s="388"/>
      <c r="P16" s="388"/>
      <c r="Q16" s="388"/>
    </row>
    <row r="17" spans="1:17" x14ac:dyDescent="0.25">
      <c r="A17" s="338">
        <v>12</v>
      </c>
      <c r="B17" s="1102" t="s">
        <v>434</v>
      </c>
      <c r="C17" s="1102"/>
      <c r="D17" s="1102"/>
      <c r="E17" s="1102"/>
      <c r="F17" s="1102"/>
      <c r="G17" s="1102"/>
      <c r="H17" s="1102"/>
      <c r="I17" s="1102"/>
      <c r="J17" s="1102"/>
      <c r="K17" s="1102"/>
      <c r="L17" s="1103"/>
      <c r="M17" s="97"/>
      <c r="N17" s="388"/>
      <c r="O17" s="388"/>
      <c r="P17" s="388"/>
      <c r="Q17" s="388"/>
    </row>
    <row r="18" spans="1:17" x14ac:dyDescent="0.25">
      <c r="A18" s="338">
        <v>13</v>
      </c>
      <c r="B18" s="1102" t="s">
        <v>435</v>
      </c>
      <c r="C18" s="1102"/>
      <c r="D18" s="1102"/>
      <c r="E18" s="1102"/>
      <c r="F18" s="1102"/>
      <c r="G18" s="1102"/>
      <c r="H18" s="1102"/>
      <c r="I18" s="1102"/>
      <c r="J18" s="1102"/>
      <c r="K18" s="1102"/>
      <c r="L18" s="1103"/>
      <c r="M18" s="97"/>
      <c r="N18" s="388"/>
      <c r="O18" s="388"/>
      <c r="P18" s="388"/>
      <c r="Q18" s="388"/>
    </row>
    <row r="19" spans="1:17" x14ac:dyDescent="0.25">
      <c r="A19" s="338">
        <v>14</v>
      </c>
      <c r="B19" s="1102" t="s">
        <v>436</v>
      </c>
      <c r="C19" s="1102"/>
      <c r="D19" s="1102"/>
      <c r="E19" s="1102"/>
      <c r="F19" s="1102"/>
      <c r="G19" s="1102"/>
      <c r="H19" s="1102"/>
      <c r="I19" s="1102"/>
      <c r="J19" s="1102"/>
      <c r="K19" s="1102"/>
      <c r="L19" s="1103"/>
      <c r="M19" s="97"/>
      <c r="N19" s="388"/>
      <c r="O19" s="388"/>
      <c r="P19" s="388"/>
      <c r="Q19" s="388"/>
    </row>
    <row r="20" spans="1:17" x14ac:dyDescent="0.25">
      <c r="A20" s="338">
        <v>15</v>
      </c>
      <c r="B20" s="1102" t="s">
        <v>437</v>
      </c>
      <c r="C20" s="1102"/>
      <c r="D20" s="1102"/>
      <c r="E20" s="1102"/>
      <c r="F20" s="1102"/>
      <c r="G20" s="1102"/>
      <c r="H20" s="1102"/>
      <c r="I20" s="1102"/>
      <c r="J20" s="1102"/>
      <c r="K20" s="1102"/>
      <c r="L20" s="1103"/>
      <c r="M20" s="97"/>
      <c r="N20" s="388"/>
      <c r="O20" s="388"/>
      <c r="P20" s="388"/>
      <c r="Q20" s="388"/>
    </row>
    <row r="21" spans="1:17" x14ac:dyDescent="0.25">
      <c r="A21" s="338">
        <v>16</v>
      </c>
      <c r="B21" s="1111" t="s">
        <v>438</v>
      </c>
      <c r="C21" s="1111"/>
      <c r="D21" s="1111"/>
      <c r="E21" s="1111"/>
      <c r="F21" s="1111"/>
      <c r="G21" s="1111"/>
      <c r="H21" s="1111"/>
      <c r="I21" s="1111"/>
      <c r="J21" s="1111"/>
      <c r="K21" s="1111"/>
      <c r="L21" s="1112"/>
      <c r="M21" s="97"/>
      <c r="N21" s="388"/>
      <c r="O21" s="388"/>
      <c r="P21" s="388"/>
      <c r="Q21" s="388"/>
    </row>
    <row r="22" spans="1:17" x14ac:dyDescent="0.25">
      <c r="A22" s="338">
        <v>17</v>
      </c>
      <c r="B22" s="1113" t="s">
        <v>137</v>
      </c>
      <c r="C22" s="1113"/>
      <c r="D22" s="1113"/>
      <c r="E22" s="1113"/>
      <c r="F22" s="1113"/>
      <c r="G22" s="1113"/>
      <c r="H22" s="1113"/>
      <c r="I22" s="1113"/>
      <c r="J22" s="1113"/>
      <c r="K22" s="1113"/>
      <c r="L22" s="1114"/>
      <c r="M22" s="389"/>
      <c r="N22" s="388"/>
      <c r="O22" s="388"/>
      <c r="P22" s="388"/>
      <c r="Q22" s="388"/>
    </row>
    <row r="23" spans="1:17" x14ac:dyDescent="0.25">
      <c r="A23" s="338">
        <v>18</v>
      </c>
      <c r="B23" s="1115" t="s">
        <v>439</v>
      </c>
      <c r="C23" s="1115"/>
      <c r="D23" s="1115"/>
      <c r="E23" s="1115"/>
      <c r="F23" s="1115"/>
      <c r="G23" s="1115"/>
      <c r="H23" s="1115"/>
      <c r="I23" s="1115"/>
      <c r="J23" s="1115"/>
      <c r="K23" s="1115"/>
      <c r="L23" s="1116"/>
      <c r="M23" s="341" t="s">
        <v>440</v>
      </c>
      <c r="N23" s="388"/>
      <c r="O23" s="388"/>
      <c r="P23" s="388"/>
      <c r="Q23" s="388"/>
    </row>
    <row r="24" spans="1:17" x14ac:dyDescent="0.25">
      <c r="A24" s="338">
        <v>19</v>
      </c>
      <c r="B24" s="498" t="s">
        <v>441</v>
      </c>
      <c r="C24" s="498" t="s">
        <v>442</v>
      </c>
      <c r="D24" s="498" t="s">
        <v>443</v>
      </c>
      <c r="E24" s="498" t="s">
        <v>444</v>
      </c>
      <c r="F24" s="498" t="s">
        <v>445</v>
      </c>
      <c r="G24" s="498" t="s">
        <v>446</v>
      </c>
      <c r="H24" s="498" t="s">
        <v>447</v>
      </c>
      <c r="I24" s="498" t="s">
        <v>448</v>
      </c>
      <c r="J24" s="498" t="s">
        <v>449</v>
      </c>
      <c r="K24" s="498" t="s">
        <v>450</v>
      </c>
      <c r="L24" s="498" t="s">
        <v>451</v>
      </c>
      <c r="M24" s="492" t="s">
        <v>137</v>
      </c>
      <c r="N24" s="388"/>
      <c r="O24" s="388"/>
      <c r="P24" s="388"/>
      <c r="Q24" s="388"/>
    </row>
    <row r="25" spans="1:17" x14ac:dyDescent="0.25">
      <c r="A25" s="338">
        <v>20</v>
      </c>
      <c r="B25" s="1117"/>
      <c r="C25" s="1117"/>
      <c r="D25" s="1117"/>
      <c r="E25" s="1117"/>
      <c r="F25" s="1117"/>
      <c r="G25" s="1117"/>
      <c r="H25" s="1117"/>
      <c r="I25" s="1117"/>
      <c r="J25" s="1117"/>
      <c r="K25" s="1117"/>
      <c r="L25" s="1118"/>
      <c r="M25" s="492" t="s">
        <v>137</v>
      </c>
      <c r="N25" s="388"/>
      <c r="O25" s="388"/>
      <c r="P25" s="388"/>
      <c r="Q25" s="388"/>
    </row>
    <row r="26" spans="1:17" x14ac:dyDescent="0.25">
      <c r="A26" s="338">
        <v>21</v>
      </c>
      <c r="B26" s="339"/>
      <c r="C26" s="339"/>
      <c r="D26" s="339"/>
      <c r="E26" s="339"/>
      <c r="F26" s="339"/>
      <c r="G26" s="339"/>
      <c r="H26" s="339"/>
      <c r="I26" s="339"/>
      <c r="J26" s="339"/>
      <c r="K26" s="339"/>
      <c r="L26" s="390"/>
      <c r="M26" s="339" t="s">
        <v>137</v>
      </c>
      <c r="N26" s="388"/>
      <c r="O26" s="388"/>
      <c r="P26" s="388"/>
      <c r="Q26" s="388"/>
    </row>
    <row r="27" spans="1:17" x14ac:dyDescent="0.25">
      <c r="A27" s="338">
        <v>22</v>
      </c>
      <c r="B27" s="339"/>
      <c r="C27" s="339"/>
      <c r="D27" s="339"/>
      <c r="E27" s="339"/>
      <c r="F27" s="339"/>
      <c r="G27" s="339"/>
      <c r="H27" s="339"/>
      <c r="I27" s="339"/>
      <c r="J27" s="339"/>
      <c r="K27" s="339"/>
      <c r="L27" s="390"/>
      <c r="M27" s="339" t="s">
        <v>137</v>
      </c>
      <c r="N27" s="388"/>
      <c r="O27" s="388"/>
      <c r="P27" s="388"/>
      <c r="Q27" s="388"/>
    </row>
    <row r="28" spans="1:17" x14ac:dyDescent="0.25">
      <c r="A28" s="338">
        <v>23</v>
      </c>
      <c r="B28" s="339"/>
      <c r="C28" s="339"/>
      <c r="D28" s="339"/>
      <c r="E28" s="339"/>
      <c r="F28" s="339"/>
      <c r="G28" s="339"/>
      <c r="H28" s="339"/>
      <c r="I28" s="339"/>
      <c r="J28" s="339"/>
      <c r="K28" s="339"/>
      <c r="L28" s="390"/>
      <c r="M28" s="339" t="s">
        <v>137</v>
      </c>
      <c r="N28" s="388"/>
      <c r="O28" s="388"/>
      <c r="P28" s="388"/>
      <c r="Q28" s="388"/>
    </row>
    <row r="29" spans="1:17" x14ac:dyDescent="0.25">
      <c r="A29" s="338">
        <v>24</v>
      </c>
      <c r="B29" s="339"/>
      <c r="C29" s="339"/>
      <c r="D29" s="339"/>
      <c r="E29" s="339"/>
      <c r="F29" s="339"/>
      <c r="G29" s="339"/>
      <c r="H29" s="339"/>
      <c r="I29" s="339"/>
      <c r="J29" s="339"/>
      <c r="K29" s="339"/>
      <c r="L29" s="339"/>
      <c r="M29" s="339" t="s">
        <v>137</v>
      </c>
      <c r="N29" s="388"/>
      <c r="O29" s="388"/>
      <c r="P29" s="388"/>
      <c r="Q29" s="388"/>
    </row>
    <row r="30" spans="1:17" x14ac:dyDescent="0.25">
      <c r="A30" s="338">
        <v>25</v>
      </c>
      <c r="B30" s="339"/>
      <c r="C30" s="339"/>
      <c r="D30" s="339"/>
      <c r="E30" s="339"/>
      <c r="F30" s="339"/>
      <c r="G30" s="339"/>
      <c r="H30" s="339"/>
      <c r="I30" s="339"/>
      <c r="J30" s="339"/>
      <c r="K30" s="339"/>
      <c r="L30" s="339"/>
      <c r="M30" s="339" t="s">
        <v>137</v>
      </c>
      <c r="N30" s="388"/>
      <c r="O30" s="388"/>
      <c r="P30" s="388"/>
      <c r="Q30" s="388"/>
    </row>
    <row r="31" spans="1:17" x14ac:dyDescent="0.25">
      <c r="A31" s="338">
        <v>26</v>
      </c>
      <c r="B31" s="339"/>
      <c r="C31" s="339"/>
      <c r="D31" s="339"/>
      <c r="E31" s="339"/>
      <c r="F31" s="339"/>
      <c r="G31" s="339"/>
      <c r="H31" s="339"/>
      <c r="I31" s="339"/>
      <c r="J31" s="339"/>
      <c r="K31" s="339"/>
      <c r="L31" s="390"/>
      <c r="M31" s="339" t="s">
        <v>137</v>
      </c>
      <c r="N31" s="388"/>
      <c r="O31" s="388"/>
      <c r="P31" s="388"/>
      <c r="Q31" s="388"/>
    </row>
    <row r="32" spans="1:17" x14ac:dyDescent="0.25">
      <c r="A32" s="338">
        <v>27</v>
      </c>
      <c r="B32" s="339"/>
      <c r="C32" s="339"/>
      <c r="D32" s="339"/>
      <c r="E32" s="339"/>
      <c r="F32" s="339"/>
      <c r="G32" s="339"/>
      <c r="H32" s="339"/>
      <c r="I32" s="339"/>
      <c r="J32" s="339"/>
      <c r="K32" s="339"/>
      <c r="L32" s="339"/>
      <c r="M32" s="339" t="s">
        <v>137</v>
      </c>
      <c r="N32" s="388"/>
      <c r="O32" s="388"/>
      <c r="P32" s="388"/>
      <c r="Q32" s="388"/>
    </row>
    <row r="33" spans="1:17" x14ac:dyDescent="0.25">
      <c r="A33" s="338">
        <v>28</v>
      </c>
      <c r="B33" s="339"/>
      <c r="C33" s="339"/>
      <c r="D33" s="339"/>
      <c r="E33" s="339"/>
      <c r="F33" s="339"/>
      <c r="G33" s="339"/>
      <c r="H33" s="339"/>
      <c r="I33" s="339"/>
      <c r="J33" s="339"/>
      <c r="K33" s="339"/>
      <c r="L33" s="390"/>
      <c r="M33" s="339" t="s">
        <v>137</v>
      </c>
      <c r="N33" s="388"/>
      <c r="O33" s="388"/>
      <c r="P33" s="388"/>
      <c r="Q33" s="388"/>
    </row>
    <row r="34" spans="1:17" x14ac:dyDescent="0.25">
      <c r="A34" s="338">
        <v>29</v>
      </c>
      <c r="B34" s="339"/>
      <c r="C34" s="339"/>
      <c r="D34" s="339"/>
      <c r="E34" s="339"/>
      <c r="F34" s="339"/>
      <c r="G34" s="339"/>
      <c r="H34" s="339"/>
      <c r="I34" s="339"/>
      <c r="J34" s="339"/>
      <c r="K34" s="339"/>
      <c r="L34" s="390"/>
      <c r="M34" s="339" t="s">
        <v>137</v>
      </c>
      <c r="N34" s="388"/>
      <c r="O34" s="388"/>
      <c r="P34" s="388"/>
      <c r="Q34" s="388"/>
    </row>
    <row r="35" spans="1:17" x14ac:dyDescent="0.25">
      <c r="A35" s="338">
        <v>30</v>
      </c>
      <c r="B35" s="339"/>
      <c r="C35" s="339"/>
      <c r="D35" s="339"/>
      <c r="E35" s="339"/>
      <c r="F35" s="339"/>
      <c r="G35" s="339"/>
      <c r="H35" s="339"/>
      <c r="I35" s="339"/>
      <c r="J35" s="339"/>
      <c r="K35" s="339"/>
      <c r="L35" s="390"/>
      <c r="M35" s="339" t="s">
        <v>137</v>
      </c>
      <c r="N35" s="388"/>
      <c r="O35" s="388"/>
      <c r="P35" s="388"/>
      <c r="Q35" s="388"/>
    </row>
    <row r="36" spans="1:17" x14ac:dyDescent="0.25">
      <c r="A36" s="338">
        <v>31</v>
      </c>
      <c r="B36" s="1109" t="s">
        <v>137</v>
      </c>
      <c r="C36" s="1109"/>
      <c r="D36" s="1109"/>
      <c r="E36" s="1109"/>
      <c r="F36" s="1109"/>
      <c r="G36" s="1109"/>
      <c r="H36" s="1109"/>
      <c r="I36" s="1109"/>
      <c r="J36" s="1109"/>
      <c r="K36" s="1109"/>
      <c r="L36" s="1110"/>
      <c r="M36" s="339" t="s">
        <v>137</v>
      </c>
      <c r="N36" s="388"/>
      <c r="O36" s="388"/>
      <c r="P36" s="388"/>
      <c r="Q36" s="388"/>
    </row>
    <row r="37" spans="1:17" x14ac:dyDescent="0.25">
      <c r="A37" s="338">
        <v>32</v>
      </c>
      <c r="B37" s="1119" t="s">
        <v>452</v>
      </c>
      <c r="C37" s="1119"/>
      <c r="D37" s="1119"/>
      <c r="E37" s="1119"/>
      <c r="F37" s="1119"/>
      <c r="G37" s="1119"/>
      <c r="H37" s="1119"/>
      <c r="I37" s="1119"/>
      <c r="J37" s="1119"/>
      <c r="K37" s="1119"/>
      <c r="L37" s="1120"/>
      <c r="M37" s="492" t="s">
        <v>137</v>
      </c>
      <c r="N37" s="388"/>
      <c r="O37" s="388"/>
      <c r="P37" s="388"/>
      <c r="Q37" s="388"/>
    </row>
    <row r="38" spans="1:17" x14ac:dyDescent="0.25">
      <c r="A38" s="338">
        <v>33</v>
      </c>
      <c r="B38" s="1121" t="s">
        <v>453</v>
      </c>
      <c r="C38" s="1121"/>
      <c r="D38" s="1121"/>
      <c r="E38" s="1121"/>
      <c r="F38" s="1121"/>
      <c r="G38" s="1121"/>
      <c r="H38" s="1121"/>
      <c r="I38" s="1121"/>
      <c r="J38" s="1121"/>
      <c r="K38" s="1121"/>
      <c r="L38" s="1122"/>
      <c r="M38" s="339" t="s">
        <v>137</v>
      </c>
      <c r="N38" s="388"/>
      <c r="O38" s="388"/>
      <c r="P38" s="388"/>
      <c r="Q38" s="388"/>
    </row>
    <row r="39" spans="1:17" x14ac:dyDescent="0.25">
      <c r="A39" s="338">
        <v>34</v>
      </c>
      <c r="B39" s="1121"/>
      <c r="C39" s="1121"/>
      <c r="D39" s="1121"/>
      <c r="E39" s="1121"/>
      <c r="F39" s="1121"/>
      <c r="G39" s="1121"/>
      <c r="H39" s="1121"/>
      <c r="I39" s="1121"/>
      <c r="J39" s="1121"/>
      <c r="K39" s="1121"/>
      <c r="L39" s="1122"/>
      <c r="M39" s="339" t="s">
        <v>137</v>
      </c>
      <c r="N39" s="388"/>
      <c r="O39" s="388"/>
      <c r="P39" s="388"/>
      <c r="Q39" s="388"/>
    </row>
    <row r="40" spans="1:17" x14ac:dyDescent="0.25">
      <c r="A40" s="338">
        <v>35</v>
      </c>
      <c r="B40" s="1109" t="s">
        <v>137</v>
      </c>
      <c r="C40" s="1109"/>
      <c r="D40" s="1109"/>
      <c r="E40" s="1109"/>
      <c r="F40" s="1109"/>
      <c r="G40" s="1109"/>
      <c r="H40" s="1109"/>
      <c r="I40" s="1109"/>
      <c r="J40" s="1109"/>
      <c r="K40" s="1109"/>
      <c r="L40" s="1110"/>
      <c r="M40" s="339" t="s">
        <v>137</v>
      </c>
      <c r="N40" s="388"/>
      <c r="O40" s="388"/>
      <c r="P40" s="388"/>
      <c r="Q40" s="388"/>
    </row>
    <row r="41" spans="1:17" x14ac:dyDescent="0.25">
      <c r="A41" s="338">
        <v>36</v>
      </c>
      <c r="B41" s="1119" t="s">
        <v>454</v>
      </c>
      <c r="C41" s="1119"/>
      <c r="D41" s="1119"/>
      <c r="E41" s="1119"/>
      <c r="F41" s="1119"/>
      <c r="G41" s="1119"/>
      <c r="H41" s="1119"/>
      <c r="I41" s="1119"/>
      <c r="J41" s="1119"/>
      <c r="K41" s="1119"/>
      <c r="L41" s="1120"/>
      <c r="M41" s="492" t="s">
        <v>137</v>
      </c>
      <c r="N41" s="388"/>
      <c r="O41" s="388"/>
      <c r="P41" s="388"/>
      <c r="Q41" s="388"/>
    </row>
    <row r="42" spans="1:17" x14ac:dyDescent="0.25">
      <c r="A42" s="338">
        <v>37</v>
      </c>
      <c r="B42" s="1109" t="s">
        <v>455</v>
      </c>
      <c r="C42" s="1109"/>
      <c r="D42" s="1109"/>
      <c r="E42" s="1109"/>
      <c r="F42" s="1109"/>
      <c r="G42" s="1109"/>
      <c r="H42" s="1109"/>
      <c r="I42" s="1109"/>
      <c r="J42" s="1109"/>
      <c r="K42" s="1109"/>
      <c r="L42" s="1110"/>
      <c r="M42" s="339" t="s">
        <v>137</v>
      </c>
      <c r="N42" s="388"/>
      <c r="O42" s="388"/>
      <c r="P42" s="388"/>
      <c r="Q42" s="388"/>
    </row>
    <row r="43" spans="1:17" x14ac:dyDescent="0.25">
      <c r="A43" s="338">
        <v>38</v>
      </c>
      <c r="B43" s="1123" t="s">
        <v>456</v>
      </c>
      <c r="C43" s="1123"/>
      <c r="D43" s="1123"/>
      <c r="E43" s="1123"/>
      <c r="F43" s="1123"/>
      <c r="G43" s="1123"/>
      <c r="H43" s="1123"/>
      <c r="I43" s="1123"/>
      <c r="J43" s="1123"/>
      <c r="K43" s="1123"/>
      <c r="L43" s="1124"/>
      <c r="M43" s="339" t="s">
        <v>137</v>
      </c>
      <c r="N43" s="388"/>
      <c r="O43" s="388"/>
      <c r="P43" s="388"/>
      <c r="Q43" s="388"/>
    </row>
    <row r="44" spans="1:17" x14ac:dyDescent="0.25">
      <c r="A44" s="338">
        <v>39</v>
      </c>
      <c r="B44" s="1109" t="s">
        <v>457</v>
      </c>
      <c r="C44" s="1109"/>
      <c r="D44" s="1109"/>
      <c r="E44" s="1109"/>
      <c r="F44" s="1109"/>
      <c r="G44" s="1109"/>
      <c r="H44" s="1109"/>
      <c r="I44" s="1109"/>
      <c r="J44" s="1109"/>
      <c r="K44" s="1109"/>
      <c r="L44" s="1110"/>
      <c r="M44" s="339" t="s">
        <v>137</v>
      </c>
      <c r="N44" s="388"/>
      <c r="O44" s="388"/>
      <c r="P44" s="388"/>
      <c r="Q44" s="388"/>
    </row>
    <row r="45" spans="1:17" x14ac:dyDescent="0.25">
      <c r="A45" s="338">
        <v>40</v>
      </c>
      <c r="B45" s="1109" t="s">
        <v>137</v>
      </c>
      <c r="C45" s="1109"/>
      <c r="D45" s="1109"/>
      <c r="E45" s="1109"/>
      <c r="F45" s="1109"/>
      <c r="G45" s="1109"/>
      <c r="H45" s="1109"/>
      <c r="I45" s="1109"/>
      <c r="J45" s="1109"/>
      <c r="K45" s="1109"/>
      <c r="L45" s="1110"/>
      <c r="M45" s="339" t="s">
        <v>137</v>
      </c>
      <c r="N45" s="388"/>
      <c r="O45" s="388"/>
      <c r="P45" s="388"/>
      <c r="Q45" s="388"/>
    </row>
    <row r="46" spans="1:17" x14ac:dyDescent="0.25">
      <c r="A46" s="338">
        <v>41</v>
      </c>
      <c r="B46" s="1119" t="s">
        <v>458</v>
      </c>
      <c r="C46" s="1119"/>
      <c r="D46" s="1119"/>
      <c r="E46" s="1119"/>
      <c r="F46" s="1119"/>
      <c r="G46" s="1119"/>
      <c r="H46" s="1119"/>
      <c r="I46" s="1119"/>
      <c r="J46" s="1119"/>
      <c r="K46" s="1119"/>
      <c r="L46" s="1120"/>
      <c r="M46" s="492" t="s">
        <v>137</v>
      </c>
      <c r="N46" s="388"/>
      <c r="O46" s="388"/>
      <c r="P46" s="388"/>
      <c r="Q46" s="388"/>
    </row>
    <row r="47" spans="1:17" x14ac:dyDescent="0.25">
      <c r="A47" s="338">
        <v>42</v>
      </c>
      <c r="B47" s="1109" t="s">
        <v>459</v>
      </c>
      <c r="C47" s="1109"/>
      <c r="D47" s="1109"/>
      <c r="E47" s="1109"/>
      <c r="F47" s="1109"/>
      <c r="G47" s="1109"/>
      <c r="H47" s="1109"/>
      <c r="I47" s="1109"/>
      <c r="J47" s="1109"/>
      <c r="K47" s="1109"/>
      <c r="L47" s="1110"/>
      <c r="M47" s="339" t="s">
        <v>137</v>
      </c>
      <c r="N47" s="388"/>
      <c r="O47" s="388"/>
      <c r="P47" s="388"/>
      <c r="Q47" s="388"/>
    </row>
    <row r="48" spans="1:17" x14ac:dyDescent="0.25">
      <c r="A48" s="338">
        <v>43</v>
      </c>
      <c r="B48" s="1109" t="s">
        <v>460</v>
      </c>
      <c r="C48" s="1109"/>
      <c r="D48" s="1109"/>
      <c r="E48" s="1109"/>
      <c r="F48" s="1109"/>
      <c r="G48" s="1109"/>
      <c r="H48" s="1109"/>
      <c r="I48" s="1109"/>
      <c r="J48" s="1109"/>
      <c r="K48" s="1109"/>
      <c r="L48" s="1110"/>
      <c r="M48" s="339" t="s">
        <v>137</v>
      </c>
      <c r="N48" s="388"/>
      <c r="O48" s="388"/>
      <c r="P48" s="388"/>
      <c r="Q48" s="388"/>
    </row>
    <row r="49" spans="1:17" x14ac:dyDescent="0.25">
      <c r="A49" s="338">
        <v>44</v>
      </c>
      <c r="B49" s="1109" t="s">
        <v>461</v>
      </c>
      <c r="C49" s="1109"/>
      <c r="D49" s="1109"/>
      <c r="E49" s="1109"/>
      <c r="F49" s="1109"/>
      <c r="G49" s="1109"/>
      <c r="H49" s="1109"/>
      <c r="I49" s="1109"/>
      <c r="J49" s="1109"/>
      <c r="K49" s="1109"/>
      <c r="L49" s="1110"/>
      <c r="M49" s="339" t="s">
        <v>137</v>
      </c>
      <c r="N49" s="388"/>
      <c r="O49" s="388"/>
      <c r="P49" s="388"/>
      <c r="Q49" s="388"/>
    </row>
    <row r="50" spans="1:17" x14ac:dyDescent="0.25">
      <c r="A50" s="338">
        <v>45</v>
      </c>
      <c r="B50" s="1109" t="s">
        <v>462</v>
      </c>
      <c r="C50" s="1109"/>
      <c r="D50" s="1109"/>
      <c r="E50" s="1109"/>
      <c r="F50" s="1109"/>
      <c r="G50" s="1109"/>
      <c r="H50" s="1109"/>
      <c r="I50" s="1109"/>
      <c r="J50" s="1109"/>
      <c r="K50" s="1109"/>
      <c r="L50" s="1110"/>
      <c r="M50" s="339" t="s">
        <v>137</v>
      </c>
      <c r="N50" s="388"/>
      <c r="O50" s="388"/>
      <c r="P50" s="388"/>
      <c r="Q50" s="388"/>
    </row>
    <row r="51" spans="1:17" x14ac:dyDescent="0.25">
      <c r="A51" s="338">
        <v>46</v>
      </c>
      <c r="B51" s="1109" t="s">
        <v>463</v>
      </c>
      <c r="C51" s="1109"/>
      <c r="D51" s="1109"/>
      <c r="E51" s="1109"/>
      <c r="F51" s="1109"/>
      <c r="G51" s="1109"/>
      <c r="H51" s="1109"/>
      <c r="I51" s="1109"/>
      <c r="J51" s="1109"/>
      <c r="K51" s="1109"/>
      <c r="L51" s="1110"/>
      <c r="M51" s="339" t="s">
        <v>137</v>
      </c>
      <c r="N51" s="388"/>
      <c r="O51" s="388"/>
      <c r="P51" s="388"/>
      <c r="Q51" s="388"/>
    </row>
    <row r="52" spans="1:17" x14ac:dyDescent="0.25">
      <c r="A52" s="338">
        <v>47</v>
      </c>
      <c r="B52" s="1109" t="s">
        <v>464</v>
      </c>
      <c r="C52" s="1109"/>
      <c r="D52" s="1109"/>
      <c r="E52" s="1109"/>
      <c r="F52" s="1109"/>
      <c r="G52" s="1109"/>
      <c r="H52" s="1109"/>
      <c r="I52" s="1109"/>
      <c r="J52" s="1109"/>
      <c r="K52" s="1109"/>
      <c r="L52" s="1110"/>
      <c r="M52" s="339" t="s">
        <v>137</v>
      </c>
      <c r="N52" s="388"/>
      <c r="O52" s="388"/>
      <c r="P52" s="388"/>
      <c r="Q52" s="388"/>
    </row>
    <row r="53" spans="1:17" x14ac:dyDescent="0.25">
      <c r="A53" s="338">
        <v>48</v>
      </c>
      <c r="B53" s="1109" t="s">
        <v>465</v>
      </c>
      <c r="C53" s="1109"/>
      <c r="D53" s="1109"/>
      <c r="E53" s="1109"/>
      <c r="F53" s="1109"/>
      <c r="G53" s="1109"/>
      <c r="H53" s="1109"/>
      <c r="I53" s="1109"/>
      <c r="J53" s="1109"/>
      <c r="K53" s="1109"/>
      <c r="L53" s="1110"/>
      <c r="M53" s="339" t="s">
        <v>137</v>
      </c>
      <c r="N53" s="388"/>
      <c r="O53" s="388"/>
      <c r="P53" s="388"/>
      <c r="Q53" s="388"/>
    </row>
    <row r="54" spans="1:17" x14ac:dyDescent="0.25">
      <c r="A54" s="338">
        <v>49</v>
      </c>
      <c r="B54" s="1109" t="s">
        <v>466</v>
      </c>
      <c r="C54" s="1109"/>
      <c r="D54" s="1109"/>
      <c r="E54" s="1109"/>
      <c r="F54" s="1109"/>
      <c r="G54" s="1109"/>
      <c r="H54" s="1109"/>
      <c r="I54" s="1109"/>
      <c r="J54" s="1109"/>
      <c r="K54" s="1109"/>
      <c r="L54" s="1110"/>
      <c r="M54" s="339" t="s">
        <v>137</v>
      </c>
      <c r="N54" s="388"/>
      <c r="O54" s="388"/>
      <c r="P54" s="388"/>
      <c r="Q54" s="388"/>
    </row>
    <row r="55" spans="1:17" x14ac:dyDescent="0.25">
      <c r="A55" s="338">
        <v>50</v>
      </c>
      <c r="B55" s="1109" t="s">
        <v>467</v>
      </c>
      <c r="C55" s="1109"/>
      <c r="D55" s="1109"/>
      <c r="E55" s="1109"/>
      <c r="F55" s="1109"/>
      <c r="G55" s="1109"/>
      <c r="H55" s="1109"/>
      <c r="I55" s="1109"/>
      <c r="J55" s="1109"/>
      <c r="K55" s="1109"/>
      <c r="L55" s="1110"/>
      <c r="M55" s="339" t="s">
        <v>137</v>
      </c>
      <c r="N55" s="388"/>
      <c r="O55" s="388"/>
      <c r="P55" s="388"/>
      <c r="Q55" s="388"/>
    </row>
    <row r="56" spans="1:17" x14ac:dyDescent="0.25">
      <c r="A56" s="338">
        <v>51</v>
      </c>
      <c r="B56" s="1109" t="s">
        <v>468</v>
      </c>
      <c r="C56" s="1109"/>
      <c r="D56" s="1109"/>
      <c r="E56" s="1109"/>
      <c r="F56" s="1109"/>
      <c r="G56" s="1109"/>
      <c r="H56" s="1109"/>
      <c r="I56" s="1109"/>
      <c r="J56" s="1109"/>
      <c r="K56" s="1109"/>
      <c r="L56" s="1110"/>
      <c r="M56" s="339" t="s">
        <v>137</v>
      </c>
      <c r="N56" s="388"/>
      <c r="O56" s="388"/>
      <c r="P56" s="388"/>
      <c r="Q56" s="388"/>
    </row>
    <row r="57" spans="1:17" x14ac:dyDescent="0.25">
      <c r="A57" s="338">
        <v>52</v>
      </c>
      <c r="B57" s="1109" t="s">
        <v>469</v>
      </c>
      <c r="C57" s="1109"/>
      <c r="D57" s="1109"/>
      <c r="E57" s="1109"/>
      <c r="F57" s="1109"/>
      <c r="G57" s="1109"/>
      <c r="H57" s="1109"/>
      <c r="I57" s="1109"/>
      <c r="J57" s="1109"/>
      <c r="K57" s="1109"/>
      <c r="L57" s="1110"/>
      <c r="M57" s="339" t="s">
        <v>137</v>
      </c>
      <c r="N57" s="388"/>
      <c r="O57" s="388"/>
      <c r="P57" s="388"/>
      <c r="Q57" s="388"/>
    </row>
    <row r="58" spans="1:17" x14ac:dyDescent="0.25">
      <c r="A58" s="338">
        <v>53</v>
      </c>
      <c r="B58" s="1109" t="s">
        <v>470</v>
      </c>
      <c r="C58" s="1109"/>
      <c r="D58" s="1109"/>
      <c r="E58" s="1109"/>
      <c r="F58" s="1109"/>
      <c r="G58" s="1109"/>
      <c r="H58" s="1109"/>
      <c r="I58" s="1109"/>
      <c r="J58" s="1109"/>
      <c r="K58" s="1109"/>
      <c r="L58" s="1110"/>
      <c r="M58" s="339" t="s">
        <v>137</v>
      </c>
      <c r="N58" s="388"/>
      <c r="O58" s="388"/>
      <c r="P58" s="388"/>
      <c r="Q58" s="388"/>
    </row>
    <row r="59" spans="1:17" x14ac:dyDescent="0.25">
      <c r="A59" s="338">
        <v>54</v>
      </c>
      <c r="B59" s="1109" t="s">
        <v>471</v>
      </c>
      <c r="C59" s="1109"/>
      <c r="D59" s="1109"/>
      <c r="E59" s="1109"/>
      <c r="F59" s="1109"/>
      <c r="G59" s="1109"/>
      <c r="H59" s="1109"/>
      <c r="I59" s="1109"/>
      <c r="J59" s="1109"/>
      <c r="K59" s="1109"/>
      <c r="L59" s="1110"/>
      <c r="M59" s="339" t="s">
        <v>137</v>
      </c>
      <c r="N59" s="388"/>
      <c r="O59" s="388"/>
      <c r="P59" s="388"/>
      <c r="Q59" s="388"/>
    </row>
    <row r="60" spans="1:17" x14ac:dyDescent="0.25">
      <c r="A60" s="338">
        <v>55</v>
      </c>
      <c r="B60" s="1109" t="s">
        <v>137</v>
      </c>
      <c r="C60" s="1109"/>
      <c r="D60" s="1109"/>
      <c r="E60" s="1109"/>
      <c r="F60" s="1109"/>
      <c r="G60" s="1109"/>
      <c r="H60" s="1109"/>
      <c r="I60" s="1109"/>
      <c r="J60" s="1109"/>
      <c r="K60" s="1109"/>
      <c r="L60" s="1110"/>
      <c r="M60" s="339" t="s">
        <v>137</v>
      </c>
      <c r="N60" s="388"/>
      <c r="O60" s="388"/>
      <c r="P60" s="388"/>
      <c r="Q60" s="388"/>
    </row>
    <row r="61" spans="1:17" ht="15" customHeight="1" x14ac:dyDescent="0.25">
      <c r="A61" s="338">
        <v>56</v>
      </c>
      <c r="B61" s="1109" t="s">
        <v>472</v>
      </c>
      <c r="C61" s="1109"/>
      <c r="D61" s="1109"/>
      <c r="E61" s="1109"/>
      <c r="F61" s="1109"/>
      <c r="G61" s="1109"/>
      <c r="H61" s="1109"/>
      <c r="I61" s="1109"/>
      <c r="J61" s="1109"/>
      <c r="K61" s="1109"/>
      <c r="L61" s="1110"/>
      <c r="M61" s="339" t="s">
        <v>137</v>
      </c>
      <c r="N61" s="388"/>
      <c r="O61" s="388"/>
      <c r="P61" s="388"/>
      <c r="Q61" s="388"/>
    </row>
    <row r="62" spans="1:17" x14ac:dyDescent="0.25">
      <c r="A62" s="338">
        <v>57</v>
      </c>
      <c r="B62" s="1109" t="s">
        <v>473</v>
      </c>
      <c r="C62" s="1109"/>
      <c r="D62" s="1109"/>
      <c r="E62" s="1109"/>
      <c r="F62" s="1109"/>
      <c r="G62" s="1109"/>
      <c r="H62" s="1109"/>
      <c r="I62" s="1109"/>
      <c r="J62" s="1109"/>
      <c r="K62" s="1109"/>
      <c r="L62" s="1110"/>
      <c r="M62" s="339" t="s">
        <v>137</v>
      </c>
      <c r="N62" s="388"/>
      <c r="O62" s="388"/>
      <c r="P62" s="388"/>
      <c r="Q62" s="388"/>
    </row>
    <row r="63" spans="1:17" x14ac:dyDescent="0.25">
      <c r="A63" s="338">
        <v>58</v>
      </c>
      <c r="B63" s="1109" t="s">
        <v>137</v>
      </c>
      <c r="C63" s="1109"/>
      <c r="D63" s="1109"/>
      <c r="E63" s="1109"/>
      <c r="F63" s="1109"/>
      <c r="G63" s="1109"/>
      <c r="H63" s="1109"/>
      <c r="I63" s="1109"/>
      <c r="J63" s="1109"/>
      <c r="K63" s="1109"/>
      <c r="L63" s="1110"/>
      <c r="M63" s="339" t="s">
        <v>137</v>
      </c>
      <c r="N63" s="388"/>
      <c r="O63" s="388"/>
      <c r="P63" s="388"/>
      <c r="Q63" s="388"/>
    </row>
    <row r="64" spans="1:17" x14ac:dyDescent="0.25">
      <c r="A64" s="338">
        <v>59</v>
      </c>
      <c r="B64" s="1125" t="s">
        <v>431</v>
      </c>
      <c r="C64" s="1125"/>
      <c r="D64" s="1125"/>
      <c r="E64" s="1125"/>
      <c r="F64" s="1125"/>
      <c r="G64" s="1125"/>
      <c r="H64" s="1125"/>
      <c r="I64" s="1125"/>
      <c r="J64" s="1125"/>
      <c r="K64" s="1125"/>
      <c r="L64" s="1126"/>
      <c r="M64" s="493">
        <v>0</v>
      </c>
      <c r="N64" s="388"/>
      <c r="O64" s="388"/>
      <c r="P64" s="388"/>
      <c r="Q64" s="388"/>
    </row>
    <row r="65" spans="1:17" x14ac:dyDescent="0.25">
      <c r="A65" s="338">
        <v>60</v>
      </c>
      <c r="B65" s="1127" t="s">
        <v>137</v>
      </c>
      <c r="C65" s="1128"/>
      <c r="D65" s="1128"/>
      <c r="E65" s="1128"/>
      <c r="F65" s="1128"/>
      <c r="G65" s="1128"/>
      <c r="H65" s="1128"/>
      <c r="I65" s="1128"/>
      <c r="J65" s="1128"/>
      <c r="K65" s="1128"/>
      <c r="L65" s="1128"/>
      <c r="M65" s="422"/>
      <c r="N65" s="388"/>
      <c r="O65" s="388"/>
      <c r="P65" s="388"/>
      <c r="Q65" s="388"/>
    </row>
    <row r="66" spans="1:17" x14ac:dyDescent="0.25">
      <c r="A66" s="338">
        <v>61</v>
      </c>
      <c r="B66" s="1127" t="s">
        <v>137</v>
      </c>
      <c r="C66" s="1128"/>
      <c r="D66" s="1128"/>
      <c r="E66" s="1128"/>
      <c r="F66" s="1128"/>
      <c r="G66" s="1128"/>
      <c r="H66" s="1128"/>
      <c r="I66" s="1128"/>
      <c r="J66" s="1128"/>
      <c r="K66" s="1128"/>
      <c r="L66" s="1128"/>
      <c r="M66" s="496"/>
      <c r="N66" s="388"/>
      <c r="O66" s="388"/>
      <c r="P66" s="388"/>
      <c r="Q66" s="388"/>
    </row>
    <row r="67" spans="1:17" x14ac:dyDescent="0.25">
      <c r="A67" s="338">
        <v>62</v>
      </c>
      <c r="B67" s="494" t="s">
        <v>43</v>
      </c>
      <c r="C67" s="494"/>
      <c r="D67" s="494"/>
      <c r="E67" s="494"/>
      <c r="F67" s="494"/>
      <c r="G67" s="494"/>
      <c r="H67" s="494"/>
      <c r="I67" s="494"/>
      <c r="J67" s="494"/>
      <c r="K67" s="494"/>
      <c r="L67" s="494"/>
      <c r="M67" s="495"/>
      <c r="N67" s="388"/>
      <c r="O67" s="388"/>
      <c r="P67" s="388"/>
      <c r="Q67" s="388"/>
    </row>
    <row r="68" spans="1:17" x14ac:dyDescent="0.25">
      <c r="A68" s="338">
        <v>63</v>
      </c>
      <c r="B68" s="1129" t="s">
        <v>137</v>
      </c>
      <c r="C68" s="1130"/>
      <c r="D68" s="1130"/>
      <c r="E68" s="1130"/>
      <c r="F68" s="1130"/>
      <c r="G68" s="1130"/>
      <c r="H68" s="1130"/>
      <c r="I68" s="1130"/>
      <c r="J68" s="1130"/>
      <c r="K68" s="1130"/>
      <c r="L68" s="1130"/>
      <c r="M68" s="497"/>
      <c r="N68" s="388"/>
      <c r="O68" s="388"/>
      <c r="P68" s="388"/>
      <c r="Q68" s="388"/>
    </row>
    <row r="69" spans="1:17" x14ac:dyDescent="0.25">
      <c r="A69" s="338">
        <v>64</v>
      </c>
      <c r="B69" s="1119" t="s">
        <v>46</v>
      </c>
      <c r="C69" s="1119"/>
      <c r="D69" s="1119"/>
      <c r="E69" s="1119"/>
      <c r="F69" s="1119"/>
      <c r="G69" s="1119"/>
      <c r="H69" s="1119"/>
      <c r="I69" s="1119"/>
      <c r="J69" s="1119"/>
      <c r="K69" s="1119"/>
      <c r="L69" s="1120"/>
      <c r="M69" s="492" t="s">
        <v>137</v>
      </c>
      <c r="N69" s="388"/>
      <c r="O69" s="388"/>
      <c r="P69" s="388"/>
      <c r="Q69" s="388"/>
    </row>
    <row r="70" spans="1:17" x14ac:dyDescent="0.25">
      <c r="A70" s="338">
        <v>65</v>
      </c>
      <c r="B70" s="1109" t="s">
        <v>137</v>
      </c>
      <c r="C70" s="1109"/>
      <c r="D70" s="1109"/>
      <c r="E70" s="1109"/>
      <c r="F70" s="1109"/>
      <c r="G70" s="1109"/>
      <c r="H70" s="1109"/>
      <c r="I70" s="1109"/>
      <c r="J70" s="1109"/>
      <c r="K70" s="1109"/>
      <c r="L70" s="1110"/>
      <c r="M70" s="339" t="s">
        <v>137</v>
      </c>
      <c r="N70" s="388"/>
      <c r="O70" s="388"/>
      <c r="P70" s="388"/>
      <c r="Q70" s="388"/>
    </row>
    <row r="71" spans="1:17" x14ac:dyDescent="0.25">
      <c r="A71" s="338">
        <v>66</v>
      </c>
      <c r="B71" s="1119" t="s">
        <v>135</v>
      </c>
      <c r="C71" s="1119"/>
      <c r="D71" s="1119"/>
      <c r="E71" s="1119"/>
      <c r="F71" s="1119"/>
      <c r="G71" s="1119"/>
      <c r="H71" s="1119"/>
      <c r="I71" s="1119"/>
      <c r="J71" s="1119"/>
      <c r="K71" s="1119"/>
      <c r="L71" s="1120"/>
      <c r="M71" s="492" t="s">
        <v>137</v>
      </c>
      <c r="N71" s="388"/>
      <c r="O71" s="388"/>
      <c r="P71" s="388"/>
      <c r="Q71" s="388"/>
    </row>
  </sheetData>
  <mergeCells count="57">
    <mergeCell ref="B69:L69"/>
    <mergeCell ref="B70:L70"/>
    <mergeCell ref="B71:L71"/>
    <mergeCell ref="B58:L58"/>
    <mergeCell ref="B59:L59"/>
    <mergeCell ref="B60:L60"/>
    <mergeCell ref="B61:L61"/>
    <mergeCell ref="B62:L62"/>
    <mergeCell ref="B63:L63"/>
    <mergeCell ref="B64:L64"/>
    <mergeCell ref="B65:L65"/>
    <mergeCell ref="B66:L66"/>
    <mergeCell ref="B68:L68"/>
    <mergeCell ref="B53:L53"/>
    <mergeCell ref="B54:L54"/>
    <mergeCell ref="B55:L55"/>
    <mergeCell ref="B56:L56"/>
    <mergeCell ref="B57:L57"/>
    <mergeCell ref="B49:L49"/>
    <mergeCell ref="B50:L50"/>
    <mergeCell ref="B51:L51"/>
    <mergeCell ref="B52:L52"/>
    <mergeCell ref="B43:L43"/>
    <mergeCell ref="B44:L44"/>
    <mergeCell ref="B45:L45"/>
    <mergeCell ref="B46:L46"/>
    <mergeCell ref="B47:L47"/>
    <mergeCell ref="B48:L48"/>
    <mergeCell ref="B42:L42"/>
    <mergeCell ref="B21:L21"/>
    <mergeCell ref="B22:L22"/>
    <mergeCell ref="B23:L23"/>
    <mergeCell ref="B25:L25"/>
    <mergeCell ref="B36:L36"/>
    <mergeCell ref="B37:L37"/>
    <mergeCell ref="B38:L38"/>
    <mergeCell ref="B39:L39"/>
    <mergeCell ref="B40:L40"/>
    <mergeCell ref="B41:L41"/>
    <mergeCell ref="B20:L20"/>
    <mergeCell ref="B9:L9"/>
    <mergeCell ref="B10:L10"/>
    <mergeCell ref="B11:L11"/>
    <mergeCell ref="B12:L12"/>
    <mergeCell ref="B13:L13"/>
    <mergeCell ref="B14:L14"/>
    <mergeCell ref="B15:L15"/>
    <mergeCell ref="B16:L16"/>
    <mergeCell ref="B17:L17"/>
    <mergeCell ref="B18:L18"/>
    <mergeCell ref="B19:L19"/>
    <mergeCell ref="A2:L4"/>
    <mergeCell ref="B6:L6"/>
    <mergeCell ref="B7:L7"/>
    <mergeCell ref="B8:L8"/>
    <mergeCell ref="A1:M1"/>
    <mergeCell ref="A5:L5"/>
  </mergeCells>
  <pageMargins left="0.7" right="0.7" top="1.0520833333333333" bottom="0.75" header="0.3" footer="0.3"/>
  <pageSetup scale="69" orientation="portrait" r:id="rId1"/>
  <headerFooter>
    <oddHeader>&amp;L&amp;G&amp;C(ENTER PROJECT NAME)&amp;R&amp;D</oddHeader>
    <oddFooter>&amp;C&amp;P OF &amp;N</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46B39-E6BD-467A-9440-CF73B10AD64F}">
  <dimension ref="A1"/>
  <sheetViews>
    <sheetView view="pageBreakPreview" zoomScale="60" zoomScaleNormal="100" workbookViewId="0">
      <selection activeCell="E69" sqref="E69"/>
    </sheetView>
  </sheetViews>
  <sheetFormatPr defaultRowHeight="15" x14ac:dyDescent="0.25"/>
  <sheetData/>
  <pageMargins left="0.7" right="0.7" top="1.0520833333333333" bottom="0.75" header="0.3" footer="0.3"/>
  <pageSetup orientation="portrait" r:id="rId1"/>
  <headerFooter>
    <oddHeader>&amp;L&amp;G&amp;C(ENTER PROJECT NAME)&amp;R&amp;D</oddHeader>
    <oddFooter>&amp;C&amp;P OF &amp;N</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60D10-39EE-4222-840F-6D912AFED11F}">
  <dimension ref="A1:D112"/>
  <sheetViews>
    <sheetView view="pageBreakPreview" topLeftCell="A50" zoomScale="60" zoomScaleNormal="100" workbookViewId="0">
      <selection activeCell="C80" sqref="C80"/>
    </sheetView>
  </sheetViews>
  <sheetFormatPr defaultRowHeight="15" x14ac:dyDescent="0.25"/>
  <cols>
    <col min="1" max="1" width="9.140625" style="159"/>
    <col min="2" max="2" width="98.140625" style="159" customWidth="1"/>
    <col min="3" max="3" width="22.5703125" style="159" bestFit="1" customWidth="1"/>
    <col min="4" max="16384" width="9.140625" style="159"/>
  </cols>
  <sheetData>
    <row r="1" spans="1:3" ht="15.75" x14ac:dyDescent="0.25">
      <c r="A1" s="1056" t="s">
        <v>14</v>
      </c>
      <c r="B1" s="1056"/>
      <c r="C1" s="849"/>
    </row>
    <row r="2" spans="1:3" x14ac:dyDescent="0.25">
      <c r="A2" s="1131" t="s">
        <v>489</v>
      </c>
      <c r="B2" s="1131"/>
      <c r="C2" s="850" t="s">
        <v>64</v>
      </c>
    </row>
    <row r="3" spans="1:3" x14ac:dyDescent="0.25">
      <c r="A3" s="1131"/>
      <c r="B3" s="1131"/>
      <c r="C3" s="850" t="s">
        <v>65</v>
      </c>
    </row>
    <row r="4" spans="1:3" x14ac:dyDescent="0.25">
      <c r="A4" s="1131"/>
      <c r="B4" s="1131"/>
      <c r="C4" s="850" t="s">
        <v>66</v>
      </c>
    </row>
    <row r="5" spans="1:3" x14ac:dyDescent="0.25">
      <c r="A5" s="1131"/>
      <c r="B5" s="1131"/>
      <c r="C5" s="850" t="s">
        <v>19</v>
      </c>
    </row>
    <row r="6" spans="1:3" x14ac:dyDescent="0.25">
      <c r="A6" s="1132"/>
      <c r="B6" s="1133" t="s">
        <v>20</v>
      </c>
      <c r="C6" s="1134" t="s">
        <v>67</v>
      </c>
    </row>
    <row r="7" spans="1:3" ht="24" customHeight="1" x14ac:dyDescent="0.25">
      <c r="A7" s="1132"/>
      <c r="B7" s="1133"/>
      <c r="C7" s="1134"/>
    </row>
    <row r="8" spans="1:3" x14ac:dyDescent="0.25">
      <c r="A8" s="161">
        <v>1</v>
      </c>
      <c r="B8" s="162" t="s">
        <v>21</v>
      </c>
      <c r="C8" s="851"/>
    </row>
    <row r="9" spans="1:3" x14ac:dyDescent="0.25">
      <c r="A9" s="161">
        <v>2</v>
      </c>
      <c r="B9" s="164" t="s">
        <v>22</v>
      </c>
      <c r="C9" s="851"/>
    </row>
    <row r="10" spans="1:3" x14ac:dyDescent="0.25">
      <c r="A10" s="161">
        <v>3</v>
      </c>
      <c r="B10" s="164" t="s">
        <v>23</v>
      </c>
      <c r="C10" s="851"/>
    </row>
    <row r="11" spans="1:3" x14ac:dyDescent="0.25">
      <c r="A11" s="161">
        <v>4</v>
      </c>
      <c r="B11" s="164" t="s">
        <v>24</v>
      </c>
      <c r="C11" s="851"/>
    </row>
    <row r="12" spans="1:3" x14ac:dyDescent="0.25">
      <c r="A12" s="161">
        <v>5</v>
      </c>
      <c r="B12" s="164" t="s">
        <v>68</v>
      </c>
      <c r="C12" s="851"/>
    </row>
    <row r="13" spans="1:3" x14ac:dyDescent="0.25">
      <c r="A13" s="161">
        <v>6</v>
      </c>
      <c r="B13" s="164" t="s">
        <v>26</v>
      </c>
      <c r="C13" s="851"/>
    </row>
    <row r="14" spans="1:3" x14ac:dyDescent="0.25">
      <c r="A14" s="161">
        <v>7</v>
      </c>
      <c r="B14" s="164" t="s">
        <v>28</v>
      </c>
      <c r="C14" s="851"/>
    </row>
    <row r="15" spans="1:3" x14ac:dyDescent="0.25">
      <c r="A15" s="161">
        <v>8</v>
      </c>
      <c r="B15" s="164" t="s">
        <v>29</v>
      </c>
      <c r="C15" s="851"/>
    </row>
    <row r="16" spans="1:3" x14ac:dyDescent="0.25">
      <c r="A16" s="161">
        <v>9</v>
      </c>
      <c r="B16" s="164" t="s">
        <v>69</v>
      </c>
      <c r="C16" s="851"/>
    </row>
    <row r="17" spans="1:4" x14ac:dyDescent="0.25">
      <c r="A17" s="161">
        <v>10</v>
      </c>
      <c r="B17" s="162" t="s">
        <v>70</v>
      </c>
      <c r="C17" s="851"/>
    </row>
    <row r="18" spans="1:4" x14ac:dyDescent="0.25">
      <c r="A18" s="161">
        <v>11</v>
      </c>
      <c r="B18" s="164" t="s">
        <v>72</v>
      </c>
      <c r="C18" s="851"/>
    </row>
    <row r="19" spans="1:4" x14ac:dyDescent="0.25">
      <c r="A19" s="161">
        <v>12</v>
      </c>
      <c r="B19" s="164" t="s">
        <v>73</v>
      </c>
      <c r="C19" s="851"/>
    </row>
    <row r="20" spans="1:4" x14ac:dyDescent="0.25">
      <c r="A20" s="161">
        <v>13</v>
      </c>
      <c r="B20" s="164" t="s">
        <v>75</v>
      </c>
      <c r="C20" s="851"/>
    </row>
    <row r="21" spans="1:4" x14ac:dyDescent="0.25">
      <c r="A21" s="161">
        <v>14</v>
      </c>
      <c r="B21" s="164" t="s">
        <v>490</v>
      </c>
      <c r="C21" s="164"/>
    </row>
    <row r="22" spans="1:4" x14ac:dyDescent="0.25">
      <c r="A22" s="161">
        <v>15</v>
      </c>
      <c r="B22" s="164" t="s">
        <v>491</v>
      </c>
      <c r="C22" s="164"/>
    </row>
    <row r="23" spans="1:4" ht="30.75" customHeight="1" x14ac:dyDescent="0.25">
      <c r="A23" s="161">
        <v>16</v>
      </c>
      <c r="B23" s="506" t="s">
        <v>492</v>
      </c>
      <c r="C23" s="274"/>
    </row>
    <row r="24" spans="1:4" x14ac:dyDescent="0.25">
      <c r="A24" s="505">
        <v>17</v>
      </c>
      <c r="B24" s="422" t="s">
        <v>493</v>
      </c>
      <c r="C24" s="422"/>
      <c r="D24" s="347"/>
    </row>
    <row r="25" spans="1:4" x14ac:dyDescent="0.25">
      <c r="A25" s="161">
        <v>18</v>
      </c>
      <c r="B25" s="507" t="s">
        <v>494</v>
      </c>
      <c r="C25" s="507"/>
    </row>
    <row r="26" spans="1:4" x14ac:dyDescent="0.25">
      <c r="A26" s="161">
        <v>19</v>
      </c>
      <c r="B26" s="164" t="s">
        <v>495</v>
      </c>
      <c r="C26" s="164"/>
    </row>
    <row r="27" spans="1:4" x14ac:dyDescent="0.25">
      <c r="A27" s="505">
        <v>20</v>
      </c>
      <c r="C27" s="164"/>
    </row>
    <row r="28" spans="1:4" x14ac:dyDescent="0.25">
      <c r="A28" s="161">
        <v>21</v>
      </c>
      <c r="B28" s="164"/>
      <c r="C28" s="164"/>
    </row>
    <row r="29" spans="1:4" x14ac:dyDescent="0.25">
      <c r="A29" s="161">
        <v>22</v>
      </c>
      <c r="B29" s="525" t="s">
        <v>496</v>
      </c>
      <c r="C29" s="508"/>
    </row>
    <row r="30" spans="1:4" x14ac:dyDescent="0.25">
      <c r="A30" s="505">
        <v>23</v>
      </c>
      <c r="B30" s="164" t="s">
        <v>497</v>
      </c>
      <c r="C30" s="164"/>
    </row>
    <row r="31" spans="1:4" x14ac:dyDescent="0.25">
      <c r="A31" s="161">
        <v>24</v>
      </c>
      <c r="B31" s="168" t="s">
        <v>498</v>
      </c>
      <c r="C31" s="164"/>
    </row>
    <row r="32" spans="1:4" x14ac:dyDescent="0.25">
      <c r="A32" s="161">
        <v>25</v>
      </c>
      <c r="B32" s="168" t="s">
        <v>499</v>
      </c>
      <c r="C32" s="164"/>
    </row>
    <row r="33" spans="1:3" x14ac:dyDescent="0.25">
      <c r="A33" s="505">
        <v>26</v>
      </c>
      <c r="B33" s="164" t="s">
        <v>500</v>
      </c>
      <c r="C33" s="164"/>
    </row>
    <row r="34" spans="1:3" x14ac:dyDescent="0.25">
      <c r="A34" s="161">
        <v>27</v>
      </c>
      <c r="B34" s="164" t="s">
        <v>501</v>
      </c>
      <c r="C34" s="164"/>
    </row>
    <row r="35" spans="1:3" x14ac:dyDescent="0.25">
      <c r="A35" s="161">
        <v>28</v>
      </c>
      <c r="B35" s="168" t="s">
        <v>502</v>
      </c>
      <c r="C35" s="164"/>
    </row>
    <row r="36" spans="1:3" x14ac:dyDescent="0.25">
      <c r="A36" s="505">
        <v>29</v>
      </c>
      <c r="B36" s="164" t="s">
        <v>503</v>
      </c>
      <c r="C36" s="164"/>
    </row>
    <row r="37" spans="1:3" x14ac:dyDescent="0.25">
      <c r="A37" s="161">
        <v>30</v>
      </c>
      <c r="B37" s="164" t="s">
        <v>504</v>
      </c>
      <c r="C37" s="164"/>
    </row>
    <row r="38" spans="1:3" x14ac:dyDescent="0.25">
      <c r="A38" s="161">
        <v>31</v>
      </c>
      <c r="B38" s="164"/>
      <c r="C38" s="164"/>
    </row>
    <row r="39" spans="1:3" x14ac:dyDescent="0.25">
      <c r="A39" s="505">
        <v>32</v>
      </c>
      <c r="B39" s="164" t="s">
        <v>505</v>
      </c>
      <c r="C39" s="164"/>
    </row>
    <row r="40" spans="1:3" x14ac:dyDescent="0.25">
      <c r="A40" s="161">
        <v>33</v>
      </c>
      <c r="B40" s="164" t="s">
        <v>506</v>
      </c>
      <c r="C40" s="164"/>
    </row>
    <row r="41" spans="1:3" x14ac:dyDescent="0.25">
      <c r="A41" s="161">
        <v>34</v>
      </c>
      <c r="B41" s="164" t="s">
        <v>507</v>
      </c>
      <c r="C41" s="164"/>
    </row>
    <row r="42" spans="1:3" x14ac:dyDescent="0.25">
      <c r="A42" s="505">
        <v>35</v>
      </c>
      <c r="B42" s="164"/>
      <c r="C42" s="164"/>
    </row>
    <row r="43" spans="1:3" x14ac:dyDescent="0.25">
      <c r="A43" s="161">
        <v>36</v>
      </c>
      <c r="B43" s="525" t="s">
        <v>508</v>
      </c>
      <c r="C43" s="508"/>
    </row>
    <row r="44" spans="1:3" x14ac:dyDescent="0.25">
      <c r="A44" s="161">
        <v>37</v>
      </c>
      <c r="B44" s="164" t="s">
        <v>509</v>
      </c>
      <c r="C44" s="164"/>
    </row>
    <row r="45" spans="1:3" x14ac:dyDescent="0.25">
      <c r="A45" s="505">
        <v>38</v>
      </c>
      <c r="B45" s="168" t="s">
        <v>498</v>
      </c>
      <c r="C45" s="164"/>
    </row>
    <row r="46" spans="1:3" x14ac:dyDescent="0.25">
      <c r="A46" s="161">
        <v>39</v>
      </c>
      <c r="B46" s="289" t="s">
        <v>510</v>
      </c>
      <c r="C46" s="164"/>
    </row>
    <row r="47" spans="1:3" x14ac:dyDescent="0.25">
      <c r="A47" s="161">
        <v>40</v>
      </c>
      <c r="B47" s="164" t="s">
        <v>511</v>
      </c>
      <c r="C47" s="164"/>
    </row>
    <row r="48" spans="1:3" x14ac:dyDescent="0.25">
      <c r="A48" s="505">
        <v>41</v>
      </c>
      <c r="B48" s="164" t="s">
        <v>512</v>
      </c>
      <c r="C48" s="164"/>
    </row>
    <row r="49" spans="1:3" x14ac:dyDescent="0.25">
      <c r="A49" s="161">
        <v>42</v>
      </c>
      <c r="B49" s="164" t="s">
        <v>513</v>
      </c>
      <c r="C49" s="164"/>
    </row>
    <row r="50" spans="1:3" x14ac:dyDescent="0.25">
      <c r="A50" s="161">
        <v>43</v>
      </c>
      <c r="B50" s="164" t="s">
        <v>514</v>
      </c>
      <c r="C50" s="164"/>
    </row>
    <row r="51" spans="1:3" x14ac:dyDescent="0.25">
      <c r="A51" s="505">
        <v>44</v>
      </c>
      <c r="B51" s="168" t="s">
        <v>515</v>
      </c>
      <c r="C51" s="164"/>
    </row>
    <row r="52" spans="1:3" x14ac:dyDescent="0.25">
      <c r="A52" s="161">
        <v>45</v>
      </c>
      <c r="B52" s="168"/>
      <c r="C52" s="164"/>
    </row>
    <row r="53" spans="1:3" x14ac:dyDescent="0.25">
      <c r="A53" s="161">
        <v>46</v>
      </c>
      <c r="B53" s="525" t="s">
        <v>516</v>
      </c>
      <c r="C53" s="508"/>
    </row>
    <row r="54" spans="1:3" x14ac:dyDescent="0.25">
      <c r="A54" s="505">
        <v>47</v>
      </c>
      <c r="B54" s="164" t="s">
        <v>517</v>
      </c>
      <c r="C54" s="164"/>
    </row>
    <row r="55" spans="1:3" x14ac:dyDescent="0.25">
      <c r="A55" s="161">
        <v>48</v>
      </c>
      <c r="B55" s="164" t="s">
        <v>518</v>
      </c>
      <c r="C55" s="164"/>
    </row>
    <row r="56" spans="1:3" x14ac:dyDescent="0.25">
      <c r="A56" s="161">
        <v>49</v>
      </c>
      <c r="B56" s="164" t="s">
        <v>519</v>
      </c>
      <c r="C56" s="164"/>
    </row>
    <row r="57" spans="1:3" x14ac:dyDescent="0.25">
      <c r="A57" s="505">
        <v>50</v>
      </c>
      <c r="B57" s="164" t="s">
        <v>520</v>
      </c>
      <c r="C57" s="164"/>
    </row>
    <row r="58" spans="1:3" x14ac:dyDescent="0.25">
      <c r="A58" s="161">
        <v>51</v>
      </c>
      <c r="B58" s="164" t="s">
        <v>521</v>
      </c>
      <c r="C58" s="164"/>
    </row>
    <row r="59" spans="1:3" x14ac:dyDescent="0.25">
      <c r="A59" s="161">
        <v>52</v>
      </c>
      <c r="B59" s="164" t="s">
        <v>522</v>
      </c>
      <c r="C59" s="164"/>
    </row>
    <row r="60" spans="1:3" x14ac:dyDescent="0.25">
      <c r="A60" s="505">
        <v>53</v>
      </c>
      <c r="B60" s="164"/>
      <c r="C60" s="164"/>
    </row>
    <row r="61" spans="1:3" x14ac:dyDescent="0.25">
      <c r="A61" s="161">
        <v>54</v>
      </c>
      <c r="B61" s="525" t="s">
        <v>523</v>
      </c>
      <c r="C61" s="508"/>
    </row>
    <row r="62" spans="1:3" x14ac:dyDescent="0.25">
      <c r="A62" s="161">
        <v>55</v>
      </c>
      <c r="B62" s="164" t="s">
        <v>524</v>
      </c>
      <c r="C62" s="164"/>
    </row>
    <row r="63" spans="1:3" x14ac:dyDescent="0.25">
      <c r="A63" s="505">
        <v>56</v>
      </c>
      <c r="B63" s="168" t="s">
        <v>525</v>
      </c>
      <c r="C63" s="164"/>
    </row>
    <row r="64" spans="1:3" x14ac:dyDescent="0.25">
      <c r="A64" s="161">
        <v>57</v>
      </c>
      <c r="B64" s="164" t="s">
        <v>526</v>
      </c>
      <c r="C64" s="164"/>
    </row>
    <row r="65" spans="1:4" x14ac:dyDescent="0.25">
      <c r="A65" s="161">
        <v>58</v>
      </c>
      <c r="B65" s="164" t="s">
        <v>527</v>
      </c>
      <c r="C65" s="164"/>
    </row>
    <row r="66" spans="1:4" x14ac:dyDescent="0.25">
      <c r="A66" s="505">
        <v>59</v>
      </c>
      <c r="B66" s="168" t="s">
        <v>528</v>
      </c>
      <c r="C66" s="164"/>
    </row>
    <row r="67" spans="1:4" x14ac:dyDescent="0.25">
      <c r="A67" s="161">
        <v>60</v>
      </c>
      <c r="B67" s="164" t="s">
        <v>529</v>
      </c>
      <c r="C67" s="164"/>
    </row>
    <row r="68" spans="1:4" x14ac:dyDescent="0.25">
      <c r="A68" s="161">
        <v>61</v>
      </c>
      <c r="B68" s="164" t="s">
        <v>530</v>
      </c>
      <c r="C68" s="164"/>
    </row>
    <row r="69" spans="1:4" x14ac:dyDescent="0.25">
      <c r="A69" s="505">
        <v>62</v>
      </c>
      <c r="B69" s="164"/>
      <c r="C69" s="164"/>
    </row>
    <row r="70" spans="1:4" x14ac:dyDescent="0.25">
      <c r="A70" s="161">
        <v>63</v>
      </c>
      <c r="B70" s="525" t="s">
        <v>531</v>
      </c>
      <c r="C70" s="508"/>
    </row>
    <row r="71" spans="1:4" x14ac:dyDescent="0.25">
      <c r="A71" s="161">
        <v>64</v>
      </c>
      <c r="B71" s="164" t="s">
        <v>532</v>
      </c>
      <c r="C71" s="164"/>
    </row>
    <row r="72" spans="1:4" ht="27" customHeight="1" x14ac:dyDescent="0.25">
      <c r="A72" s="505">
        <v>65</v>
      </c>
      <c r="B72" s="169" t="s">
        <v>533</v>
      </c>
      <c r="C72" s="164"/>
    </row>
    <row r="73" spans="1:4" x14ac:dyDescent="0.25">
      <c r="A73" s="161">
        <v>66</v>
      </c>
      <c r="B73" s="168" t="s">
        <v>534</v>
      </c>
      <c r="C73" s="164"/>
    </row>
    <row r="74" spans="1:4" ht="25.5" x14ac:dyDescent="0.25">
      <c r="A74" s="161">
        <v>67</v>
      </c>
      <c r="B74" s="162" t="s">
        <v>535</v>
      </c>
      <c r="C74" s="164"/>
    </row>
    <row r="75" spans="1:4" ht="25.5" x14ac:dyDescent="0.25">
      <c r="A75" s="505">
        <v>68</v>
      </c>
      <c r="B75" s="162" t="s">
        <v>536</v>
      </c>
      <c r="C75" s="164"/>
    </row>
    <row r="76" spans="1:4" x14ac:dyDescent="0.25">
      <c r="A76" s="161">
        <v>69</v>
      </c>
      <c r="B76" s="164" t="s">
        <v>537</v>
      </c>
      <c r="C76" s="164"/>
    </row>
    <row r="77" spans="1:4" x14ac:dyDescent="0.25">
      <c r="A77" s="161">
        <v>70</v>
      </c>
      <c r="B77" s="164" t="s">
        <v>538</v>
      </c>
      <c r="C77" s="164"/>
    </row>
    <row r="78" spans="1:4" x14ac:dyDescent="0.25">
      <c r="A78" s="505">
        <v>71</v>
      </c>
      <c r="B78" s="164"/>
      <c r="C78" s="164"/>
    </row>
    <row r="79" spans="1:4" x14ac:dyDescent="0.25">
      <c r="A79" s="161">
        <v>72</v>
      </c>
      <c r="B79" s="742" t="s">
        <v>539</v>
      </c>
      <c r="C79" s="509"/>
    </row>
    <row r="80" spans="1:4" ht="45.75" customHeight="1" x14ac:dyDescent="0.25">
      <c r="A80" s="505">
        <v>73</v>
      </c>
      <c r="B80" s="420" t="s">
        <v>540</v>
      </c>
      <c r="C80" s="510"/>
      <c r="D80" s="347"/>
    </row>
    <row r="81" spans="1:4" x14ac:dyDescent="0.25">
      <c r="A81" s="505">
        <v>74</v>
      </c>
      <c r="B81" s="422" t="s">
        <v>541</v>
      </c>
      <c r="C81" s="391"/>
      <c r="D81" s="347"/>
    </row>
    <row r="82" spans="1:4" x14ac:dyDescent="0.25">
      <c r="A82" s="505">
        <v>75</v>
      </c>
      <c r="B82" s="420" t="s">
        <v>542</v>
      </c>
      <c r="C82" s="510"/>
      <c r="D82" s="347"/>
    </row>
    <row r="83" spans="1:4" ht="30" customHeight="1" x14ac:dyDescent="0.25">
      <c r="A83" s="505">
        <v>76</v>
      </c>
      <c r="B83" s="420" t="s">
        <v>543</v>
      </c>
      <c r="C83" s="510"/>
      <c r="D83" s="347"/>
    </row>
    <row r="84" spans="1:4" x14ac:dyDescent="0.25">
      <c r="A84" s="505">
        <v>77</v>
      </c>
      <c r="B84" s="507"/>
      <c r="C84" s="507"/>
    </row>
    <row r="85" spans="1:4" x14ac:dyDescent="0.25">
      <c r="A85" s="161">
        <v>78</v>
      </c>
      <c r="B85" s="742" t="s">
        <v>544</v>
      </c>
      <c r="C85" s="509"/>
    </row>
    <row r="86" spans="1:4" x14ac:dyDescent="0.25">
      <c r="A86" s="505">
        <v>79</v>
      </c>
      <c r="B86" s="164" t="s">
        <v>545</v>
      </c>
      <c r="C86" s="164"/>
      <c r="D86" s="347"/>
    </row>
    <row r="87" spans="1:4" x14ac:dyDescent="0.25">
      <c r="A87" s="505">
        <v>80</v>
      </c>
      <c r="B87" s="164" t="s">
        <v>546</v>
      </c>
      <c r="C87" s="164"/>
      <c r="D87" s="347"/>
    </row>
    <row r="88" spans="1:4" x14ac:dyDescent="0.25">
      <c r="A88" s="505">
        <v>81</v>
      </c>
      <c r="B88" s="332" t="s">
        <v>547</v>
      </c>
      <c r="C88" s="332"/>
      <c r="D88" s="347"/>
    </row>
    <row r="89" spans="1:4" x14ac:dyDescent="0.25">
      <c r="A89" s="505">
        <v>82</v>
      </c>
      <c r="B89" s="332"/>
      <c r="C89" s="332"/>
      <c r="D89" s="347"/>
    </row>
    <row r="90" spans="1:4" x14ac:dyDescent="0.25">
      <c r="A90" s="505">
        <v>83</v>
      </c>
      <c r="B90" s="743" t="s">
        <v>548</v>
      </c>
      <c r="C90" s="512"/>
    </row>
    <row r="91" spans="1:4" x14ac:dyDescent="0.25">
      <c r="A91" s="161">
        <v>84</v>
      </c>
      <c r="B91" s="164" t="s">
        <v>549</v>
      </c>
      <c r="C91" s="164"/>
    </row>
    <row r="92" spans="1:4" x14ac:dyDescent="0.25">
      <c r="A92" s="161">
        <v>85</v>
      </c>
      <c r="B92" s="164" t="s">
        <v>550</v>
      </c>
      <c r="C92" s="164"/>
    </row>
    <row r="93" spans="1:4" x14ac:dyDescent="0.25">
      <c r="A93" s="505">
        <v>86</v>
      </c>
      <c r="B93" s="515"/>
    </row>
    <row r="94" spans="1:4" x14ac:dyDescent="0.25">
      <c r="A94" s="505">
        <v>87</v>
      </c>
      <c r="B94" s="514" t="s">
        <v>486</v>
      </c>
      <c r="C94" s="504"/>
      <c r="D94" s="513"/>
    </row>
    <row r="95" spans="1:4" x14ac:dyDescent="0.25">
      <c r="A95" s="161">
        <v>88</v>
      </c>
      <c r="B95" s="346"/>
    </row>
    <row r="96" spans="1:4" x14ac:dyDescent="0.25">
      <c r="A96" s="505">
        <v>89</v>
      </c>
      <c r="B96" s="744" t="s">
        <v>43</v>
      </c>
      <c r="C96" s="726"/>
    </row>
    <row r="97" spans="1:4" x14ac:dyDescent="0.25">
      <c r="A97" s="161">
        <v>90</v>
      </c>
      <c r="B97" s="745"/>
    </row>
    <row r="98" spans="1:4" x14ac:dyDescent="0.25">
      <c r="A98" s="161">
        <v>91</v>
      </c>
      <c r="B98" s="746" t="s">
        <v>135</v>
      </c>
      <c r="C98" s="747"/>
    </row>
    <row r="99" spans="1:4" x14ac:dyDescent="0.25">
      <c r="A99" s="505">
        <v>92</v>
      </c>
      <c r="D99" s="347"/>
    </row>
    <row r="100" spans="1:4" x14ac:dyDescent="0.25">
      <c r="A100" s="161"/>
      <c r="B100" s="346"/>
      <c r="C100" s="346"/>
    </row>
    <row r="101" spans="1:4" x14ac:dyDescent="0.25">
      <c r="A101" s="161"/>
    </row>
    <row r="102" spans="1:4" x14ac:dyDescent="0.25">
      <c r="A102" s="505"/>
    </row>
    <row r="103" spans="1:4" x14ac:dyDescent="0.25">
      <c r="A103" s="161"/>
    </row>
    <row r="104" spans="1:4" x14ac:dyDescent="0.25">
      <c r="A104" s="161"/>
    </row>
    <row r="105" spans="1:4" x14ac:dyDescent="0.25">
      <c r="A105" s="505"/>
    </row>
    <row r="106" spans="1:4" x14ac:dyDescent="0.25">
      <c r="A106" s="161"/>
    </row>
    <row r="107" spans="1:4" x14ac:dyDescent="0.25">
      <c r="A107" s="161"/>
    </row>
    <row r="108" spans="1:4" x14ac:dyDescent="0.25">
      <c r="A108" s="505"/>
    </row>
    <row r="109" spans="1:4" x14ac:dyDescent="0.25">
      <c r="A109" s="161"/>
    </row>
    <row r="110" spans="1:4" x14ac:dyDescent="0.25">
      <c r="A110" s="161"/>
    </row>
    <row r="111" spans="1:4" x14ac:dyDescent="0.25">
      <c r="A111" s="505"/>
    </row>
    <row r="112" spans="1:4" x14ac:dyDescent="0.25">
      <c r="A112" s="161"/>
    </row>
  </sheetData>
  <mergeCells count="5">
    <mergeCell ref="A1:B1"/>
    <mergeCell ref="A2:B5"/>
    <mergeCell ref="A6:A7"/>
    <mergeCell ref="B6:B7"/>
    <mergeCell ref="C6:C7"/>
  </mergeCells>
  <pageMargins left="0.7" right="0.7" top="1.0520833333333333" bottom="0.75" header="0.3" footer="0.3"/>
  <pageSetup scale="65" orientation="portrait" r:id="rId1"/>
  <headerFooter>
    <oddHeader>&amp;L&amp;G&amp;C(ENTER PROJECT NAME)&amp;R&amp;D</oddHeader>
    <oddFooter>&amp;C&amp;P OF &amp;N</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EDF88-7DF6-4991-A699-0FC4B36AD989}">
  <dimension ref="A1:C38"/>
  <sheetViews>
    <sheetView view="pageBreakPreview" zoomScale="60" zoomScaleNormal="100" workbookViewId="0">
      <selection activeCell="E69" sqref="E69"/>
    </sheetView>
  </sheetViews>
  <sheetFormatPr defaultRowHeight="15" x14ac:dyDescent="0.25"/>
  <cols>
    <col min="1" max="1" width="8.85546875" customWidth="1"/>
    <col min="2" max="2" width="93.7109375" customWidth="1"/>
    <col min="3" max="3" width="22.7109375" customWidth="1"/>
  </cols>
  <sheetData>
    <row r="1" spans="1:3" ht="15.75" x14ac:dyDescent="0.25">
      <c r="A1" s="1104" t="s">
        <v>14</v>
      </c>
      <c r="B1" s="1105"/>
      <c r="C1" s="501"/>
    </row>
    <row r="2" spans="1:3" ht="15.75" customHeight="1" x14ac:dyDescent="0.25">
      <c r="A2" s="1136"/>
      <c r="B2" s="1137"/>
      <c r="C2" s="526" t="s">
        <v>64</v>
      </c>
    </row>
    <row r="3" spans="1:3" x14ac:dyDescent="0.25">
      <c r="A3" s="1135" t="s">
        <v>551</v>
      </c>
      <c r="B3" s="1135"/>
      <c r="C3" s="160" t="s">
        <v>65</v>
      </c>
    </row>
    <row r="4" spans="1:3" x14ac:dyDescent="0.25">
      <c r="A4" s="1135"/>
      <c r="B4" s="1135"/>
      <c r="C4" s="160" t="s">
        <v>66</v>
      </c>
    </row>
    <row r="5" spans="1:3" x14ac:dyDescent="0.25">
      <c r="A5" s="1135"/>
      <c r="B5" s="1135"/>
      <c r="C5" s="356" t="s">
        <v>19</v>
      </c>
    </row>
    <row r="6" spans="1:3" x14ac:dyDescent="0.25">
      <c r="A6" s="270"/>
      <c r="B6" s="516" t="s">
        <v>20</v>
      </c>
      <c r="C6" s="1138" t="s">
        <v>67</v>
      </c>
    </row>
    <row r="7" spans="1:3" ht="25.5" customHeight="1" x14ac:dyDescent="0.25">
      <c r="A7" s="270"/>
      <c r="B7" s="268"/>
      <c r="C7" s="1138"/>
    </row>
    <row r="8" spans="1:3" ht="15.75" customHeight="1" x14ac:dyDescent="0.25">
      <c r="A8" s="271">
        <v>1</v>
      </c>
      <c r="B8" s="359" t="s">
        <v>21</v>
      </c>
      <c r="C8" s="521"/>
    </row>
    <row r="9" spans="1:3" x14ac:dyDescent="0.25">
      <c r="A9" s="269">
        <f t="shared" ref="A9:A35" si="0">A8+1</f>
        <v>2</v>
      </c>
      <c r="B9" s="164" t="s">
        <v>22</v>
      </c>
      <c r="C9" s="521"/>
    </row>
    <row r="10" spans="1:3" x14ac:dyDescent="0.25">
      <c r="A10" s="269">
        <f t="shared" si="0"/>
        <v>3</v>
      </c>
      <c r="B10" s="164" t="s">
        <v>23</v>
      </c>
      <c r="C10" s="329"/>
    </row>
    <row r="11" spans="1:3" x14ac:dyDescent="0.25">
      <c r="A11" s="269">
        <f t="shared" si="0"/>
        <v>4</v>
      </c>
      <c r="B11" s="164" t="s">
        <v>24</v>
      </c>
      <c r="C11" s="329"/>
    </row>
    <row r="12" spans="1:3" x14ac:dyDescent="0.25">
      <c r="A12" s="269">
        <f t="shared" si="0"/>
        <v>5</v>
      </c>
      <c r="B12" s="164" t="s">
        <v>25</v>
      </c>
      <c r="C12" s="329"/>
    </row>
    <row r="13" spans="1:3" x14ac:dyDescent="0.25">
      <c r="A13" s="269">
        <f t="shared" si="0"/>
        <v>6</v>
      </c>
      <c r="B13" s="164" t="s">
        <v>26</v>
      </c>
      <c r="C13" s="329"/>
    </row>
    <row r="14" spans="1:3" x14ac:dyDescent="0.25">
      <c r="A14" s="269">
        <f t="shared" si="0"/>
        <v>7</v>
      </c>
      <c r="B14" s="164" t="s">
        <v>27</v>
      </c>
      <c r="C14" s="329"/>
    </row>
    <row r="15" spans="1:3" x14ac:dyDescent="0.25">
      <c r="A15" s="269">
        <f t="shared" si="0"/>
        <v>8</v>
      </c>
      <c r="B15" s="164" t="s">
        <v>28</v>
      </c>
      <c r="C15" s="329"/>
    </row>
    <row r="16" spans="1:3" x14ac:dyDescent="0.25">
      <c r="A16" s="269">
        <f t="shared" si="0"/>
        <v>9</v>
      </c>
      <c r="B16" s="164" t="s">
        <v>29</v>
      </c>
      <c r="C16" s="329"/>
    </row>
    <row r="17" spans="1:3" x14ac:dyDescent="0.25">
      <c r="A17" s="269">
        <f t="shared" si="0"/>
        <v>10</v>
      </c>
      <c r="B17" s="164" t="s">
        <v>30</v>
      </c>
      <c r="C17" s="329"/>
    </row>
    <row r="18" spans="1:3" x14ac:dyDescent="0.25">
      <c r="A18" s="275">
        <f t="shared" si="0"/>
        <v>11</v>
      </c>
      <c r="B18" s="386" t="s">
        <v>552</v>
      </c>
      <c r="C18" s="329"/>
    </row>
    <row r="19" spans="1:3" x14ac:dyDescent="0.25">
      <c r="A19" s="275">
        <v>12</v>
      </c>
      <c r="B19" s="164" t="s">
        <v>553</v>
      </c>
      <c r="C19" s="329"/>
    </row>
    <row r="20" spans="1:3" x14ac:dyDescent="0.25">
      <c r="A20" s="269">
        <f t="shared" si="0"/>
        <v>13</v>
      </c>
      <c r="B20" s="159"/>
      <c r="C20" s="329"/>
    </row>
    <row r="21" spans="1:3" x14ac:dyDescent="0.25">
      <c r="A21" s="275">
        <f t="shared" si="0"/>
        <v>14</v>
      </c>
      <c r="B21" s="524" t="s">
        <v>554</v>
      </c>
      <c r="C21" s="243"/>
    </row>
    <row r="22" spans="1:3" x14ac:dyDescent="0.25">
      <c r="A22" s="275">
        <v>15</v>
      </c>
      <c r="B22" s="735" t="s">
        <v>555</v>
      </c>
      <c r="C22" s="277"/>
    </row>
    <row r="23" spans="1:3" x14ac:dyDescent="0.25">
      <c r="A23" s="269">
        <v>16</v>
      </c>
      <c r="B23" s="736" t="s">
        <v>556</v>
      </c>
      <c r="C23" s="277"/>
    </row>
    <row r="24" spans="1:3" x14ac:dyDescent="0.25">
      <c r="A24" s="275">
        <f t="shared" si="0"/>
        <v>17</v>
      </c>
      <c r="B24" s="736" t="s">
        <v>557</v>
      </c>
      <c r="C24" s="277"/>
    </row>
    <row r="25" spans="1:3" x14ac:dyDescent="0.25">
      <c r="A25" s="275">
        <v>18</v>
      </c>
      <c r="B25" s="517"/>
      <c r="C25" s="166"/>
    </row>
    <row r="26" spans="1:3" x14ac:dyDescent="0.25">
      <c r="A26" s="269">
        <f t="shared" si="0"/>
        <v>19</v>
      </c>
      <c r="B26" s="524" t="s">
        <v>558</v>
      </c>
      <c r="C26" s="522"/>
    </row>
    <row r="27" spans="1:3" ht="28.5" customHeight="1" x14ac:dyDescent="0.25">
      <c r="A27" s="275">
        <f t="shared" si="0"/>
        <v>20</v>
      </c>
      <c r="B27" s="737" t="s">
        <v>559</v>
      </c>
      <c r="C27" s="277"/>
    </row>
    <row r="28" spans="1:3" x14ac:dyDescent="0.25">
      <c r="A28" s="275">
        <v>21</v>
      </c>
      <c r="B28" s="738" t="s">
        <v>560</v>
      </c>
      <c r="C28" s="277"/>
    </row>
    <row r="29" spans="1:3" x14ac:dyDescent="0.25">
      <c r="A29" s="269">
        <f t="shared" si="0"/>
        <v>22</v>
      </c>
      <c r="B29" s="348"/>
      <c r="C29" s="277"/>
    </row>
    <row r="30" spans="1:3" x14ac:dyDescent="0.25">
      <c r="A30" s="275">
        <f t="shared" si="0"/>
        <v>23</v>
      </c>
      <c r="B30" s="525" t="s">
        <v>561</v>
      </c>
      <c r="C30" s="522"/>
    </row>
    <row r="31" spans="1:3" x14ac:dyDescent="0.25">
      <c r="A31" s="275">
        <v>24</v>
      </c>
      <c r="B31" s="518" t="s">
        <v>562</v>
      </c>
      <c r="C31" s="277"/>
    </row>
    <row r="32" spans="1:3" x14ac:dyDescent="0.25">
      <c r="A32" s="269">
        <f t="shared" si="0"/>
        <v>25</v>
      </c>
      <c r="B32" s="518"/>
      <c r="C32" s="277"/>
    </row>
    <row r="33" spans="1:3" x14ac:dyDescent="0.25">
      <c r="A33" s="275">
        <f t="shared" si="0"/>
        <v>26</v>
      </c>
      <c r="B33" s="524" t="s">
        <v>563</v>
      </c>
      <c r="C33" s="522"/>
    </row>
    <row r="34" spans="1:3" x14ac:dyDescent="0.25">
      <c r="A34" s="275">
        <v>27</v>
      </c>
      <c r="B34" s="308" t="s">
        <v>564</v>
      </c>
      <c r="C34" s="277"/>
    </row>
    <row r="35" spans="1:3" x14ac:dyDescent="0.25">
      <c r="A35" s="269">
        <f t="shared" si="0"/>
        <v>28</v>
      </c>
      <c r="B35" s="519" t="s">
        <v>565</v>
      </c>
      <c r="C35" s="277"/>
    </row>
    <row r="36" spans="1:3" x14ac:dyDescent="0.25">
      <c r="A36" s="275">
        <v>29</v>
      </c>
      <c r="B36" s="167"/>
      <c r="C36" s="523"/>
    </row>
    <row r="37" spans="1:3" x14ac:dyDescent="0.25">
      <c r="A37" s="739">
        <v>30</v>
      </c>
      <c r="B37" s="740" t="s">
        <v>566</v>
      </c>
      <c r="C37" s="741"/>
    </row>
    <row r="38" spans="1:3" x14ac:dyDescent="0.25">
      <c r="A38" s="275">
        <v>31</v>
      </c>
      <c r="B38" s="159"/>
      <c r="C38" s="159"/>
    </row>
  </sheetData>
  <mergeCells count="4">
    <mergeCell ref="A3:B5"/>
    <mergeCell ref="A2:B2"/>
    <mergeCell ref="C6:C7"/>
    <mergeCell ref="A1:B1"/>
  </mergeCells>
  <pageMargins left="0.7" right="0.7" top="1.0520833333333333" bottom="0.75" header="0.3" footer="0.3"/>
  <pageSetup scale="72" orientation="portrait" r:id="rId1"/>
  <headerFooter>
    <oddHeader>&amp;L&amp;G&amp;C(ENTER PROJECT NAME)&amp;R&amp;D</oddHeader>
    <oddFooter>&amp;C&amp;P OF &amp;N</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1D479-238D-456E-99E5-0D79F3931928}">
  <dimension ref="A1:D84"/>
  <sheetViews>
    <sheetView view="pageBreakPreview" topLeftCell="B1" zoomScale="60" zoomScaleNormal="100" workbookViewId="0">
      <selection activeCell="E69" sqref="E69"/>
    </sheetView>
  </sheetViews>
  <sheetFormatPr defaultRowHeight="15" x14ac:dyDescent="0.25"/>
  <cols>
    <col min="1" max="1" width="3.42578125" style="45" hidden="1" customWidth="1"/>
    <col min="2" max="2" width="104.28515625" style="45" customWidth="1"/>
    <col min="3" max="3" width="24.42578125" style="45" customWidth="1"/>
    <col min="4" max="16384" width="9.140625" style="45"/>
  </cols>
  <sheetData>
    <row r="1" spans="1:4" ht="15.75" x14ac:dyDescent="0.25">
      <c r="A1" s="1139" t="s">
        <v>14</v>
      </c>
      <c r="B1" s="1139"/>
      <c r="C1" s="1139"/>
      <c r="D1" s="46"/>
    </row>
    <row r="2" spans="1:4" ht="15" customHeight="1" x14ac:dyDescent="0.25">
      <c r="A2" s="1140" t="s">
        <v>567</v>
      </c>
      <c r="B2" s="1141"/>
      <c r="C2" s="526" t="s">
        <v>64</v>
      </c>
    </row>
    <row r="3" spans="1:4" x14ac:dyDescent="0.25">
      <c r="A3" s="1140"/>
      <c r="B3" s="1141"/>
      <c r="C3" s="160" t="s">
        <v>65</v>
      </c>
    </row>
    <row r="4" spans="1:4" x14ac:dyDescent="0.25">
      <c r="A4" s="1142"/>
      <c r="B4" s="1143"/>
      <c r="C4" s="160" t="s">
        <v>66</v>
      </c>
    </row>
    <row r="5" spans="1:4" x14ac:dyDescent="0.25">
      <c r="A5" s="337" t="s">
        <v>137</v>
      </c>
      <c r="B5" s="221"/>
      <c r="C5" s="356" t="s">
        <v>19</v>
      </c>
    </row>
    <row r="6" spans="1:4" ht="45.75" customHeight="1" x14ac:dyDescent="0.25">
      <c r="A6" s="337"/>
      <c r="B6" s="261" t="s">
        <v>20</v>
      </c>
      <c r="C6" s="520" t="s">
        <v>67</v>
      </c>
    </row>
    <row r="7" spans="1:4" ht="15" customHeight="1" x14ac:dyDescent="0.25">
      <c r="A7" s="338">
        <v>1</v>
      </c>
      <c r="B7" s="222" t="s">
        <v>21</v>
      </c>
      <c r="C7" s="520"/>
    </row>
    <row r="8" spans="1:4" x14ac:dyDescent="0.25">
      <c r="A8" s="338">
        <v>2</v>
      </c>
      <c r="B8" s="339" t="s">
        <v>22</v>
      </c>
      <c r="C8" s="520"/>
    </row>
    <row r="9" spans="1:4" x14ac:dyDescent="0.25">
      <c r="A9" s="338">
        <v>3</v>
      </c>
      <c r="B9" s="339" t="s">
        <v>23</v>
      </c>
      <c r="C9" s="521"/>
    </row>
    <row r="10" spans="1:4" x14ac:dyDescent="0.25">
      <c r="A10" s="338">
        <v>4</v>
      </c>
      <c r="B10" s="339" t="s">
        <v>24</v>
      </c>
      <c r="C10" s="521"/>
    </row>
    <row r="11" spans="1:4" x14ac:dyDescent="0.25">
      <c r="A11" s="338">
        <v>5</v>
      </c>
      <c r="B11" s="339" t="s">
        <v>25</v>
      </c>
      <c r="C11" s="329"/>
    </row>
    <row r="12" spans="1:4" x14ac:dyDescent="0.25">
      <c r="A12" s="338">
        <v>6</v>
      </c>
      <c r="B12" s="339" t="s">
        <v>26</v>
      </c>
      <c r="C12" s="329"/>
    </row>
    <row r="13" spans="1:4" x14ac:dyDescent="0.25">
      <c r="A13" s="338">
        <v>7</v>
      </c>
      <c r="B13" s="339" t="s">
        <v>27</v>
      </c>
      <c r="C13" s="329"/>
    </row>
    <row r="14" spans="1:4" x14ac:dyDescent="0.25">
      <c r="A14" s="338">
        <v>8</v>
      </c>
      <c r="B14" s="339" t="s">
        <v>28</v>
      </c>
      <c r="C14" s="329"/>
    </row>
    <row r="15" spans="1:4" x14ac:dyDescent="0.25">
      <c r="A15" s="338">
        <v>9</v>
      </c>
      <c r="B15" s="339" t="s">
        <v>29</v>
      </c>
      <c r="C15" s="329"/>
    </row>
    <row r="16" spans="1:4" x14ac:dyDescent="0.25">
      <c r="A16" s="338">
        <v>10</v>
      </c>
      <c r="B16" s="339" t="s">
        <v>30</v>
      </c>
      <c r="C16" s="329"/>
    </row>
    <row r="17" spans="1:4" x14ac:dyDescent="0.25">
      <c r="A17" s="338">
        <v>11</v>
      </c>
      <c r="B17" s="339" t="s">
        <v>568</v>
      </c>
      <c r="C17" s="329"/>
    </row>
    <row r="18" spans="1:4" x14ac:dyDescent="0.25">
      <c r="A18" s="338">
        <v>12</v>
      </c>
      <c r="B18" s="343" t="s">
        <v>569</v>
      </c>
      <c r="C18" s="329"/>
    </row>
    <row r="19" spans="1:4" x14ac:dyDescent="0.25">
      <c r="A19" s="338">
        <v>13</v>
      </c>
      <c r="B19" s="339" t="s">
        <v>570</v>
      </c>
      <c r="C19" s="329"/>
    </row>
    <row r="20" spans="1:4" x14ac:dyDescent="0.25">
      <c r="A20" s="338">
        <v>14</v>
      </c>
      <c r="B20" s="340" t="s">
        <v>571</v>
      </c>
      <c r="C20" s="329"/>
    </row>
    <row r="21" spans="1:4" x14ac:dyDescent="0.25">
      <c r="A21" s="338">
        <v>15</v>
      </c>
      <c r="B21" s="340" t="s">
        <v>137</v>
      </c>
      <c r="C21" s="329"/>
    </row>
    <row r="22" spans="1:4" ht="18" customHeight="1" x14ac:dyDescent="0.25">
      <c r="A22" s="338">
        <v>16</v>
      </c>
      <c r="B22" s="528" t="s">
        <v>572</v>
      </c>
      <c r="C22" s="243"/>
    </row>
    <row r="23" spans="1:4" ht="26.25" customHeight="1" x14ac:dyDescent="0.25">
      <c r="A23" s="338">
        <v>17</v>
      </c>
      <c r="B23" s="222" t="s">
        <v>573</v>
      </c>
      <c r="C23" s="277"/>
    </row>
    <row r="24" spans="1:4" ht="15.75" x14ac:dyDescent="0.25">
      <c r="A24" s="338">
        <v>18</v>
      </c>
      <c r="B24" s="342" t="s">
        <v>574</v>
      </c>
      <c r="C24" s="277"/>
    </row>
    <row r="25" spans="1:4" x14ac:dyDescent="0.25">
      <c r="A25" s="338">
        <v>19</v>
      </c>
      <c r="B25" s="528" t="s">
        <v>575</v>
      </c>
      <c r="C25" s="522"/>
    </row>
    <row r="26" spans="1:4" x14ac:dyDescent="0.25">
      <c r="A26" s="338">
        <v>20</v>
      </c>
      <c r="B26" s="340" t="s">
        <v>576</v>
      </c>
      <c r="C26" s="166"/>
    </row>
    <row r="27" spans="1:4" x14ac:dyDescent="0.25">
      <c r="A27" s="338">
        <v>21</v>
      </c>
      <c r="B27" s="340" t="s">
        <v>577</v>
      </c>
      <c r="C27" s="530"/>
    </row>
    <row r="28" spans="1:4" x14ac:dyDescent="0.25">
      <c r="A28" s="338">
        <v>22</v>
      </c>
      <c r="B28" s="527" t="s">
        <v>578</v>
      </c>
      <c r="C28" s="164"/>
      <c r="D28" s="46"/>
    </row>
    <row r="29" spans="1:4" x14ac:dyDescent="0.25">
      <c r="A29" s="338">
        <v>23</v>
      </c>
      <c r="B29" s="222" t="s">
        <v>137</v>
      </c>
      <c r="C29" s="531"/>
    </row>
    <row r="30" spans="1:4" x14ac:dyDescent="0.25">
      <c r="A30" s="338">
        <v>24</v>
      </c>
      <c r="B30" s="528" t="s">
        <v>579</v>
      </c>
      <c r="C30" s="522"/>
    </row>
    <row r="31" spans="1:4" x14ac:dyDescent="0.25">
      <c r="A31" s="338">
        <v>26</v>
      </c>
      <c r="B31" s="340" t="s">
        <v>580</v>
      </c>
      <c r="C31" s="529"/>
    </row>
    <row r="32" spans="1:4" x14ac:dyDescent="0.25">
      <c r="A32" s="338">
        <v>27</v>
      </c>
      <c r="B32" s="340" t="s">
        <v>581</v>
      </c>
      <c r="C32" s="277"/>
    </row>
    <row r="33" spans="1:3" x14ac:dyDescent="0.25">
      <c r="A33" s="338">
        <v>28</v>
      </c>
      <c r="B33" s="340" t="s">
        <v>582</v>
      </c>
      <c r="C33" s="277"/>
    </row>
    <row r="34" spans="1:3" x14ac:dyDescent="0.25">
      <c r="B34" s="338" t="s">
        <v>574</v>
      </c>
      <c r="C34" s="529"/>
    </row>
    <row r="35" spans="1:3" x14ac:dyDescent="0.25">
      <c r="A35" s="338">
        <v>29</v>
      </c>
      <c r="B35" s="339" t="s">
        <v>583</v>
      </c>
      <c r="C35" s="277"/>
    </row>
    <row r="36" spans="1:3" x14ac:dyDescent="0.25">
      <c r="A36" s="338">
        <v>30</v>
      </c>
      <c r="B36" s="339" t="s">
        <v>137</v>
      </c>
      <c r="C36" s="277"/>
    </row>
    <row r="37" spans="1:3" x14ac:dyDescent="0.25">
      <c r="A37" s="338">
        <v>31</v>
      </c>
      <c r="B37" s="532" t="s">
        <v>584</v>
      </c>
      <c r="C37" s="533"/>
    </row>
    <row r="38" spans="1:3" x14ac:dyDescent="0.25">
      <c r="A38" s="338">
        <v>32</v>
      </c>
      <c r="B38" s="339" t="s">
        <v>585</v>
      </c>
      <c r="C38" s="534"/>
    </row>
    <row r="39" spans="1:3" x14ac:dyDescent="0.25">
      <c r="A39" s="338">
        <v>33</v>
      </c>
      <c r="B39" s="339" t="s">
        <v>586</v>
      </c>
    </row>
    <row r="40" spans="1:3" x14ac:dyDescent="0.25">
      <c r="A40" s="338">
        <v>34</v>
      </c>
      <c r="B40" s="339" t="s">
        <v>587</v>
      </c>
    </row>
    <row r="41" spans="1:3" x14ac:dyDescent="0.25">
      <c r="A41" s="338">
        <v>35</v>
      </c>
      <c r="B41" s="339" t="s">
        <v>588</v>
      </c>
    </row>
    <row r="42" spans="1:3" x14ac:dyDescent="0.25">
      <c r="A42" s="338">
        <v>36</v>
      </c>
      <c r="B42" s="429" t="s">
        <v>589</v>
      </c>
    </row>
    <row r="43" spans="1:3" x14ac:dyDescent="0.25">
      <c r="A43" s="338">
        <v>37</v>
      </c>
      <c r="B43" s="429" t="s">
        <v>590</v>
      </c>
    </row>
    <row r="44" spans="1:3" x14ac:dyDescent="0.25">
      <c r="A44" s="338">
        <v>38</v>
      </c>
      <c r="B44" s="339" t="s">
        <v>137</v>
      </c>
    </row>
    <row r="45" spans="1:3" x14ac:dyDescent="0.25">
      <c r="A45" s="338">
        <v>39</v>
      </c>
      <c r="B45" s="532" t="s">
        <v>591</v>
      </c>
      <c r="C45" s="535"/>
    </row>
    <row r="46" spans="1:3" x14ac:dyDescent="0.25">
      <c r="A46" s="338">
        <v>40</v>
      </c>
      <c r="B46" s="339" t="s">
        <v>592</v>
      </c>
    </row>
    <row r="47" spans="1:3" x14ac:dyDescent="0.25">
      <c r="A47" s="338">
        <v>41</v>
      </c>
      <c r="B47" s="340" t="s">
        <v>593</v>
      </c>
    </row>
    <row r="48" spans="1:3" x14ac:dyDescent="0.25">
      <c r="A48" s="338">
        <v>42</v>
      </c>
      <c r="B48" s="339" t="s">
        <v>137</v>
      </c>
    </row>
    <row r="49" spans="1:3" x14ac:dyDescent="0.25">
      <c r="A49" s="338">
        <v>43</v>
      </c>
      <c r="B49" s="528" t="s">
        <v>594</v>
      </c>
      <c r="C49" s="535"/>
    </row>
    <row r="50" spans="1:3" x14ac:dyDescent="0.25">
      <c r="A50" s="338">
        <v>44</v>
      </c>
      <c r="B50" s="340" t="s">
        <v>595</v>
      </c>
    </row>
    <row r="51" spans="1:3" x14ac:dyDescent="0.25">
      <c r="A51" s="338">
        <v>45</v>
      </c>
      <c r="B51" s="339" t="s">
        <v>137</v>
      </c>
    </row>
    <row r="52" spans="1:3" x14ac:dyDescent="0.25">
      <c r="A52" s="338">
        <v>46</v>
      </c>
      <c r="B52" s="528" t="s">
        <v>596</v>
      </c>
      <c r="C52" s="535"/>
    </row>
    <row r="53" spans="1:3" x14ac:dyDescent="0.25">
      <c r="A53" s="338">
        <v>47</v>
      </c>
      <c r="B53" s="339" t="s">
        <v>597</v>
      </c>
    </row>
    <row r="54" spans="1:3" x14ac:dyDescent="0.25">
      <c r="A54" s="338">
        <v>48</v>
      </c>
      <c r="B54" s="339" t="s">
        <v>137</v>
      </c>
    </row>
    <row r="55" spans="1:3" x14ac:dyDescent="0.25">
      <c r="A55" s="338">
        <v>49</v>
      </c>
      <c r="B55" s="528" t="s">
        <v>598</v>
      </c>
      <c r="C55" s="535"/>
    </row>
    <row r="56" spans="1:3" ht="26.25" customHeight="1" x14ac:dyDescent="0.25">
      <c r="A56" s="338">
        <v>50</v>
      </c>
      <c r="B56" s="222" t="s">
        <v>599</v>
      </c>
    </row>
    <row r="57" spans="1:3" ht="15.75" x14ac:dyDescent="0.25">
      <c r="A57" s="338">
        <v>51</v>
      </c>
      <c r="B57" s="342" t="s">
        <v>574</v>
      </c>
    </row>
    <row r="58" spans="1:3" ht="15.75" x14ac:dyDescent="0.25">
      <c r="A58" s="338"/>
      <c r="B58" s="342"/>
    </row>
    <row r="59" spans="1:3" x14ac:dyDescent="0.25">
      <c r="A59" s="338">
        <v>52</v>
      </c>
      <c r="B59" s="528" t="s">
        <v>600</v>
      </c>
      <c r="C59" s="535"/>
    </row>
    <row r="60" spans="1:3" x14ac:dyDescent="0.25">
      <c r="A60" s="338">
        <v>53</v>
      </c>
      <c r="B60" s="340" t="s">
        <v>601</v>
      </c>
    </row>
    <row r="61" spans="1:3" x14ac:dyDescent="0.25">
      <c r="A61" s="338">
        <v>54</v>
      </c>
      <c r="B61" s="339" t="s">
        <v>602</v>
      </c>
    </row>
    <row r="62" spans="1:3" x14ac:dyDescent="0.25">
      <c r="A62" s="338">
        <v>55</v>
      </c>
      <c r="B62" s="339" t="s">
        <v>603</v>
      </c>
    </row>
    <row r="63" spans="1:3" x14ac:dyDescent="0.25">
      <c r="A63" s="338">
        <v>56</v>
      </c>
      <c r="B63" s="339" t="s">
        <v>137</v>
      </c>
    </row>
    <row r="64" spans="1:3" x14ac:dyDescent="0.25">
      <c r="A64" s="338">
        <v>57</v>
      </c>
      <c r="B64" s="528" t="s">
        <v>604</v>
      </c>
      <c r="C64" s="535"/>
    </row>
    <row r="65" spans="1:4" x14ac:dyDescent="0.25">
      <c r="A65" s="338">
        <v>58</v>
      </c>
      <c r="B65" s="340" t="s">
        <v>605</v>
      </c>
    </row>
    <row r="66" spans="1:4" x14ac:dyDescent="0.25">
      <c r="A66" s="338">
        <v>59</v>
      </c>
      <c r="B66" s="336" t="s">
        <v>137</v>
      </c>
    </row>
    <row r="67" spans="1:4" x14ac:dyDescent="0.25">
      <c r="A67" s="338">
        <v>60</v>
      </c>
      <c r="B67" s="528" t="s">
        <v>606</v>
      </c>
      <c r="C67" s="535"/>
    </row>
    <row r="68" spans="1:4" x14ac:dyDescent="0.25">
      <c r="A68" s="338">
        <v>61</v>
      </c>
      <c r="B68" s="340" t="s">
        <v>607</v>
      </c>
    </row>
    <row r="69" spans="1:4" x14ac:dyDescent="0.25">
      <c r="A69" s="338">
        <v>62</v>
      </c>
      <c r="B69" s="336" t="s">
        <v>137</v>
      </c>
    </row>
    <row r="70" spans="1:4" x14ac:dyDescent="0.25">
      <c r="A70" s="338">
        <v>63</v>
      </c>
      <c r="B70" s="528" t="s">
        <v>608</v>
      </c>
      <c r="C70" s="535"/>
    </row>
    <row r="71" spans="1:4" x14ac:dyDescent="0.25">
      <c r="A71" s="338">
        <v>64</v>
      </c>
      <c r="B71" s="340" t="s">
        <v>609</v>
      </c>
    </row>
    <row r="72" spans="1:4" x14ac:dyDescent="0.25">
      <c r="A72" s="338">
        <v>65</v>
      </c>
      <c r="B72" s="336" t="s">
        <v>137</v>
      </c>
    </row>
    <row r="73" spans="1:4" x14ac:dyDescent="0.25">
      <c r="A73" s="338">
        <v>66</v>
      </c>
      <c r="B73" s="528" t="s">
        <v>610</v>
      </c>
      <c r="C73" s="535"/>
    </row>
    <row r="74" spans="1:4" x14ac:dyDescent="0.25">
      <c r="A74" s="338">
        <v>67</v>
      </c>
      <c r="B74" s="340" t="s">
        <v>611</v>
      </c>
    </row>
    <row r="75" spans="1:4" x14ac:dyDescent="0.25">
      <c r="A75" s="338">
        <v>68</v>
      </c>
      <c r="B75" s="336" t="s">
        <v>137</v>
      </c>
    </row>
    <row r="76" spans="1:4" x14ac:dyDescent="0.25">
      <c r="A76" s="338">
        <v>69</v>
      </c>
      <c r="B76" s="528" t="s">
        <v>612</v>
      </c>
      <c r="C76" s="535"/>
    </row>
    <row r="77" spans="1:4" x14ac:dyDescent="0.25">
      <c r="A77" s="338">
        <v>70</v>
      </c>
      <c r="B77" s="340" t="s">
        <v>613</v>
      </c>
    </row>
    <row r="78" spans="1:4" x14ac:dyDescent="0.25">
      <c r="A78" s="338">
        <v>71</v>
      </c>
      <c r="B78" s="339" t="s">
        <v>602</v>
      </c>
    </row>
    <row r="79" spans="1:4" x14ac:dyDescent="0.25">
      <c r="B79" s="540"/>
      <c r="C79" s="540"/>
    </row>
    <row r="80" spans="1:4" x14ac:dyDescent="0.25">
      <c r="A80" s="538"/>
      <c r="B80" s="733" t="s">
        <v>486</v>
      </c>
      <c r="C80" s="733"/>
      <c r="D80" s="539"/>
    </row>
    <row r="81" spans="1:4" x14ac:dyDescent="0.25">
      <c r="A81" s="538"/>
      <c r="B81" s="159"/>
      <c r="C81" s="159"/>
      <c r="D81" s="46"/>
    </row>
    <row r="82" spans="1:4" x14ac:dyDescent="0.25">
      <c r="A82" s="538"/>
      <c r="B82" s="537" t="s">
        <v>487</v>
      </c>
      <c r="C82" s="537"/>
      <c r="D82" s="46"/>
    </row>
    <row r="83" spans="1:4" x14ac:dyDescent="0.25">
      <c r="B83" s="541"/>
      <c r="C83" s="541"/>
    </row>
    <row r="84" spans="1:4" x14ac:dyDescent="0.25">
      <c r="B84" s="734" t="s">
        <v>488</v>
      </c>
      <c r="C84" s="535"/>
    </row>
  </sheetData>
  <mergeCells count="2">
    <mergeCell ref="A1:C1"/>
    <mergeCell ref="A2:B4"/>
  </mergeCells>
  <pageMargins left="0.7" right="0.7" top="1.0520833333333333" bottom="0.75" header="0.3" footer="0.3"/>
  <pageSetup scale="70" orientation="portrait" r:id="rId1"/>
  <headerFooter>
    <oddHeader>&amp;L&amp;G&amp;C(ENTER PROJECT NAME)&amp;R&amp;D</oddHeader>
    <oddFooter>&amp;C&amp;P OF &amp;N</oddFooter>
  </headerFooter>
  <colBreaks count="1" manualBreakCount="1">
    <brk id="1" max="83" man="1"/>
  </colBreaks>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B4A-4BA1-4CD7-BBE6-3D830C76CF17}">
  <dimension ref="A1:C48"/>
  <sheetViews>
    <sheetView view="pageBreakPreview" zoomScale="60" zoomScaleNormal="100" workbookViewId="0">
      <selection activeCell="C26" sqref="C26"/>
    </sheetView>
  </sheetViews>
  <sheetFormatPr defaultRowHeight="15" x14ac:dyDescent="0.25"/>
  <cols>
    <col min="1" max="1" width="8.28515625" customWidth="1"/>
    <col min="2" max="2" width="66.5703125" customWidth="1"/>
    <col min="3" max="3" width="27.28515625" customWidth="1"/>
  </cols>
  <sheetData>
    <row r="1" spans="1:3" ht="15.75" x14ac:dyDescent="0.25">
      <c r="A1" s="1056" t="s">
        <v>14</v>
      </c>
      <c r="B1" s="1056"/>
      <c r="C1" s="442"/>
    </row>
    <row r="2" spans="1:3" ht="15.75" x14ac:dyDescent="0.25">
      <c r="A2" s="1144"/>
      <c r="B2" s="1144"/>
      <c r="C2" s="93" t="s">
        <v>17</v>
      </c>
    </row>
    <row r="3" spans="1:3" x14ac:dyDescent="0.25">
      <c r="A3" s="1145" t="s">
        <v>614</v>
      </c>
      <c r="B3" s="1145"/>
      <c r="C3" s="94" t="s">
        <v>65</v>
      </c>
    </row>
    <row r="4" spans="1:3" x14ac:dyDescent="0.25">
      <c r="A4" s="1145"/>
      <c r="B4" s="1145"/>
      <c r="C4" s="94" t="s">
        <v>18</v>
      </c>
    </row>
    <row r="5" spans="1:3" x14ac:dyDescent="0.25">
      <c r="A5" s="1145"/>
      <c r="B5" s="1145"/>
      <c r="C5" s="94" t="s">
        <v>19</v>
      </c>
    </row>
    <row r="6" spans="1:3" ht="45" customHeight="1" x14ac:dyDescent="0.25">
      <c r="A6" s="193"/>
      <c r="B6" s="723" t="s">
        <v>20</v>
      </c>
      <c r="C6" s="520" t="s">
        <v>67</v>
      </c>
    </row>
    <row r="7" spans="1:3" ht="15.75" customHeight="1" x14ac:dyDescent="0.25">
      <c r="A7" s="194">
        <v>1</v>
      </c>
      <c r="B7" s="195" t="s">
        <v>21</v>
      </c>
      <c r="C7" s="542"/>
    </row>
    <row r="8" spans="1:3" x14ac:dyDescent="0.25">
      <c r="A8" s="197">
        <f>A7+1</f>
        <v>2</v>
      </c>
      <c r="B8" s="198" t="s">
        <v>22</v>
      </c>
      <c r="C8" s="542"/>
    </row>
    <row r="9" spans="1:3" x14ac:dyDescent="0.25">
      <c r="A9" s="197">
        <f t="shared" ref="A9:A41" si="0">A8+1</f>
        <v>3</v>
      </c>
      <c r="B9" s="198" t="s">
        <v>23</v>
      </c>
      <c r="C9" s="542"/>
    </row>
    <row r="10" spans="1:3" x14ac:dyDescent="0.25">
      <c r="A10" s="197">
        <f t="shared" si="0"/>
        <v>4</v>
      </c>
      <c r="B10" s="198" t="s">
        <v>24</v>
      </c>
      <c r="C10" s="542"/>
    </row>
    <row r="11" spans="1:3" x14ac:dyDescent="0.25">
      <c r="A11" s="197">
        <f t="shared" si="0"/>
        <v>5</v>
      </c>
      <c r="B11" s="198" t="s">
        <v>25</v>
      </c>
      <c r="C11" s="542"/>
    </row>
    <row r="12" spans="1:3" x14ac:dyDescent="0.25">
      <c r="A12" s="197">
        <f t="shared" si="0"/>
        <v>6</v>
      </c>
      <c r="B12" s="198" t="s">
        <v>26</v>
      </c>
      <c r="C12" s="542"/>
    </row>
    <row r="13" spans="1:3" x14ac:dyDescent="0.25">
      <c r="A13" s="197">
        <f t="shared" si="0"/>
        <v>7</v>
      </c>
      <c r="B13" s="198" t="s">
        <v>27</v>
      </c>
      <c r="C13" s="542"/>
    </row>
    <row r="14" spans="1:3" x14ac:dyDescent="0.25">
      <c r="A14" s="197">
        <f t="shared" si="0"/>
        <v>8</v>
      </c>
      <c r="B14" s="198" t="s">
        <v>28</v>
      </c>
      <c r="C14" s="542"/>
    </row>
    <row r="15" spans="1:3" x14ac:dyDescent="0.25">
      <c r="A15" s="197">
        <f t="shared" si="0"/>
        <v>9</v>
      </c>
      <c r="B15" s="198" t="s">
        <v>29</v>
      </c>
      <c r="C15" s="542"/>
    </row>
    <row r="16" spans="1:3" x14ac:dyDescent="0.25">
      <c r="A16" s="197">
        <f t="shared" si="0"/>
        <v>10</v>
      </c>
      <c r="B16" s="198" t="s">
        <v>30</v>
      </c>
      <c r="C16" s="542"/>
    </row>
    <row r="17" spans="1:3" x14ac:dyDescent="0.25">
      <c r="A17" s="197">
        <f t="shared" si="0"/>
        <v>11</v>
      </c>
      <c r="B17" s="180"/>
      <c r="C17" s="196"/>
    </row>
    <row r="18" spans="1:3" x14ac:dyDescent="0.25">
      <c r="A18" s="197">
        <f t="shared" si="0"/>
        <v>12</v>
      </c>
      <c r="B18" s="180"/>
      <c r="C18" s="196"/>
    </row>
    <row r="19" spans="1:3" x14ac:dyDescent="0.25">
      <c r="A19" s="197">
        <f t="shared" si="0"/>
        <v>13</v>
      </c>
      <c r="B19" s="724" t="s">
        <v>615</v>
      </c>
      <c r="C19" s="544"/>
    </row>
    <row r="20" spans="1:3" x14ac:dyDescent="0.25">
      <c r="A20" s="197">
        <f t="shared" si="0"/>
        <v>14</v>
      </c>
      <c r="B20" s="155" t="s">
        <v>616</v>
      </c>
      <c r="C20" s="196"/>
    </row>
    <row r="21" spans="1:3" x14ac:dyDescent="0.25">
      <c r="A21" s="197">
        <f t="shared" si="0"/>
        <v>15</v>
      </c>
      <c r="B21" s="155" t="s">
        <v>617</v>
      </c>
      <c r="C21" s="196"/>
    </row>
    <row r="22" spans="1:3" x14ac:dyDescent="0.25">
      <c r="A22" s="197">
        <f t="shared" si="0"/>
        <v>16</v>
      </c>
      <c r="B22" s="179" t="s">
        <v>618</v>
      </c>
      <c r="C22" s="196"/>
    </row>
    <row r="23" spans="1:3" x14ac:dyDescent="0.25">
      <c r="A23" s="197">
        <f t="shared" si="0"/>
        <v>17</v>
      </c>
      <c r="B23" s="179" t="s">
        <v>619</v>
      </c>
      <c r="C23" s="196"/>
    </row>
    <row r="24" spans="1:3" x14ac:dyDescent="0.25">
      <c r="A24" s="197">
        <f t="shared" si="0"/>
        <v>18</v>
      </c>
      <c r="B24" s="405" t="s">
        <v>620</v>
      </c>
      <c r="C24" s="196"/>
    </row>
    <row r="25" spans="1:3" x14ac:dyDescent="0.25">
      <c r="A25" s="197">
        <f t="shared" si="0"/>
        <v>19</v>
      </c>
      <c r="B25" s="179" t="s">
        <v>621</v>
      </c>
      <c r="C25" s="196"/>
    </row>
    <row r="26" spans="1:3" x14ac:dyDescent="0.25">
      <c r="A26" s="197">
        <f t="shared" si="0"/>
        <v>20</v>
      </c>
      <c r="B26" s="209" t="s">
        <v>622</v>
      </c>
      <c r="C26" s="196"/>
    </row>
    <row r="27" spans="1:3" x14ac:dyDescent="0.25">
      <c r="A27" s="197">
        <f t="shared" si="0"/>
        <v>21</v>
      </c>
      <c r="B27" s="154"/>
      <c r="C27" s="196"/>
    </row>
    <row r="28" spans="1:3" x14ac:dyDescent="0.25">
      <c r="A28" s="197">
        <f t="shared" si="0"/>
        <v>22</v>
      </c>
      <c r="B28" s="724" t="s">
        <v>623</v>
      </c>
      <c r="C28" s="545"/>
    </row>
    <row r="29" spans="1:3" x14ac:dyDescent="0.25">
      <c r="A29" s="197">
        <f t="shared" si="0"/>
        <v>23</v>
      </c>
      <c r="B29" s="155" t="s">
        <v>616</v>
      </c>
      <c r="C29" s="200"/>
    </row>
    <row r="30" spans="1:3" x14ac:dyDescent="0.25">
      <c r="A30" s="197">
        <f t="shared" si="0"/>
        <v>24</v>
      </c>
      <c r="B30" s="155" t="s">
        <v>617</v>
      </c>
      <c r="C30" s="199"/>
    </row>
    <row r="31" spans="1:3" x14ac:dyDescent="0.25">
      <c r="A31" s="197">
        <f t="shared" si="0"/>
        <v>25</v>
      </c>
      <c r="B31" s="180" t="s">
        <v>624</v>
      </c>
      <c r="C31" s="199"/>
    </row>
    <row r="32" spans="1:3" x14ac:dyDescent="0.25">
      <c r="A32" s="197">
        <f t="shared" si="0"/>
        <v>26</v>
      </c>
      <c r="B32" s="406" t="s">
        <v>625</v>
      </c>
      <c r="C32" s="199"/>
    </row>
    <row r="33" spans="1:3" x14ac:dyDescent="0.25">
      <c r="A33" s="197">
        <f t="shared" si="0"/>
        <v>27</v>
      </c>
      <c r="B33" s="406" t="s">
        <v>626</v>
      </c>
      <c r="C33" s="199"/>
    </row>
    <row r="34" spans="1:3" x14ac:dyDescent="0.25">
      <c r="A34" s="197">
        <v>28</v>
      </c>
      <c r="B34" s="407"/>
      <c r="C34" s="199"/>
    </row>
    <row r="35" spans="1:3" x14ac:dyDescent="0.25">
      <c r="A35" s="197">
        <f t="shared" si="0"/>
        <v>29</v>
      </c>
      <c r="B35" s="724" t="s">
        <v>627</v>
      </c>
      <c r="C35" s="545"/>
    </row>
    <row r="36" spans="1:3" x14ac:dyDescent="0.25">
      <c r="A36" s="197">
        <v>30</v>
      </c>
      <c r="B36" s="155" t="s">
        <v>616</v>
      </c>
      <c r="C36" s="202"/>
    </row>
    <row r="37" spans="1:3" x14ac:dyDescent="0.25">
      <c r="A37" s="197">
        <v>31</v>
      </c>
      <c r="B37" s="155" t="s">
        <v>617</v>
      </c>
      <c r="C37" s="201"/>
    </row>
    <row r="38" spans="1:3" x14ac:dyDescent="0.25">
      <c r="A38" s="197">
        <v>32</v>
      </c>
      <c r="B38" s="155" t="s">
        <v>628</v>
      </c>
      <c r="C38" s="201"/>
    </row>
    <row r="39" spans="1:3" x14ac:dyDescent="0.25">
      <c r="A39" s="197">
        <f t="shared" si="0"/>
        <v>33</v>
      </c>
      <c r="B39" s="179" t="s">
        <v>629</v>
      </c>
      <c r="C39" s="201"/>
    </row>
    <row r="40" spans="1:3" x14ac:dyDescent="0.25">
      <c r="A40" s="197">
        <v>34</v>
      </c>
      <c r="B40" s="155" t="s">
        <v>630</v>
      </c>
      <c r="C40" s="201"/>
    </row>
    <row r="41" spans="1:3" x14ac:dyDescent="0.25">
      <c r="A41" s="197">
        <f t="shared" si="0"/>
        <v>35</v>
      </c>
      <c r="B41" s="155"/>
      <c r="C41" s="201"/>
    </row>
    <row r="42" spans="1:3" x14ac:dyDescent="0.25">
      <c r="A42" s="197">
        <v>36</v>
      </c>
      <c r="B42" s="180"/>
      <c r="C42" s="199"/>
    </row>
    <row r="43" spans="1:3" x14ac:dyDescent="0.25">
      <c r="A43" s="197">
        <v>37</v>
      </c>
      <c r="B43" s="732" t="s">
        <v>394</v>
      </c>
      <c r="C43" s="725"/>
    </row>
    <row r="44" spans="1:3" x14ac:dyDescent="0.25">
      <c r="A44" s="197">
        <v>38</v>
      </c>
      <c r="B44" s="159"/>
      <c r="C44" s="159"/>
    </row>
    <row r="45" spans="1:3" x14ac:dyDescent="0.25">
      <c r="A45" s="197">
        <v>39</v>
      </c>
      <c r="B45" s="729" t="s">
        <v>43</v>
      </c>
      <c r="C45" s="728"/>
    </row>
    <row r="46" spans="1:3" x14ac:dyDescent="0.25">
      <c r="A46" s="197">
        <v>40</v>
      </c>
      <c r="B46" s="515"/>
      <c r="C46" s="515"/>
    </row>
    <row r="47" spans="1:3" x14ac:dyDescent="0.25">
      <c r="A47" s="358">
        <v>41</v>
      </c>
      <c r="B47" s="731" t="s">
        <v>135</v>
      </c>
      <c r="C47" s="726"/>
    </row>
    <row r="48" spans="1:3" x14ac:dyDescent="0.25">
      <c r="B48" s="730"/>
    </row>
  </sheetData>
  <mergeCells count="3">
    <mergeCell ref="A2:B2"/>
    <mergeCell ref="A3:B5"/>
    <mergeCell ref="A1:B1"/>
  </mergeCells>
  <pageMargins left="0.7" right="0.7" top="1.0520833333333333" bottom="0.75" header="0.3" footer="0.3"/>
  <pageSetup scale="92" orientation="portrait" r:id="rId1"/>
  <headerFooter>
    <oddHeader>&amp;L&amp;G&amp;C(ENTER PROJECT NAME)&amp;R&amp;D</oddHeader>
    <oddFooter>&amp;C&amp;P OF &amp;N</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67B4A-5DCC-4284-B15E-B2BBB40CFA24}">
  <dimension ref="A1:I113"/>
  <sheetViews>
    <sheetView tabSelected="1" view="pageBreakPreview" zoomScale="60" zoomScaleNormal="100" workbookViewId="0">
      <selection activeCell="B38" sqref="B38"/>
    </sheetView>
  </sheetViews>
  <sheetFormatPr defaultRowHeight="15" x14ac:dyDescent="0.25"/>
  <cols>
    <col min="2" max="2" width="95.85546875" customWidth="1"/>
    <col min="3" max="3" width="22.5703125" style="136" bestFit="1" customWidth="1"/>
  </cols>
  <sheetData>
    <row r="1" spans="1:9" ht="15.75" x14ac:dyDescent="0.25">
      <c r="A1" s="1011" t="s">
        <v>14</v>
      </c>
      <c r="B1" s="1011"/>
      <c r="C1" s="127"/>
      <c r="D1" s="21"/>
      <c r="E1" s="21"/>
      <c r="F1" s="21"/>
      <c r="G1" s="21"/>
      <c r="H1" s="21"/>
    </row>
    <row r="2" spans="1:9" ht="15.75" x14ac:dyDescent="0.25">
      <c r="A2" s="1146" t="s">
        <v>631</v>
      </c>
      <c r="B2" s="1146"/>
      <c r="C2" s="128" t="s">
        <v>64</v>
      </c>
      <c r="D2" s="21"/>
      <c r="E2" s="21"/>
      <c r="F2" s="21"/>
      <c r="G2" s="21"/>
      <c r="H2" s="21"/>
    </row>
    <row r="3" spans="1:9" ht="15.75" x14ac:dyDescent="0.25">
      <c r="A3" s="1146"/>
      <c r="B3" s="1146"/>
      <c r="C3" s="128" t="s">
        <v>65</v>
      </c>
      <c r="D3" s="21"/>
      <c r="E3" s="21"/>
      <c r="F3" s="21"/>
      <c r="G3" s="21"/>
      <c r="H3" s="21"/>
      <c r="I3" s="21"/>
    </row>
    <row r="4" spans="1:9" ht="15.75" x14ac:dyDescent="0.25">
      <c r="A4" s="1146"/>
      <c r="B4" s="1146"/>
      <c r="C4" s="128" t="s">
        <v>66</v>
      </c>
      <c r="D4" s="21"/>
      <c r="E4" s="21"/>
      <c r="F4" s="21"/>
      <c r="G4" s="21"/>
      <c r="H4" s="21"/>
      <c r="I4" s="21"/>
    </row>
    <row r="5" spans="1:9" ht="15.75" x14ac:dyDescent="0.25">
      <c r="A5" s="1146"/>
      <c r="B5" s="1146"/>
      <c r="C5" s="129" t="s">
        <v>19</v>
      </c>
      <c r="D5" s="21"/>
      <c r="E5" s="21"/>
      <c r="F5" s="21"/>
      <c r="G5" s="21"/>
      <c r="H5" s="21"/>
      <c r="I5" s="21"/>
    </row>
    <row r="6" spans="1:9" ht="19.5" customHeight="1" x14ac:dyDescent="0.25">
      <c r="A6" s="1019"/>
      <c r="B6" s="1021" t="s">
        <v>20</v>
      </c>
      <c r="C6" s="1024" t="s">
        <v>67</v>
      </c>
      <c r="D6" s="21"/>
      <c r="E6" s="21"/>
      <c r="F6" s="21"/>
      <c r="G6" s="21"/>
      <c r="H6" s="21"/>
      <c r="I6" s="21"/>
    </row>
    <row r="7" spans="1:9" s="2" customFormat="1" ht="22.5" customHeight="1" x14ac:dyDescent="0.25">
      <c r="A7" s="1019"/>
      <c r="B7" s="1021"/>
      <c r="C7" s="1090"/>
      <c r="D7" s="21"/>
      <c r="E7" s="21"/>
      <c r="F7" s="21"/>
      <c r="G7" s="21"/>
      <c r="H7" s="21"/>
      <c r="I7" s="21"/>
    </row>
    <row r="8" spans="1:9" s="77" customFormat="1" ht="12.75" x14ac:dyDescent="0.2">
      <c r="A8" s="555">
        <v>1</v>
      </c>
      <c r="B8" s="547" t="s">
        <v>21</v>
      </c>
      <c r="C8" s="548"/>
      <c r="D8" s="206"/>
      <c r="E8" s="206"/>
      <c r="F8" s="206"/>
      <c r="G8" s="206"/>
      <c r="H8" s="206"/>
      <c r="I8" s="206"/>
    </row>
    <row r="9" spans="1:9" s="77" customFormat="1" ht="12.75" x14ac:dyDescent="0.2">
      <c r="A9" s="555">
        <v>2</v>
      </c>
      <c r="B9" s="549" t="s">
        <v>23</v>
      </c>
      <c r="C9" s="548"/>
      <c r="D9" s="207"/>
      <c r="E9" s="206"/>
      <c r="F9" s="207"/>
      <c r="G9" s="207"/>
      <c r="H9" s="207"/>
    </row>
    <row r="10" spans="1:9" s="77" customFormat="1" ht="12.75" x14ac:dyDescent="0.25">
      <c r="A10" s="555">
        <v>3</v>
      </c>
      <c r="B10" s="549" t="s">
        <v>24</v>
      </c>
      <c r="C10" s="548"/>
      <c r="D10" s="207"/>
      <c r="E10" s="207"/>
      <c r="F10" s="207"/>
      <c r="G10" s="207"/>
      <c r="H10" s="207"/>
    </row>
    <row r="11" spans="1:9" s="77" customFormat="1" ht="12.75" x14ac:dyDescent="0.25">
      <c r="A11" s="555">
        <v>4</v>
      </c>
      <c r="B11" s="549" t="s">
        <v>68</v>
      </c>
      <c r="C11" s="548"/>
      <c r="D11" s="207"/>
      <c r="E11" s="207"/>
      <c r="F11" s="207"/>
      <c r="G11" s="207"/>
      <c r="H11" s="207"/>
    </row>
    <row r="12" spans="1:9" s="77" customFormat="1" ht="12.75" x14ac:dyDescent="0.25">
      <c r="A12" s="555">
        <v>5</v>
      </c>
      <c r="B12" s="549" t="s">
        <v>26</v>
      </c>
      <c r="C12" s="548"/>
      <c r="D12" s="207"/>
      <c r="E12" s="207"/>
      <c r="F12" s="207"/>
      <c r="G12" s="207"/>
      <c r="H12" s="207"/>
    </row>
    <row r="13" spans="1:9" s="77" customFormat="1" ht="12.75" x14ac:dyDescent="0.25">
      <c r="A13" s="555">
        <v>6</v>
      </c>
      <c r="B13" s="549" t="s">
        <v>28</v>
      </c>
      <c r="C13" s="548"/>
      <c r="D13" s="207"/>
      <c r="E13" s="207"/>
      <c r="F13" s="207"/>
      <c r="G13" s="207"/>
      <c r="H13" s="207"/>
    </row>
    <row r="14" spans="1:9" s="77" customFormat="1" ht="12.75" x14ac:dyDescent="0.25">
      <c r="A14" s="555">
        <v>7</v>
      </c>
      <c r="B14" s="549" t="s">
        <v>29</v>
      </c>
      <c r="C14" s="548"/>
      <c r="D14" s="207"/>
      <c r="E14" s="207"/>
      <c r="F14" s="207"/>
      <c r="G14" s="207"/>
      <c r="H14" s="207"/>
    </row>
    <row r="15" spans="1:9" s="77" customFormat="1" ht="12.75" x14ac:dyDescent="0.25">
      <c r="A15" s="555">
        <v>8</v>
      </c>
      <c r="B15" s="549" t="s">
        <v>69</v>
      </c>
      <c r="C15" s="548"/>
      <c r="D15" s="207"/>
      <c r="E15" s="207"/>
      <c r="F15" s="207"/>
      <c r="G15" s="207"/>
      <c r="H15" s="207"/>
    </row>
    <row r="16" spans="1:9" s="77" customFormat="1" ht="12.75" x14ac:dyDescent="0.25">
      <c r="A16" s="555">
        <v>9</v>
      </c>
      <c r="B16" s="547" t="s">
        <v>70</v>
      </c>
      <c r="C16" s="548"/>
      <c r="D16" s="207"/>
      <c r="E16" s="207"/>
      <c r="F16" s="207"/>
      <c r="G16" s="207"/>
      <c r="H16" s="207"/>
    </row>
    <row r="17" spans="1:8" s="77" customFormat="1" ht="12.75" x14ac:dyDescent="0.25">
      <c r="A17" s="555">
        <v>10</v>
      </c>
      <c r="B17" s="550" t="s">
        <v>632</v>
      </c>
      <c r="C17" s="548"/>
      <c r="D17" s="207"/>
      <c r="E17" s="207"/>
      <c r="F17" s="207"/>
      <c r="G17" s="207"/>
      <c r="H17" s="207"/>
    </row>
    <row r="18" spans="1:8" s="77" customFormat="1" ht="12.75" x14ac:dyDescent="0.25">
      <c r="A18" s="555">
        <v>11</v>
      </c>
      <c r="B18" s="549" t="s">
        <v>633</v>
      </c>
      <c r="C18" s="548"/>
      <c r="D18" s="207"/>
      <c r="E18" s="207"/>
      <c r="F18" s="207"/>
      <c r="G18" s="207"/>
      <c r="H18" s="207"/>
    </row>
    <row r="19" spans="1:8" s="77" customFormat="1" ht="12.75" x14ac:dyDescent="0.25">
      <c r="A19" s="555">
        <v>12</v>
      </c>
      <c r="B19" s="549" t="s">
        <v>634</v>
      </c>
      <c r="C19" s="548"/>
      <c r="D19" s="207"/>
      <c r="E19" s="207"/>
      <c r="F19" s="207"/>
      <c r="G19" s="207"/>
      <c r="H19" s="207"/>
    </row>
    <row r="20" spans="1:8" s="77" customFormat="1" ht="12.75" x14ac:dyDescent="0.25">
      <c r="A20" s="555">
        <v>13</v>
      </c>
      <c r="B20" s="549" t="s">
        <v>635</v>
      </c>
      <c r="C20" s="548"/>
      <c r="D20" s="207"/>
      <c r="E20" s="207"/>
      <c r="F20" s="207"/>
      <c r="G20" s="207"/>
      <c r="H20" s="207"/>
    </row>
    <row r="21" spans="1:8" s="77" customFormat="1" ht="12.75" x14ac:dyDescent="0.25">
      <c r="A21" s="555">
        <v>14</v>
      </c>
      <c r="B21" s="549" t="s">
        <v>75</v>
      </c>
      <c r="C21" s="548"/>
      <c r="D21" s="207"/>
      <c r="E21" s="207"/>
      <c r="F21" s="207"/>
      <c r="G21" s="207"/>
      <c r="H21" s="207"/>
    </row>
    <row r="22" spans="1:8" s="77" customFormat="1" ht="12.75" x14ac:dyDescent="0.25">
      <c r="A22" s="555">
        <v>15</v>
      </c>
      <c r="B22" s="550" t="s">
        <v>636</v>
      </c>
      <c r="C22" s="548"/>
      <c r="D22" s="207"/>
      <c r="E22" s="207"/>
      <c r="F22" s="207"/>
      <c r="G22" s="207"/>
      <c r="H22" s="207"/>
    </row>
    <row r="23" spans="1:8" s="77" customFormat="1" ht="12.75" x14ac:dyDescent="0.25">
      <c r="A23" s="555">
        <v>16</v>
      </c>
      <c r="B23" s="549" t="s">
        <v>637</v>
      </c>
      <c r="C23" s="548"/>
      <c r="D23" s="207"/>
      <c r="E23" s="207"/>
      <c r="F23" s="207"/>
      <c r="G23" s="207"/>
      <c r="H23" s="207"/>
    </row>
    <row r="24" spans="1:8" s="77" customFormat="1" ht="12.75" x14ac:dyDescent="0.25">
      <c r="A24" s="555">
        <v>17</v>
      </c>
      <c r="B24" s="549" t="s">
        <v>638</v>
      </c>
      <c r="C24" s="548"/>
      <c r="D24" s="207"/>
      <c r="E24" s="207"/>
      <c r="F24" s="207"/>
      <c r="G24" s="207"/>
      <c r="H24" s="207"/>
    </row>
    <row r="25" spans="1:8" s="77" customFormat="1" ht="12.75" x14ac:dyDescent="0.25">
      <c r="A25" s="555">
        <v>18</v>
      </c>
      <c r="B25" s="549" t="s">
        <v>639</v>
      </c>
      <c r="C25" s="548"/>
      <c r="D25" s="207"/>
      <c r="E25" s="207"/>
      <c r="F25" s="207"/>
      <c r="G25" s="207"/>
      <c r="H25" s="207"/>
    </row>
    <row r="26" spans="1:8" s="77" customFormat="1" ht="12.75" x14ac:dyDescent="0.25">
      <c r="A26" s="555">
        <v>19</v>
      </c>
      <c r="B26" s="549" t="s">
        <v>640</v>
      </c>
      <c r="C26" s="548"/>
      <c r="D26" s="207"/>
      <c r="E26" s="207"/>
      <c r="F26" s="207"/>
      <c r="G26" s="207"/>
      <c r="H26" s="207"/>
    </row>
    <row r="27" spans="1:8" s="77" customFormat="1" ht="12.75" x14ac:dyDescent="0.25">
      <c r="A27" s="555">
        <v>20</v>
      </c>
      <c r="B27" s="549" t="s">
        <v>641</v>
      </c>
      <c r="C27" s="548"/>
      <c r="D27" s="207"/>
      <c r="E27" s="207"/>
      <c r="F27" s="207"/>
      <c r="G27" s="207"/>
      <c r="H27" s="207"/>
    </row>
    <row r="28" spans="1:8" s="77" customFormat="1" ht="12.75" x14ac:dyDescent="0.25">
      <c r="A28" s="555">
        <v>21</v>
      </c>
      <c r="B28" s="550" t="s">
        <v>642</v>
      </c>
      <c r="C28" s="548"/>
      <c r="D28" s="207"/>
      <c r="E28" s="207"/>
      <c r="F28" s="207"/>
      <c r="G28" s="207"/>
      <c r="H28" s="207"/>
    </row>
    <row r="29" spans="1:8" s="77" customFormat="1" ht="30.75" customHeight="1" x14ac:dyDescent="0.25">
      <c r="A29" s="555">
        <v>22</v>
      </c>
      <c r="B29" s="547" t="s">
        <v>643</v>
      </c>
      <c r="C29" s="548"/>
      <c r="D29" s="207"/>
      <c r="E29" s="207"/>
      <c r="F29" s="207"/>
      <c r="G29" s="207"/>
      <c r="H29" s="207"/>
    </row>
    <row r="30" spans="1:8" s="77" customFormat="1" ht="12.75" x14ac:dyDescent="0.25">
      <c r="A30" s="555">
        <v>23</v>
      </c>
      <c r="B30" s="551" t="s">
        <v>644</v>
      </c>
      <c r="C30" s="548"/>
      <c r="D30" s="207"/>
      <c r="E30" s="207"/>
      <c r="F30" s="207"/>
      <c r="G30" s="207"/>
      <c r="H30" s="207"/>
    </row>
    <row r="31" spans="1:8" s="77" customFormat="1" ht="12.75" x14ac:dyDescent="0.25">
      <c r="A31" s="555">
        <v>24</v>
      </c>
      <c r="B31" s="549" t="s">
        <v>645</v>
      </c>
      <c r="C31" s="548"/>
      <c r="D31" s="207"/>
      <c r="E31" s="207"/>
      <c r="F31" s="207"/>
      <c r="G31" s="207"/>
      <c r="H31" s="207"/>
    </row>
    <row r="32" spans="1:8" s="77" customFormat="1" ht="12.75" x14ac:dyDescent="0.25">
      <c r="A32" s="555">
        <v>25</v>
      </c>
      <c r="B32" s="549" t="s">
        <v>646</v>
      </c>
      <c r="C32" s="548"/>
      <c r="D32" s="207"/>
      <c r="E32" s="207"/>
      <c r="F32" s="207"/>
      <c r="G32" s="207"/>
      <c r="H32" s="207"/>
    </row>
    <row r="33" spans="1:8" s="77" customFormat="1" ht="12.75" x14ac:dyDescent="0.25">
      <c r="A33" s="555">
        <v>26</v>
      </c>
      <c r="B33" s="552" t="s">
        <v>647</v>
      </c>
      <c r="C33" s="548"/>
      <c r="D33" s="207"/>
      <c r="E33" s="207"/>
      <c r="F33" s="207"/>
      <c r="G33" s="207"/>
      <c r="H33" s="207"/>
    </row>
    <row r="34" spans="1:8" s="77" customFormat="1" ht="12.75" x14ac:dyDescent="0.25">
      <c r="A34" s="555">
        <v>27</v>
      </c>
      <c r="B34" s="551" t="s">
        <v>648</v>
      </c>
      <c r="C34" s="548"/>
      <c r="D34" s="207"/>
      <c r="E34" s="207"/>
      <c r="F34" s="207"/>
      <c r="G34" s="207"/>
      <c r="H34" s="207"/>
    </row>
    <row r="35" spans="1:8" s="77" customFormat="1" ht="12.75" x14ac:dyDescent="0.25">
      <c r="A35" s="449">
        <v>28</v>
      </c>
      <c r="B35" s="488" t="s">
        <v>649</v>
      </c>
      <c r="C35" s="553"/>
      <c r="D35" s="207"/>
      <c r="E35" s="207"/>
      <c r="F35" s="207"/>
      <c r="G35" s="207"/>
      <c r="H35" s="207"/>
    </row>
    <row r="36" spans="1:8" s="77" customFormat="1" ht="12.75" x14ac:dyDescent="0.25">
      <c r="A36" s="449">
        <v>29</v>
      </c>
      <c r="B36" s="168" t="s">
        <v>650</v>
      </c>
      <c r="C36" s="164"/>
      <c r="D36" s="207"/>
      <c r="E36" s="207"/>
      <c r="F36" s="207"/>
      <c r="G36" s="207"/>
      <c r="H36" s="207"/>
    </row>
    <row r="37" spans="1:8" s="77" customFormat="1" ht="12.75" x14ac:dyDescent="0.25">
      <c r="A37" s="449">
        <v>30</v>
      </c>
      <c r="B37" s="168" t="s">
        <v>651</v>
      </c>
      <c r="C37" s="548"/>
      <c r="D37" s="207"/>
      <c r="E37" s="207"/>
      <c r="F37" s="207"/>
      <c r="G37" s="207"/>
      <c r="H37" s="207"/>
    </row>
    <row r="38" spans="1:8" s="77" customFormat="1" ht="12.75" x14ac:dyDescent="0.25">
      <c r="A38" s="449">
        <v>31</v>
      </c>
      <c r="B38" s="168" t="s">
        <v>652</v>
      </c>
      <c r="C38" s="548"/>
      <c r="D38" s="207"/>
      <c r="E38" s="207"/>
      <c r="F38" s="207"/>
      <c r="G38" s="207"/>
      <c r="H38" s="207"/>
    </row>
    <row r="39" spans="1:8" s="77" customFormat="1" ht="12.75" x14ac:dyDescent="0.25">
      <c r="A39" s="449">
        <v>32</v>
      </c>
      <c r="B39" s="168" t="s">
        <v>653</v>
      </c>
      <c r="C39" s="548"/>
      <c r="D39" s="207"/>
      <c r="E39" s="207"/>
      <c r="F39" s="207"/>
      <c r="G39" s="207"/>
      <c r="H39" s="207"/>
    </row>
    <row r="40" spans="1:8" s="77" customFormat="1" ht="12.75" x14ac:dyDescent="0.25">
      <c r="A40" s="449">
        <v>33</v>
      </c>
      <c r="B40" s="164" t="s">
        <v>654</v>
      </c>
      <c r="C40" s="548"/>
      <c r="D40" s="207"/>
      <c r="E40" s="207"/>
      <c r="F40" s="207"/>
      <c r="G40" s="207"/>
      <c r="H40" s="207"/>
    </row>
    <row r="41" spans="1:8" s="77" customFormat="1" ht="12.75" x14ac:dyDescent="0.25">
      <c r="A41" s="449">
        <v>34</v>
      </c>
      <c r="B41" s="168" t="s">
        <v>655</v>
      </c>
      <c r="C41" s="548"/>
      <c r="D41" s="207"/>
      <c r="E41" s="207"/>
      <c r="F41" s="207"/>
      <c r="G41" s="207"/>
      <c r="H41" s="207"/>
    </row>
    <row r="42" spans="1:8" s="77" customFormat="1" ht="12.75" x14ac:dyDescent="0.25">
      <c r="A42" s="449">
        <v>35</v>
      </c>
      <c r="B42" s="168" t="s">
        <v>656</v>
      </c>
      <c r="C42" s="548"/>
      <c r="D42" s="207"/>
      <c r="E42" s="207"/>
      <c r="F42" s="207"/>
      <c r="G42" s="207"/>
      <c r="H42" s="207"/>
    </row>
    <row r="43" spans="1:8" s="77" customFormat="1" ht="12.75" x14ac:dyDescent="0.25">
      <c r="A43" s="449">
        <v>36</v>
      </c>
      <c r="B43" s="164" t="s">
        <v>657</v>
      </c>
      <c r="C43" s="548"/>
      <c r="D43" s="207"/>
      <c r="E43" s="207"/>
      <c r="F43" s="207"/>
      <c r="G43" s="207"/>
      <c r="H43" s="207"/>
    </row>
    <row r="44" spans="1:8" s="77" customFormat="1" ht="12.75" x14ac:dyDescent="0.25">
      <c r="A44" s="449">
        <v>37</v>
      </c>
      <c r="B44" s="164" t="s">
        <v>658</v>
      </c>
      <c r="C44" s="548"/>
      <c r="D44" s="207"/>
      <c r="E44" s="207"/>
      <c r="F44" s="207"/>
      <c r="G44" s="207"/>
      <c r="H44" s="207"/>
    </row>
    <row r="45" spans="1:8" s="77" customFormat="1" ht="12.75" x14ac:dyDescent="0.25">
      <c r="A45" s="449">
        <v>38</v>
      </c>
      <c r="B45" s="164" t="s">
        <v>659</v>
      </c>
      <c r="C45" s="548"/>
      <c r="D45" s="207"/>
      <c r="E45" s="207"/>
      <c r="F45" s="207"/>
      <c r="G45" s="207"/>
      <c r="H45" s="207"/>
    </row>
    <row r="46" spans="1:8" s="77" customFormat="1" ht="12.75" x14ac:dyDescent="0.25">
      <c r="A46" s="449">
        <v>39</v>
      </c>
      <c r="B46" s="164" t="s">
        <v>660</v>
      </c>
      <c r="C46" s="548"/>
      <c r="D46" s="207"/>
      <c r="E46" s="207"/>
      <c r="F46" s="207"/>
      <c r="G46" s="207"/>
      <c r="H46" s="207"/>
    </row>
    <row r="47" spans="1:8" s="77" customFormat="1" ht="12.75" x14ac:dyDescent="0.25">
      <c r="A47" s="449">
        <v>40</v>
      </c>
      <c r="B47" s="168" t="s">
        <v>661</v>
      </c>
      <c r="C47" s="548"/>
      <c r="D47" s="207"/>
      <c r="E47" s="207"/>
      <c r="F47" s="207"/>
      <c r="G47" s="207"/>
      <c r="H47" s="207"/>
    </row>
    <row r="48" spans="1:8" s="77" customFormat="1" ht="12.75" x14ac:dyDescent="0.25">
      <c r="A48" s="449">
        <v>41</v>
      </c>
      <c r="B48" s="164" t="s">
        <v>662</v>
      </c>
      <c r="C48" s="548"/>
      <c r="D48" s="207"/>
      <c r="E48" s="207"/>
      <c r="F48" s="207"/>
      <c r="G48" s="207"/>
      <c r="H48" s="207"/>
    </row>
    <row r="49" spans="1:8" s="77" customFormat="1" ht="12.75" x14ac:dyDescent="0.25">
      <c r="A49" s="449">
        <v>42</v>
      </c>
      <c r="B49" s="164" t="s">
        <v>663</v>
      </c>
      <c r="C49" s="548"/>
      <c r="D49" s="207"/>
      <c r="E49" s="207"/>
      <c r="F49" s="207"/>
      <c r="G49" s="207"/>
      <c r="H49" s="207"/>
    </row>
    <row r="50" spans="1:8" s="77" customFormat="1" ht="12.75" x14ac:dyDescent="0.25">
      <c r="A50" s="449">
        <v>43</v>
      </c>
      <c r="B50" s="164" t="s">
        <v>664</v>
      </c>
      <c r="C50" s="548"/>
      <c r="D50" s="207"/>
      <c r="E50" s="207"/>
      <c r="F50" s="207"/>
      <c r="G50" s="207"/>
      <c r="H50" s="207"/>
    </row>
    <row r="51" spans="1:8" s="77" customFormat="1" ht="12.75" x14ac:dyDescent="0.25">
      <c r="A51" s="449">
        <v>44</v>
      </c>
      <c r="B51" s="164" t="s">
        <v>665</v>
      </c>
      <c r="C51" s="548"/>
      <c r="D51" s="207"/>
      <c r="E51" s="207"/>
      <c r="F51" s="207"/>
      <c r="G51" s="207"/>
      <c r="H51" s="207"/>
    </row>
    <row r="52" spans="1:8" s="77" customFormat="1" ht="12.75" x14ac:dyDescent="0.25">
      <c r="A52" s="449">
        <v>45</v>
      </c>
      <c r="B52" s="164" t="s">
        <v>666</v>
      </c>
      <c r="C52" s="548"/>
      <c r="D52" s="207"/>
      <c r="E52" s="207"/>
      <c r="F52" s="207"/>
      <c r="G52" s="207"/>
      <c r="H52" s="207"/>
    </row>
    <row r="53" spans="1:8" s="77" customFormat="1" ht="12.75" x14ac:dyDescent="0.25">
      <c r="A53" s="449">
        <v>46</v>
      </c>
      <c r="B53" s="164" t="s">
        <v>667</v>
      </c>
      <c r="C53" s="548"/>
      <c r="D53" s="207"/>
      <c r="E53" s="207"/>
      <c r="F53" s="207"/>
      <c r="G53" s="207"/>
      <c r="H53" s="207"/>
    </row>
    <row r="54" spans="1:8" s="77" customFormat="1" ht="12.75" x14ac:dyDescent="0.25">
      <c r="A54" s="449">
        <v>47</v>
      </c>
      <c r="B54" s="164" t="s">
        <v>668</v>
      </c>
      <c r="C54" s="548"/>
      <c r="D54" s="207"/>
      <c r="E54" s="207"/>
      <c r="F54" s="207"/>
      <c r="G54" s="207"/>
      <c r="H54" s="207"/>
    </row>
    <row r="55" spans="1:8" s="77" customFormat="1" ht="12.75" x14ac:dyDescent="0.25">
      <c r="A55" s="449">
        <v>48</v>
      </c>
      <c r="B55" s="164" t="s">
        <v>669</v>
      </c>
      <c r="C55" s="548"/>
      <c r="D55" s="207"/>
      <c r="E55" s="207"/>
      <c r="F55" s="207"/>
      <c r="G55" s="207"/>
      <c r="H55" s="207"/>
    </row>
    <row r="56" spans="1:8" s="77" customFormat="1" ht="12.75" x14ac:dyDescent="0.25">
      <c r="A56" s="449">
        <v>49</v>
      </c>
      <c r="B56" s="164" t="s">
        <v>670</v>
      </c>
      <c r="C56" s="548"/>
      <c r="D56" s="207"/>
      <c r="E56" s="207"/>
      <c r="F56" s="207"/>
      <c r="G56" s="207"/>
      <c r="H56" s="207"/>
    </row>
    <row r="57" spans="1:8" s="77" customFormat="1" ht="12.75" x14ac:dyDescent="0.25">
      <c r="A57" s="449">
        <v>50</v>
      </c>
      <c r="B57" s="164" t="s">
        <v>671</v>
      </c>
      <c r="C57" s="548"/>
      <c r="D57" s="207"/>
      <c r="E57" s="207"/>
      <c r="F57" s="207"/>
      <c r="G57" s="207"/>
      <c r="H57" s="207"/>
    </row>
    <row r="58" spans="1:8" s="77" customFormat="1" ht="12.75" x14ac:dyDescent="0.25">
      <c r="A58" s="449">
        <v>51</v>
      </c>
      <c r="B58" s="164" t="s">
        <v>672</v>
      </c>
      <c r="C58" s="548"/>
      <c r="D58" s="207"/>
      <c r="E58" s="207"/>
      <c r="F58" s="207"/>
      <c r="G58" s="207"/>
      <c r="H58" s="207"/>
    </row>
    <row r="59" spans="1:8" s="77" customFormat="1" ht="12.75" x14ac:dyDescent="0.25">
      <c r="A59" s="449">
        <v>52</v>
      </c>
      <c r="B59" s="168" t="s">
        <v>673</v>
      </c>
      <c r="C59" s="548"/>
      <c r="D59" s="207"/>
      <c r="E59" s="207"/>
      <c r="F59" s="207"/>
      <c r="G59" s="207"/>
      <c r="H59" s="207"/>
    </row>
    <row r="60" spans="1:8" s="77" customFormat="1" ht="12.75" x14ac:dyDescent="0.25">
      <c r="A60" s="449">
        <v>53</v>
      </c>
      <c r="B60" s="164"/>
      <c r="C60" s="548"/>
      <c r="D60" s="207"/>
      <c r="E60" s="207"/>
      <c r="F60" s="207"/>
      <c r="G60" s="207"/>
      <c r="H60" s="207"/>
    </row>
    <row r="61" spans="1:8" s="77" customFormat="1" ht="12.75" x14ac:dyDescent="0.25">
      <c r="A61" s="449">
        <v>54</v>
      </c>
      <c r="B61" s="488" t="s">
        <v>674</v>
      </c>
      <c r="C61" s="553"/>
      <c r="D61" s="207"/>
      <c r="E61" s="207"/>
      <c r="F61" s="207"/>
      <c r="G61" s="207"/>
      <c r="H61" s="207"/>
    </row>
    <row r="62" spans="1:8" s="77" customFormat="1" ht="12.75" x14ac:dyDescent="0.25">
      <c r="A62" s="449">
        <v>55</v>
      </c>
      <c r="B62" s="168" t="s">
        <v>650</v>
      </c>
      <c r="C62" s="164"/>
      <c r="D62" s="207"/>
      <c r="E62" s="207"/>
      <c r="F62" s="207"/>
      <c r="G62" s="207"/>
      <c r="H62" s="207"/>
    </row>
    <row r="63" spans="1:8" s="77" customFormat="1" ht="12.75" x14ac:dyDescent="0.25">
      <c r="A63" s="449">
        <v>56</v>
      </c>
      <c r="B63" s="168" t="s">
        <v>651</v>
      </c>
      <c r="C63" s="548"/>
      <c r="D63" s="207"/>
      <c r="E63" s="207"/>
      <c r="F63" s="207"/>
      <c r="G63" s="207"/>
      <c r="H63" s="207"/>
    </row>
    <row r="64" spans="1:8" s="77" customFormat="1" ht="12.75" x14ac:dyDescent="0.25">
      <c r="A64" s="449">
        <v>57</v>
      </c>
      <c r="B64" s="168" t="s">
        <v>675</v>
      </c>
      <c r="C64" s="548"/>
      <c r="D64" s="207"/>
      <c r="E64" s="207"/>
      <c r="F64" s="207"/>
      <c r="G64" s="207"/>
      <c r="H64" s="207"/>
    </row>
    <row r="65" spans="1:8" s="77" customFormat="1" ht="12.75" x14ac:dyDescent="0.25">
      <c r="A65" s="449">
        <v>58</v>
      </c>
      <c r="B65" s="168" t="s">
        <v>653</v>
      </c>
      <c r="C65" s="548"/>
      <c r="D65" s="207"/>
      <c r="E65" s="207"/>
      <c r="F65" s="207"/>
      <c r="G65" s="207"/>
      <c r="H65" s="207"/>
    </row>
    <row r="66" spans="1:8" s="77" customFormat="1" ht="12.75" x14ac:dyDescent="0.25">
      <c r="A66" s="449">
        <v>59</v>
      </c>
      <c r="B66" s="164" t="s">
        <v>676</v>
      </c>
      <c r="C66" s="548"/>
      <c r="D66" s="207"/>
      <c r="E66" s="207"/>
      <c r="F66" s="207"/>
      <c r="G66" s="207"/>
      <c r="H66" s="207"/>
    </row>
    <row r="67" spans="1:8" s="77" customFormat="1" ht="12.75" x14ac:dyDescent="0.25">
      <c r="A67" s="449">
        <v>60</v>
      </c>
      <c r="B67" s="168" t="s">
        <v>655</v>
      </c>
      <c r="C67" s="548"/>
      <c r="D67" s="207"/>
      <c r="E67" s="207"/>
      <c r="F67" s="207"/>
      <c r="G67" s="207"/>
      <c r="H67" s="207"/>
    </row>
    <row r="68" spans="1:8" s="77" customFormat="1" ht="12.75" x14ac:dyDescent="0.25">
      <c r="A68" s="449">
        <v>61</v>
      </c>
      <c r="B68" s="168" t="s">
        <v>656</v>
      </c>
      <c r="C68" s="548"/>
      <c r="D68" s="207"/>
      <c r="E68" s="207"/>
      <c r="F68" s="207"/>
      <c r="G68" s="207"/>
      <c r="H68" s="207"/>
    </row>
    <row r="69" spans="1:8" s="77" customFormat="1" ht="12.75" x14ac:dyDescent="0.25">
      <c r="A69" s="449">
        <v>62</v>
      </c>
      <c r="B69" s="164" t="s">
        <v>677</v>
      </c>
      <c r="C69" s="548"/>
      <c r="D69" s="207"/>
      <c r="E69" s="207"/>
      <c r="F69" s="207"/>
      <c r="G69" s="207"/>
      <c r="H69" s="207"/>
    </row>
    <row r="70" spans="1:8" s="77" customFormat="1" ht="12.75" x14ac:dyDescent="0.25">
      <c r="A70" s="449">
        <v>63</v>
      </c>
      <c r="B70" s="164" t="s">
        <v>659</v>
      </c>
      <c r="C70" s="548"/>
      <c r="D70" s="207"/>
      <c r="E70" s="207"/>
      <c r="F70" s="207"/>
      <c r="G70" s="207"/>
      <c r="H70" s="207"/>
    </row>
    <row r="71" spans="1:8" s="77" customFormat="1" ht="12.75" x14ac:dyDescent="0.25">
      <c r="A71" s="449">
        <v>64</v>
      </c>
      <c r="B71" s="164" t="s">
        <v>678</v>
      </c>
      <c r="C71" s="548"/>
      <c r="D71" s="207"/>
      <c r="E71" s="207"/>
      <c r="F71" s="207"/>
      <c r="G71" s="207"/>
      <c r="H71" s="207"/>
    </row>
    <row r="72" spans="1:8" s="77" customFormat="1" ht="12.75" x14ac:dyDescent="0.25">
      <c r="A72" s="449">
        <v>65</v>
      </c>
      <c r="B72" s="168" t="s">
        <v>679</v>
      </c>
      <c r="C72" s="548"/>
      <c r="D72" s="207"/>
      <c r="E72" s="207"/>
      <c r="F72" s="207"/>
      <c r="G72" s="207"/>
      <c r="H72" s="207"/>
    </row>
    <row r="73" spans="1:8" s="77" customFormat="1" ht="12.75" x14ac:dyDescent="0.25">
      <c r="A73" s="449">
        <v>66</v>
      </c>
      <c r="B73" s="164" t="s">
        <v>680</v>
      </c>
      <c r="C73" s="548"/>
      <c r="D73" s="207"/>
      <c r="E73" s="207"/>
      <c r="F73" s="207"/>
      <c r="G73" s="207"/>
      <c r="H73" s="207"/>
    </row>
    <row r="74" spans="1:8" s="77" customFormat="1" ht="12.75" x14ac:dyDescent="0.25">
      <c r="A74" s="449">
        <v>67</v>
      </c>
      <c r="B74" s="168" t="s">
        <v>681</v>
      </c>
      <c r="C74" s="548"/>
      <c r="D74" s="207"/>
      <c r="E74" s="207"/>
      <c r="F74" s="207"/>
      <c r="G74" s="207"/>
      <c r="H74" s="207"/>
    </row>
    <row r="75" spans="1:8" s="77" customFormat="1" ht="12.75" x14ac:dyDescent="0.25">
      <c r="A75" s="449">
        <v>68</v>
      </c>
      <c r="B75" s="164" t="s">
        <v>663</v>
      </c>
      <c r="C75" s="548"/>
      <c r="D75" s="207"/>
      <c r="E75" s="207"/>
      <c r="F75" s="207"/>
      <c r="G75" s="207"/>
      <c r="H75" s="207"/>
    </row>
    <row r="76" spans="1:8" s="77" customFormat="1" ht="12.75" x14ac:dyDescent="0.25">
      <c r="A76" s="449">
        <v>69</v>
      </c>
      <c r="B76" s="164" t="s">
        <v>664</v>
      </c>
      <c r="C76" s="548"/>
      <c r="D76" s="207"/>
      <c r="E76" s="207"/>
      <c r="F76" s="207"/>
      <c r="G76" s="207"/>
      <c r="H76" s="207"/>
    </row>
    <row r="77" spans="1:8" s="77" customFormat="1" ht="12.75" x14ac:dyDescent="0.25">
      <c r="A77" s="449">
        <v>70</v>
      </c>
      <c r="B77" s="164" t="s">
        <v>682</v>
      </c>
      <c r="C77" s="548"/>
      <c r="D77" s="207"/>
      <c r="E77" s="207"/>
      <c r="F77" s="207"/>
      <c r="G77" s="207"/>
      <c r="H77" s="207"/>
    </row>
    <row r="78" spans="1:8" s="77" customFormat="1" ht="12.75" x14ac:dyDescent="0.25">
      <c r="A78" s="449">
        <v>71</v>
      </c>
      <c r="B78" s="164" t="s">
        <v>666</v>
      </c>
      <c r="C78" s="548"/>
      <c r="D78" s="207"/>
      <c r="E78" s="207"/>
      <c r="F78" s="207"/>
      <c r="G78" s="207"/>
      <c r="H78" s="207"/>
    </row>
    <row r="79" spans="1:8" s="77" customFormat="1" ht="12.75" x14ac:dyDescent="0.25">
      <c r="A79" s="449">
        <v>73</v>
      </c>
      <c r="B79" s="164" t="s">
        <v>668</v>
      </c>
      <c r="C79" s="548"/>
      <c r="D79" s="207"/>
      <c r="E79" s="207"/>
      <c r="F79" s="207"/>
      <c r="G79" s="207"/>
      <c r="H79" s="207"/>
    </row>
    <row r="80" spans="1:8" s="77" customFormat="1" ht="12.75" x14ac:dyDescent="0.25">
      <c r="A80" s="449">
        <v>74</v>
      </c>
      <c r="B80" s="164" t="s">
        <v>670</v>
      </c>
      <c r="C80" s="548"/>
      <c r="D80" s="207"/>
      <c r="E80" s="207"/>
      <c r="F80" s="207"/>
      <c r="G80" s="207"/>
      <c r="H80" s="207"/>
    </row>
    <row r="81" spans="1:8" s="77" customFormat="1" ht="12.75" x14ac:dyDescent="0.25">
      <c r="A81" s="449">
        <v>75</v>
      </c>
      <c r="B81" s="164" t="s">
        <v>683</v>
      </c>
      <c r="C81" s="548"/>
      <c r="D81" s="207"/>
      <c r="E81" s="207"/>
      <c r="F81" s="207"/>
      <c r="G81" s="207"/>
      <c r="H81" s="207"/>
    </row>
    <row r="82" spans="1:8" s="77" customFormat="1" ht="12.75" x14ac:dyDescent="0.25">
      <c r="A82" s="449">
        <v>76</v>
      </c>
      <c r="B82" s="168" t="s">
        <v>684</v>
      </c>
      <c r="C82" s="548"/>
      <c r="D82" s="207"/>
      <c r="E82" s="207"/>
      <c r="F82" s="207"/>
      <c r="G82" s="207"/>
      <c r="H82" s="207"/>
    </row>
    <row r="83" spans="1:8" s="77" customFormat="1" ht="12.75" x14ac:dyDescent="0.25">
      <c r="A83" s="449">
        <v>77</v>
      </c>
      <c r="B83" s="168" t="s">
        <v>673</v>
      </c>
      <c r="C83" s="548"/>
      <c r="D83" s="207"/>
      <c r="E83" s="207"/>
      <c r="F83" s="207"/>
      <c r="G83" s="207"/>
      <c r="H83" s="207"/>
    </row>
    <row r="84" spans="1:8" s="77" customFormat="1" ht="12.75" x14ac:dyDescent="0.25">
      <c r="A84" s="449">
        <v>78</v>
      </c>
      <c r="B84" s="164"/>
      <c r="C84" s="548"/>
      <c r="D84" s="207"/>
      <c r="E84" s="207"/>
      <c r="F84" s="207"/>
      <c r="G84" s="207"/>
      <c r="H84" s="207"/>
    </row>
    <row r="85" spans="1:8" s="208" customFormat="1" ht="12.75" x14ac:dyDescent="0.2">
      <c r="A85" s="556">
        <v>79</v>
      </c>
      <c r="B85" s="332"/>
      <c r="C85" s="554"/>
      <c r="D85" s="206"/>
      <c r="E85" s="206"/>
      <c r="F85" s="206"/>
      <c r="G85" s="206"/>
      <c r="H85" s="206"/>
    </row>
    <row r="86" spans="1:8" ht="15.75" x14ac:dyDescent="0.25">
      <c r="A86" s="712">
        <v>80</v>
      </c>
      <c r="B86" s="713" t="s">
        <v>432</v>
      </c>
      <c r="C86" s="714">
        <f>SUM(C85:C85)</f>
        <v>0</v>
      </c>
      <c r="D86" s="21"/>
      <c r="E86" s="21"/>
      <c r="F86" s="21"/>
      <c r="G86" s="21"/>
      <c r="H86" s="21"/>
    </row>
    <row r="87" spans="1:8" ht="15.75" x14ac:dyDescent="0.25">
      <c r="A87" s="449">
        <v>81</v>
      </c>
      <c r="B87" s="711"/>
      <c r="C87" s="641"/>
      <c r="D87" s="21"/>
      <c r="E87" s="21"/>
      <c r="F87" s="21"/>
      <c r="G87" s="21"/>
      <c r="H87" s="21"/>
    </row>
    <row r="88" spans="1:8" ht="18.75" x14ac:dyDescent="0.3">
      <c r="A88" s="556">
        <v>82</v>
      </c>
      <c r="B88" s="716" t="s">
        <v>43</v>
      </c>
      <c r="C88" s="715"/>
      <c r="D88" s="21"/>
      <c r="E88" s="21"/>
      <c r="F88" s="21"/>
      <c r="G88" s="21"/>
      <c r="H88" s="21"/>
    </row>
    <row r="89" spans="1:8" ht="15.75" x14ac:dyDescent="0.25">
      <c r="A89" s="712">
        <v>83</v>
      </c>
      <c r="B89" s="718"/>
      <c r="C89" s="719"/>
      <c r="D89" s="21"/>
      <c r="E89" s="21"/>
      <c r="F89" s="21"/>
      <c r="G89" s="21"/>
      <c r="H89" s="21"/>
    </row>
    <row r="90" spans="1:8" ht="15.75" x14ac:dyDescent="0.25">
      <c r="A90" s="720">
        <v>84</v>
      </c>
      <c r="B90" s="722" t="s">
        <v>488</v>
      </c>
      <c r="C90" s="721"/>
      <c r="D90" s="21"/>
      <c r="E90" s="21"/>
      <c r="F90" s="21"/>
      <c r="G90" s="21"/>
      <c r="H90" s="21"/>
    </row>
    <row r="91" spans="1:8" ht="15.75" x14ac:dyDescent="0.25">
      <c r="A91" s="1023"/>
      <c r="B91" s="1023"/>
      <c r="C91" s="135"/>
      <c r="D91" s="29"/>
      <c r="E91" s="21"/>
      <c r="F91" s="29"/>
      <c r="G91" s="29"/>
      <c r="H91" s="29"/>
    </row>
    <row r="92" spans="1:8" ht="15.75" x14ac:dyDescent="0.25">
      <c r="A92" s="1023"/>
      <c r="B92" s="1023"/>
      <c r="C92" s="135"/>
      <c r="D92" s="29"/>
      <c r="E92" s="21"/>
      <c r="F92" s="29"/>
      <c r="G92" s="29"/>
      <c r="H92" s="29"/>
    </row>
    <row r="93" spans="1:8" ht="15.75" x14ac:dyDescent="0.25">
      <c r="A93" s="1023"/>
      <c r="B93" s="1023"/>
      <c r="C93" s="135"/>
      <c r="D93" s="29"/>
      <c r="E93" s="21"/>
      <c r="F93" s="29"/>
      <c r="G93" s="29"/>
      <c r="H93" s="29"/>
    </row>
    <row r="94" spans="1:8" ht="15.75" x14ac:dyDescent="0.25">
      <c r="A94" s="1023"/>
      <c r="B94" s="1023"/>
      <c r="C94" s="135"/>
      <c r="D94" s="29"/>
      <c r="E94" s="21"/>
      <c r="F94" s="29"/>
      <c r="G94" s="29"/>
      <c r="H94" s="29"/>
    </row>
    <row r="95" spans="1:8" ht="15.75" x14ac:dyDescent="0.25">
      <c r="A95" s="1023"/>
      <c r="B95" s="1023"/>
      <c r="C95" s="135"/>
      <c r="D95" s="29"/>
      <c r="E95" s="21"/>
      <c r="F95" s="29"/>
      <c r="G95" s="29"/>
      <c r="H95" s="29"/>
    </row>
    <row r="96" spans="1:8" ht="15.75" x14ac:dyDescent="0.25">
      <c r="A96" s="1023"/>
      <c r="B96" s="1023"/>
      <c r="C96" s="135"/>
      <c r="D96" s="29"/>
      <c r="E96" s="21"/>
      <c r="F96" s="29"/>
      <c r="G96" s="29"/>
      <c r="H96" s="29"/>
    </row>
    <row r="97" spans="1:8" ht="15.75" x14ac:dyDescent="0.25">
      <c r="A97" s="116"/>
      <c r="B97" s="21"/>
      <c r="C97" s="134"/>
      <c r="D97" s="21"/>
      <c r="E97" s="21"/>
      <c r="F97" s="21"/>
      <c r="G97" s="21"/>
      <c r="H97" s="21"/>
    </row>
    <row r="98" spans="1:8" ht="15.75" x14ac:dyDescent="0.25">
      <c r="A98" s="116"/>
      <c r="B98" s="21"/>
      <c r="C98" s="134"/>
      <c r="D98" s="21"/>
      <c r="E98" s="21"/>
      <c r="F98" s="21"/>
      <c r="G98" s="21"/>
      <c r="H98" s="21"/>
    </row>
    <row r="99" spans="1:8" ht="15.75" x14ac:dyDescent="0.25">
      <c r="A99" s="116"/>
      <c r="B99" s="21"/>
      <c r="C99" s="134"/>
      <c r="D99" s="21"/>
      <c r="E99" s="21"/>
      <c r="F99" s="21"/>
      <c r="G99" s="21"/>
      <c r="H99" s="21"/>
    </row>
    <row r="100" spans="1:8" ht="15.75" x14ac:dyDescent="0.25">
      <c r="A100" s="116"/>
      <c r="B100" s="21"/>
      <c r="C100" s="134"/>
      <c r="D100" s="21"/>
      <c r="E100" s="21"/>
      <c r="F100" s="21"/>
      <c r="G100" s="21"/>
      <c r="H100" s="21"/>
    </row>
    <row r="101" spans="1:8" ht="15.75" x14ac:dyDescent="0.25">
      <c r="A101" s="116"/>
      <c r="B101" s="21"/>
      <c r="C101" s="134"/>
      <c r="D101" s="21"/>
      <c r="E101" s="21"/>
      <c r="F101" s="21"/>
      <c r="G101" s="21"/>
      <c r="H101" s="21"/>
    </row>
    <row r="102" spans="1:8" ht="15.75" x14ac:dyDescent="0.25">
      <c r="A102" s="116"/>
      <c r="B102" s="21"/>
      <c r="C102" s="134"/>
      <c r="D102" s="21"/>
      <c r="E102" s="21"/>
      <c r="F102" s="21"/>
      <c r="G102" s="21"/>
      <c r="H102" s="21"/>
    </row>
    <row r="103" spans="1:8" ht="15.75" x14ac:dyDescent="0.25">
      <c r="A103" s="116"/>
      <c r="B103" s="21"/>
      <c r="C103" s="134"/>
      <c r="D103" s="21"/>
      <c r="E103" s="21"/>
      <c r="F103" s="21"/>
      <c r="G103" s="21"/>
      <c r="H103" s="21"/>
    </row>
    <row r="104" spans="1:8" ht="15.75" x14ac:dyDescent="0.25">
      <c r="A104" s="116"/>
      <c r="B104" s="21"/>
      <c r="C104" s="134"/>
      <c r="D104" s="21"/>
      <c r="E104" s="21"/>
      <c r="F104" s="21"/>
      <c r="G104" s="21"/>
      <c r="H104" s="21"/>
    </row>
    <row r="105" spans="1:8" ht="15.75" x14ac:dyDescent="0.25">
      <c r="A105" s="116"/>
      <c r="B105" s="21"/>
      <c r="C105" s="134"/>
      <c r="D105" s="21"/>
      <c r="E105" s="21"/>
      <c r="F105" s="21"/>
      <c r="G105" s="21"/>
      <c r="H105" s="21"/>
    </row>
    <row r="106" spans="1:8" ht="15.75" x14ac:dyDescent="0.25">
      <c r="A106" s="116"/>
      <c r="B106" s="21"/>
      <c r="C106" s="134"/>
      <c r="D106" s="21"/>
      <c r="E106" s="21"/>
      <c r="F106" s="21"/>
      <c r="G106" s="21"/>
      <c r="H106" s="21"/>
    </row>
    <row r="107" spans="1:8" ht="15.75" x14ac:dyDescent="0.25">
      <c r="A107" s="116"/>
      <c r="B107" s="21"/>
      <c r="C107" s="134"/>
      <c r="D107" s="21"/>
      <c r="E107" s="21"/>
      <c r="F107" s="21"/>
      <c r="G107" s="21"/>
      <c r="H107" s="21"/>
    </row>
    <row r="108" spans="1:8" ht="15.75" x14ac:dyDescent="0.25">
      <c r="A108" s="116"/>
      <c r="B108" s="21"/>
      <c r="C108" s="134"/>
      <c r="D108" s="21"/>
      <c r="E108" s="29"/>
      <c r="F108" s="21"/>
      <c r="G108" s="21"/>
      <c r="H108" s="21"/>
    </row>
    <row r="109" spans="1:8" ht="15.75" x14ac:dyDescent="0.25">
      <c r="A109" s="116"/>
      <c r="B109" s="21"/>
      <c r="C109" s="134"/>
      <c r="D109" s="21"/>
      <c r="E109" s="29"/>
      <c r="F109" s="21"/>
      <c r="G109" s="21"/>
      <c r="H109" s="21"/>
    </row>
    <row r="110" spans="1:8" ht="15.75" x14ac:dyDescent="0.25">
      <c r="A110" s="116"/>
      <c r="B110" s="21"/>
      <c r="C110" s="134"/>
      <c r="D110" s="21"/>
      <c r="E110" s="29"/>
      <c r="F110" s="21"/>
      <c r="G110" s="21"/>
      <c r="H110" s="21"/>
    </row>
    <row r="111" spans="1:8" ht="15.75" x14ac:dyDescent="0.25">
      <c r="A111" s="116"/>
      <c r="B111" s="21"/>
      <c r="C111" s="134"/>
      <c r="D111" s="21"/>
      <c r="E111" s="29"/>
      <c r="F111" s="21"/>
      <c r="G111" s="21"/>
      <c r="H111" s="21"/>
    </row>
    <row r="112" spans="1:8" ht="15.75" x14ac:dyDescent="0.25">
      <c r="A112" s="116"/>
      <c r="B112" s="21"/>
      <c r="C112" s="134"/>
      <c r="D112" s="21"/>
      <c r="E112" s="29"/>
      <c r="F112" s="21"/>
      <c r="G112" s="21"/>
      <c r="H112" s="21"/>
    </row>
    <row r="113" spans="1:8" ht="15.75" x14ac:dyDescent="0.25">
      <c r="A113" s="116"/>
      <c r="B113" s="21"/>
      <c r="C113" s="134"/>
      <c r="D113" s="21"/>
      <c r="E113" s="29"/>
      <c r="F113" s="21"/>
      <c r="G113" s="21"/>
      <c r="H113" s="21"/>
    </row>
  </sheetData>
  <mergeCells count="11">
    <mergeCell ref="A1:B1"/>
    <mergeCell ref="A2:B5"/>
    <mergeCell ref="A6:A7"/>
    <mergeCell ref="B6:B7"/>
    <mergeCell ref="C6:C7"/>
    <mergeCell ref="A96:B96"/>
    <mergeCell ref="A91:B91"/>
    <mergeCell ref="A92:B92"/>
    <mergeCell ref="A93:B93"/>
    <mergeCell ref="A94:B94"/>
    <mergeCell ref="A95:B95"/>
  </mergeCells>
  <pageMargins left="0.7" right="0.7" top="1.0520833333333333" bottom="0.75" header="0.3" footer="0.3"/>
  <pageSetup scale="70" orientation="portrait" r:id="rId1"/>
  <headerFooter>
    <oddHeader>&amp;L&amp;G&amp;C(ENTER PROJECT NAME)&amp;R&amp;D</oddHeader>
    <oddFooter>&amp;C&amp;P OF &amp;N</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BAA53-4641-4F6E-9489-99F8CE30219F}">
  <dimension ref="A1"/>
  <sheetViews>
    <sheetView view="pageBreakPreview" zoomScale="60" zoomScaleNormal="100" workbookViewId="0">
      <selection activeCell="E69" sqref="E69"/>
    </sheetView>
  </sheetViews>
  <sheetFormatPr defaultRowHeight="15" x14ac:dyDescent="0.25"/>
  <sheetData/>
  <pageMargins left="0.7" right="0.7" top="1.0520833333333333" bottom="0.75" header="0.3" footer="0.3"/>
  <pageSetup orientation="portrait" r:id="rId1"/>
  <headerFooter>
    <oddHeader>&amp;L&amp;G&amp;C(ENTER PROJECT NAME)&amp;R&amp;D</oddHeader>
    <oddFooter>&amp;C&amp;P OF &amp;N</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044EE-B214-4E89-BD25-FDF398C2A15B}">
  <dimension ref="A1:H88"/>
  <sheetViews>
    <sheetView view="pageBreakPreview" topLeftCell="A42" zoomScale="60" zoomScaleNormal="100" workbookViewId="0">
      <selection activeCell="B61" sqref="B61"/>
    </sheetView>
  </sheetViews>
  <sheetFormatPr defaultRowHeight="15" x14ac:dyDescent="0.25"/>
  <cols>
    <col min="1" max="1" width="4" style="17" bestFit="1" customWidth="1"/>
    <col min="2" max="2" width="80.42578125" style="2" customWidth="1"/>
    <col min="3" max="3" width="17.7109375" style="78" customWidth="1"/>
  </cols>
  <sheetData>
    <row r="1" spans="1:8" ht="15.75" x14ac:dyDescent="0.25">
      <c r="A1" s="1056" t="s">
        <v>14</v>
      </c>
      <c r="B1" s="1056"/>
      <c r="C1" s="1056"/>
    </row>
    <row r="2" spans="1:8" ht="15.75" x14ac:dyDescent="0.25">
      <c r="A2" s="1147"/>
      <c r="B2" s="1147"/>
      <c r="C2" s="94" t="s">
        <v>17</v>
      </c>
    </row>
    <row r="3" spans="1:8" ht="15" customHeight="1" x14ac:dyDescent="0.25">
      <c r="A3" s="1148" t="s">
        <v>685</v>
      </c>
      <c r="B3" s="1149"/>
      <c r="C3" s="94" t="s">
        <v>65</v>
      </c>
    </row>
    <row r="4" spans="1:8" ht="15" customHeight="1" x14ac:dyDescent="0.25">
      <c r="A4" s="1150"/>
      <c r="B4" s="1151"/>
      <c r="C4" s="94" t="s">
        <v>18</v>
      </c>
    </row>
    <row r="5" spans="1:8" ht="15" customHeight="1" x14ac:dyDescent="0.25">
      <c r="A5" s="1152"/>
      <c r="B5" s="1153"/>
      <c r="C5" s="94" t="s">
        <v>19</v>
      </c>
    </row>
    <row r="6" spans="1:8" ht="50.25" customHeight="1" x14ac:dyDescent="0.25">
      <c r="A6" s="119" t="s">
        <v>137</v>
      </c>
      <c r="B6" s="81" t="s">
        <v>20</v>
      </c>
      <c r="C6" s="119" t="s">
        <v>67</v>
      </c>
    </row>
    <row r="7" spans="1:8" x14ac:dyDescent="0.25">
      <c r="A7" s="118">
        <v>1</v>
      </c>
      <c r="B7" s="82" t="s">
        <v>21</v>
      </c>
      <c r="C7" s="79"/>
      <c r="H7" s="10"/>
    </row>
    <row r="8" spans="1:8" x14ac:dyDescent="0.25">
      <c r="A8" s="118">
        <v>2</v>
      </c>
      <c r="B8" s="83" t="s">
        <v>22</v>
      </c>
      <c r="C8" s="79"/>
      <c r="F8" s="278"/>
    </row>
    <row r="9" spans="1:8" x14ac:dyDescent="0.25">
      <c r="A9" s="118">
        <v>3</v>
      </c>
      <c r="B9" s="83" t="s">
        <v>23</v>
      </c>
      <c r="C9" s="79"/>
      <c r="F9" s="278"/>
    </row>
    <row r="10" spans="1:8" x14ac:dyDescent="0.25">
      <c r="A10" s="118">
        <v>4</v>
      </c>
      <c r="B10" s="83" t="s">
        <v>24</v>
      </c>
      <c r="C10" s="79"/>
    </row>
    <row r="11" spans="1:8" x14ac:dyDescent="0.25">
      <c r="A11" s="118">
        <v>5</v>
      </c>
      <c r="B11" s="83" t="s">
        <v>25</v>
      </c>
      <c r="C11" s="79"/>
    </row>
    <row r="12" spans="1:8" x14ac:dyDescent="0.25">
      <c r="A12" s="118">
        <v>6</v>
      </c>
      <c r="B12" s="83" t="s">
        <v>26</v>
      </c>
      <c r="C12" s="79"/>
    </row>
    <row r="13" spans="1:8" x14ac:dyDescent="0.25">
      <c r="A13" s="118">
        <v>7</v>
      </c>
      <c r="B13" s="83" t="s">
        <v>27</v>
      </c>
      <c r="C13" s="79"/>
    </row>
    <row r="14" spans="1:8" x14ac:dyDescent="0.25">
      <c r="A14" s="118">
        <v>8</v>
      </c>
      <c r="B14" s="83" t="s">
        <v>28</v>
      </c>
      <c r="C14" s="79"/>
    </row>
    <row r="15" spans="1:8" x14ac:dyDescent="0.25">
      <c r="A15" s="118">
        <v>9</v>
      </c>
      <c r="B15" s="83" t="s">
        <v>29</v>
      </c>
      <c r="C15" s="79"/>
    </row>
    <row r="16" spans="1:8" x14ac:dyDescent="0.25">
      <c r="A16" s="118">
        <v>10</v>
      </c>
      <c r="B16" s="83" t="s">
        <v>69</v>
      </c>
      <c r="C16" s="79"/>
    </row>
    <row r="17" spans="1:3" x14ac:dyDescent="0.25">
      <c r="A17" s="118">
        <v>11</v>
      </c>
      <c r="B17" s="83" t="s">
        <v>686</v>
      </c>
      <c r="C17" s="79"/>
    </row>
    <row r="18" spans="1:3" x14ac:dyDescent="0.25">
      <c r="A18" s="118">
        <v>12</v>
      </c>
      <c r="B18" s="82" t="s">
        <v>687</v>
      </c>
      <c r="C18" s="79"/>
    </row>
    <row r="19" spans="1:3" x14ac:dyDescent="0.25">
      <c r="A19" s="118">
        <v>14</v>
      </c>
      <c r="B19" s="82" t="s">
        <v>688</v>
      </c>
      <c r="C19" s="79"/>
    </row>
    <row r="20" spans="1:3" x14ac:dyDescent="0.25">
      <c r="A20" s="118">
        <v>15</v>
      </c>
      <c r="B20" s="83" t="s">
        <v>137</v>
      </c>
      <c r="C20" s="79"/>
    </row>
    <row r="21" spans="1:3" x14ac:dyDescent="0.25">
      <c r="A21" s="118">
        <v>16</v>
      </c>
      <c r="B21" s="558" t="s">
        <v>689</v>
      </c>
      <c r="C21" s="563"/>
    </row>
    <row r="22" spans="1:3" x14ac:dyDescent="0.25">
      <c r="A22" s="118">
        <v>17</v>
      </c>
      <c r="B22" s="558" t="s">
        <v>690</v>
      </c>
      <c r="C22" s="559"/>
    </row>
    <row r="23" spans="1:3" x14ac:dyDescent="0.25">
      <c r="A23" s="118">
        <v>18</v>
      </c>
      <c r="B23" s="84" t="s">
        <v>691</v>
      </c>
      <c r="C23" s="79"/>
    </row>
    <row r="24" spans="1:3" x14ac:dyDescent="0.25">
      <c r="A24" s="118">
        <v>19</v>
      </c>
      <c r="B24" s="84" t="s">
        <v>692</v>
      </c>
      <c r="C24" s="79"/>
    </row>
    <row r="25" spans="1:3" x14ac:dyDescent="0.25">
      <c r="A25" s="118">
        <v>20</v>
      </c>
      <c r="B25" s="84" t="s">
        <v>693</v>
      </c>
      <c r="C25" s="79"/>
    </row>
    <row r="26" spans="1:3" x14ac:dyDescent="0.25">
      <c r="A26" s="118">
        <v>21</v>
      </c>
      <c r="B26" s="84" t="s">
        <v>694</v>
      </c>
      <c r="C26" s="79"/>
    </row>
    <row r="27" spans="1:3" x14ac:dyDescent="0.25">
      <c r="A27" s="118">
        <v>22</v>
      </c>
      <c r="B27" s="84" t="s">
        <v>695</v>
      </c>
      <c r="C27" s="79"/>
    </row>
    <row r="28" spans="1:3" x14ac:dyDescent="0.25">
      <c r="A28" s="118">
        <v>23</v>
      </c>
      <c r="B28" s="84" t="s">
        <v>696</v>
      </c>
      <c r="C28" s="79"/>
    </row>
    <row r="29" spans="1:3" x14ac:dyDescent="0.25">
      <c r="A29" s="118">
        <v>24</v>
      </c>
      <c r="B29" s="85" t="s">
        <v>697</v>
      </c>
      <c r="C29" s="79"/>
    </row>
    <row r="30" spans="1:3" ht="33" customHeight="1" x14ac:dyDescent="0.25">
      <c r="A30" s="118">
        <v>25</v>
      </c>
      <c r="B30" s="92" t="s">
        <v>698</v>
      </c>
      <c r="C30" s="79"/>
    </row>
    <row r="31" spans="1:3" ht="30.75" customHeight="1" x14ac:dyDescent="0.25">
      <c r="A31" s="118">
        <v>26</v>
      </c>
      <c r="B31" s="86" t="s">
        <v>699</v>
      </c>
      <c r="C31" s="79"/>
    </row>
    <row r="32" spans="1:3" x14ac:dyDescent="0.25">
      <c r="A32" s="118">
        <v>28</v>
      </c>
      <c r="B32" s="84" t="s">
        <v>700</v>
      </c>
      <c r="C32" s="79"/>
    </row>
    <row r="33" spans="1:3" x14ac:dyDescent="0.25">
      <c r="A33" s="118">
        <v>29</v>
      </c>
      <c r="B33" s="84" t="s">
        <v>701</v>
      </c>
      <c r="C33" s="79"/>
    </row>
    <row r="34" spans="1:3" ht="36.75" customHeight="1" x14ac:dyDescent="0.25">
      <c r="A34" s="118">
        <v>30</v>
      </c>
      <c r="B34" s="171" t="s">
        <v>702</v>
      </c>
      <c r="C34" s="79"/>
    </row>
    <row r="35" spans="1:3" x14ac:dyDescent="0.25">
      <c r="A35" s="118">
        <v>31</v>
      </c>
      <c r="B35" s="170" t="s">
        <v>703</v>
      </c>
      <c r="C35" s="79"/>
    </row>
    <row r="36" spans="1:3" x14ac:dyDescent="0.25">
      <c r="A36" s="118">
        <v>32</v>
      </c>
      <c r="B36" s="84" t="s">
        <v>704</v>
      </c>
      <c r="C36" s="79"/>
    </row>
    <row r="37" spans="1:3" x14ac:dyDescent="0.25">
      <c r="A37" s="118">
        <v>33</v>
      </c>
      <c r="B37" s="84" t="s">
        <v>705</v>
      </c>
      <c r="C37" s="79"/>
    </row>
    <row r="38" spans="1:3" x14ac:dyDescent="0.25">
      <c r="A38" s="118">
        <v>34</v>
      </c>
      <c r="B38" s="84" t="s">
        <v>706</v>
      </c>
      <c r="C38" s="79"/>
    </row>
    <row r="39" spans="1:3" x14ac:dyDescent="0.25">
      <c r="A39" s="118">
        <v>35</v>
      </c>
      <c r="B39" s="87" t="s">
        <v>707</v>
      </c>
      <c r="C39" s="89"/>
    </row>
    <row r="40" spans="1:3" x14ac:dyDescent="0.25">
      <c r="A40" s="118">
        <v>36</v>
      </c>
      <c r="B40" s="83" t="s">
        <v>708</v>
      </c>
      <c r="C40" s="89"/>
    </row>
    <row r="41" spans="1:3" x14ac:dyDescent="0.25">
      <c r="A41" s="118">
        <v>37</v>
      </c>
      <c r="B41" s="85" t="s">
        <v>709</v>
      </c>
      <c r="C41" s="89"/>
    </row>
    <row r="42" spans="1:3" x14ac:dyDescent="0.25">
      <c r="A42" s="118">
        <v>38</v>
      </c>
      <c r="B42" s="83" t="s">
        <v>710</v>
      </c>
      <c r="C42" s="79"/>
    </row>
    <row r="43" spans="1:3" x14ac:dyDescent="0.25">
      <c r="A43" s="118">
        <v>39</v>
      </c>
      <c r="B43" s="83"/>
      <c r="C43" s="79"/>
    </row>
    <row r="44" spans="1:3" x14ac:dyDescent="0.25">
      <c r="A44" s="118">
        <v>40</v>
      </c>
      <c r="B44" s="558" t="s">
        <v>711</v>
      </c>
      <c r="C44" s="559"/>
    </row>
    <row r="45" spans="1:3" x14ac:dyDescent="0.25">
      <c r="A45" s="118">
        <v>41</v>
      </c>
      <c r="B45" s="86" t="s">
        <v>712</v>
      </c>
      <c r="C45" s="79"/>
    </row>
    <row r="46" spans="1:3" x14ac:dyDescent="0.25">
      <c r="A46" s="118">
        <v>42</v>
      </c>
      <c r="B46" s="84" t="s">
        <v>713</v>
      </c>
      <c r="C46" s="79"/>
    </row>
    <row r="47" spans="1:3" x14ac:dyDescent="0.25">
      <c r="A47" s="118">
        <v>43</v>
      </c>
      <c r="B47" s="84" t="s">
        <v>714</v>
      </c>
      <c r="C47" s="79"/>
    </row>
    <row r="48" spans="1:3" s="174" customFormat="1" x14ac:dyDescent="0.25">
      <c r="A48" s="118">
        <v>44</v>
      </c>
      <c r="B48" s="172" t="s">
        <v>715</v>
      </c>
      <c r="C48" s="173"/>
    </row>
    <row r="49" spans="1:3" x14ac:dyDescent="0.25">
      <c r="A49" s="118">
        <v>45</v>
      </c>
      <c r="B49" s="86" t="s">
        <v>716</v>
      </c>
      <c r="C49" s="79"/>
    </row>
    <row r="50" spans="1:3" x14ac:dyDescent="0.25">
      <c r="A50" s="118">
        <v>46</v>
      </c>
      <c r="B50" s="84" t="s">
        <v>717</v>
      </c>
      <c r="C50" s="79"/>
    </row>
    <row r="51" spans="1:3" x14ac:dyDescent="0.25">
      <c r="A51" s="118">
        <v>47</v>
      </c>
      <c r="B51" s="171" t="s">
        <v>718</v>
      </c>
      <c r="C51" s="90"/>
    </row>
    <row r="52" spans="1:3" x14ac:dyDescent="0.25">
      <c r="A52" s="118">
        <v>48</v>
      </c>
      <c r="B52" s="87" t="s">
        <v>719</v>
      </c>
      <c r="C52" s="90"/>
    </row>
    <row r="53" spans="1:3" x14ac:dyDescent="0.25">
      <c r="A53" s="118">
        <v>49</v>
      </c>
      <c r="B53" s="87" t="s">
        <v>720</v>
      </c>
      <c r="C53" s="90"/>
    </row>
    <row r="54" spans="1:3" x14ac:dyDescent="0.25">
      <c r="A54" s="118">
        <v>50</v>
      </c>
      <c r="B54" s="84" t="s">
        <v>721</v>
      </c>
      <c r="C54" s="79"/>
    </row>
    <row r="55" spans="1:3" x14ac:dyDescent="0.25">
      <c r="A55" s="118">
        <v>51</v>
      </c>
      <c r="B55" s="86" t="s">
        <v>722</v>
      </c>
      <c r="C55" s="79"/>
    </row>
    <row r="56" spans="1:3" x14ac:dyDescent="0.25">
      <c r="A56" s="118">
        <v>52</v>
      </c>
      <c r="B56" s="175" t="s">
        <v>723</v>
      </c>
      <c r="C56" s="90"/>
    </row>
    <row r="57" spans="1:3" x14ac:dyDescent="0.25">
      <c r="A57" s="118">
        <v>53</v>
      </c>
      <c r="B57" s="84" t="s">
        <v>724</v>
      </c>
      <c r="C57" s="79"/>
    </row>
    <row r="58" spans="1:3" x14ac:dyDescent="0.25">
      <c r="A58" s="118">
        <v>54</v>
      </c>
      <c r="B58" s="85" t="s">
        <v>725</v>
      </c>
      <c r="C58" s="79"/>
    </row>
    <row r="59" spans="1:3" x14ac:dyDescent="0.25">
      <c r="A59" s="118">
        <v>55</v>
      </c>
      <c r="B59" s="175" t="s">
        <v>726</v>
      </c>
      <c r="C59" s="79"/>
    </row>
    <row r="60" spans="1:3" x14ac:dyDescent="0.25">
      <c r="A60" s="118">
        <v>56</v>
      </c>
      <c r="B60" s="172" t="s">
        <v>727</v>
      </c>
      <c r="C60" s="79"/>
    </row>
    <row r="61" spans="1:3" x14ac:dyDescent="0.25">
      <c r="A61" s="118">
        <v>57</v>
      </c>
      <c r="B61" s="83" t="s">
        <v>728</v>
      </c>
      <c r="C61" s="89"/>
    </row>
    <row r="62" spans="1:3" x14ac:dyDescent="0.25">
      <c r="A62" s="118">
        <v>58</v>
      </c>
      <c r="B62" s="83" t="s">
        <v>137</v>
      </c>
      <c r="C62" s="79"/>
    </row>
    <row r="63" spans="1:3" x14ac:dyDescent="0.25">
      <c r="A63" s="118">
        <v>59</v>
      </c>
      <c r="B63" s="558" t="s">
        <v>729</v>
      </c>
      <c r="C63" s="559"/>
    </row>
    <row r="64" spans="1:3" x14ac:dyDescent="0.25">
      <c r="A64" s="118">
        <v>60</v>
      </c>
      <c r="B64" s="171" t="s">
        <v>730</v>
      </c>
      <c r="C64" s="79"/>
    </row>
    <row r="65" spans="1:3" x14ac:dyDescent="0.25">
      <c r="A65" s="118">
        <v>61</v>
      </c>
      <c r="B65" s="84" t="s">
        <v>731</v>
      </c>
      <c r="C65" s="79"/>
    </row>
    <row r="66" spans="1:3" x14ac:dyDescent="0.25">
      <c r="A66" s="118">
        <v>62</v>
      </c>
      <c r="B66" s="172" t="s">
        <v>732</v>
      </c>
      <c r="C66" s="89"/>
    </row>
    <row r="67" spans="1:3" x14ac:dyDescent="0.25">
      <c r="A67" s="118">
        <v>63</v>
      </c>
      <c r="B67" s="83" t="s">
        <v>137</v>
      </c>
      <c r="C67" s="79"/>
    </row>
    <row r="68" spans="1:3" x14ac:dyDescent="0.25">
      <c r="A68" s="118">
        <v>64</v>
      </c>
      <c r="B68" s="558" t="s">
        <v>60</v>
      </c>
      <c r="C68" s="559"/>
    </row>
    <row r="69" spans="1:3" x14ac:dyDescent="0.25">
      <c r="A69" s="118">
        <v>65</v>
      </c>
      <c r="B69" s="84" t="s">
        <v>733</v>
      </c>
      <c r="C69" s="89"/>
    </row>
    <row r="70" spans="1:3" x14ac:dyDescent="0.25">
      <c r="A70" s="118">
        <v>66</v>
      </c>
      <c r="B70" s="84" t="s">
        <v>734</v>
      </c>
      <c r="C70" s="79"/>
    </row>
    <row r="71" spans="1:3" x14ac:dyDescent="0.25">
      <c r="A71" s="118">
        <v>67</v>
      </c>
      <c r="B71" s="84" t="s">
        <v>735</v>
      </c>
      <c r="C71" s="562"/>
    </row>
    <row r="72" spans="1:3" x14ac:dyDescent="0.25">
      <c r="A72" s="118">
        <v>68</v>
      </c>
      <c r="B72" s="561" t="s">
        <v>736</v>
      </c>
      <c r="C72" s="159"/>
    </row>
    <row r="73" spans="1:3" x14ac:dyDescent="0.25">
      <c r="A73" s="118">
        <v>69</v>
      </c>
      <c r="B73" s="561" t="s">
        <v>737</v>
      </c>
      <c r="C73" s="159"/>
    </row>
    <row r="74" spans="1:3" x14ac:dyDescent="0.25">
      <c r="A74" s="118">
        <v>70</v>
      </c>
      <c r="B74" s="285" t="s">
        <v>137</v>
      </c>
      <c r="C74" s="560"/>
    </row>
    <row r="75" spans="1:3" x14ac:dyDescent="0.25">
      <c r="A75" s="118">
        <v>71</v>
      </c>
      <c r="B75" s="558" t="s">
        <v>738</v>
      </c>
      <c r="C75" s="559"/>
    </row>
    <row r="76" spans="1:3" x14ac:dyDescent="0.25">
      <c r="A76" s="118">
        <v>72</v>
      </c>
      <c r="B76" s="176" t="s">
        <v>739</v>
      </c>
      <c r="C76" s="90"/>
    </row>
    <row r="77" spans="1:3" x14ac:dyDescent="0.25">
      <c r="A77" s="118">
        <v>73</v>
      </c>
      <c r="B77" s="176" t="s">
        <v>740</v>
      </c>
      <c r="C77" s="90"/>
    </row>
    <row r="78" spans="1:3" x14ac:dyDescent="0.25">
      <c r="A78" s="118">
        <v>74</v>
      </c>
      <c r="B78" s="175" t="s">
        <v>741</v>
      </c>
      <c r="C78" s="79"/>
    </row>
    <row r="79" spans="1:3" x14ac:dyDescent="0.25">
      <c r="A79" s="118">
        <v>75</v>
      </c>
      <c r="B79" s="172" t="s">
        <v>742</v>
      </c>
      <c r="C79" s="79"/>
    </row>
    <row r="80" spans="1:3" x14ac:dyDescent="0.25">
      <c r="A80" s="118">
        <v>76</v>
      </c>
      <c r="B80" s="172" t="s">
        <v>709</v>
      </c>
      <c r="C80" s="79" t="s">
        <v>137</v>
      </c>
    </row>
    <row r="81" spans="1:3" x14ac:dyDescent="0.25">
      <c r="A81" s="118">
        <v>77</v>
      </c>
      <c r="B81" s="172" t="s">
        <v>743</v>
      </c>
      <c r="C81" s="79"/>
    </row>
    <row r="82" spans="1:3" x14ac:dyDescent="0.25">
      <c r="A82" s="118">
        <v>78</v>
      </c>
      <c r="B82" s="172" t="s">
        <v>744</v>
      </c>
      <c r="C82" s="79"/>
    </row>
    <row r="83" spans="1:3" x14ac:dyDescent="0.25">
      <c r="A83" s="118">
        <v>79</v>
      </c>
      <c r="B83" s="172" t="s">
        <v>745</v>
      </c>
      <c r="C83" s="79"/>
    </row>
    <row r="84" spans="1:3" x14ac:dyDescent="0.25">
      <c r="A84" s="118">
        <v>80</v>
      </c>
      <c r="B84" s="172" t="s">
        <v>746</v>
      </c>
      <c r="C84" s="79"/>
    </row>
    <row r="85" spans="1:3" x14ac:dyDescent="0.25">
      <c r="A85" s="118">
        <v>81</v>
      </c>
      <c r="B85" s="710" t="s">
        <v>394</v>
      </c>
      <c r="C85" s="564">
        <f>SUM(C7:C80)</f>
        <v>0</v>
      </c>
    </row>
    <row r="86" spans="1:3" x14ac:dyDescent="0.25">
      <c r="A86" s="118">
        <v>82</v>
      </c>
      <c r="B86" s="88" t="s">
        <v>137</v>
      </c>
      <c r="C86" s="80" t="s">
        <v>137</v>
      </c>
    </row>
    <row r="87" spans="1:3" x14ac:dyDescent="0.25">
      <c r="A87" s="118">
        <v>83</v>
      </c>
      <c r="B87" s="83" t="s">
        <v>137</v>
      </c>
      <c r="C87" s="91" t="s">
        <v>137</v>
      </c>
    </row>
    <row r="88" spans="1:3" x14ac:dyDescent="0.25">
      <c r="A88" s="118">
        <v>84</v>
      </c>
      <c r="B88" s="558" t="s">
        <v>747</v>
      </c>
      <c r="C88" s="557" t="s">
        <v>137</v>
      </c>
    </row>
  </sheetData>
  <mergeCells count="3">
    <mergeCell ref="A2:B2"/>
    <mergeCell ref="A3:B5"/>
    <mergeCell ref="A1:C1"/>
  </mergeCells>
  <pageMargins left="0.7" right="0.7" top="1.0520833333333333" bottom="0.75" header="0.3" footer="0.3"/>
  <pageSetup scale="81" orientation="portrait" r:id="rId1"/>
  <headerFooter>
    <oddHeader>&amp;L&amp;G&amp;C(ENTER PROJECT NAME)&amp;R&amp;D</oddHeader>
    <oddFooter>&amp;C&amp;P OF &amp;N</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DCDB3-A552-48CF-8E17-E6857B61E28A}">
  <dimension ref="A1:G101"/>
  <sheetViews>
    <sheetView view="pageBreakPreview" topLeftCell="A63" zoomScaleNormal="70" zoomScaleSheetLayoutView="100" zoomScalePageLayoutView="80" workbookViewId="0">
      <selection activeCell="E69" sqref="E69"/>
    </sheetView>
  </sheetViews>
  <sheetFormatPr defaultColWidth="9.140625" defaultRowHeight="15.75" x14ac:dyDescent="0.25"/>
  <cols>
    <col min="1" max="1" width="3" style="102" bestFit="1" customWidth="1"/>
    <col min="2" max="2" width="87.7109375" style="113" customWidth="1"/>
    <col min="3" max="3" width="18" style="99" customWidth="1"/>
    <col min="4" max="16384" width="9.140625" style="21"/>
  </cols>
  <sheetData>
    <row r="1" spans="1:7" ht="16.5" customHeight="1" x14ac:dyDescent="0.25">
      <c r="A1" s="1056" t="s">
        <v>14</v>
      </c>
      <c r="B1" s="1056"/>
      <c r="C1" s="1056"/>
    </row>
    <row r="2" spans="1:7" ht="16.5" customHeight="1" x14ac:dyDescent="0.25">
      <c r="A2" s="1154" t="s">
        <v>748</v>
      </c>
      <c r="B2" s="1154"/>
      <c r="C2" s="95" t="s">
        <v>17</v>
      </c>
    </row>
    <row r="3" spans="1:7" ht="16.5" customHeight="1" x14ac:dyDescent="0.25">
      <c r="A3" s="1155"/>
      <c r="B3" s="1155"/>
      <c r="C3" s="95" t="s">
        <v>65</v>
      </c>
    </row>
    <row r="4" spans="1:7" ht="16.5" customHeight="1" x14ac:dyDescent="0.25">
      <c r="A4" s="1155"/>
      <c r="B4" s="1155"/>
      <c r="C4" s="95" t="s">
        <v>18</v>
      </c>
    </row>
    <row r="5" spans="1:7" ht="16.5" customHeight="1" x14ac:dyDescent="0.25">
      <c r="A5" s="446"/>
      <c r="B5" s="446"/>
      <c r="C5" s="117" t="s">
        <v>19</v>
      </c>
    </row>
    <row r="6" spans="1:7" ht="45.75" customHeight="1" x14ac:dyDescent="0.25">
      <c r="A6" s="100" t="s">
        <v>137</v>
      </c>
      <c r="B6" s="574" t="s">
        <v>20</v>
      </c>
      <c r="C6" s="565" t="s">
        <v>67</v>
      </c>
    </row>
    <row r="7" spans="1:7" ht="15" customHeight="1" x14ac:dyDescent="0.25">
      <c r="A7" s="100" t="s">
        <v>137</v>
      </c>
      <c r="B7" s="104" t="s">
        <v>137</v>
      </c>
      <c r="C7" s="96" t="s">
        <v>137</v>
      </c>
    </row>
    <row r="8" spans="1:7" ht="15" customHeight="1" x14ac:dyDescent="0.25">
      <c r="A8" s="101">
        <v>1</v>
      </c>
      <c r="B8" s="105" t="s">
        <v>21</v>
      </c>
      <c r="C8" s="97" t="s">
        <v>137</v>
      </c>
    </row>
    <row r="9" spans="1:7" ht="15" customHeight="1" x14ac:dyDescent="0.25">
      <c r="A9" s="101">
        <v>2</v>
      </c>
      <c r="B9" s="106" t="s">
        <v>22</v>
      </c>
      <c r="C9" s="97" t="s">
        <v>137</v>
      </c>
    </row>
    <row r="10" spans="1:7" ht="15" customHeight="1" x14ac:dyDescent="0.25">
      <c r="A10" s="101">
        <v>3</v>
      </c>
      <c r="B10" s="106" t="s">
        <v>23</v>
      </c>
      <c r="C10" s="97" t="s">
        <v>137</v>
      </c>
    </row>
    <row r="11" spans="1:7" ht="15" customHeight="1" x14ac:dyDescent="0.25">
      <c r="A11" s="101">
        <v>4</v>
      </c>
      <c r="B11" s="106" t="s">
        <v>24</v>
      </c>
      <c r="C11" s="97" t="s">
        <v>137</v>
      </c>
    </row>
    <row r="12" spans="1:7" ht="15" customHeight="1" x14ac:dyDescent="0.25">
      <c r="A12" s="101">
        <v>5</v>
      </c>
      <c r="B12" s="106" t="s">
        <v>25</v>
      </c>
      <c r="C12" s="97" t="s">
        <v>137</v>
      </c>
    </row>
    <row r="13" spans="1:7" ht="15" customHeight="1" x14ac:dyDescent="0.25">
      <c r="A13" s="101">
        <v>6</v>
      </c>
      <c r="B13" s="106" t="s">
        <v>26</v>
      </c>
      <c r="C13" s="97" t="s">
        <v>137</v>
      </c>
      <c r="G13" s="116"/>
    </row>
    <row r="14" spans="1:7" ht="15" customHeight="1" x14ac:dyDescent="0.25">
      <c r="A14" s="101">
        <v>7</v>
      </c>
      <c r="B14" s="106" t="s">
        <v>27</v>
      </c>
      <c r="C14" s="97" t="s">
        <v>137</v>
      </c>
    </row>
    <row r="15" spans="1:7" ht="15" customHeight="1" x14ac:dyDescent="0.25">
      <c r="A15" s="101">
        <v>8</v>
      </c>
      <c r="B15" s="106" t="s">
        <v>749</v>
      </c>
      <c r="C15" s="97"/>
    </row>
    <row r="16" spans="1:7" ht="15" customHeight="1" x14ac:dyDescent="0.25">
      <c r="A16" s="101">
        <v>9</v>
      </c>
      <c r="B16" s="106" t="s">
        <v>28</v>
      </c>
      <c r="C16" s="97" t="s">
        <v>137</v>
      </c>
    </row>
    <row r="17" spans="1:3" ht="15" customHeight="1" x14ac:dyDescent="0.25">
      <c r="A17" s="101">
        <v>10</v>
      </c>
      <c r="B17" s="106" t="s">
        <v>29</v>
      </c>
      <c r="C17" s="97" t="s">
        <v>137</v>
      </c>
    </row>
    <row r="18" spans="1:3" x14ac:dyDescent="0.25">
      <c r="A18" s="101">
        <v>11</v>
      </c>
      <c r="B18" s="106" t="s">
        <v>69</v>
      </c>
      <c r="C18" s="97" t="s">
        <v>137</v>
      </c>
    </row>
    <row r="19" spans="1:3" ht="30" customHeight="1" x14ac:dyDescent="0.25">
      <c r="A19" s="101">
        <v>12</v>
      </c>
      <c r="B19" s="103" t="s">
        <v>434</v>
      </c>
      <c r="C19" s="97" t="s">
        <v>137</v>
      </c>
    </row>
    <row r="20" spans="1:3" ht="15" customHeight="1" x14ac:dyDescent="0.25">
      <c r="A20" s="101">
        <v>13</v>
      </c>
      <c r="B20" s="103" t="s">
        <v>435</v>
      </c>
      <c r="C20" s="97" t="s">
        <v>137</v>
      </c>
    </row>
    <row r="21" spans="1:3" ht="15" customHeight="1" x14ac:dyDescent="0.25">
      <c r="A21" s="101">
        <v>14</v>
      </c>
      <c r="B21" s="408" t="s">
        <v>436</v>
      </c>
      <c r="C21" s="97" t="s">
        <v>137</v>
      </c>
    </row>
    <row r="22" spans="1:3" ht="15" customHeight="1" x14ac:dyDescent="0.25">
      <c r="A22" s="101">
        <v>15</v>
      </c>
      <c r="B22" s="107" t="s">
        <v>437</v>
      </c>
      <c r="C22" s="97" t="s">
        <v>137</v>
      </c>
    </row>
    <row r="23" spans="1:3" ht="30.75" customHeight="1" x14ac:dyDescent="0.25">
      <c r="A23" s="101">
        <v>16</v>
      </c>
      <c r="B23" s="103" t="s">
        <v>750</v>
      </c>
      <c r="C23" s="97" t="s">
        <v>137</v>
      </c>
    </row>
    <row r="24" spans="1:3" ht="15" customHeight="1" x14ac:dyDescent="0.25">
      <c r="A24" s="101">
        <v>17</v>
      </c>
      <c r="B24" s="107" t="s">
        <v>751</v>
      </c>
      <c r="C24" s="97" t="s">
        <v>137</v>
      </c>
    </row>
    <row r="25" spans="1:3" ht="15" customHeight="1" x14ac:dyDescent="0.25">
      <c r="A25" s="101">
        <v>18</v>
      </c>
      <c r="B25" s="107" t="s">
        <v>752</v>
      </c>
      <c r="C25" s="97" t="s">
        <v>137</v>
      </c>
    </row>
    <row r="26" spans="1:3" ht="15" customHeight="1" x14ac:dyDescent="0.25">
      <c r="A26" s="101">
        <v>19</v>
      </c>
      <c r="B26" s="107" t="s">
        <v>753</v>
      </c>
      <c r="C26" s="97" t="s">
        <v>137</v>
      </c>
    </row>
    <row r="27" spans="1:3" ht="15" customHeight="1" x14ac:dyDescent="0.25">
      <c r="A27" s="101">
        <v>20</v>
      </c>
      <c r="B27" s="107" t="s">
        <v>754</v>
      </c>
      <c r="C27" s="97" t="s">
        <v>137</v>
      </c>
    </row>
    <row r="28" spans="1:3" ht="15" customHeight="1" x14ac:dyDescent="0.25">
      <c r="A28" s="101">
        <v>21</v>
      </c>
      <c r="B28" s="107" t="s">
        <v>755</v>
      </c>
      <c r="C28" s="97" t="s">
        <v>137</v>
      </c>
    </row>
    <row r="29" spans="1:3" ht="15" customHeight="1" x14ac:dyDescent="0.25">
      <c r="A29" s="101">
        <v>22</v>
      </c>
      <c r="B29" s="107" t="s">
        <v>756</v>
      </c>
      <c r="C29" s="97" t="s">
        <v>137</v>
      </c>
    </row>
    <row r="30" spans="1:3" ht="15" customHeight="1" x14ac:dyDescent="0.25">
      <c r="A30" s="101">
        <v>23</v>
      </c>
      <c r="B30" s="107" t="s">
        <v>757</v>
      </c>
      <c r="C30" s="97" t="s">
        <v>137</v>
      </c>
    </row>
    <row r="31" spans="1:3" ht="15" customHeight="1" x14ac:dyDescent="0.25">
      <c r="A31" s="101">
        <v>24</v>
      </c>
      <c r="B31" s="107" t="s">
        <v>438</v>
      </c>
      <c r="C31" s="97" t="s">
        <v>137</v>
      </c>
    </row>
    <row r="32" spans="1:3" ht="15" customHeight="1" x14ac:dyDescent="0.25">
      <c r="A32" s="101">
        <v>25</v>
      </c>
      <c r="B32" s="108"/>
      <c r="C32" s="244" t="s">
        <v>137</v>
      </c>
    </row>
    <row r="33" spans="1:3" ht="15" customHeight="1" x14ac:dyDescent="0.25">
      <c r="A33" s="114">
        <v>26</v>
      </c>
      <c r="B33" s="567" t="s">
        <v>758</v>
      </c>
      <c r="C33" s="566" t="s">
        <v>137</v>
      </c>
    </row>
    <row r="34" spans="1:3" ht="15" customHeight="1" x14ac:dyDescent="0.25">
      <c r="A34" s="101">
        <v>27</v>
      </c>
      <c r="B34" s="106" t="s">
        <v>759</v>
      </c>
      <c r="C34" s="97" t="s">
        <v>137</v>
      </c>
    </row>
    <row r="35" spans="1:3" ht="15" customHeight="1" x14ac:dyDescent="0.25">
      <c r="A35" s="101">
        <v>28</v>
      </c>
      <c r="B35" s="106" t="s">
        <v>760</v>
      </c>
      <c r="C35" s="98" t="s">
        <v>137</v>
      </c>
    </row>
    <row r="36" spans="1:3" ht="15" customHeight="1" x14ac:dyDescent="0.25">
      <c r="A36" s="101">
        <v>29</v>
      </c>
      <c r="B36" s="106" t="s">
        <v>761</v>
      </c>
      <c r="C36" s="97" t="s">
        <v>137</v>
      </c>
    </row>
    <row r="37" spans="1:3" ht="15" customHeight="1" x14ac:dyDescent="0.25">
      <c r="A37" s="101">
        <v>30</v>
      </c>
      <c r="B37" s="177" t="s">
        <v>762</v>
      </c>
      <c r="C37" s="97"/>
    </row>
    <row r="38" spans="1:3" ht="15" customHeight="1" x14ac:dyDescent="0.25">
      <c r="A38" s="101">
        <v>31</v>
      </c>
      <c r="B38" s="106" t="s">
        <v>137</v>
      </c>
      <c r="C38" s="97" t="s">
        <v>137</v>
      </c>
    </row>
    <row r="39" spans="1:3" ht="15" customHeight="1" x14ac:dyDescent="0.25">
      <c r="A39" s="101">
        <v>32</v>
      </c>
      <c r="B39" s="191" t="s">
        <v>763</v>
      </c>
      <c r="C39" s="492" t="s">
        <v>137</v>
      </c>
    </row>
    <row r="40" spans="1:3" ht="15" customHeight="1" x14ac:dyDescent="0.25">
      <c r="A40" s="101">
        <v>33</v>
      </c>
      <c r="B40" s="106" t="s">
        <v>764</v>
      </c>
      <c r="C40" s="97" t="s">
        <v>137</v>
      </c>
    </row>
    <row r="41" spans="1:3" ht="15" customHeight="1" x14ac:dyDescent="0.25">
      <c r="A41" s="101">
        <v>34</v>
      </c>
      <c r="B41" s="177" t="s">
        <v>765</v>
      </c>
      <c r="C41" s="97" t="s">
        <v>137</v>
      </c>
    </row>
    <row r="42" spans="1:3" ht="15" customHeight="1" x14ac:dyDescent="0.25">
      <c r="A42" s="101">
        <v>35</v>
      </c>
      <c r="B42" s="106" t="s">
        <v>766</v>
      </c>
      <c r="C42" s="97" t="s">
        <v>137</v>
      </c>
    </row>
    <row r="43" spans="1:3" ht="15" customHeight="1" x14ac:dyDescent="0.25">
      <c r="A43" s="101">
        <v>36</v>
      </c>
      <c r="B43" s="106" t="s">
        <v>137</v>
      </c>
      <c r="C43" s="97" t="s">
        <v>137</v>
      </c>
    </row>
    <row r="44" spans="1:3" ht="15" customHeight="1" x14ac:dyDescent="0.25">
      <c r="A44" s="101">
        <v>37</v>
      </c>
      <c r="B44" s="191" t="s">
        <v>767</v>
      </c>
      <c r="C44" s="571" t="s">
        <v>137</v>
      </c>
    </row>
    <row r="45" spans="1:3" ht="15" customHeight="1" x14ac:dyDescent="0.25">
      <c r="A45" s="101">
        <v>38</v>
      </c>
      <c r="B45" s="109" t="s">
        <v>768</v>
      </c>
      <c r="C45" s="97" t="s">
        <v>137</v>
      </c>
    </row>
    <row r="46" spans="1:3" ht="15" customHeight="1" x14ac:dyDescent="0.25">
      <c r="A46" s="101">
        <v>39</v>
      </c>
      <c r="B46" s="109" t="s">
        <v>769</v>
      </c>
      <c r="C46" s="97" t="s">
        <v>137</v>
      </c>
    </row>
    <row r="47" spans="1:3" ht="15" customHeight="1" x14ac:dyDescent="0.25">
      <c r="A47" s="101">
        <v>40</v>
      </c>
      <c r="B47" s="178" t="s">
        <v>765</v>
      </c>
      <c r="C47" s="97" t="s">
        <v>137</v>
      </c>
    </row>
    <row r="48" spans="1:3" ht="15" customHeight="1" x14ac:dyDescent="0.25">
      <c r="A48" s="101">
        <v>41</v>
      </c>
      <c r="B48" s="110" t="s">
        <v>766</v>
      </c>
      <c r="C48" s="97" t="s">
        <v>137</v>
      </c>
    </row>
    <row r="49" spans="1:3" s="29" customFormat="1" ht="15" customHeight="1" x14ac:dyDescent="0.2">
      <c r="A49" s="101">
        <v>42</v>
      </c>
      <c r="B49" s="110" t="s">
        <v>137</v>
      </c>
      <c r="C49" s="97" t="s">
        <v>137</v>
      </c>
    </row>
    <row r="50" spans="1:3" s="29" customFormat="1" ht="15" customHeight="1" x14ac:dyDescent="0.2">
      <c r="A50" s="101">
        <v>43</v>
      </c>
      <c r="B50" s="191" t="s">
        <v>770</v>
      </c>
      <c r="C50" s="571" t="s">
        <v>137</v>
      </c>
    </row>
    <row r="51" spans="1:3" s="29" customFormat="1" ht="15" customHeight="1" x14ac:dyDescent="0.2">
      <c r="A51" s="101">
        <v>44</v>
      </c>
      <c r="B51" s="109" t="s">
        <v>768</v>
      </c>
      <c r="C51" s="97" t="s">
        <v>137</v>
      </c>
    </row>
    <row r="52" spans="1:3" s="29" customFormat="1" ht="15" customHeight="1" x14ac:dyDescent="0.2">
      <c r="A52" s="101">
        <v>45</v>
      </c>
      <c r="B52" s="178" t="s">
        <v>765</v>
      </c>
      <c r="C52" s="97" t="s">
        <v>137</v>
      </c>
    </row>
    <row r="53" spans="1:3" s="29" customFormat="1" ht="15" customHeight="1" x14ac:dyDescent="0.2">
      <c r="A53" s="101">
        <v>46</v>
      </c>
      <c r="B53" s="110" t="s">
        <v>766</v>
      </c>
      <c r="C53" s="97" t="s">
        <v>137</v>
      </c>
    </row>
    <row r="54" spans="1:3" s="29" customFormat="1" ht="15" customHeight="1" x14ac:dyDescent="0.2">
      <c r="A54" s="101">
        <v>47</v>
      </c>
      <c r="B54" s="110" t="s">
        <v>137</v>
      </c>
      <c r="C54" s="97" t="s">
        <v>137</v>
      </c>
    </row>
    <row r="55" spans="1:3" s="29" customFormat="1" ht="15" customHeight="1" x14ac:dyDescent="0.2">
      <c r="A55" s="101">
        <v>48</v>
      </c>
      <c r="B55" s="191" t="s">
        <v>771</v>
      </c>
      <c r="C55" s="571" t="s">
        <v>137</v>
      </c>
    </row>
    <row r="56" spans="1:3" x14ac:dyDescent="0.25">
      <c r="A56" s="101">
        <v>49</v>
      </c>
      <c r="B56" s="109" t="s">
        <v>768</v>
      </c>
      <c r="C56" s="97" t="s">
        <v>137</v>
      </c>
    </row>
    <row r="57" spans="1:3" s="29" customFormat="1" ht="13.5" customHeight="1" x14ac:dyDescent="0.2">
      <c r="A57" s="101">
        <v>50</v>
      </c>
      <c r="B57" s="178" t="s">
        <v>765</v>
      </c>
      <c r="C57" s="97" t="s">
        <v>137</v>
      </c>
    </row>
    <row r="58" spans="1:3" x14ac:dyDescent="0.25">
      <c r="A58" s="101">
        <v>51</v>
      </c>
      <c r="B58" s="110" t="s">
        <v>766</v>
      </c>
      <c r="C58" s="97" t="s">
        <v>137</v>
      </c>
    </row>
    <row r="59" spans="1:3" s="29" customFormat="1" ht="12.75" x14ac:dyDescent="0.2">
      <c r="A59" s="101">
        <v>52</v>
      </c>
      <c r="B59" s="109" t="s">
        <v>772</v>
      </c>
      <c r="C59" s="97" t="s">
        <v>137</v>
      </c>
    </row>
    <row r="60" spans="1:3" s="29" customFormat="1" ht="12.75" x14ac:dyDescent="0.2">
      <c r="A60" s="101">
        <v>53</v>
      </c>
      <c r="B60" s="178" t="s">
        <v>765</v>
      </c>
      <c r="C60" s="97" t="s">
        <v>137</v>
      </c>
    </row>
    <row r="61" spans="1:3" s="29" customFormat="1" ht="12.75" x14ac:dyDescent="0.2">
      <c r="A61" s="101">
        <v>54</v>
      </c>
      <c r="B61" s="110" t="s">
        <v>766</v>
      </c>
      <c r="C61" s="97" t="s">
        <v>137</v>
      </c>
    </row>
    <row r="62" spans="1:3" s="29" customFormat="1" ht="12.75" x14ac:dyDescent="0.2">
      <c r="A62" s="101">
        <v>55</v>
      </c>
      <c r="B62" s="109" t="s">
        <v>773</v>
      </c>
      <c r="C62" s="97" t="s">
        <v>137</v>
      </c>
    </row>
    <row r="63" spans="1:3" x14ac:dyDescent="0.25">
      <c r="A63" s="101">
        <v>56</v>
      </c>
      <c r="B63" s="178" t="s">
        <v>765</v>
      </c>
      <c r="C63" s="97" t="s">
        <v>137</v>
      </c>
    </row>
    <row r="64" spans="1:3" x14ac:dyDescent="0.25">
      <c r="A64" s="101">
        <v>57</v>
      </c>
      <c r="B64" s="110" t="s">
        <v>766</v>
      </c>
      <c r="C64" s="97" t="s">
        <v>137</v>
      </c>
    </row>
    <row r="65" spans="1:3" x14ac:dyDescent="0.25">
      <c r="A65" s="101">
        <v>58</v>
      </c>
      <c r="B65" s="110" t="s">
        <v>137</v>
      </c>
      <c r="C65" s="97" t="s">
        <v>137</v>
      </c>
    </row>
    <row r="66" spans="1:3" x14ac:dyDescent="0.25">
      <c r="A66" s="101">
        <v>59</v>
      </c>
      <c r="B66" s="191" t="s">
        <v>774</v>
      </c>
      <c r="C66" s="571" t="s">
        <v>137</v>
      </c>
    </row>
    <row r="67" spans="1:3" x14ac:dyDescent="0.25">
      <c r="A67" s="101">
        <v>60</v>
      </c>
      <c r="B67" s="111" t="s">
        <v>775</v>
      </c>
      <c r="C67" s="97" t="s">
        <v>137</v>
      </c>
    </row>
    <row r="68" spans="1:3" x14ac:dyDescent="0.25">
      <c r="A68" s="101">
        <v>61</v>
      </c>
      <c r="B68" s="109" t="s">
        <v>776</v>
      </c>
      <c r="C68" s="97" t="s">
        <v>137</v>
      </c>
    </row>
    <row r="69" spans="1:3" x14ac:dyDescent="0.25">
      <c r="A69" s="101">
        <v>62</v>
      </c>
      <c r="B69" s="178" t="s">
        <v>765</v>
      </c>
      <c r="C69" s="97" t="s">
        <v>137</v>
      </c>
    </row>
    <row r="70" spans="1:3" x14ac:dyDescent="0.25">
      <c r="A70" s="101">
        <v>63</v>
      </c>
      <c r="B70" s="110" t="s">
        <v>766</v>
      </c>
      <c r="C70" s="97" t="s">
        <v>137</v>
      </c>
    </row>
    <row r="71" spans="1:3" x14ac:dyDescent="0.25">
      <c r="A71" s="101">
        <v>64</v>
      </c>
      <c r="B71" s="573" t="s">
        <v>777</v>
      </c>
      <c r="C71" s="571" t="s">
        <v>137</v>
      </c>
    </row>
    <row r="72" spans="1:3" x14ac:dyDescent="0.25">
      <c r="A72" s="101">
        <v>65</v>
      </c>
      <c r="B72" s="178" t="s">
        <v>765</v>
      </c>
      <c r="C72" s="97" t="s">
        <v>137</v>
      </c>
    </row>
    <row r="73" spans="1:3" x14ac:dyDescent="0.25">
      <c r="A73" s="101">
        <v>66</v>
      </c>
      <c r="B73" s="110" t="s">
        <v>766</v>
      </c>
      <c r="C73" s="97" t="s">
        <v>137</v>
      </c>
    </row>
    <row r="74" spans="1:3" x14ac:dyDescent="0.25">
      <c r="A74" s="101">
        <v>67</v>
      </c>
      <c r="B74" s="573" t="s">
        <v>778</v>
      </c>
      <c r="C74" s="571" t="s">
        <v>137</v>
      </c>
    </row>
    <row r="75" spans="1:3" x14ac:dyDescent="0.25">
      <c r="A75" s="101">
        <v>68</v>
      </c>
      <c r="B75" s="178" t="s">
        <v>765</v>
      </c>
      <c r="C75" s="97" t="s">
        <v>137</v>
      </c>
    </row>
    <row r="76" spans="1:3" x14ac:dyDescent="0.25">
      <c r="A76" s="101">
        <v>69</v>
      </c>
      <c r="B76" s="110" t="s">
        <v>766</v>
      </c>
      <c r="C76" s="97" t="s">
        <v>137</v>
      </c>
    </row>
    <row r="77" spans="1:3" x14ac:dyDescent="0.25">
      <c r="A77" s="101">
        <v>70</v>
      </c>
      <c r="B77" s="573" t="s">
        <v>779</v>
      </c>
      <c r="C77" s="571" t="s">
        <v>137</v>
      </c>
    </row>
    <row r="78" spans="1:3" x14ac:dyDescent="0.25">
      <c r="A78" s="101">
        <v>71</v>
      </c>
      <c r="B78" s="110" t="s">
        <v>780</v>
      </c>
      <c r="C78" s="97" t="s">
        <v>137</v>
      </c>
    </row>
    <row r="79" spans="1:3" x14ac:dyDescent="0.25">
      <c r="A79" s="101">
        <v>72</v>
      </c>
      <c r="B79" s="178" t="s">
        <v>765</v>
      </c>
      <c r="C79" s="97" t="s">
        <v>137</v>
      </c>
    </row>
    <row r="80" spans="1:3" x14ac:dyDescent="0.25">
      <c r="A80" s="101">
        <v>73</v>
      </c>
      <c r="B80" s="110" t="s">
        <v>766</v>
      </c>
      <c r="C80" s="97" t="s">
        <v>137</v>
      </c>
    </row>
    <row r="81" spans="1:3" x14ac:dyDescent="0.25">
      <c r="A81" s="101">
        <v>74</v>
      </c>
      <c r="B81" s="572" t="s">
        <v>781</v>
      </c>
      <c r="C81" s="571" t="s">
        <v>137</v>
      </c>
    </row>
    <row r="82" spans="1:3" x14ac:dyDescent="0.25">
      <c r="A82" s="101">
        <v>75</v>
      </c>
      <c r="B82" s="178" t="s">
        <v>765</v>
      </c>
      <c r="C82" s="97" t="s">
        <v>137</v>
      </c>
    </row>
    <row r="83" spans="1:3" x14ac:dyDescent="0.25">
      <c r="A83" s="101">
        <v>76</v>
      </c>
      <c r="B83" s="110" t="s">
        <v>766</v>
      </c>
      <c r="C83" s="97" t="s">
        <v>137</v>
      </c>
    </row>
    <row r="84" spans="1:3" x14ac:dyDescent="0.25">
      <c r="A84" s="101">
        <v>77</v>
      </c>
      <c r="B84" s="570" t="s">
        <v>782</v>
      </c>
      <c r="C84" s="571" t="s">
        <v>137</v>
      </c>
    </row>
    <row r="85" spans="1:3" x14ac:dyDescent="0.25">
      <c r="A85" s="101">
        <v>78</v>
      </c>
      <c r="B85" s="178" t="s">
        <v>765</v>
      </c>
      <c r="C85" s="97" t="s">
        <v>137</v>
      </c>
    </row>
    <row r="86" spans="1:3" x14ac:dyDescent="0.25">
      <c r="A86" s="101">
        <v>79</v>
      </c>
      <c r="B86" s="110" t="s">
        <v>766</v>
      </c>
      <c r="C86" s="97" t="s">
        <v>137</v>
      </c>
    </row>
    <row r="87" spans="1:3" x14ac:dyDescent="0.25">
      <c r="A87" s="101">
        <v>80</v>
      </c>
      <c r="B87" s="112" t="s">
        <v>783</v>
      </c>
      <c r="C87" s="97" t="s">
        <v>137</v>
      </c>
    </row>
    <row r="88" spans="1:3" x14ac:dyDescent="0.25">
      <c r="A88" s="101">
        <v>81</v>
      </c>
      <c r="B88" s="112" t="s">
        <v>784</v>
      </c>
      <c r="C88" s="97" t="s">
        <v>137</v>
      </c>
    </row>
    <row r="89" spans="1:3" x14ac:dyDescent="0.25">
      <c r="A89" s="101">
        <v>82</v>
      </c>
      <c r="B89" s="112" t="s">
        <v>785</v>
      </c>
      <c r="C89" s="97" t="s">
        <v>137</v>
      </c>
    </row>
    <row r="90" spans="1:3" x14ac:dyDescent="0.25">
      <c r="A90" s="101">
        <v>83</v>
      </c>
      <c r="B90" s="112" t="s">
        <v>786</v>
      </c>
      <c r="C90" s="97" t="s">
        <v>137</v>
      </c>
    </row>
    <row r="91" spans="1:3" x14ac:dyDescent="0.25">
      <c r="A91" s="101">
        <v>84</v>
      </c>
      <c r="B91" s="112" t="s">
        <v>787</v>
      </c>
      <c r="C91" s="97" t="s">
        <v>137</v>
      </c>
    </row>
    <row r="92" spans="1:3" x14ac:dyDescent="0.25">
      <c r="A92" s="101">
        <v>85</v>
      </c>
      <c r="B92" s="112" t="s">
        <v>137</v>
      </c>
      <c r="C92" s="97" t="s">
        <v>137</v>
      </c>
    </row>
    <row r="93" spans="1:3" x14ac:dyDescent="0.25">
      <c r="A93" s="101">
        <v>86</v>
      </c>
      <c r="B93" s="112" t="s">
        <v>137</v>
      </c>
      <c r="C93" s="97" t="s">
        <v>137</v>
      </c>
    </row>
    <row r="94" spans="1:3" x14ac:dyDescent="0.25">
      <c r="A94" s="101">
        <v>87</v>
      </c>
      <c r="B94" s="705" t="s">
        <v>431</v>
      </c>
      <c r="C94" s="569">
        <v>0</v>
      </c>
    </row>
    <row r="95" spans="1:3" x14ac:dyDescent="0.25">
      <c r="A95" s="101">
        <v>88</v>
      </c>
      <c r="B95" s="703"/>
      <c r="C95" s="704"/>
    </row>
    <row r="96" spans="1:3" x14ac:dyDescent="0.25">
      <c r="A96" s="101">
        <v>89</v>
      </c>
      <c r="B96" s="706" t="s">
        <v>43</v>
      </c>
      <c r="C96" s="707"/>
    </row>
    <row r="97" spans="1:3" x14ac:dyDescent="0.25">
      <c r="A97" s="101">
        <v>90</v>
      </c>
      <c r="B97" s="106" t="s">
        <v>137</v>
      </c>
      <c r="C97" s="115" t="s">
        <v>137</v>
      </c>
    </row>
    <row r="98" spans="1:3" x14ac:dyDescent="0.25">
      <c r="A98" s="101">
        <v>91</v>
      </c>
      <c r="B98" s="568" t="s">
        <v>46</v>
      </c>
      <c r="C98" s="566" t="s">
        <v>137</v>
      </c>
    </row>
    <row r="99" spans="1:3" x14ac:dyDescent="0.25">
      <c r="A99" s="101">
        <v>92</v>
      </c>
      <c r="B99" s="708"/>
      <c r="C99" s="709"/>
    </row>
    <row r="100" spans="1:3" x14ac:dyDescent="0.25">
      <c r="A100" s="101">
        <v>93</v>
      </c>
      <c r="B100" s="568" t="s">
        <v>395</v>
      </c>
      <c r="C100" s="567"/>
    </row>
    <row r="101" spans="1:3" x14ac:dyDescent="0.25">
      <c r="A101" s="101">
        <v>94</v>
      </c>
      <c r="B101" s="106" t="s">
        <v>137</v>
      </c>
      <c r="C101" s="106" t="s">
        <v>137</v>
      </c>
    </row>
  </sheetData>
  <mergeCells count="2">
    <mergeCell ref="A1:C1"/>
    <mergeCell ref="A2:B4"/>
  </mergeCells>
  <printOptions horizontalCentered="1" verticalCentered="1"/>
  <pageMargins left="0.7" right="0.7" top="1.0520833333333333" bottom="0.75" header="0.3" footer="0.3"/>
  <pageSetup scale="83" fitToHeight="0" orientation="portrait" r:id="rId1"/>
  <headerFooter>
    <oddHeader>&amp;L&amp;G&amp;C(ENTER PROJECT NAME)&amp;R&amp;D</oddHeader>
    <oddFooter>&amp;C&amp;P OF &amp;N</oddFoot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37620-1A30-4B48-9F72-D49F5FB80C1E}">
  <dimension ref="A1:XFD74"/>
  <sheetViews>
    <sheetView view="pageBreakPreview" topLeftCell="A25" zoomScale="60" zoomScaleNormal="100" workbookViewId="0">
      <selection activeCell="E69" sqref="E69"/>
    </sheetView>
  </sheetViews>
  <sheetFormatPr defaultRowHeight="15" x14ac:dyDescent="0.25"/>
  <cols>
    <col min="1" max="1" width="4.5703125" customWidth="1"/>
    <col min="2" max="2" width="85" customWidth="1"/>
    <col min="3" max="3" width="24.140625" bestFit="1" customWidth="1"/>
  </cols>
  <sheetData>
    <row r="1" spans="1:6" ht="15.75" x14ac:dyDescent="0.25">
      <c r="A1" s="1056" t="s">
        <v>14</v>
      </c>
      <c r="B1" s="1056"/>
      <c r="C1" s="442"/>
    </row>
    <row r="2" spans="1:6" ht="15.75" x14ac:dyDescent="0.25">
      <c r="A2" s="1159"/>
      <c r="B2" s="1159"/>
      <c r="C2" s="128" t="s">
        <v>64</v>
      </c>
    </row>
    <row r="3" spans="1:6" x14ac:dyDescent="0.25">
      <c r="A3" s="1160" t="s">
        <v>788</v>
      </c>
      <c r="B3" s="1160"/>
      <c r="C3" s="128" t="s">
        <v>65</v>
      </c>
    </row>
    <row r="4" spans="1:6" x14ac:dyDescent="0.25">
      <c r="A4" s="1160"/>
      <c r="B4" s="1160"/>
      <c r="C4" s="128" t="s">
        <v>66</v>
      </c>
    </row>
    <row r="5" spans="1:6" x14ac:dyDescent="0.25">
      <c r="A5" s="1160"/>
      <c r="B5" s="1160"/>
      <c r="C5" s="129" t="s">
        <v>19</v>
      </c>
      <c r="F5" s="13"/>
    </row>
    <row r="6" spans="1:6" ht="15.75" x14ac:dyDescent="0.25">
      <c r="A6" s="137"/>
      <c r="B6" s="137"/>
      <c r="C6" s="1024" t="s">
        <v>789</v>
      </c>
    </row>
    <row r="7" spans="1:6" ht="28.5" customHeight="1" x14ac:dyDescent="0.25">
      <c r="A7" s="138"/>
      <c r="B7" s="598" t="s">
        <v>20</v>
      </c>
      <c r="C7" s="1024"/>
    </row>
    <row r="8" spans="1:6" ht="15.75" x14ac:dyDescent="0.25">
      <c r="A8" s="139"/>
      <c r="B8" s="140"/>
      <c r="C8" s="575"/>
    </row>
    <row r="9" spans="1:6" ht="15.75" x14ac:dyDescent="0.25">
      <c r="A9" s="156">
        <v>1</v>
      </c>
      <c r="B9" s="142" t="s">
        <v>21</v>
      </c>
      <c r="C9" s="576"/>
    </row>
    <row r="10" spans="1:6" ht="15.75" x14ac:dyDescent="0.25">
      <c r="A10" s="157">
        <f>A9+1</f>
        <v>2</v>
      </c>
      <c r="B10" s="143" t="s">
        <v>22</v>
      </c>
      <c r="C10" s="577"/>
    </row>
    <row r="11" spans="1:6" ht="15.75" x14ac:dyDescent="0.25">
      <c r="A11" s="157">
        <f t="shared" ref="A11:A74" si="0">A10+1</f>
        <v>3</v>
      </c>
      <c r="B11" s="143" t="s">
        <v>23</v>
      </c>
      <c r="C11" s="577"/>
    </row>
    <row r="12" spans="1:6" ht="15.75" x14ac:dyDescent="0.25">
      <c r="A12" s="157">
        <f t="shared" si="0"/>
        <v>4</v>
      </c>
      <c r="B12" s="143" t="s">
        <v>24</v>
      </c>
      <c r="C12" s="577"/>
    </row>
    <row r="13" spans="1:6" ht="15.75" x14ac:dyDescent="0.25">
      <c r="A13" s="157">
        <f t="shared" si="0"/>
        <v>5</v>
      </c>
      <c r="B13" s="143" t="s">
        <v>25</v>
      </c>
      <c r="C13" s="577"/>
    </row>
    <row r="14" spans="1:6" ht="15.75" x14ac:dyDescent="0.25">
      <c r="A14" s="157">
        <f t="shared" si="0"/>
        <v>6</v>
      </c>
      <c r="B14" s="143" t="s">
        <v>790</v>
      </c>
      <c r="C14" s="577"/>
    </row>
    <row r="15" spans="1:6" ht="15.75" x14ac:dyDescent="0.25">
      <c r="A15" s="157">
        <f t="shared" si="0"/>
        <v>7</v>
      </c>
      <c r="B15" s="143" t="s">
        <v>791</v>
      </c>
      <c r="C15" s="577"/>
    </row>
    <row r="16" spans="1:6" ht="15.75" x14ac:dyDescent="0.25">
      <c r="A16" s="157">
        <f t="shared" si="0"/>
        <v>8</v>
      </c>
      <c r="B16" s="143" t="s">
        <v>28</v>
      </c>
      <c r="C16" s="577"/>
    </row>
    <row r="17" spans="1:3" ht="15.75" x14ac:dyDescent="0.25">
      <c r="A17" s="157">
        <f t="shared" si="0"/>
        <v>9</v>
      </c>
      <c r="B17" s="143" t="s">
        <v>29</v>
      </c>
      <c r="C17" s="577"/>
    </row>
    <row r="18" spans="1:3" ht="15.75" x14ac:dyDescent="0.25">
      <c r="A18" s="157">
        <f t="shared" si="0"/>
        <v>10</v>
      </c>
      <c r="B18" s="143" t="s">
        <v>30</v>
      </c>
      <c r="C18" s="577"/>
    </row>
    <row r="19" spans="1:3" ht="16.5" customHeight="1" x14ac:dyDescent="0.25">
      <c r="A19" s="157">
        <f t="shared" si="0"/>
        <v>11</v>
      </c>
      <c r="B19" s="144" t="s">
        <v>138</v>
      </c>
      <c r="C19" s="578"/>
    </row>
    <row r="20" spans="1:3" ht="15.75" x14ac:dyDescent="0.25">
      <c r="A20" s="157">
        <f t="shared" si="0"/>
        <v>12</v>
      </c>
      <c r="B20" s="141"/>
      <c r="C20" s="578"/>
    </row>
    <row r="21" spans="1:3" ht="19.5" customHeight="1" x14ac:dyDescent="0.25">
      <c r="A21" s="157">
        <f t="shared" si="0"/>
        <v>13</v>
      </c>
      <c r="B21" s="543" t="s">
        <v>792</v>
      </c>
      <c r="C21" s="596"/>
    </row>
    <row r="22" spans="1:3" x14ac:dyDescent="0.25">
      <c r="A22" s="157">
        <f t="shared" si="0"/>
        <v>14</v>
      </c>
      <c r="B22" s="155" t="s">
        <v>793</v>
      </c>
      <c r="C22" s="580"/>
    </row>
    <row r="23" spans="1:3" x14ac:dyDescent="0.25">
      <c r="A23" s="157">
        <f t="shared" si="0"/>
        <v>15</v>
      </c>
      <c r="B23" s="155" t="s">
        <v>794</v>
      </c>
      <c r="C23" s="580"/>
    </row>
    <row r="24" spans="1:3" x14ac:dyDescent="0.25">
      <c r="A24" s="157">
        <f t="shared" si="0"/>
        <v>16</v>
      </c>
      <c r="B24" s="155" t="s">
        <v>795</v>
      </c>
      <c r="C24" s="580"/>
    </row>
    <row r="25" spans="1:3" x14ac:dyDescent="0.25">
      <c r="A25" s="157">
        <f t="shared" si="0"/>
        <v>17</v>
      </c>
      <c r="B25" s="155" t="s">
        <v>628</v>
      </c>
      <c r="C25" s="580"/>
    </row>
    <row r="26" spans="1:3" x14ac:dyDescent="0.25">
      <c r="A26" s="157">
        <f t="shared" si="0"/>
        <v>18</v>
      </c>
      <c r="B26" s="155" t="s">
        <v>796</v>
      </c>
      <c r="C26" s="580"/>
    </row>
    <row r="27" spans="1:3" x14ac:dyDescent="0.25">
      <c r="A27" s="157">
        <f t="shared" si="0"/>
        <v>19</v>
      </c>
      <c r="B27" s="405" t="s">
        <v>797</v>
      </c>
      <c r="C27" s="580"/>
    </row>
    <row r="28" spans="1:3" x14ac:dyDescent="0.25">
      <c r="A28" s="157">
        <f t="shared" si="0"/>
        <v>20</v>
      </c>
      <c r="B28" s="145"/>
      <c r="C28" s="580"/>
    </row>
    <row r="29" spans="1:3" x14ac:dyDescent="0.25">
      <c r="A29" s="157">
        <f t="shared" si="0"/>
        <v>21</v>
      </c>
      <c r="B29" s="595" t="s">
        <v>798</v>
      </c>
      <c r="C29" s="597"/>
    </row>
    <row r="30" spans="1:3" x14ac:dyDescent="0.25">
      <c r="A30" s="157">
        <f t="shared" si="0"/>
        <v>22</v>
      </c>
      <c r="B30" s="155" t="s">
        <v>799</v>
      </c>
      <c r="C30" s="580"/>
    </row>
    <row r="31" spans="1:3" x14ac:dyDescent="0.25">
      <c r="A31" s="157">
        <f t="shared" si="0"/>
        <v>23</v>
      </c>
      <c r="B31" s="155" t="s">
        <v>800</v>
      </c>
      <c r="C31" s="580"/>
    </row>
    <row r="32" spans="1:3" x14ac:dyDescent="0.25">
      <c r="A32" s="157">
        <f t="shared" si="0"/>
        <v>24</v>
      </c>
      <c r="B32" s="155" t="s">
        <v>801</v>
      </c>
      <c r="C32" s="580"/>
    </row>
    <row r="33" spans="1:16384" x14ac:dyDescent="0.25">
      <c r="A33" s="157">
        <f t="shared" si="0"/>
        <v>25</v>
      </c>
      <c r="B33" s="145"/>
      <c r="C33" s="580"/>
    </row>
    <row r="34" spans="1:16384" x14ac:dyDescent="0.25">
      <c r="A34" s="157">
        <f t="shared" si="0"/>
        <v>26</v>
      </c>
      <c r="B34" s="595" t="s">
        <v>802</v>
      </c>
      <c r="C34" s="596"/>
    </row>
    <row r="35" spans="1:16384" ht="17.25" customHeight="1" x14ac:dyDescent="0.25">
      <c r="A35" s="157">
        <f t="shared" si="0"/>
        <v>27</v>
      </c>
      <c r="B35" s="151" t="s">
        <v>803</v>
      </c>
      <c r="C35" s="580"/>
    </row>
    <row r="36" spans="1:16384" ht="16.5" customHeight="1" x14ac:dyDescent="0.25">
      <c r="A36" s="157">
        <f t="shared" si="0"/>
        <v>28</v>
      </c>
      <c r="B36" s="409" t="s">
        <v>804</v>
      </c>
      <c r="C36" s="580"/>
    </row>
    <row r="37" spans="1:16384" ht="16.5" customHeight="1" x14ac:dyDescent="0.25">
      <c r="A37" s="157">
        <f t="shared" si="0"/>
        <v>29</v>
      </c>
      <c r="B37" s="409" t="s">
        <v>805</v>
      </c>
      <c r="C37" s="580"/>
    </row>
    <row r="38" spans="1:16384" ht="18" customHeight="1" x14ac:dyDescent="0.25">
      <c r="A38" s="157">
        <f t="shared" si="0"/>
        <v>30</v>
      </c>
      <c r="B38" s="410" t="s">
        <v>806</v>
      </c>
      <c r="C38" s="580"/>
    </row>
    <row r="39" spans="1:16384" ht="17.25" customHeight="1" x14ac:dyDescent="0.25">
      <c r="A39" s="157">
        <f t="shared" si="0"/>
        <v>31</v>
      </c>
      <c r="B39" s="154" t="s">
        <v>807</v>
      </c>
      <c r="C39" s="580"/>
    </row>
    <row r="40" spans="1:16384" ht="17.25" customHeight="1" x14ac:dyDescent="0.25">
      <c r="A40" s="157">
        <f t="shared" si="0"/>
        <v>32</v>
      </c>
      <c r="B40" s="151" t="s">
        <v>808</v>
      </c>
      <c r="C40" s="580"/>
    </row>
    <row r="41" spans="1:16384" x14ac:dyDescent="0.25">
      <c r="A41" s="157">
        <f t="shared" si="0"/>
        <v>33</v>
      </c>
      <c r="B41" s="146"/>
      <c r="C41" s="580"/>
    </row>
    <row r="42" spans="1:16384" x14ac:dyDescent="0.25">
      <c r="A42" s="157">
        <f t="shared" si="0"/>
        <v>34</v>
      </c>
      <c r="B42" s="595" t="s">
        <v>809</v>
      </c>
      <c r="C42" s="596"/>
    </row>
    <row r="43" spans="1:16384" x14ac:dyDescent="0.25">
      <c r="A43" s="157">
        <f t="shared" si="0"/>
        <v>35</v>
      </c>
      <c r="B43" s="155" t="s">
        <v>810</v>
      </c>
      <c r="C43" s="579"/>
    </row>
    <row r="44" spans="1:16384" x14ac:dyDescent="0.25">
      <c r="A44" s="157">
        <f t="shared" si="0"/>
        <v>36</v>
      </c>
      <c r="B44" s="179" t="s">
        <v>811</v>
      </c>
      <c r="C44" s="579"/>
    </row>
    <row r="45" spans="1:16384" x14ac:dyDescent="0.25">
      <c r="A45" s="157">
        <f t="shared" si="0"/>
        <v>37</v>
      </c>
      <c r="B45" s="179" t="s">
        <v>812</v>
      </c>
      <c r="C45" s="579"/>
    </row>
    <row r="46" spans="1:16384" x14ac:dyDescent="0.25">
      <c r="A46" s="157">
        <f t="shared" si="0"/>
        <v>38</v>
      </c>
      <c r="B46" s="154" t="s">
        <v>813</v>
      </c>
      <c r="C46" s="581"/>
    </row>
    <row r="47" spans="1:16384" s="180" customFormat="1" ht="12.75" hidden="1" customHeight="1" x14ac:dyDescent="0.2">
      <c r="A47" s="157">
        <f t="shared" si="0"/>
        <v>39</v>
      </c>
      <c r="B47" s="445"/>
      <c r="C47" s="1161" t="s">
        <v>814</v>
      </c>
      <c r="D47" s="1162"/>
      <c r="E47" s="1157" t="s">
        <v>814</v>
      </c>
      <c r="F47" s="1158"/>
      <c r="G47" s="1157" t="s">
        <v>814</v>
      </c>
      <c r="H47" s="1158"/>
      <c r="I47" s="1157" t="s">
        <v>814</v>
      </c>
      <c r="J47" s="1158"/>
      <c r="K47" s="1157" t="s">
        <v>814</v>
      </c>
      <c r="L47" s="1158"/>
      <c r="M47" s="1157" t="s">
        <v>814</v>
      </c>
      <c r="N47" s="1158"/>
      <c r="O47" s="1157" t="s">
        <v>814</v>
      </c>
      <c r="P47" s="1158"/>
      <c r="Q47" s="1157" t="s">
        <v>814</v>
      </c>
      <c r="R47" s="1158"/>
      <c r="S47" s="1157" t="s">
        <v>814</v>
      </c>
      <c r="T47" s="1158"/>
      <c r="U47" s="1157" t="s">
        <v>814</v>
      </c>
      <c r="V47" s="1158"/>
      <c r="W47" s="1157" t="s">
        <v>814</v>
      </c>
      <c r="X47" s="1158"/>
      <c r="Y47" s="1157" t="s">
        <v>814</v>
      </c>
      <c r="Z47" s="1158"/>
      <c r="AA47" s="1157" t="s">
        <v>814</v>
      </c>
      <c r="AB47" s="1158"/>
      <c r="AC47" s="1157" t="s">
        <v>814</v>
      </c>
      <c r="AD47" s="1158"/>
      <c r="AE47" s="1157" t="s">
        <v>814</v>
      </c>
      <c r="AF47" s="1158"/>
      <c r="AG47" s="1157" t="s">
        <v>814</v>
      </c>
      <c r="AH47" s="1158"/>
      <c r="AI47" s="1157" t="s">
        <v>814</v>
      </c>
      <c r="AJ47" s="1158"/>
      <c r="AK47" s="1157" t="s">
        <v>814</v>
      </c>
      <c r="AL47" s="1158"/>
      <c r="AM47" s="1157" t="s">
        <v>814</v>
      </c>
      <c r="AN47" s="1158"/>
      <c r="AO47" s="1157" t="s">
        <v>814</v>
      </c>
      <c r="AP47" s="1158"/>
      <c r="AQ47" s="1157" t="s">
        <v>814</v>
      </c>
      <c r="AR47" s="1158"/>
      <c r="AS47" s="1157" t="s">
        <v>814</v>
      </c>
      <c r="AT47" s="1158"/>
      <c r="AU47" s="1157" t="s">
        <v>814</v>
      </c>
      <c r="AV47" s="1158"/>
      <c r="AW47" s="1157" t="s">
        <v>814</v>
      </c>
      <c r="AX47" s="1158"/>
      <c r="AY47" s="1157" t="s">
        <v>814</v>
      </c>
      <c r="AZ47" s="1158"/>
      <c r="BA47" s="1157" t="s">
        <v>814</v>
      </c>
      <c r="BB47" s="1158"/>
      <c r="BC47" s="1157" t="s">
        <v>814</v>
      </c>
      <c r="BD47" s="1158"/>
      <c r="BE47" s="1157" t="s">
        <v>814</v>
      </c>
      <c r="BF47" s="1158"/>
      <c r="BG47" s="1157" t="s">
        <v>814</v>
      </c>
      <c r="BH47" s="1158"/>
      <c r="BI47" s="1157" t="s">
        <v>814</v>
      </c>
      <c r="BJ47" s="1158"/>
      <c r="BK47" s="1157" t="s">
        <v>814</v>
      </c>
      <c r="BL47" s="1158"/>
      <c r="BM47" s="1157" t="s">
        <v>814</v>
      </c>
      <c r="BN47" s="1158"/>
      <c r="BO47" s="1157" t="s">
        <v>814</v>
      </c>
      <c r="BP47" s="1158"/>
      <c r="BQ47" s="1157" t="s">
        <v>814</v>
      </c>
      <c r="BR47" s="1158"/>
      <c r="BS47" s="1157" t="s">
        <v>814</v>
      </c>
      <c r="BT47" s="1158"/>
      <c r="BU47" s="1157" t="s">
        <v>814</v>
      </c>
      <c r="BV47" s="1158"/>
      <c r="BW47" s="1157" t="s">
        <v>814</v>
      </c>
      <c r="BX47" s="1158"/>
      <c r="BY47" s="1157" t="s">
        <v>814</v>
      </c>
      <c r="BZ47" s="1158"/>
      <c r="CA47" s="1157" t="s">
        <v>814</v>
      </c>
      <c r="CB47" s="1158"/>
      <c r="CC47" s="1157" t="s">
        <v>814</v>
      </c>
      <c r="CD47" s="1158"/>
      <c r="CE47" s="1157" t="s">
        <v>814</v>
      </c>
      <c r="CF47" s="1158"/>
      <c r="CG47" s="1157" t="s">
        <v>814</v>
      </c>
      <c r="CH47" s="1158"/>
      <c r="CI47" s="1157" t="s">
        <v>814</v>
      </c>
      <c r="CJ47" s="1158"/>
      <c r="CK47" s="1157" t="s">
        <v>814</v>
      </c>
      <c r="CL47" s="1158"/>
      <c r="CM47" s="1157" t="s">
        <v>814</v>
      </c>
      <c r="CN47" s="1158"/>
      <c r="CO47" s="1157" t="s">
        <v>814</v>
      </c>
      <c r="CP47" s="1158"/>
      <c r="CQ47" s="1157" t="s">
        <v>814</v>
      </c>
      <c r="CR47" s="1158"/>
      <c r="CS47" s="1157" t="s">
        <v>814</v>
      </c>
      <c r="CT47" s="1158"/>
      <c r="CU47" s="1157" t="s">
        <v>814</v>
      </c>
      <c r="CV47" s="1158"/>
      <c r="CW47" s="1157" t="s">
        <v>814</v>
      </c>
      <c r="CX47" s="1158"/>
      <c r="CY47" s="1157" t="s">
        <v>814</v>
      </c>
      <c r="CZ47" s="1158"/>
      <c r="DA47" s="1157" t="s">
        <v>814</v>
      </c>
      <c r="DB47" s="1158"/>
      <c r="DC47" s="1157" t="s">
        <v>814</v>
      </c>
      <c r="DD47" s="1158"/>
      <c r="DE47" s="1157" t="s">
        <v>814</v>
      </c>
      <c r="DF47" s="1158"/>
      <c r="DG47" s="1157" t="s">
        <v>814</v>
      </c>
      <c r="DH47" s="1158"/>
      <c r="DI47" s="1157" t="s">
        <v>814</v>
      </c>
      <c r="DJ47" s="1158"/>
      <c r="DK47" s="1157" t="s">
        <v>814</v>
      </c>
      <c r="DL47" s="1158"/>
      <c r="DM47" s="1157" t="s">
        <v>814</v>
      </c>
      <c r="DN47" s="1158"/>
      <c r="DO47" s="1157" t="s">
        <v>814</v>
      </c>
      <c r="DP47" s="1158"/>
      <c r="DQ47" s="1157" t="s">
        <v>814</v>
      </c>
      <c r="DR47" s="1158"/>
      <c r="DS47" s="1157" t="s">
        <v>814</v>
      </c>
      <c r="DT47" s="1158"/>
      <c r="DU47" s="1157" t="s">
        <v>814</v>
      </c>
      <c r="DV47" s="1158"/>
      <c r="DW47" s="1157" t="s">
        <v>814</v>
      </c>
      <c r="DX47" s="1158"/>
      <c r="DY47" s="1157" t="s">
        <v>814</v>
      </c>
      <c r="DZ47" s="1158"/>
      <c r="EA47" s="1157" t="s">
        <v>814</v>
      </c>
      <c r="EB47" s="1158"/>
      <c r="EC47" s="1157" t="s">
        <v>814</v>
      </c>
      <c r="ED47" s="1158"/>
      <c r="EE47" s="1157" t="s">
        <v>814</v>
      </c>
      <c r="EF47" s="1158"/>
      <c r="EG47" s="1157" t="s">
        <v>814</v>
      </c>
      <c r="EH47" s="1158"/>
      <c r="EI47" s="1157" t="s">
        <v>814</v>
      </c>
      <c r="EJ47" s="1158"/>
      <c r="EK47" s="1157" t="s">
        <v>814</v>
      </c>
      <c r="EL47" s="1158"/>
      <c r="EM47" s="1157" t="s">
        <v>814</v>
      </c>
      <c r="EN47" s="1158"/>
      <c r="EO47" s="1157" t="s">
        <v>814</v>
      </c>
      <c r="EP47" s="1158"/>
      <c r="EQ47" s="1157" t="s">
        <v>814</v>
      </c>
      <c r="ER47" s="1158"/>
      <c r="ES47" s="1157" t="s">
        <v>814</v>
      </c>
      <c r="ET47" s="1158"/>
      <c r="EU47" s="1157" t="s">
        <v>814</v>
      </c>
      <c r="EV47" s="1158"/>
      <c r="EW47" s="1157" t="s">
        <v>814</v>
      </c>
      <c r="EX47" s="1158"/>
      <c r="EY47" s="1157" t="s">
        <v>814</v>
      </c>
      <c r="EZ47" s="1158"/>
      <c r="FA47" s="1157" t="s">
        <v>814</v>
      </c>
      <c r="FB47" s="1158"/>
      <c r="FC47" s="1157" t="s">
        <v>814</v>
      </c>
      <c r="FD47" s="1158"/>
      <c r="FE47" s="1157" t="s">
        <v>814</v>
      </c>
      <c r="FF47" s="1158"/>
      <c r="FG47" s="1157" t="s">
        <v>814</v>
      </c>
      <c r="FH47" s="1158"/>
      <c r="FI47" s="1157" t="s">
        <v>814</v>
      </c>
      <c r="FJ47" s="1158"/>
      <c r="FK47" s="1157" t="s">
        <v>814</v>
      </c>
      <c r="FL47" s="1158"/>
      <c r="FM47" s="1157" t="s">
        <v>814</v>
      </c>
      <c r="FN47" s="1158"/>
      <c r="FO47" s="1157" t="s">
        <v>814</v>
      </c>
      <c r="FP47" s="1158"/>
      <c r="FQ47" s="1157" t="s">
        <v>814</v>
      </c>
      <c r="FR47" s="1158"/>
      <c r="FS47" s="1157" t="s">
        <v>814</v>
      </c>
      <c r="FT47" s="1158"/>
      <c r="FU47" s="1157" t="s">
        <v>814</v>
      </c>
      <c r="FV47" s="1158"/>
      <c r="FW47" s="1157" t="s">
        <v>814</v>
      </c>
      <c r="FX47" s="1158"/>
      <c r="FY47" s="1157" t="s">
        <v>814</v>
      </c>
      <c r="FZ47" s="1158"/>
      <c r="GA47" s="1157" t="s">
        <v>814</v>
      </c>
      <c r="GB47" s="1158"/>
      <c r="GC47" s="1157" t="s">
        <v>814</v>
      </c>
      <c r="GD47" s="1158"/>
      <c r="GE47" s="1157" t="s">
        <v>814</v>
      </c>
      <c r="GF47" s="1158"/>
      <c r="GG47" s="1157" t="s">
        <v>814</v>
      </c>
      <c r="GH47" s="1158"/>
      <c r="GI47" s="1157" t="s">
        <v>814</v>
      </c>
      <c r="GJ47" s="1158"/>
      <c r="GK47" s="1157" t="s">
        <v>814</v>
      </c>
      <c r="GL47" s="1158"/>
      <c r="GM47" s="1157" t="s">
        <v>814</v>
      </c>
      <c r="GN47" s="1158"/>
      <c r="GO47" s="1157" t="s">
        <v>814</v>
      </c>
      <c r="GP47" s="1158"/>
      <c r="GQ47" s="1157" t="s">
        <v>814</v>
      </c>
      <c r="GR47" s="1158"/>
      <c r="GS47" s="1157" t="s">
        <v>814</v>
      </c>
      <c r="GT47" s="1158"/>
      <c r="GU47" s="1157" t="s">
        <v>814</v>
      </c>
      <c r="GV47" s="1158"/>
      <c r="GW47" s="1157" t="s">
        <v>814</v>
      </c>
      <c r="GX47" s="1158"/>
      <c r="GY47" s="1157" t="s">
        <v>814</v>
      </c>
      <c r="GZ47" s="1158"/>
      <c r="HA47" s="1157" t="s">
        <v>814</v>
      </c>
      <c r="HB47" s="1158"/>
      <c r="HC47" s="1157" t="s">
        <v>814</v>
      </c>
      <c r="HD47" s="1158"/>
      <c r="HE47" s="1157" t="s">
        <v>814</v>
      </c>
      <c r="HF47" s="1158"/>
      <c r="HG47" s="1157" t="s">
        <v>814</v>
      </c>
      <c r="HH47" s="1158"/>
      <c r="HI47" s="1157" t="s">
        <v>814</v>
      </c>
      <c r="HJ47" s="1158"/>
      <c r="HK47" s="1157" t="s">
        <v>814</v>
      </c>
      <c r="HL47" s="1158"/>
      <c r="HM47" s="1157" t="s">
        <v>814</v>
      </c>
      <c r="HN47" s="1158"/>
      <c r="HO47" s="1157" t="s">
        <v>814</v>
      </c>
      <c r="HP47" s="1158"/>
      <c r="HQ47" s="1157" t="s">
        <v>814</v>
      </c>
      <c r="HR47" s="1158"/>
      <c r="HS47" s="1157" t="s">
        <v>814</v>
      </c>
      <c r="HT47" s="1158"/>
      <c r="HU47" s="1157" t="s">
        <v>814</v>
      </c>
      <c r="HV47" s="1158"/>
      <c r="HW47" s="1157" t="s">
        <v>814</v>
      </c>
      <c r="HX47" s="1158"/>
      <c r="HY47" s="1157" t="s">
        <v>814</v>
      </c>
      <c r="HZ47" s="1158"/>
      <c r="IA47" s="1157" t="s">
        <v>814</v>
      </c>
      <c r="IB47" s="1158"/>
      <c r="IC47" s="1157" t="s">
        <v>814</v>
      </c>
      <c r="ID47" s="1158"/>
      <c r="IE47" s="1157" t="s">
        <v>814</v>
      </c>
      <c r="IF47" s="1158"/>
      <c r="IG47" s="1157" t="s">
        <v>814</v>
      </c>
      <c r="IH47" s="1158"/>
      <c r="II47" s="1157" t="s">
        <v>814</v>
      </c>
      <c r="IJ47" s="1158"/>
      <c r="IK47" s="1157" t="s">
        <v>814</v>
      </c>
      <c r="IL47" s="1158"/>
      <c r="IM47" s="1157" t="s">
        <v>814</v>
      </c>
      <c r="IN47" s="1158"/>
      <c r="IO47" s="1157" t="s">
        <v>814</v>
      </c>
      <c r="IP47" s="1158"/>
      <c r="IQ47" s="1157" t="s">
        <v>814</v>
      </c>
      <c r="IR47" s="1158"/>
      <c r="IS47" s="1157" t="s">
        <v>814</v>
      </c>
      <c r="IT47" s="1158"/>
      <c r="IU47" s="1157" t="s">
        <v>814</v>
      </c>
      <c r="IV47" s="1158"/>
      <c r="IW47" s="1157" t="s">
        <v>814</v>
      </c>
      <c r="IX47" s="1158"/>
      <c r="IY47" s="1157" t="s">
        <v>814</v>
      </c>
      <c r="IZ47" s="1158"/>
      <c r="JA47" s="1157" t="s">
        <v>814</v>
      </c>
      <c r="JB47" s="1158"/>
      <c r="JC47" s="1157" t="s">
        <v>814</v>
      </c>
      <c r="JD47" s="1158"/>
      <c r="JE47" s="1157" t="s">
        <v>814</v>
      </c>
      <c r="JF47" s="1158"/>
      <c r="JG47" s="1157" t="s">
        <v>814</v>
      </c>
      <c r="JH47" s="1158"/>
      <c r="JI47" s="1157" t="s">
        <v>814</v>
      </c>
      <c r="JJ47" s="1158"/>
      <c r="JK47" s="1157" t="s">
        <v>814</v>
      </c>
      <c r="JL47" s="1158"/>
      <c r="JM47" s="1157" t="s">
        <v>814</v>
      </c>
      <c r="JN47" s="1158"/>
      <c r="JO47" s="1157" t="s">
        <v>814</v>
      </c>
      <c r="JP47" s="1158"/>
      <c r="JQ47" s="1157" t="s">
        <v>814</v>
      </c>
      <c r="JR47" s="1158"/>
      <c r="JS47" s="1157" t="s">
        <v>814</v>
      </c>
      <c r="JT47" s="1158"/>
      <c r="JU47" s="1157" t="s">
        <v>814</v>
      </c>
      <c r="JV47" s="1158"/>
      <c r="JW47" s="1157" t="s">
        <v>814</v>
      </c>
      <c r="JX47" s="1158"/>
      <c r="JY47" s="1157" t="s">
        <v>814</v>
      </c>
      <c r="JZ47" s="1158"/>
      <c r="KA47" s="1157" t="s">
        <v>814</v>
      </c>
      <c r="KB47" s="1158"/>
      <c r="KC47" s="1157" t="s">
        <v>814</v>
      </c>
      <c r="KD47" s="1158"/>
      <c r="KE47" s="1157" t="s">
        <v>814</v>
      </c>
      <c r="KF47" s="1158"/>
      <c r="KG47" s="1157" t="s">
        <v>814</v>
      </c>
      <c r="KH47" s="1158"/>
      <c r="KI47" s="1157" t="s">
        <v>814</v>
      </c>
      <c r="KJ47" s="1158"/>
      <c r="KK47" s="1157" t="s">
        <v>814</v>
      </c>
      <c r="KL47" s="1158"/>
      <c r="KM47" s="1157" t="s">
        <v>814</v>
      </c>
      <c r="KN47" s="1158"/>
      <c r="KO47" s="1157" t="s">
        <v>814</v>
      </c>
      <c r="KP47" s="1158"/>
      <c r="KQ47" s="1157" t="s">
        <v>814</v>
      </c>
      <c r="KR47" s="1158"/>
      <c r="KS47" s="1157" t="s">
        <v>814</v>
      </c>
      <c r="KT47" s="1158"/>
      <c r="KU47" s="1157" t="s">
        <v>814</v>
      </c>
      <c r="KV47" s="1158"/>
      <c r="KW47" s="1157" t="s">
        <v>814</v>
      </c>
      <c r="KX47" s="1158"/>
      <c r="KY47" s="1157" t="s">
        <v>814</v>
      </c>
      <c r="KZ47" s="1158"/>
      <c r="LA47" s="1157" t="s">
        <v>814</v>
      </c>
      <c r="LB47" s="1158"/>
      <c r="LC47" s="1157" t="s">
        <v>814</v>
      </c>
      <c r="LD47" s="1158"/>
      <c r="LE47" s="1157" t="s">
        <v>814</v>
      </c>
      <c r="LF47" s="1158"/>
      <c r="LG47" s="1157" t="s">
        <v>814</v>
      </c>
      <c r="LH47" s="1158"/>
      <c r="LI47" s="1157" t="s">
        <v>814</v>
      </c>
      <c r="LJ47" s="1158"/>
      <c r="LK47" s="1157" t="s">
        <v>814</v>
      </c>
      <c r="LL47" s="1158"/>
      <c r="LM47" s="1157" t="s">
        <v>814</v>
      </c>
      <c r="LN47" s="1158"/>
      <c r="LO47" s="1157" t="s">
        <v>814</v>
      </c>
      <c r="LP47" s="1158"/>
      <c r="LQ47" s="1157" t="s">
        <v>814</v>
      </c>
      <c r="LR47" s="1158"/>
      <c r="LS47" s="1157" t="s">
        <v>814</v>
      </c>
      <c r="LT47" s="1158"/>
      <c r="LU47" s="1157" t="s">
        <v>814</v>
      </c>
      <c r="LV47" s="1158"/>
      <c r="LW47" s="1157" t="s">
        <v>814</v>
      </c>
      <c r="LX47" s="1158"/>
      <c r="LY47" s="1157" t="s">
        <v>814</v>
      </c>
      <c r="LZ47" s="1158"/>
      <c r="MA47" s="1157" t="s">
        <v>814</v>
      </c>
      <c r="MB47" s="1158"/>
      <c r="MC47" s="1157" t="s">
        <v>814</v>
      </c>
      <c r="MD47" s="1158"/>
      <c r="ME47" s="1157" t="s">
        <v>814</v>
      </c>
      <c r="MF47" s="1158"/>
      <c r="MG47" s="1157" t="s">
        <v>814</v>
      </c>
      <c r="MH47" s="1158"/>
      <c r="MI47" s="1157" t="s">
        <v>814</v>
      </c>
      <c r="MJ47" s="1158"/>
      <c r="MK47" s="1157" t="s">
        <v>814</v>
      </c>
      <c r="ML47" s="1158"/>
      <c r="MM47" s="1157" t="s">
        <v>814</v>
      </c>
      <c r="MN47" s="1158"/>
      <c r="MO47" s="1157" t="s">
        <v>814</v>
      </c>
      <c r="MP47" s="1158"/>
      <c r="MQ47" s="1157" t="s">
        <v>814</v>
      </c>
      <c r="MR47" s="1158"/>
      <c r="MS47" s="1157" t="s">
        <v>814</v>
      </c>
      <c r="MT47" s="1158"/>
      <c r="MU47" s="1157" t="s">
        <v>814</v>
      </c>
      <c r="MV47" s="1158"/>
      <c r="MW47" s="1157" t="s">
        <v>814</v>
      </c>
      <c r="MX47" s="1158"/>
      <c r="MY47" s="1157" t="s">
        <v>814</v>
      </c>
      <c r="MZ47" s="1158"/>
      <c r="NA47" s="1157" t="s">
        <v>814</v>
      </c>
      <c r="NB47" s="1158"/>
      <c r="NC47" s="1157" t="s">
        <v>814</v>
      </c>
      <c r="ND47" s="1158"/>
      <c r="NE47" s="1157" t="s">
        <v>814</v>
      </c>
      <c r="NF47" s="1158"/>
      <c r="NG47" s="1157" t="s">
        <v>814</v>
      </c>
      <c r="NH47" s="1158"/>
      <c r="NI47" s="1157" t="s">
        <v>814</v>
      </c>
      <c r="NJ47" s="1158"/>
      <c r="NK47" s="1157" t="s">
        <v>814</v>
      </c>
      <c r="NL47" s="1158"/>
      <c r="NM47" s="1157" t="s">
        <v>814</v>
      </c>
      <c r="NN47" s="1158"/>
      <c r="NO47" s="1157" t="s">
        <v>814</v>
      </c>
      <c r="NP47" s="1158"/>
      <c r="NQ47" s="1157" t="s">
        <v>814</v>
      </c>
      <c r="NR47" s="1158"/>
      <c r="NS47" s="1157" t="s">
        <v>814</v>
      </c>
      <c r="NT47" s="1158"/>
      <c r="NU47" s="1157" t="s">
        <v>814</v>
      </c>
      <c r="NV47" s="1158"/>
      <c r="NW47" s="1157" t="s">
        <v>814</v>
      </c>
      <c r="NX47" s="1158"/>
      <c r="NY47" s="1157" t="s">
        <v>814</v>
      </c>
      <c r="NZ47" s="1158"/>
      <c r="OA47" s="1157" t="s">
        <v>814</v>
      </c>
      <c r="OB47" s="1158"/>
      <c r="OC47" s="1157" t="s">
        <v>814</v>
      </c>
      <c r="OD47" s="1158"/>
      <c r="OE47" s="1157" t="s">
        <v>814</v>
      </c>
      <c r="OF47" s="1158"/>
      <c r="OG47" s="1157" t="s">
        <v>814</v>
      </c>
      <c r="OH47" s="1158"/>
      <c r="OI47" s="1157" t="s">
        <v>814</v>
      </c>
      <c r="OJ47" s="1158"/>
      <c r="OK47" s="1157" t="s">
        <v>814</v>
      </c>
      <c r="OL47" s="1158"/>
      <c r="OM47" s="1157" t="s">
        <v>814</v>
      </c>
      <c r="ON47" s="1158"/>
      <c r="OO47" s="1157" t="s">
        <v>814</v>
      </c>
      <c r="OP47" s="1158"/>
      <c r="OQ47" s="1157" t="s">
        <v>814</v>
      </c>
      <c r="OR47" s="1158"/>
      <c r="OS47" s="1157" t="s">
        <v>814</v>
      </c>
      <c r="OT47" s="1158"/>
      <c r="OU47" s="1157" t="s">
        <v>814</v>
      </c>
      <c r="OV47" s="1158"/>
      <c r="OW47" s="1157" t="s">
        <v>814</v>
      </c>
      <c r="OX47" s="1158"/>
      <c r="OY47" s="1157" t="s">
        <v>814</v>
      </c>
      <c r="OZ47" s="1158"/>
      <c r="PA47" s="1157" t="s">
        <v>814</v>
      </c>
      <c r="PB47" s="1158"/>
      <c r="PC47" s="1157" t="s">
        <v>814</v>
      </c>
      <c r="PD47" s="1158"/>
      <c r="PE47" s="1157" t="s">
        <v>814</v>
      </c>
      <c r="PF47" s="1158"/>
      <c r="PG47" s="1157" t="s">
        <v>814</v>
      </c>
      <c r="PH47" s="1158"/>
      <c r="PI47" s="1157" t="s">
        <v>814</v>
      </c>
      <c r="PJ47" s="1158"/>
      <c r="PK47" s="1157" t="s">
        <v>814</v>
      </c>
      <c r="PL47" s="1158"/>
      <c r="PM47" s="1157" t="s">
        <v>814</v>
      </c>
      <c r="PN47" s="1158"/>
      <c r="PO47" s="1157" t="s">
        <v>814</v>
      </c>
      <c r="PP47" s="1158"/>
      <c r="PQ47" s="1157" t="s">
        <v>814</v>
      </c>
      <c r="PR47" s="1158"/>
      <c r="PS47" s="1157" t="s">
        <v>814</v>
      </c>
      <c r="PT47" s="1158"/>
      <c r="PU47" s="1157" t="s">
        <v>814</v>
      </c>
      <c r="PV47" s="1158"/>
      <c r="PW47" s="1157" t="s">
        <v>814</v>
      </c>
      <c r="PX47" s="1158"/>
      <c r="PY47" s="1157" t="s">
        <v>814</v>
      </c>
      <c r="PZ47" s="1158"/>
      <c r="QA47" s="1157" t="s">
        <v>814</v>
      </c>
      <c r="QB47" s="1158"/>
      <c r="QC47" s="1157" t="s">
        <v>814</v>
      </c>
      <c r="QD47" s="1158"/>
      <c r="QE47" s="1157" t="s">
        <v>814</v>
      </c>
      <c r="QF47" s="1158"/>
      <c r="QG47" s="1157" t="s">
        <v>814</v>
      </c>
      <c r="QH47" s="1158"/>
      <c r="QI47" s="1157" t="s">
        <v>814</v>
      </c>
      <c r="QJ47" s="1158"/>
      <c r="QK47" s="1157" t="s">
        <v>814</v>
      </c>
      <c r="QL47" s="1158"/>
      <c r="QM47" s="1157" t="s">
        <v>814</v>
      </c>
      <c r="QN47" s="1158"/>
      <c r="QO47" s="1157" t="s">
        <v>814</v>
      </c>
      <c r="QP47" s="1158"/>
      <c r="QQ47" s="1157" t="s">
        <v>814</v>
      </c>
      <c r="QR47" s="1158"/>
      <c r="QS47" s="1157" t="s">
        <v>814</v>
      </c>
      <c r="QT47" s="1158"/>
      <c r="QU47" s="1157" t="s">
        <v>814</v>
      </c>
      <c r="QV47" s="1158"/>
      <c r="QW47" s="1157" t="s">
        <v>814</v>
      </c>
      <c r="QX47" s="1158"/>
      <c r="QY47" s="1157" t="s">
        <v>814</v>
      </c>
      <c r="QZ47" s="1158"/>
      <c r="RA47" s="1157" t="s">
        <v>814</v>
      </c>
      <c r="RB47" s="1158"/>
      <c r="RC47" s="1157" t="s">
        <v>814</v>
      </c>
      <c r="RD47" s="1158"/>
      <c r="RE47" s="1157" t="s">
        <v>814</v>
      </c>
      <c r="RF47" s="1158"/>
      <c r="RG47" s="1157" t="s">
        <v>814</v>
      </c>
      <c r="RH47" s="1158"/>
      <c r="RI47" s="1157" t="s">
        <v>814</v>
      </c>
      <c r="RJ47" s="1158"/>
      <c r="RK47" s="1157" t="s">
        <v>814</v>
      </c>
      <c r="RL47" s="1158"/>
      <c r="RM47" s="1157" t="s">
        <v>814</v>
      </c>
      <c r="RN47" s="1158"/>
      <c r="RO47" s="1157" t="s">
        <v>814</v>
      </c>
      <c r="RP47" s="1158"/>
      <c r="RQ47" s="1157" t="s">
        <v>814</v>
      </c>
      <c r="RR47" s="1158"/>
      <c r="RS47" s="1157" t="s">
        <v>814</v>
      </c>
      <c r="RT47" s="1158"/>
      <c r="RU47" s="1157" t="s">
        <v>814</v>
      </c>
      <c r="RV47" s="1158"/>
      <c r="RW47" s="1157" t="s">
        <v>814</v>
      </c>
      <c r="RX47" s="1158"/>
      <c r="RY47" s="1157" t="s">
        <v>814</v>
      </c>
      <c r="RZ47" s="1158"/>
      <c r="SA47" s="1157" t="s">
        <v>814</v>
      </c>
      <c r="SB47" s="1158"/>
      <c r="SC47" s="1157" t="s">
        <v>814</v>
      </c>
      <c r="SD47" s="1158"/>
      <c r="SE47" s="1157" t="s">
        <v>814</v>
      </c>
      <c r="SF47" s="1158"/>
      <c r="SG47" s="1157" t="s">
        <v>814</v>
      </c>
      <c r="SH47" s="1158"/>
      <c r="SI47" s="1157" t="s">
        <v>814</v>
      </c>
      <c r="SJ47" s="1158"/>
      <c r="SK47" s="1157" t="s">
        <v>814</v>
      </c>
      <c r="SL47" s="1158"/>
      <c r="SM47" s="1157" t="s">
        <v>814</v>
      </c>
      <c r="SN47" s="1158"/>
      <c r="SO47" s="1157" t="s">
        <v>814</v>
      </c>
      <c r="SP47" s="1158"/>
      <c r="SQ47" s="1157" t="s">
        <v>814</v>
      </c>
      <c r="SR47" s="1158"/>
      <c r="SS47" s="1157" t="s">
        <v>814</v>
      </c>
      <c r="ST47" s="1158"/>
      <c r="SU47" s="1157" t="s">
        <v>814</v>
      </c>
      <c r="SV47" s="1158"/>
      <c r="SW47" s="1157" t="s">
        <v>814</v>
      </c>
      <c r="SX47" s="1158"/>
      <c r="SY47" s="1157" t="s">
        <v>814</v>
      </c>
      <c r="SZ47" s="1158"/>
      <c r="TA47" s="1157" t="s">
        <v>814</v>
      </c>
      <c r="TB47" s="1158"/>
      <c r="TC47" s="1157" t="s">
        <v>814</v>
      </c>
      <c r="TD47" s="1158"/>
      <c r="TE47" s="1157" t="s">
        <v>814</v>
      </c>
      <c r="TF47" s="1158"/>
      <c r="TG47" s="1157" t="s">
        <v>814</v>
      </c>
      <c r="TH47" s="1158"/>
      <c r="TI47" s="1157" t="s">
        <v>814</v>
      </c>
      <c r="TJ47" s="1158"/>
      <c r="TK47" s="1157" t="s">
        <v>814</v>
      </c>
      <c r="TL47" s="1158"/>
      <c r="TM47" s="1157" t="s">
        <v>814</v>
      </c>
      <c r="TN47" s="1158"/>
      <c r="TO47" s="1157" t="s">
        <v>814</v>
      </c>
      <c r="TP47" s="1158"/>
      <c r="TQ47" s="1157" t="s">
        <v>814</v>
      </c>
      <c r="TR47" s="1158"/>
      <c r="TS47" s="1157" t="s">
        <v>814</v>
      </c>
      <c r="TT47" s="1158"/>
      <c r="TU47" s="1157" t="s">
        <v>814</v>
      </c>
      <c r="TV47" s="1158"/>
      <c r="TW47" s="1157" t="s">
        <v>814</v>
      </c>
      <c r="TX47" s="1158"/>
      <c r="TY47" s="1157" t="s">
        <v>814</v>
      </c>
      <c r="TZ47" s="1158"/>
      <c r="UA47" s="1157" t="s">
        <v>814</v>
      </c>
      <c r="UB47" s="1158"/>
      <c r="UC47" s="1157" t="s">
        <v>814</v>
      </c>
      <c r="UD47" s="1158"/>
      <c r="UE47" s="1157" t="s">
        <v>814</v>
      </c>
      <c r="UF47" s="1158"/>
      <c r="UG47" s="1157" t="s">
        <v>814</v>
      </c>
      <c r="UH47" s="1158"/>
      <c r="UI47" s="1157" t="s">
        <v>814</v>
      </c>
      <c r="UJ47" s="1158"/>
      <c r="UK47" s="1157" t="s">
        <v>814</v>
      </c>
      <c r="UL47" s="1158"/>
      <c r="UM47" s="1157" t="s">
        <v>814</v>
      </c>
      <c r="UN47" s="1158"/>
      <c r="UO47" s="1157" t="s">
        <v>814</v>
      </c>
      <c r="UP47" s="1158"/>
      <c r="UQ47" s="1157" t="s">
        <v>814</v>
      </c>
      <c r="UR47" s="1158"/>
      <c r="US47" s="1157" t="s">
        <v>814</v>
      </c>
      <c r="UT47" s="1158"/>
      <c r="UU47" s="1157" t="s">
        <v>814</v>
      </c>
      <c r="UV47" s="1158"/>
      <c r="UW47" s="1157" t="s">
        <v>814</v>
      </c>
      <c r="UX47" s="1158"/>
      <c r="UY47" s="1157" t="s">
        <v>814</v>
      </c>
      <c r="UZ47" s="1158"/>
      <c r="VA47" s="1157" t="s">
        <v>814</v>
      </c>
      <c r="VB47" s="1158"/>
      <c r="VC47" s="1157" t="s">
        <v>814</v>
      </c>
      <c r="VD47" s="1158"/>
      <c r="VE47" s="1157" t="s">
        <v>814</v>
      </c>
      <c r="VF47" s="1158"/>
      <c r="VG47" s="1157" t="s">
        <v>814</v>
      </c>
      <c r="VH47" s="1158"/>
      <c r="VI47" s="1157" t="s">
        <v>814</v>
      </c>
      <c r="VJ47" s="1158"/>
      <c r="VK47" s="1157" t="s">
        <v>814</v>
      </c>
      <c r="VL47" s="1158"/>
      <c r="VM47" s="1157" t="s">
        <v>814</v>
      </c>
      <c r="VN47" s="1158"/>
      <c r="VO47" s="1157" t="s">
        <v>814</v>
      </c>
      <c r="VP47" s="1158"/>
      <c r="VQ47" s="1157" t="s">
        <v>814</v>
      </c>
      <c r="VR47" s="1158"/>
      <c r="VS47" s="1157" t="s">
        <v>814</v>
      </c>
      <c r="VT47" s="1158"/>
      <c r="VU47" s="1157" t="s">
        <v>814</v>
      </c>
      <c r="VV47" s="1158"/>
      <c r="VW47" s="1157" t="s">
        <v>814</v>
      </c>
      <c r="VX47" s="1158"/>
      <c r="VY47" s="1157" t="s">
        <v>814</v>
      </c>
      <c r="VZ47" s="1158"/>
      <c r="WA47" s="1157" t="s">
        <v>814</v>
      </c>
      <c r="WB47" s="1158"/>
      <c r="WC47" s="1157" t="s">
        <v>814</v>
      </c>
      <c r="WD47" s="1158"/>
      <c r="WE47" s="1157" t="s">
        <v>814</v>
      </c>
      <c r="WF47" s="1158"/>
      <c r="WG47" s="1157" t="s">
        <v>814</v>
      </c>
      <c r="WH47" s="1158"/>
      <c r="WI47" s="1157" t="s">
        <v>814</v>
      </c>
      <c r="WJ47" s="1158"/>
      <c r="WK47" s="1157" t="s">
        <v>814</v>
      </c>
      <c r="WL47" s="1158"/>
      <c r="WM47" s="1157" t="s">
        <v>814</v>
      </c>
      <c r="WN47" s="1158"/>
      <c r="WO47" s="1157" t="s">
        <v>814</v>
      </c>
      <c r="WP47" s="1158"/>
      <c r="WQ47" s="1157" t="s">
        <v>814</v>
      </c>
      <c r="WR47" s="1158"/>
      <c r="WS47" s="1157" t="s">
        <v>814</v>
      </c>
      <c r="WT47" s="1158"/>
      <c r="WU47" s="1157" t="s">
        <v>814</v>
      </c>
      <c r="WV47" s="1158"/>
      <c r="WW47" s="1157" t="s">
        <v>814</v>
      </c>
      <c r="WX47" s="1158"/>
      <c r="WY47" s="1157" t="s">
        <v>814</v>
      </c>
      <c r="WZ47" s="1158"/>
      <c r="XA47" s="1157" t="s">
        <v>814</v>
      </c>
      <c r="XB47" s="1158"/>
      <c r="XC47" s="1157" t="s">
        <v>814</v>
      </c>
      <c r="XD47" s="1158"/>
      <c r="XE47" s="1157" t="s">
        <v>814</v>
      </c>
      <c r="XF47" s="1158"/>
      <c r="XG47" s="1157" t="s">
        <v>814</v>
      </c>
      <c r="XH47" s="1158"/>
      <c r="XI47" s="1157" t="s">
        <v>814</v>
      </c>
      <c r="XJ47" s="1158"/>
      <c r="XK47" s="1157" t="s">
        <v>814</v>
      </c>
      <c r="XL47" s="1158"/>
      <c r="XM47" s="1157" t="s">
        <v>814</v>
      </c>
      <c r="XN47" s="1158"/>
      <c r="XO47" s="1157" t="s">
        <v>814</v>
      </c>
      <c r="XP47" s="1158"/>
      <c r="XQ47" s="1157" t="s">
        <v>814</v>
      </c>
      <c r="XR47" s="1158"/>
      <c r="XS47" s="1157" t="s">
        <v>814</v>
      </c>
      <c r="XT47" s="1158"/>
      <c r="XU47" s="1157" t="s">
        <v>814</v>
      </c>
      <c r="XV47" s="1158"/>
      <c r="XW47" s="1157" t="s">
        <v>814</v>
      </c>
      <c r="XX47" s="1158"/>
      <c r="XY47" s="1157" t="s">
        <v>814</v>
      </c>
      <c r="XZ47" s="1158"/>
      <c r="YA47" s="1157" t="s">
        <v>814</v>
      </c>
      <c r="YB47" s="1158"/>
      <c r="YC47" s="1157" t="s">
        <v>814</v>
      </c>
      <c r="YD47" s="1158"/>
      <c r="YE47" s="1157" t="s">
        <v>814</v>
      </c>
      <c r="YF47" s="1158"/>
      <c r="YG47" s="1157" t="s">
        <v>814</v>
      </c>
      <c r="YH47" s="1158"/>
      <c r="YI47" s="1157" t="s">
        <v>814</v>
      </c>
      <c r="YJ47" s="1158"/>
      <c r="YK47" s="1157" t="s">
        <v>814</v>
      </c>
      <c r="YL47" s="1158"/>
      <c r="YM47" s="1157" t="s">
        <v>814</v>
      </c>
      <c r="YN47" s="1158"/>
      <c r="YO47" s="1157" t="s">
        <v>814</v>
      </c>
      <c r="YP47" s="1158"/>
      <c r="YQ47" s="1157" t="s">
        <v>814</v>
      </c>
      <c r="YR47" s="1158"/>
      <c r="YS47" s="1157" t="s">
        <v>814</v>
      </c>
      <c r="YT47" s="1158"/>
      <c r="YU47" s="1157" t="s">
        <v>814</v>
      </c>
      <c r="YV47" s="1158"/>
      <c r="YW47" s="1157" t="s">
        <v>814</v>
      </c>
      <c r="YX47" s="1158"/>
      <c r="YY47" s="1157" t="s">
        <v>814</v>
      </c>
      <c r="YZ47" s="1158"/>
      <c r="ZA47" s="1157" t="s">
        <v>814</v>
      </c>
      <c r="ZB47" s="1158"/>
      <c r="ZC47" s="1157" t="s">
        <v>814</v>
      </c>
      <c r="ZD47" s="1158"/>
      <c r="ZE47" s="1157" t="s">
        <v>814</v>
      </c>
      <c r="ZF47" s="1158"/>
      <c r="ZG47" s="1157" t="s">
        <v>814</v>
      </c>
      <c r="ZH47" s="1158"/>
      <c r="ZI47" s="1157" t="s">
        <v>814</v>
      </c>
      <c r="ZJ47" s="1158"/>
      <c r="ZK47" s="1157" t="s">
        <v>814</v>
      </c>
      <c r="ZL47" s="1158"/>
      <c r="ZM47" s="1157" t="s">
        <v>814</v>
      </c>
      <c r="ZN47" s="1158"/>
      <c r="ZO47" s="1157" t="s">
        <v>814</v>
      </c>
      <c r="ZP47" s="1158"/>
      <c r="ZQ47" s="1157" t="s">
        <v>814</v>
      </c>
      <c r="ZR47" s="1158"/>
      <c r="ZS47" s="1157" t="s">
        <v>814</v>
      </c>
      <c r="ZT47" s="1158"/>
      <c r="ZU47" s="1157" t="s">
        <v>814</v>
      </c>
      <c r="ZV47" s="1158"/>
      <c r="ZW47" s="1157" t="s">
        <v>814</v>
      </c>
      <c r="ZX47" s="1158"/>
      <c r="ZY47" s="1157" t="s">
        <v>814</v>
      </c>
      <c r="ZZ47" s="1158"/>
      <c r="AAA47" s="1157" t="s">
        <v>814</v>
      </c>
      <c r="AAB47" s="1158"/>
      <c r="AAC47" s="1157" t="s">
        <v>814</v>
      </c>
      <c r="AAD47" s="1158"/>
      <c r="AAE47" s="1157" t="s">
        <v>814</v>
      </c>
      <c r="AAF47" s="1158"/>
      <c r="AAG47" s="1157" t="s">
        <v>814</v>
      </c>
      <c r="AAH47" s="1158"/>
      <c r="AAI47" s="1157" t="s">
        <v>814</v>
      </c>
      <c r="AAJ47" s="1158"/>
      <c r="AAK47" s="1157" t="s">
        <v>814</v>
      </c>
      <c r="AAL47" s="1158"/>
      <c r="AAM47" s="1157" t="s">
        <v>814</v>
      </c>
      <c r="AAN47" s="1158"/>
      <c r="AAO47" s="1157" t="s">
        <v>814</v>
      </c>
      <c r="AAP47" s="1158"/>
      <c r="AAQ47" s="1157" t="s">
        <v>814</v>
      </c>
      <c r="AAR47" s="1158"/>
      <c r="AAS47" s="1157" t="s">
        <v>814</v>
      </c>
      <c r="AAT47" s="1158"/>
      <c r="AAU47" s="1157" t="s">
        <v>814</v>
      </c>
      <c r="AAV47" s="1158"/>
      <c r="AAW47" s="1157" t="s">
        <v>814</v>
      </c>
      <c r="AAX47" s="1158"/>
      <c r="AAY47" s="1157" t="s">
        <v>814</v>
      </c>
      <c r="AAZ47" s="1158"/>
      <c r="ABA47" s="1157" t="s">
        <v>814</v>
      </c>
      <c r="ABB47" s="1158"/>
      <c r="ABC47" s="1157" t="s">
        <v>814</v>
      </c>
      <c r="ABD47" s="1158"/>
      <c r="ABE47" s="1157" t="s">
        <v>814</v>
      </c>
      <c r="ABF47" s="1158"/>
      <c r="ABG47" s="1157" t="s">
        <v>814</v>
      </c>
      <c r="ABH47" s="1158"/>
      <c r="ABI47" s="1157" t="s">
        <v>814</v>
      </c>
      <c r="ABJ47" s="1158"/>
      <c r="ABK47" s="1157" t="s">
        <v>814</v>
      </c>
      <c r="ABL47" s="1158"/>
      <c r="ABM47" s="1157" t="s">
        <v>814</v>
      </c>
      <c r="ABN47" s="1158"/>
      <c r="ABO47" s="1157" t="s">
        <v>814</v>
      </c>
      <c r="ABP47" s="1158"/>
      <c r="ABQ47" s="1157" t="s">
        <v>814</v>
      </c>
      <c r="ABR47" s="1158"/>
      <c r="ABS47" s="1157" t="s">
        <v>814</v>
      </c>
      <c r="ABT47" s="1158"/>
      <c r="ABU47" s="1157" t="s">
        <v>814</v>
      </c>
      <c r="ABV47" s="1158"/>
      <c r="ABW47" s="1157" t="s">
        <v>814</v>
      </c>
      <c r="ABX47" s="1158"/>
      <c r="ABY47" s="1157" t="s">
        <v>814</v>
      </c>
      <c r="ABZ47" s="1158"/>
      <c r="ACA47" s="1157" t="s">
        <v>814</v>
      </c>
      <c r="ACB47" s="1158"/>
      <c r="ACC47" s="1157" t="s">
        <v>814</v>
      </c>
      <c r="ACD47" s="1158"/>
      <c r="ACE47" s="1157" t="s">
        <v>814</v>
      </c>
      <c r="ACF47" s="1158"/>
      <c r="ACG47" s="1157" t="s">
        <v>814</v>
      </c>
      <c r="ACH47" s="1158"/>
      <c r="ACI47" s="1157" t="s">
        <v>814</v>
      </c>
      <c r="ACJ47" s="1158"/>
      <c r="ACK47" s="1157" t="s">
        <v>814</v>
      </c>
      <c r="ACL47" s="1158"/>
      <c r="ACM47" s="1157" t="s">
        <v>814</v>
      </c>
      <c r="ACN47" s="1158"/>
      <c r="ACO47" s="1157" t="s">
        <v>814</v>
      </c>
      <c r="ACP47" s="1158"/>
      <c r="ACQ47" s="1157" t="s">
        <v>814</v>
      </c>
      <c r="ACR47" s="1158"/>
      <c r="ACS47" s="1157" t="s">
        <v>814</v>
      </c>
      <c r="ACT47" s="1158"/>
      <c r="ACU47" s="1157" t="s">
        <v>814</v>
      </c>
      <c r="ACV47" s="1158"/>
      <c r="ACW47" s="1157" t="s">
        <v>814</v>
      </c>
      <c r="ACX47" s="1158"/>
      <c r="ACY47" s="1157" t="s">
        <v>814</v>
      </c>
      <c r="ACZ47" s="1158"/>
      <c r="ADA47" s="1157" t="s">
        <v>814</v>
      </c>
      <c r="ADB47" s="1158"/>
      <c r="ADC47" s="1157" t="s">
        <v>814</v>
      </c>
      <c r="ADD47" s="1158"/>
      <c r="ADE47" s="1157" t="s">
        <v>814</v>
      </c>
      <c r="ADF47" s="1158"/>
      <c r="ADG47" s="1157" t="s">
        <v>814</v>
      </c>
      <c r="ADH47" s="1158"/>
      <c r="ADI47" s="1157" t="s">
        <v>814</v>
      </c>
      <c r="ADJ47" s="1158"/>
      <c r="ADK47" s="1157" t="s">
        <v>814</v>
      </c>
      <c r="ADL47" s="1158"/>
      <c r="ADM47" s="1157" t="s">
        <v>814</v>
      </c>
      <c r="ADN47" s="1158"/>
      <c r="ADO47" s="1157" t="s">
        <v>814</v>
      </c>
      <c r="ADP47" s="1158"/>
      <c r="ADQ47" s="1157" t="s">
        <v>814</v>
      </c>
      <c r="ADR47" s="1158"/>
      <c r="ADS47" s="1157" t="s">
        <v>814</v>
      </c>
      <c r="ADT47" s="1158"/>
      <c r="ADU47" s="1157" t="s">
        <v>814</v>
      </c>
      <c r="ADV47" s="1158"/>
      <c r="ADW47" s="1157" t="s">
        <v>814</v>
      </c>
      <c r="ADX47" s="1158"/>
      <c r="ADY47" s="1157" t="s">
        <v>814</v>
      </c>
      <c r="ADZ47" s="1158"/>
      <c r="AEA47" s="1157" t="s">
        <v>814</v>
      </c>
      <c r="AEB47" s="1158"/>
      <c r="AEC47" s="1157" t="s">
        <v>814</v>
      </c>
      <c r="AED47" s="1158"/>
      <c r="AEE47" s="1157" t="s">
        <v>814</v>
      </c>
      <c r="AEF47" s="1158"/>
      <c r="AEG47" s="1157" t="s">
        <v>814</v>
      </c>
      <c r="AEH47" s="1158"/>
      <c r="AEI47" s="1157" t="s">
        <v>814</v>
      </c>
      <c r="AEJ47" s="1158"/>
      <c r="AEK47" s="1157" t="s">
        <v>814</v>
      </c>
      <c r="AEL47" s="1158"/>
      <c r="AEM47" s="1157" t="s">
        <v>814</v>
      </c>
      <c r="AEN47" s="1158"/>
      <c r="AEO47" s="1157" t="s">
        <v>814</v>
      </c>
      <c r="AEP47" s="1158"/>
      <c r="AEQ47" s="1157" t="s">
        <v>814</v>
      </c>
      <c r="AER47" s="1158"/>
      <c r="AES47" s="1157" t="s">
        <v>814</v>
      </c>
      <c r="AET47" s="1158"/>
      <c r="AEU47" s="1157" t="s">
        <v>814</v>
      </c>
      <c r="AEV47" s="1158"/>
      <c r="AEW47" s="1157" t="s">
        <v>814</v>
      </c>
      <c r="AEX47" s="1158"/>
      <c r="AEY47" s="1157" t="s">
        <v>814</v>
      </c>
      <c r="AEZ47" s="1158"/>
      <c r="AFA47" s="1157" t="s">
        <v>814</v>
      </c>
      <c r="AFB47" s="1158"/>
      <c r="AFC47" s="1157" t="s">
        <v>814</v>
      </c>
      <c r="AFD47" s="1158"/>
      <c r="AFE47" s="1157" t="s">
        <v>814</v>
      </c>
      <c r="AFF47" s="1158"/>
      <c r="AFG47" s="1157" t="s">
        <v>814</v>
      </c>
      <c r="AFH47" s="1158"/>
      <c r="AFI47" s="1157" t="s">
        <v>814</v>
      </c>
      <c r="AFJ47" s="1158"/>
      <c r="AFK47" s="1157" t="s">
        <v>814</v>
      </c>
      <c r="AFL47" s="1158"/>
      <c r="AFM47" s="1157" t="s">
        <v>814</v>
      </c>
      <c r="AFN47" s="1158"/>
      <c r="AFO47" s="1157" t="s">
        <v>814</v>
      </c>
      <c r="AFP47" s="1158"/>
      <c r="AFQ47" s="1157" t="s">
        <v>814</v>
      </c>
      <c r="AFR47" s="1158"/>
      <c r="AFS47" s="1157" t="s">
        <v>814</v>
      </c>
      <c r="AFT47" s="1158"/>
      <c r="AFU47" s="1157" t="s">
        <v>814</v>
      </c>
      <c r="AFV47" s="1158"/>
      <c r="AFW47" s="1157" t="s">
        <v>814</v>
      </c>
      <c r="AFX47" s="1158"/>
      <c r="AFY47" s="1157" t="s">
        <v>814</v>
      </c>
      <c r="AFZ47" s="1158"/>
      <c r="AGA47" s="1157" t="s">
        <v>814</v>
      </c>
      <c r="AGB47" s="1158"/>
      <c r="AGC47" s="1157" t="s">
        <v>814</v>
      </c>
      <c r="AGD47" s="1158"/>
      <c r="AGE47" s="1157" t="s">
        <v>814</v>
      </c>
      <c r="AGF47" s="1158"/>
      <c r="AGG47" s="1157" t="s">
        <v>814</v>
      </c>
      <c r="AGH47" s="1158"/>
      <c r="AGI47" s="1157" t="s">
        <v>814</v>
      </c>
      <c r="AGJ47" s="1158"/>
      <c r="AGK47" s="1157" t="s">
        <v>814</v>
      </c>
      <c r="AGL47" s="1158"/>
      <c r="AGM47" s="1157" t="s">
        <v>814</v>
      </c>
      <c r="AGN47" s="1158"/>
      <c r="AGO47" s="1157" t="s">
        <v>814</v>
      </c>
      <c r="AGP47" s="1158"/>
      <c r="AGQ47" s="1157" t="s">
        <v>814</v>
      </c>
      <c r="AGR47" s="1158"/>
      <c r="AGS47" s="1157" t="s">
        <v>814</v>
      </c>
      <c r="AGT47" s="1158"/>
      <c r="AGU47" s="1157" t="s">
        <v>814</v>
      </c>
      <c r="AGV47" s="1158"/>
      <c r="AGW47" s="1157" t="s">
        <v>814</v>
      </c>
      <c r="AGX47" s="1158"/>
      <c r="AGY47" s="1157" t="s">
        <v>814</v>
      </c>
      <c r="AGZ47" s="1158"/>
      <c r="AHA47" s="1157" t="s">
        <v>814</v>
      </c>
      <c r="AHB47" s="1158"/>
      <c r="AHC47" s="1157" t="s">
        <v>814</v>
      </c>
      <c r="AHD47" s="1158"/>
      <c r="AHE47" s="1157" t="s">
        <v>814</v>
      </c>
      <c r="AHF47" s="1158"/>
      <c r="AHG47" s="1157" t="s">
        <v>814</v>
      </c>
      <c r="AHH47" s="1158"/>
      <c r="AHI47" s="1157" t="s">
        <v>814</v>
      </c>
      <c r="AHJ47" s="1158"/>
      <c r="AHK47" s="1157" t="s">
        <v>814</v>
      </c>
      <c r="AHL47" s="1158"/>
      <c r="AHM47" s="1157" t="s">
        <v>814</v>
      </c>
      <c r="AHN47" s="1158"/>
      <c r="AHO47" s="1157" t="s">
        <v>814</v>
      </c>
      <c r="AHP47" s="1158"/>
      <c r="AHQ47" s="1157" t="s">
        <v>814</v>
      </c>
      <c r="AHR47" s="1158"/>
      <c r="AHS47" s="1157" t="s">
        <v>814</v>
      </c>
      <c r="AHT47" s="1158"/>
      <c r="AHU47" s="1157" t="s">
        <v>814</v>
      </c>
      <c r="AHV47" s="1158"/>
      <c r="AHW47" s="1157" t="s">
        <v>814</v>
      </c>
      <c r="AHX47" s="1158"/>
      <c r="AHY47" s="1157" t="s">
        <v>814</v>
      </c>
      <c r="AHZ47" s="1158"/>
      <c r="AIA47" s="1157" t="s">
        <v>814</v>
      </c>
      <c r="AIB47" s="1158"/>
      <c r="AIC47" s="1157" t="s">
        <v>814</v>
      </c>
      <c r="AID47" s="1158"/>
      <c r="AIE47" s="1157" t="s">
        <v>814</v>
      </c>
      <c r="AIF47" s="1158"/>
      <c r="AIG47" s="1157" t="s">
        <v>814</v>
      </c>
      <c r="AIH47" s="1158"/>
      <c r="AII47" s="1157" t="s">
        <v>814</v>
      </c>
      <c r="AIJ47" s="1158"/>
      <c r="AIK47" s="1157" t="s">
        <v>814</v>
      </c>
      <c r="AIL47" s="1158"/>
      <c r="AIM47" s="1157" t="s">
        <v>814</v>
      </c>
      <c r="AIN47" s="1158"/>
      <c r="AIO47" s="1157" t="s">
        <v>814</v>
      </c>
      <c r="AIP47" s="1158"/>
      <c r="AIQ47" s="1157" t="s">
        <v>814</v>
      </c>
      <c r="AIR47" s="1158"/>
      <c r="AIS47" s="1157" t="s">
        <v>814</v>
      </c>
      <c r="AIT47" s="1158"/>
      <c r="AIU47" s="1157" t="s">
        <v>814</v>
      </c>
      <c r="AIV47" s="1158"/>
      <c r="AIW47" s="1157" t="s">
        <v>814</v>
      </c>
      <c r="AIX47" s="1158"/>
      <c r="AIY47" s="1157" t="s">
        <v>814</v>
      </c>
      <c r="AIZ47" s="1158"/>
      <c r="AJA47" s="1157" t="s">
        <v>814</v>
      </c>
      <c r="AJB47" s="1158"/>
      <c r="AJC47" s="1157" t="s">
        <v>814</v>
      </c>
      <c r="AJD47" s="1158"/>
      <c r="AJE47" s="1157" t="s">
        <v>814</v>
      </c>
      <c r="AJF47" s="1158"/>
      <c r="AJG47" s="1157" t="s">
        <v>814</v>
      </c>
      <c r="AJH47" s="1158"/>
      <c r="AJI47" s="1157" t="s">
        <v>814</v>
      </c>
      <c r="AJJ47" s="1158"/>
      <c r="AJK47" s="1157" t="s">
        <v>814</v>
      </c>
      <c r="AJL47" s="1158"/>
      <c r="AJM47" s="1157" t="s">
        <v>814</v>
      </c>
      <c r="AJN47" s="1158"/>
      <c r="AJO47" s="1157" t="s">
        <v>814</v>
      </c>
      <c r="AJP47" s="1158"/>
      <c r="AJQ47" s="1157" t="s">
        <v>814</v>
      </c>
      <c r="AJR47" s="1158"/>
      <c r="AJS47" s="1157" t="s">
        <v>814</v>
      </c>
      <c r="AJT47" s="1158"/>
      <c r="AJU47" s="1157" t="s">
        <v>814</v>
      </c>
      <c r="AJV47" s="1158"/>
      <c r="AJW47" s="1157" t="s">
        <v>814</v>
      </c>
      <c r="AJX47" s="1158"/>
      <c r="AJY47" s="1157" t="s">
        <v>814</v>
      </c>
      <c r="AJZ47" s="1158"/>
      <c r="AKA47" s="1157" t="s">
        <v>814</v>
      </c>
      <c r="AKB47" s="1158"/>
      <c r="AKC47" s="1157" t="s">
        <v>814</v>
      </c>
      <c r="AKD47" s="1158"/>
      <c r="AKE47" s="1157" t="s">
        <v>814</v>
      </c>
      <c r="AKF47" s="1158"/>
      <c r="AKG47" s="1157" t="s">
        <v>814</v>
      </c>
      <c r="AKH47" s="1158"/>
      <c r="AKI47" s="1157" t="s">
        <v>814</v>
      </c>
      <c r="AKJ47" s="1158"/>
      <c r="AKK47" s="1157" t="s">
        <v>814</v>
      </c>
      <c r="AKL47" s="1158"/>
      <c r="AKM47" s="1157" t="s">
        <v>814</v>
      </c>
      <c r="AKN47" s="1158"/>
      <c r="AKO47" s="1157" t="s">
        <v>814</v>
      </c>
      <c r="AKP47" s="1158"/>
      <c r="AKQ47" s="1157" t="s">
        <v>814</v>
      </c>
      <c r="AKR47" s="1158"/>
      <c r="AKS47" s="1157" t="s">
        <v>814</v>
      </c>
      <c r="AKT47" s="1158"/>
      <c r="AKU47" s="1157" t="s">
        <v>814</v>
      </c>
      <c r="AKV47" s="1158"/>
      <c r="AKW47" s="1157" t="s">
        <v>814</v>
      </c>
      <c r="AKX47" s="1158"/>
      <c r="AKY47" s="1157" t="s">
        <v>814</v>
      </c>
      <c r="AKZ47" s="1158"/>
      <c r="ALA47" s="1157" t="s">
        <v>814</v>
      </c>
      <c r="ALB47" s="1158"/>
      <c r="ALC47" s="1157" t="s">
        <v>814</v>
      </c>
      <c r="ALD47" s="1158"/>
      <c r="ALE47" s="1157" t="s">
        <v>814</v>
      </c>
      <c r="ALF47" s="1158"/>
      <c r="ALG47" s="1157" t="s">
        <v>814</v>
      </c>
      <c r="ALH47" s="1158"/>
      <c r="ALI47" s="1157" t="s">
        <v>814</v>
      </c>
      <c r="ALJ47" s="1158"/>
      <c r="ALK47" s="1157" t="s">
        <v>814</v>
      </c>
      <c r="ALL47" s="1158"/>
      <c r="ALM47" s="1157" t="s">
        <v>814</v>
      </c>
      <c r="ALN47" s="1158"/>
      <c r="ALO47" s="1157" t="s">
        <v>814</v>
      </c>
      <c r="ALP47" s="1158"/>
      <c r="ALQ47" s="1157" t="s">
        <v>814</v>
      </c>
      <c r="ALR47" s="1158"/>
      <c r="ALS47" s="1157" t="s">
        <v>814</v>
      </c>
      <c r="ALT47" s="1158"/>
      <c r="ALU47" s="1157" t="s">
        <v>814</v>
      </c>
      <c r="ALV47" s="1158"/>
      <c r="ALW47" s="1157" t="s">
        <v>814</v>
      </c>
      <c r="ALX47" s="1158"/>
      <c r="ALY47" s="1157" t="s">
        <v>814</v>
      </c>
      <c r="ALZ47" s="1158"/>
      <c r="AMA47" s="1157" t="s">
        <v>814</v>
      </c>
      <c r="AMB47" s="1158"/>
      <c r="AMC47" s="1157" t="s">
        <v>814</v>
      </c>
      <c r="AMD47" s="1158"/>
      <c r="AME47" s="1157" t="s">
        <v>814</v>
      </c>
      <c r="AMF47" s="1158"/>
      <c r="AMG47" s="1157" t="s">
        <v>814</v>
      </c>
      <c r="AMH47" s="1158"/>
      <c r="AMI47" s="1157" t="s">
        <v>814</v>
      </c>
      <c r="AMJ47" s="1158"/>
      <c r="AMK47" s="1157" t="s">
        <v>814</v>
      </c>
      <c r="AML47" s="1158"/>
      <c r="AMM47" s="1157" t="s">
        <v>814</v>
      </c>
      <c r="AMN47" s="1158"/>
      <c r="AMO47" s="1157" t="s">
        <v>814</v>
      </c>
      <c r="AMP47" s="1158"/>
      <c r="AMQ47" s="1157" t="s">
        <v>814</v>
      </c>
      <c r="AMR47" s="1158"/>
      <c r="AMS47" s="1157" t="s">
        <v>814</v>
      </c>
      <c r="AMT47" s="1158"/>
      <c r="AMU47" s="1157" t="s">
        <v>814</v>
      </c>
      <c r="AMV47" s="1158"/>
      <c r="AMW47" s="1157" t="s">
        <v>814</v>
      </c>
      <c r="AMX47" s="1158"/>
      <c r="AMY47" s="1157" t="s">
        <v>814</v>
      </c>
      <c r="AMZ47" s="1158"/>
      <c r="ANA47" s="1157" t="s">
        <v>814</v>
      </c>
      <c r="ANB47" s="1158"/>
      <c r="ANC47" s="1157" t="s">
        <v>814</v>
      </c>
      <c r="AND47" s="1158"/>
      <c r="ANE47" s="1157" t="s">
        <v>814</v>
      </c>
      <c r="ANF47" s="1158"/>
      <c r="ANG47" s="1157" t="s">
        <v>814</v>
      </c>
      <c r="ANH47" s="1158"/>
      <c r="ANI47" s="1157" t="s">
        <v>814</v>
      </c>
      <c r="ANJ47" s="1158"/>
      <c r="ANK47" s="1157" t="s">
        <v>814</v>
      </c>
      <c r="ANL47" s="1158"/>
      <c r="ANM47" s="1157" t="s">
        <v>814</v>
      </c>
      <c r="ANN47" s="1158"/>
      <c r="ANO47" s="1157" t="s">
        <v>814</v>
      </c>
      <c r="ANP47" s="1158"/>
      <c r="ANQ47" s="1157" t="s">
        <v>814</v>
      </c>
      <c r="ANR47" s="1158"/>
      <c r="ANS47" s="1157" t="s">
        <v>814</v>
      </c>
      <c r="ANT47" s="1158"/>
      <c r="ANU47" s="1157" t="s">
        <v>814</v>
      </c>
      <c r="ANV47" s="1158"/>
      <c r="ANW47" s="1157" t="s">
        <v>814</v>
      </c>
      <c r="ANX47" s="1158"/>
      <c r="ANY47" s="1157" t="s">
        <v>814</v>
      </c>
      <c r="ANZ47" s="1158"/>
      <c r="AOA47" s="1157" t="s">
        <v>814</v>
      </c>
      <c r="AOB47" s="1158"/>
      <c r="AOC47" s="1157" t="s">
        <v>814</v>
      </c>
      <c r="AOD47" s="1158"/>
      <c r="AOE47" s="1157" t="s">
        <v>814</v>
      </c>
      <c r="AOF47" s="1158"/>
      <c r="AOG47" s="1157" t="s">
        <v>814</v>
      </c>
      <c r="AOH47" s="1158"/>
      <c r="AOI47" s="1157" t="s">
        <v>814</v>
      </c>
      <c r="AOJ47" s="1158"/>
      <c r="AOK47" s="1157" t="s">
        <v>814</v>
      </c>
      <c r="AOL47" s="1158"/>
      <c r="AOM47" s="1157" t="s">
        <v>814</v>
      </c>
      <c r="AON47" s="1158"/>
      <c r="AOO47" s="1157" t="s">
        <v>814</v>
      </c>
      <c r="AOP47" s="1158"/>
      <c r="AOQ47" s="1157" t="s">
        <v>814</v>
      </c>
      <c r="AOR47" s="1158"/>
      <c r="AOS47" s="1157" t="s">
        <v>814</v>
      </c>
      <c r="AOT47" s="1158"/>
      <c r="AOU47" s="1157" t="s">
        <v>814</v>
      </c>
      <c r="AOV47" s="1158"/>
      <c r="AOW47" s="1157" t="s">
        <v>814</v>
      </c>
      <c r="AOX47" s="1158"/>
      <c r="AOY47" s="1157" t="s">
        <v>814</v>
      </c>
      <c r="AOZ47" s="1158"/>
      <c r="APA47" s="1157" t="s">
        <v>814</v>
      </c>
      <c r="APB47" s="1158"/>
      <c r="APC47" s="1157" t="s">
        <v>814</v>
      </c>
      <c r="APD47" s="1158"/>
      <c r="APE47" s="1157" t="s">
        <v>814</v>
      </c>
      <c r="APF47" s="1158"/>
      <c r="APG47" s="1157" t="s">
        <v>814</v>
      </c>
      <c r="APH47" s="1158"/>
      <c r="API47" s="1157" t="s">
        <v>814</v>
      </c>
      <c r="APJ47" s="1158"/>
      <c r="APK47" s="1157" t="s">
        <v>814</v>
      </c>
      <c r="APL47" s="1158"/>
      <c r="APM47" s="1157" t="s">
        <v>814</v>
      </c>
      <c r="APN47" s="1158"/>
      <c r="APO47" s="1157" t="s">
        <v>814</v>
      </c>
      <c r="APP47" s="1158"/>
      <c r="APQ47" s="1157" t="s">
        <v>814</v>
      </c>
      <c r="APR47" s="1158"/>
      <c r="APS47" s="1157" t="s">
        <v>814</v>
      </c>
      <c r="APT47" s="1158"/>
      <c r="APU47" s="1157" t="s">
        <v>814</v>
      </c>
      <c r="APV47" s="1158"/>
      <c r="APW47" s="1157" t="s">
        <v>814</v>
      </c>
      <c r="APX47" s="1158"/>
      <c r="APY47" s="1157" t="s">
        <v>814</v>
      </c>
      <c r="APZ47" s="1158"/>
      <c r="AQA47" s="1157" t="s">
        <v>814</v>
      </c>
      <c r="AQB47" s="1158"/>
      <c r="AQC47" s="1157" t="s">
        <v>814</v>
      </c>
      <c r="AQD47" s="1158"/>
      <c r="AQE47" s="1157" t="s">
        <v>814</v>
      </c>
      <c r="AQF47" s="1158"/>
      <c r="AQG47" s="1157" t="s">
        <v>814</v>
      </c>
      <c r="AQH47" s="1158"/>
      <c r="AQI47" s="1157" t="s">
        <v>814</v>
      </c>
      <c r="AQJ47" s="1158"/>
      <c r="AQK47" s="1157" t="s">
        <v>814</v>
      </c>
      <c r="AQL47" s="1158"/>
      <c r="AQM47" s="1157" t="s">
        <v>814</v>
      </c>
      <c r="AQN47" s="1158"/>
      <c r="AQO47" s="1157" t="s">
        <v>814</v>
      </c>
      <c r="AQP47" s="1158"/>
      <c r="AQQ47" s="1157" t="s">
        <v>814</v>
      </c>
      <c r="AQR47" s="1158"/>
      <c r="AQS47" s="1157" t="s">
        <v>814</v>
      </c>
      <c r="AQT47" s="1158"/>
      <c r="AQU47" s="1157" t="s">
        <v>814</v>
      </c>
      <c r="AQV47" s="1158"/>
      <c r="AQW47" s="1157" t="s">
        <v>814</v>
      </c>
      <c r="AQX47" s="1158"/>
      <c r="AQY47" s="1157" t="s">
        <v>814</v>
      </c>
      <c r="AQZ47" s="1158"/>
      <c r="ARA47" s="1157" t="s">
        <v>814</v>
      </c>
      <c r="ARB47" s="1158"/>
      <c r="ARC47" s="1157" t="s">
        <v>814</v>
      </c>
      <c r="ARD47" s="1158"/>
      <c r="ARE47" s="1157" t="s">
        <v>814</v>
      </c>
      <c r="ARF47" s="1158"/>
      <c r="ARG47" s="1157" t="s">
        <v>814</v>
      </c>
      <c r="ARH47" s="1158"/>
      <c r="ARI47" s="1157" t="s">
        <v>814</v>
      </c>
      <c r="ARJ47" s="1158"/>
      <c r="ARK47" s="1157" t="s">
        <v>814</v>
      </c>
      <c r="ARL47" s="1158"/>
      <c r="ARM47" s="1157" t="s">
        <v>814</v>
      </c>
      <c r="ARN47" s="1158"/>
      <c r="ARO47" s="1157" t="s">
        <v>814</v>
      </c>
      <c r="ARP47" s="1158"/>
      <c r="ARQ47" s="1157" t="s">
        <v>814</v>
      </c>
      <c r="ARR47" s="1158"/>
      <c r="ARS47" s="1157" t="s">
        <v>814</v>
      </c>
      <c r="ART47" s="1158"/>
      <c r="ARU47" s="1157" t="s">
        <v>814</v>
      </c>
      <c r="ARV47" s="1158"/>
      <c r="ARW47" s="1157" t="s">
        <v>814</v>
      </c>
      <c r="ARX47" s="1158"/>
      <c r="ARY47" s="1157" t="s">
        <v>814</v>
      </c>
      <c r="ARZ47" s="1158"/>
      <c r="ASA47" s="1157" t="s">
        <v>814</v>
      </c>
      <c r="ASB47" s="1158"/>
      <c r="ASC47" s="1157" t="s">
        <v>814</v>
      </c>
      <c r="ASD47" s="1158"/>
      <c r="ASE47" s="1157" t="s">
        <v>814</v>
      </c>
      <c r="ASF47" s="1158"/>
      <c r="ASG47" s="1157" t="s">
        <v>814</v>
      </c>
      <c r="ASH47" s="1158"/>
      <c r="ASI47" s="1157" t="s">
        <v>814</v>
      </c>
      <c r="ASJ47" s="1158"/>
      <c r="ASK47" s="1157" t="s">
        <v>814</v>
      </c>
      <c r="ASL47" s="1158"/>
      <c r="ASM47" s="1157" t="s">
        <v>814</v>
      </c>
      <c r="ASN47" s="1158"/>
      <c r="ASO47" s="1157" t="s">
        <v>814</v>
      </c>
      <c r="ASP47" s="1158"/>
      <c r="ASQ47" s="1157" t="s">
        <v>814</v>
      </c>
      <c r="ASR47" s="1158"/>
      <c r="ASS47" s="1157" t="s">
        <v>814</v>
      </c>
      <c r="AST47" s="1158"/>
      <c r="ASU47" s="1157" t="s">
        <v>814</v>
      </c>
      <c r="ASV47" s="1158"/>
      <c r="ASW47" s="1157" t="s">
        <v>814</v>
      </c>
      <c r="ASX47" s="1158"/>
      <c r="ASY47" s="1157" t="s">
        <v>814</v>
      </c>
      <c r="ASZ47" s="1158"/>
      <c r="ATA47" s="1157" t="s">
        <v>814</v>
      </c>
      <c r="ATB47" s="1158"/>
      <c r="ATC47" s="1157" t="s">
        <v>814</v>
      </c>
      <c r="ATD47" s="1158"/>
      <c r="ATE47" s="1157" t="s">
        <v>814</v>
      </c>
      <c r="ATF47" s="1158"/>
      <c r="ATG47" s="1157" t="s">
        <v>814</v>
      </c>
      <c r="ATH47" s="1158"/>
      <c r="ATI47" s="1157" t="s">
        <v>814</v>
      </c>
      <c r="ATJ47" s="1158"/>
      <c r="ATK47" s="1157" t="s">
        <v>814</v>
      </c>
      <c r="ATL47" s="1158"/>
      <c r="ATM47" s="1157" t="s">
        <v>814</v>
      </c>
      <c r="ATN47" s="1158"/>
      <c r="ATO47" s="1157" t="s">
        <v>814</v>
      </c>
      <c r="ATP47" s="1158"/>
      <c r="ATQ47" s="1157" t="s">
        <v>814</v>
      </c>
      <c r="ATR47" s="1158"/>
      <c r="ATS47" s="1157" t="s">
        <v>814</v>
      </c>
      <c r="ATT47" s="1158"/>
      <c r="ATU47" s="1157" t="s">
        <v>814</v>
      </c>
      <c r="ATV47" s="1158"/>
      <c r="ATW47" s="1157" t="s">
        <v>814</v>
      </c>
      <c r="ATX47" s="1158"/>
      <c r="ATY47" s="1157" t="s">
        <v>814</v>
      </c>
      <c r="ATZ47" s="1158"/>
      <c r="AUA47" s="1157" t="s">
        <v>814</v>
      </c>
      <c r="AUB47" s="1158"/>
      <c r="AUC47" s="1157" t="s">
        <v>814</v>
      </c>
      <c r="AUD47" s="1158"/>
      <c r="AUE47" s="1157" t="s">
        <v>814</v>
      </c>
      <c r="AUF47" s="1158"/>
      <c r="AUG47" s="1157" t="s">
        <v>814</v>
      </c>
      <c r="AUH47" s="1158"/>
      <c r="AUI47" s="1157" t="s">
        <v>814</v>
      </c>
      <c r="AUJ47" s="1158"/>
      <c r="AUK47" s="1157" t="s">
        <v>814</v>
      </c>
      <c r="AUL47" s="1158"/>
      <c r="AUM47" s="1157" t="s">
        <v>814</v>
      </c>
      <c r="AUN47" s="1158"/>
      <c r="AUO47" s="1157" t="s">
        <v>814</v>
      </c>
      <c r="AUP47" s="1158"/>
      <c r="AUQ47" s="1157" t="s">
        <v>814</v>
      </c>
      <c r="AUR47" s="1158"/>
      <c r="AUS47" s="1157" t="s">
        <v>814</v>
      </c>
      <c r="AUT47" s="1158"/>
      <c r="AUU47" s="1157" t="s">
        <v>814</v>
      </c>
      <c r="AUV47" s="1158"/>
      <c r="AUW47" s="1157" t="s">
        <v>814</v>
      </c>
      <c r="AUX47" s="1158"/>
      <c r="AUY47" s="1157" t="s">
        <v>814</v>
      </c>
      <c r="AUZ47" s="1158"/>
      <c r="AVA47" s="1157" t="s">
        <v>814</v>
      </c>
      <c r="AVB47" s="1158"/>
      <c r="AVC47" s="1157" t="s">
        <v>814</v>
      </c>
      <c r="AVD47" s="1158"/>
      <c r="AVE47" s="1157" t="s">
        <v>814</v>
      </c>
      <c r="AVF47" s="1158"/>
      <c r="AVG47" s="1157" t="s">
        <v>814</v>
      </c>
      <c r="AVH47" s="1158"/>
      <c r="AVI47" s="1157" t="s">
        <v>814</v>
      </c>
      <c r="AVJ47" s="1158"/>
      <c r="AVK47" s="1157" t="s">
        <v>814</v>
      </c>
      <c r="AVL47" s="1158"/>
      <c r="AVM47" s="1157" t="s">
        <v>814</v>
      </c>
      <c r="AVN47" s="1158"/>
      <c r="AVO47" s="1157" t="s">
        <v>814</v>
      </c>
      <c r="AVP47" s="1158"/>
      <c r="AVQ47" s="1157" t="s">
        <v>814</v>
      </c>
      <c r="AVR47" s="1158"/>
      <c r="AVS47" s="1157" t="s">
        <v>814</v>
      </c>
      <c r="AVT47" s="1158"/>
      <c r="AVU47" s="1157" t="s">
        <v>814</v>
      </c>
      <c r="AVV47" s="1158"/>
      <c r="AVW47" s="1157" t="s">
        <v>814</v>
      </c>
      <c r="AVX47" s="1158"/>
      <c r="AVY47" s="1157" t="s">
        <v>814</v>
      </c>
      <c r="AVZ47" s="1158"/>
      <c r="AWA47" s="1157" t="s">
        <v>814</v>
      </c>
      <c r="AWB47" s="1158"/>
      <c r="AWC47" s="1157" t="s">
        <v>814</v>
      </c>
      <c r="AWD47" s="1158"/>
      <c r="AWE47" s="1157" t="s">
        <v>814</v>
      </c>
      <c r="AWF47" s="1158"/>
      <c r="AWG47" s="1157" t="s">
        <v>814</v>
      </c>
      <c r="AWH47" s="1158"/>
      <c r="AWI47" s="1157" t="s">
        <v>814</v>
      </c>
      <c r="AWJ47" s="1158"/>
      <c r="AWK47" s="1157" t="s">
        <v>814</v>
      </c>
      <c r="AWL47" s="1158"/>
      <c r="AWM47" s="1157" t="s">
        <v>814</v>
      </c>
      <c r="AWN47" s="1158"/>
      <c r="AWO47" s="1157" t="s">
        <v>814</v>
      </c>
      <c r="AWP47" s="1158"/>
      <c r="AWQ47" s="1157" t="s">
        <v>814</v>
      </c>
      <c r="AWR47" s="1158"/>
      <c r="AWS47" s="1157" t="s">
        <v>814</v>
      </c>
      <c r="AWT47" s="1158"/>
      <c r="AWU47" s="1157" t="s">
        <v>814</v>
      </c>
      <c r="AWV47" s="1158"/>
      <c r="AWW47" s="1157" t="s">
        <v>814</v>
      </c>
      <c r="AWX47" s="1158"/>
      <c r="AWY47" s="1157" t="s">
        <v>814</v>
      </c>
      <c r="AWZ47" s="1158"/>
      <c r="AXA47" s="1157" t="s">
        <v>814</v>
      </c>
      <c r="AXB47" s="1158"/>
      <c r="AXC47" s="1157" t="s">
        <v>814</v>
      </c>
      <c r="AXD47" s="1158"/>
      <c r="AXE47" s="1157" t="s">
        <v>814</v>
      </c>
      <c r="AXF47" s="1158"/>
      <c r="AXG47" s="1157" t="s">
        <v>814</v>
      </c>
      <c r="AXH47" s="1158"/>
      <c r="AXI47" s="1157" t="s">
        <v>814</v>
      </c>
      <c r="AXJ47" s="1158"/>
      <c r="AXK47" s="1157" t="s">
        <v>814</v>
      </c>
      <c r="AXL47" s="1158"/>
      <c r="AXM47" s="1157" t="s">
        <v>814</v>
      </c>
      <c r="AXN47" s="1158"/>
      <c r="AXO47" s="1157" t="s">
        <v>814</v>
      </c>
      <c r="AXP47" s="1158"/>
      <c r="AXQ47" s="1157" t="s">
        <v>814</v>
      </c>
      <c r="AXR47" s="1158"/>
      <c r="AXS47" s="1157" t="s">
        <v>814</v>
      </c>
      <c r="AXT47" s="1158"/>
      <c r="AXU47" s="1157" t="s">
        <v>814</v>
      </c>
      <c r="AXV47" s="1158"/>
      <c r="AXW47" s="1157" t="s">
        <v>814</v>
      </c>
      <c r="AXX47" s="1158"/>
      <c r="AXY47" s="1157" t="s">
        <v>814</v>
      </c>
      <c r="AXZ47" s="1158"/>
      <c r="AYA47" s="1157" t="s">
        <v>814</v>
      </c>
      <c r="AYB47" s="1158"/>
      <c r="AYC47" s="1157" t="s">
        <v>814</v>
      </c>
      <c r="AYD47" s="1158"/>
      <c r="AYE47" s="1157" t="s">
        <v>814</v>
      </c>
      <c r="AYF47" s="1158"/>
      <c r="AYG47" s="1157" t="s">
        <v>814</v>
      </c>
      <c r="AYH47" s="1158"/>
      <c r="AYI47" s="1157" t="s">
        <v>814</v>
      </c>
      <c r="AYJ47" s="1158"/>
      <c r="AYK47" s="1157" t="s">
        <v>814</v>
      </c>
      <c r="AYL47" s="1158"/>
      <c r="AYM47" s="1157" t="s">
        <v>814</v>
      </c>
      <c r="AYN47" s="1158"/>
      <c r="AYO47" s="1157" t="s">
        <v>814</v>
      </c>
      <c r="AYP47" s="1158"/>
      <c r="AYQ47" s="1157" t="s">
        <v>814</v>
      </c>
      <c r="AYR47" s="1158"/>
      <c r="AYS47" s="1157" t="s">
        <v>814</v>
      </c>
      <c r="AYT47" s="1158"/>
      <c r="AYU47" s="1157" t="s">
        <v>814</v>
      </c>
      <c r="AYV47" s="1158"/>
      <c r="AYW47" s="1157" t="s">
        <v>814</v>
      </c>
      <c r="AYX47" s="1158"/>
      <c r="AYY47" s="1157" t="s">
        <v>814</v>
      </c>
      <c r="AYZ47" s="1158"/>
      <c r="AZA47" s="1157" t="s">
        <v>814</v>
      </c>
      <c r="AZB47" s="1158"/>
      <c r="AZC47" s="1157" t="s">
        <v>814</v>
      </c>
      <c r="AZD47" s="1158"/>
      <c r="AZE47" s="1157" t="s">
        <v>814</v>
      </c>
      <c r="AZF47" s="1158"/>
      <c r="AZG47" s="1157" t="s">
        <v>814</v>
      </c>
      <c r="AZH47" s="1158"/>
      <c r="AZI47" s="1157" t="s">
        <v>814</v>
      </c>
      <c r="AZJ47" s="1158"/>
      <c r="AZK47" s="1157" t="s">
        <v>814</v>
      </c>
      <c r="AZL47" s="1158"/>
      <c r="AZM47" s="1157" t="s">
        <v>814</v>
      </c>
      <c r="AZN47" s="1158"/>
      <c r="AZO47" s="1157" t="s">
        <v>814</v>
      </c>
      <c r="AZP47" s="1158"/>
      <c r="AZQ47" s="1157" t="s">
        <v>814</v>
      </c>
      <c r="AZR47" s="1158"/>
      <c r="AZS47" s="1157" t="s">
        <v>814</v>
      </c>
      <c r="AZT47" s="1158"/>
      <c r="AZU47" s="1157" t="s">
        <v>814</v>
      </c>
      <c r="AZV47" s="1158"/>
      <c r="AZW47" s="1157" t="s">
        <v>814</v>
      </c>
      <c r="AZX47" s="1158"/>
      <c r="AZY47" s="1157" t="s">
        <v>814</v>
      </c>
      <c r="AZZ47" s="1158"/>
      <c r="BAA47" s="1157" t="s">
        <v>814</v>
      </c>
      <c r="BAB47" s="1158"/>
      <c r="BAC47" s="1157" t="s">
        <v>814</v>
      </c>
      <c r="BAD47" s="1158"/>
      <c r="BAE47" s="1157" t="s">
        <v>814</v>
      </c>
      <c r="BAF47" s="1158"/>
      <c r="BAG47" s="1157" t="s">
        <v>814</v>
      </c>
      <c r="BAH47" s="1158"/>
      <c r="BAI47" s="1157" t="s">
        <v>814</v>
      </c>
      <c r="BAJ47" s="1158"/>
      <c r="BAK47" s="1157" t="s">
        <v>814</v>
      </c>
      <c r="BAL47" s="1158"/>
      <c r="BAM47" s="1157" t="s">
        <v>814</v>
      </c>
      <c r="BAN47" s="1158"/>
      <c r="BAO47" s="1157" t="s">
        <v>814</v>
      </c>
      <c r="BAP47" s="1158"/>
      <c r="BAQ47" s="1157" t="s">
        <v>814</v>
      </c>
      <c r="BAR47" s="1158"/>
      <c r="BAS47" s="1157" t="s">
        <v>814</v>
      </c>
      <c r="BAT47" s="1158"/>
      <c r="BAU47" s="1157" t="s">
        <v>814</v>
      </c>
      <c r="BAV47" s="1158"/>
      <c r="BAW47" s="1157" t="s">
        <v>814</v>
      </c>
      <c r="BAX47" s="1158"/>
      <c r="BAY47" s="1157" t="s">
        <v>814</v>
      </c>
      <c r="BAZ47" s="1158"/>
      <c r="BBA47" s="1157" t="s">
        <v>814</v>
      </c>
      <c r="BBB47" s="1158"/>
      <c r="BBC47" s="1157" t="s">
        <v>814</v>
      </c>
      <c r="BBD47" s="1158"/>
      <c r="BBE47" s="1157" t="s">
        <v>814</v>
      </c>
      <c r="BBF47" s="1158"/>
      <c r="BBG47" s="1157" t="s">
        <v>814</v>
      </c>
      <c r="BBH47" s="1158"/>
      <c r="BBI47" s="1157" t="s">
        <v>814</v>
      </c>
      <c r="BBJ47" s="1158"/>
      <c r="BBK47" s="1157" t="s">
        <v>814</v>
      </c>
      <c r="BBL47" s="1158"/>
      <c r="BBM47" s="1157" t="s">
        <v>814</v>
      </c>
      <c r="BBN47" s="1158"/>
      <c r="BBO47" s="1157" t="s">
        <v>814</v>
      </c>
      <c r="BBP47" s="1158"/>
      <c r="BBQ47" s="1157" t="s">
        <v>814</v>
      </c>
      <c r="BBR47" s="1158"/>
      <c r="BBS47" s="1157" t="s">
        <v>814</v>
      </c>
      <c r="BBT47" s="1158"/>
      <c r="BBU47" s="1157" t="s">
        <v>814</v>
      </c>
      <c r="BBV47" s="1158"/>
      <c r="BBW47" s="1157" t="s">
        <v>814</v>
      </c>
      <c r="BBX47" s="1158"/>
      <c r="BBY47" s="1157" t="s">
        <v>814</v>
      </c>
      <c r="BBZ47" s="1158"/>
      <c r="BCA47" s="1157" t="s">
        <v>814</v>
      </c>
      <c r="BCB47" s="1158"/>
      <c r="BCC47" s="1157" t="s">
        <v>814</v>
      </c>
      <c r="BCD47" s="1158"/>
      <c r="BCE47" s="1157" t="s">
        <v>814</v>
      </c>
      <c r="BCF47" s="1158"/>
      <c r="BCG47" s="1157" t="s">
        <v>814</v>
      </c>
      <c r="BCH47" s="1158"/>
      <c r="BCI47" s="1157" t="s">
        <v>814</v>
      </c>
      <c r="BCJ47" s="1158"/>
      <c r="BCK47" s="1157" t="s">
        <v>814</v>
      </c>
      <c r="BCL47" s="1158"/>
      <c r="BCM47" s="1157" t="s">
        <v>814</v>
      </c>
      <c r="BCN47" s="1158"/>
      <c r="BCO47" s="1157" t="s">
        <v>814</v>
      </c>
      <c r="BCP47" s="1158"/>
      <c r="BCQ47" s="1157" t="s">
        <v>814</v>
      </c>
      <c r="BCR47" s="1158"/>
      <c r="BCS47" s="1157" t="s">
        <v>814</v>
      </c>
      <c r="BCT47" s="1158"/>
      <c r="BCU47" s="1157" t="s">
        <v>814</v>
      </c>
      <c r="BCV47" s="1158"/>
      <c r="BCW47" s="1157" t="s">
        <v>814</v>
      </c>
      <c r="BCX47" s="1158"/>
      <c r="BCY47" s="1157" t="s">
        <v>814</v>
      </c>
      <c r="BCZ47" s="1158"/>
      <c r="BDA47" s="1157" t="s">
        <v>814</v>
      </c>
      <c r="BDB47" s="1158"/>
      <c r="BDC47" s="1157" t="s">
        <v>814</v>
      </c>
      <c r="BDD47" s="1158"/>
      <c r="BDE47" s="1157" t="s">
        <v>814</v>
      </c>
      <c r="BDF47" s="1158"/>
      <c r="BDG47" s="1157" t="s">
        <v>814</v>
      </c>
      <c r="BDH47" s="1158"/>
      <c r="BDI47" s="1157" t="s">
        <v>814</v>
      </c>
      <c r="BDJ47" s="1158"/>
      <c r="BDK47" s="1157" t="s">
        <v>814</v>
      </c>
      <c r="BDL47" s="1158"/>
      <c r="BDM47" s="1157" t="s">
        <v>814</v>
      </c>
      <c r="BDN47" s="1158"/>
      <c r="BDO47" s="1157" t="s">
        <v>814</v>
      </c>
      <c r="BDP47" s="1158"/>
      <c r="BDQ47" s="1157" t="s">
        <v>814</v>
      </c>
      <c r="BDR47" s="1158"/>
      <c r="BDS47" s="1157" t="s">
        <v>814</v>
      </c>
      <c r="BDT47" s="1158"/>
      <c r="BDU47" s="1157" t="s">
        <v>814</v>
      </c>
      <c r="BDV47" s="1158"/>
      <c r="BDW47" s="1157" t="s">
        <v>814</v>
      </c>
      <c r="BDX47" s="1158"/>
      <c r="BDY47" s="1157" t="s">
        <v>814</v>
      </c>
      <c r="BDZ47" s="1158"/>
      <c r="BEA47" s="1157" t="s">
        <v>814</v>
      </c>
      <c r="BEB47" s="1158"/>
      <c r="BEC47" s="1157" t="s">
        <v>814</v>
      </c>
      <c r="BED47" s="1158"/>
      <c r="BEE47" s="1157" t="s">
        <v>814</v>
      </c>
      <c r="BEF47" s="1158"/>
      <c r="BEG47" s="1157" t="s">
        <v>814</v>
      </c>
      <c r="BEH47" s="1158"/>
      <c r="BEI47" s="1157" t="s">
        <v>814</v>
      </c>
      <c r="BEJ47" s="1158"/>
      <c r="BEK47" s="1157" t="s">
        <v>814</v>
      </c>
      <c r="BEL47" s="1158"/>
      <c r="BEM47" s="1157" t="s">
        <v>814</v>
      </c>
      <c r="BEN47" s="1158"/>
      <c r="BEO47" s="1157" t="s">
        <v>814</v>
      </c>
      <c r="BEP47" s="1158"/>
      <c r="BEQ47" s="1157" t="s">
        <v>814</v>
      </c>
      <c r="BER47" s="1158"/>
      <c r="BES47" s="1157" t="s">
        <v>814</v>
      </c>
      <c r="BET47" s="1158"/>
      <c r="BEU47" s="1157" t="s">
        <v>814</v>
      </c>
      <c r="BEV47" s="1158"/>
      <c r="BEW47" s="1157" t="s">
        <v>814</v>
      </c>
      <c r="BEX47" s="1158"/>
      <c r="BEY47" s="1157" t="s">
        <v>814</v>
      </c>
      <c r="BEZ47" s="1158"/>
      <c r="BFA47" s="1157" t="s">
        <v>814</v>
      </c>
      <c r="BFB47" s="1158"/>
      <c r="BFC47" s="1157" t="s">
        <v>814</v>
      </c>
      <c r="BFD47" s="1158"/>
      <c r="BFE47" s="1157" t="s">
        <v>814</v>
      </c>
      <c r="BFF47" s="1158"/>
      <c r="BFG47" s="1157" t="s">
        <v>814</v>
      </c>
      <c r="BFH47" s="1158"/>
      <c r="BFI47" s="1157" t="s">
        <v>814</v>
      </c>
      <c r="BFJ47" s="1158"/>
      <c r="BFK47" s="1157" t="s">
        <v>814</v>
      </c>
      <c r="BFL47" s="1158"/>
      <c r="BFM47" s="1157" t="s">
        <v>814</v>
      </c>
      <c r="BFN47" s="1158"/>
      <c r="BFO47" s="1157" t="s">
        <v>814</v>
      </c>
      <c r="BFP47" s="1158"/>
      <c r="BFQ47" s="1157" t="s">
        <v>814</v>
      </c>
      <c r="BFR47" s="1158"/>
      <c r="BFS47" s="1157" t="s">
        <v>814</v>
      </c>
      <c r="BFT47" s="1158"/>
      <c r="BFU47" s="1157" t="s">
        <v>814</v>
      </c>
      <c r="BFV47" s="1158"/>
      <c r="BFW47" s="1157" t="s">
        <v>814</v>
      </c>
      <c r="BFX47" s="1158"/>
      <c r="BFY47" s="1157" t="s">
        <v>814</v>
      </c>
      <c r="BFZ47" s="1158"/>
      <c r="BGA47" s="1157" t="s">
        <v>814</v>
      </c>
      <c r="BGB47" s="1158"/>
      <c r="BGC47" s="1157" t="s">
        <v>814</v>
      </c>
      <c r="BGD47" s="1158"/>
      <c r="BGE47" s="1157" t="s">
        <v>814</v>
      </c>
      <c r="BGF47" s="1158"/>
      <c r="BGG47" s="1157" t="s">
        <v>814</v>
      </c>
      <c r="BGH47" s="1158"/>
      <c r="BGI47" s="1157" t="s">
        <v>814</v>
      </c>
      <c r="BGJ47" s="1158"/>
      <c r="BGK47" s="1157" t="s">
        <v>814</v>
      </c>
      <c r="BGL47" s="1158"/>
      <c r="BGM47" s="1157" t="s">
        <v>814</v>
      </c>
      <c r="BGN47" s="1158"/>
      <c r="BGO47" s="1157" t="s">
        <v>814</v>
      </c>
      <c r="BGP47" s="1158"/>
      <c r="BGQ47" s="1157" t="s">
        <v>814</v>
      </c>
      <c r="BGR47" s="1158"/>
      <c r="BGS47" s="1157" t="s">
        <v>814</v>
      </c>
      <c r="BGT47" s="1158"/>
      <c r="BGU47" s="1157" t="s">
        <v>814</v>
      </c>
      <c r="BGV47" s="1158"/>
      <c r="BGW47" s="1157" t="s">
        <v>814</v>
      </c>
      <c r="BGX47" s="1158"/>
      <c r="BGY47" s="1157" t="s">
        <v>814</v>
      </c>
      <c r="BGZ47" s="1158"/>
      <c r="BHA47" s="1157" t="s">
        <v>814</v>
      </c>
      <c r="BHB47" s="1158"/>
      <c r="BHC47" s="1157" t="s">
        <v>814</v>
      </c>
      <c r="BHD47" s="1158"/>
      <c r="BHE47" s="1157" t="s">
        <v>814</v>
      </c>
      <c r="BHF47" s="1158"/>
      <c r="BHG47" s="1157" t="s">
        <v>814</v>
      </c>
      <c r="BHH47" s="1158"/>
      <c r="BHI47" s="1157" t="s">
        <v>814</v>
      </c>
      <c r="BHJ47" s="1158"/>
      <c r="BHK47" s="1157" t="s">
        <v>814</v>
      </c>
      <c r="BHL47" s="1158"/>
      <c r="BHM47" s="1157" t="s">
        <v>814</v>
      </c>
      <c r="BHN47" s="1158"/>
      <c r="BHO47" s="1157" t="s">
        <v>814</v>
      </c>
      <c r="BHP47" s="1158"/>
      <c r="BHQ47" s="1157" t="s">
        <v>814</v>
      </c>
      <c r="BHR47" s="1158"/>
      <c r="BHS47" s="1157" t="s">
        <v>814</v>
      </c>
      <c r="BHT47" s="1158"/>
      <c r="BHU47" s="1157" t="s">
        <v>814</v>
      </c>
      <c r="BHV47" s="1158"/>
      <c r="BHW47" s="1157" t="s">
        <v>814</v>
      </c>
      <c r="BHX47" s="1158"/>
      <c r="BHY47" s="1157" t="s">
        <v>814</v>
      </c>
      <c r="BHZ47" s="1158"/>
      <c r="BIA47" s="1157" t="s">
        <v>814</v>
      </c>
      <c r="BIB47" s="1158"/>
      <c r="BIC47" s="1157" t="s">
        <v>814</v>
      </c>
      <c r="BID47" s="1158"/>
      <c r="BIE47" s="1157" t="s">
        <v>814</v>
      </c>
      <c r="BIF47" s="1158"/>
      <c r="BIG47" s="1157" t="s">
        <v>814</v>
      </c>
      <c r="BIH47" s="1158"/>
      <c r="BII47" s="1157" t="s">
        <v>814</v>
      </c>
      <c r="BIJ47" s="1158"/>
      <c r="BIK47" s="1157" t="s">
        <v>814</v>
      </c>
      <c r="BIL47" s="1158"/>
      <c r="BIM47" s="1157" t="s">
        <v>814</v>
      </c>
      <c r="BIN47" s="1158"/>
      <c r="BIO47" s="1157" t="s">
        <v>814</v>
      </c>
      <c r="BIP47" s="1158"/>
      <c r="BIQ47" s="1157" t="s">
        <v>814</v>
      </c>
      <c r="BIR47" s="1158"/>
      <c r="BIS47" s="1157" t="s">
        <v>814</v>
      </c>
      <c r="BIT47" s="1158"/>
      <c r="BIU47" s="1157" t="s">
        <v>814</v>
      </c>
      <c r="BIV47" s="1158"/>
      <c r="BIW47" s="1157" t="s">
        <v>814</v>
      </c>
      <c r="BIX47" s="1158"/>
      <c r="BIY47" s="1157" t="s">
        <v>814</v>
      </c>
      <c r="BIZ47" s="1158"/>
      <c r="BJA47" s="1157" t="s">
        <v>814</v>
      </c>
      <c r="BJB47" s="1158"/>
      <c r="BJC47" s="1157" t="s">
        <v>814</v>
      </c>
      <c r="BJD47" s="1158"/>
      <c r="BJE47" s="1157" t="s">
        <v>814</v>
      </c>
      <c r="BJF47" s="1158"/>
      <c r="BJG47" s="1157" t="s">
        <v>814</v>
      </c>
      <c r="BJH47" s="1158"/>
      <c r="BJI47" s="1157" t="s">
        <v>814</v>
      </c>
      <c r="BJJ47" s="1158"/>
      <c r="BJK47" s="1157" t="s">
        <v>814</v>
      </c>
      <c r="BJL47" s="1158"/>
      <c r="BJM47" s="1157" t="s">
        <v>814</v>
      </c>
      <c r="BJN47" s="1158"/>
      <c r="BJO47" s="1157" t="s">
        <v>814</v>
      </c>
      <c r="BJP47" s="1158"/>
      <c r="BJQ47" s="1157" t="s">
        <v>814</v>
      </c>
      <c r="BJR47" s="1158"/>
      <c r="BJS47" s="1157" t="s">
        <v>814</v>
      </c>
      <c r="BJT47" s="1158"/>
      <c r="BJU47" s="1157" t="s">
        <v>814</v>
      </c>
      <c r="BJV47" s="1158"/>
      <c r="BJW47" s="1157" t="s">
        <v>814</v>
      </c>
      <c r="BJX47" s="1158"/>
      <c r="BJY47" s="1157" t="s">
        <v>814</v>
      </c>
      <c r="BJZ47" s="1158"/>
      <c r="BKA47" s="1157" t="s">
        <v>814</v>
      </c>
      <c r="BKB47" s="1158"/>
      <c r="BKC47" s="1157" t="s">
        <v>814</v>
      </c>
      <c r="BKD47" s="1158"/>
      <c r="BKE47" s="1157" t="s">
        <v>814</v>
      </c>
      <c r="BKF47" s="1158"/>
      <c r="BKG47" s="1157" t="s">
        <v>814</v>
      </c>
      <c r="BKH47" s="1158"/>
      <c r="BKI47" s="1157" t="s">
        <v>814</v>
      </c>
      <c r="BKJ47" s="1158"/>
      <c r="BKK47" s="1157" t="s">
        <v>814</v>
      </c>
      <c r="BKL47" s="1158"/>
      <c r="BKM47" s="1157" t="s">
        <v>814</v>
      </c>
      <c r="BKN47" s="1158"/>
      <c r="BKO47" s="1157" t="s">
        <v>814</v>
      </c>
      <c r="BKP47" s="1158"/>
      <c r="BKQ47" s="1157" t="s">
        <v>814</v>
      </c>
      <c r="BKR47" s="1158"/>
      <c r="BKS47" s="1157" t="s">
        <v>814</v>
      </c>
      <c r="BKT47" s="1158"/>
      <c r="BKU47" s="1157" t="s">
        <v>814</v>
      </c>
      <c r="BKV47" s="1158"/>
      <c r="BKW47" s="1157" t="s">
        <v>814</v>
      </c>
      <c r="BKX47" s="1158"/>
      <c r="BKY47" s="1157" t="s">
        <v>814</v>
      </c>
      <c r="BKZ47" s="1158"/>
      <c r="BLA47" s="1157" t="s">
        <v>814</v>
      </c>
      <c r="BLB47" s="1158"/>
      <c r="BLC47" s="1157" t="s">
        <v>814</v>
      </c>
      <c r="BLD47" s="1158"/>
      <c r="BLE47" s="1157" t="s">
        <v>814</v>
      </c>
      <c r="BLF47" s="1158"/>
      <c r="BLG47" s="1157" t="s">
        <v>814</v>
      </c>
      <c r="BLH47" s="1158"/>
      <c r="BLI47" s="1157" t="s">
        <v>814</v>
      </c>
      <c r="BLJ47" s="1158"/>
      <c r="BLK47" s="1157" t="s">
        <v>814</v>
      </c>
      <c r="BLL47" s="1158"/>
      <c r="BLM47" s="1157" t="s">
        <v>814</v>
      </c>
      <c r="BLN47" s="1158"/>
      <c r="BLO47" s="1157" t="s">
        <v>814</v>
      </c>
      <c r="BLP47" s="1158"/>
      <c r="BLQ47" s="1157" t="s">
        <v>814</v>
      </c>
      <c r="BLR47" s="1158"/>
      <c r="BLS47" s="1157" t="s">
        <v>814</v>
      </c>
      <c r="BLT47" s="1158"/>
      <c r="BLU47" s="1157" t="s">
        <v>814</v>
      </c>
      <c r="BLV47" s="1158"/>
      <c r="BLW47" s="1157" t="s">
        <v>814</v>
      </c>
      <c r="BLX47" s="1158"/>
      <c r="BLY47" s="1157" t="s">
        <v>814</v>
      </c>
      <c r="BLZ47" s="1158"/>
      <c r="BMA47" s="1157" t="s">
        <v>814</v>
      </c>
      <c r="BMB47" s="1158"/>
      <c r="BMC47" s="1157" t="s">
        <v>814</v>
      </c>
      <c r="BMD47" s="1158"/>
      <c r="BME47" s="1157" t="s">
        <v>814</v>
      </c>
      <c r="BMF47" s="1158"/>
      <c r="BMG47" s="1157" t="s">
        <v>814</v>
      </c>
      <c r="BMH47" s="1158"/>
      <c r="BMI47" s="1157" t="s">
        <v>814</v>
      </c>
      <c r="BMJ47" s="1158"/>
      <c r="BMK47" s="1157" t="s">
        <v>814</v>
      </c>
      <c r="BML47" s="1158"/>
      <c r="BMM47" s="1157" t="s">
        <v>814</v>
      </c>
      <c r="BMN47" s="1158"/>
      <c r="BMO47" s="1157" t="s">
        <v>814</v>
      </c>
      <c r="BMP47" s="1158"/>
      <c r="BMQ47" s="1157" t="s">
        <v>814</v>
      </c>
      <c r="BMR47" s="1158"/>
      <c r="BMS47" s="1157" t="s">
        <v>814</v>
      </c>
      <c r="BMT47" s="1158"/>
      <c r="BMU47" s="1157" t="s">
        <v>814</v>
      </c>
      <c r="BMV47" s="1158"/>
      <c r="BMW47" s="1157" t="s">
        <v>814</v>
      </c>
      <c r="BMX47" s="1158"/>
      <c r="BMY47" s="1157" t="s">
        <v>814</v>
      </c>
      <c r="BMZ47" s="1158"/>
      <c r="BNA47" s="1157" t="s">
        <v>814</v>
      </c>
      <c r="BNB47" s="1158"/>
      <c r="BNC47" s="1157" t="s">
        <v>814</v>
      </c>
      <c r="BND47" s="1158"/>
      <c r="BNE47" s="1157" t="s">
        <v>814</v>
      </c>
      <c r="BNF47" s="1158"/>
      <c r="BNG47" s="1157" t="s">
        <v>814</v>
      </c>
      <c r="BNH47" s="1158"/>
      <c r="BNI47" s="1157" t="s">
        <v>814</v>
      </c>
      <c r="BNJ47" s="1158"/>
      <c r="BNK47" s="1157" t="s">
        <v>814</v>
      </c>
      <c r="BNL47" s="1158"/>
      <c r="BNM47" s="1157" t="s">
        <v>814</v>
      </c>
      <c r="BNN47" s="1158"/>
      <c r="BNO47" s="1157" t="s">
        <v>814</v>
      </c>
      <c r="BNP47" s="1158"/>
      <c r="BNQ47" s="1157" t="s">
        <v>814</v>
      </c>
      <c r="BNR47" s="1158"/>
      <c r="BNS47" s="1157" t="s">
        <v>814</v>
      </c>
      <c r="BNT47" s="1158"/>
      <c r="BNU47" s="1157" t="s">
        <v>814</v>
      </c>
      <c r="BNV47" s="1158"/>
      <c r="BNW47" s="1157" t="s">
        <v>814</v>
      </c>
      <c r="BNX47" s="1158"/>
      <c r="BNY47" s="1157" t="s">
        <v>814</v>
      </c>
      <c r="BNZ47" s="1158"/>
      <c r="BOA47" s="1157" t="s">
        <v>814</v>
      </c>
      <c r="BOB47" s="1158"/>
      <c r="BOC47" s="1157" t="s">
        <v>814</v>
      </c>
      <c r="BOD47" s="1158"/>
      <c r="BOE47" s="1157" t="s">
        <v>814</v>
      </c>
      <c r="BOF47" s="1158"/>
      <c r="BOG47" s="1157" t="s">
        <v>814</v>
      </c>
      <c r="BOH47" s="1158"/>
      <c r="BOI47" s="1157" t="s">
        <v>814</v>
      </c>
      <c r="BOJ47" s="1158"/>
      <c r="BOK47" s="1157" t="s">
        <v>814</v>
      </c>
      <c r="BOL47" s="1158"/>
      <c r="BOM47" s="1157" t="s">
        <v>814</v>
      </c>
      <c r="BON47" s="1158"/>
      <c r="BOO47" s="1157" t="s">
        <v>814</v>
      </c>
      <c r="BOP47" s="1158"/>
      <c r="BOQ47" s="1157" t="s">
        <v>814</v>
      </c>
      <c r="BOR47" s="1158"/>
      <c r="BOS47" s="1157" t="s">
        <v>814</v>
      </c>
      <c r="BOT47" s="1158"/>
      <c r="BOU47" s="1157" t="s">
        <v>814</v>
      </c>
      <c r="BOV47" s="1158"/>
      <c r="BOW47" s="1157" t="s">
        <v>814</v>
      </c>
      <c r="BOX47" s="1158"/>
      <c r="BOY47" s="1157" t="s">
        <v>814</v>
      </c>
      <c r="BOZ47" s="1158"/>
      <c r="BPA47" s="1157" t="s">
        <v>814</v>
      </c>
      <c r="BPB47" s="1158"/>
      <c r="BPC47" s="1157" t="s">
        <v>814</v>
      </c>
      <c r="BPD47" s="1158"/>
      <c r="BPE47" s="1157" t="s">
        <v>814</v>
      </c>
      <c r="BPF47" s="1158"/>
      <c r="BPG47" s="1157" t="s">
        <v>814</v>
      </c>
      <c r="BPH47" s="1158"/>
      <c r="BPI47" s="1157" t="s">
        <v>814</v>
      </c>
      <c r="BPJ47" s="1158"/>
      <c r="BPK47" s="1157" t="s">
        <v>814</v>
      </c>
      <c r="BPL47" s="1158"/>
      <c r="BPM47" s="1157" t="s">
        <v>814</v>
      </c>
      <c r="BPN47" s="1158"/>
      <c r="BPO47" s="1157" t="s">
        <v>814</v>
      </c>
      <c r="BPP47" s="1158"/>
      <c r="BPQ47" s="1157" t="s">
        <v>814</v>
      </c>
      <c r="BPR47" s="1158"/>
      <c r="BPS47" s="1157" t="s">
        <v>814</v>
      </c>
      <c r="BPT47" s="1158"/>
      <c r="BPU47" s="1157" t="s">
        <v>814</v>
      </c>
      <c r="BPV47" s="1158"/>
      <c r="BPW47" s="1157" t="s">
        <v>814</v>
      </c>
      <c r="BPX47" s="1158"/>
      <c r="BPY47" s="1157" t="s">
        <v>814</v>
      </c>
      <c r="BPZ47" s="1158"/>
      <c r="BQA47" s="1157" t="s">
        <v>814</v>
      </c>
      <c r="BQB47" s="1158"/>
      <c r="BQC47" s="1157" t="s">
        <v>814</v>
      </c>
      <c r="BQD47" s="1158"/>
      <c r="BQE47" s="1157" t="s">
        <v>814</v>
      </c>
      <c r="BQF47" s="1158"/>
      <c r="BQG47" s="1157" t="s">
        <v>814</v>
      </c>
      <c r="BQH47" s="1158"/>
      <c r="BQI47" s="1157" t="s">
        <v>814</v>
      </c>
      <c r="BQJ47" s="1158"/>
      <c r="BQK47" s="1157" t="s">
        <v>814</v>
      </c>
      <c r="BQL47" s="1158"/>
      <c r="BQM47" s="1157" t="s">
        <v>814</v>
      </c>
      <c r="BQN47" s="1158"/>
      <c r="BQO47" s="1157" t="s">
        <v>814</v>
      </c>
      <c r="BQP47" s="1158"/>
      <c r="BQQ47" s="1157" t="s">
        <v>814</v>
      </c>
      <c r="BQR47" s="1158"/>
      <c r="BQS47" s="1157" t="s">
        <v>814</v>
      </c>
      <c r="BQT47" s="1158"/>
      <c r="BQU47" s="1157" t="s">
        <v>814</v>
      </c>
      <c r="BQV47" s="1158"/>
      <c r="BQW47" s="1157" t="s">
        <v>814</v>
      </c>
      <c r="BQX47" s="1158"/>
      <c r="BQY47" s="1157" t="s">
        <v>814</v>
      </c>
      <c r="BQZ47" s="1158"/>
      <c r="BRA47" s="1157" t="s">
        <v>814</v>
      </c>
      <c r="BRB47" s="1158"/>
      <c r="BRC47" s="1157" t="s">
        <v>814</v>
      </c>
      <c r="BRD47" s="1158"/>
      <c r="BRE47" s="1157" t="s">
        <v>814</v>
      </c>
      <c r="BRF47" s="1158"/>
      <c r="BRG47" s="1157" t="s">
        <v>814</v>
      </c>
      <c r="BRH47" s="1158"/>
      <c r="BRI47" s="1157" t="s">
        <v>814</v>
      </c>
      <c r="BRJ47" s="1158"/>
      <c r="BRK47" s="1157" t="s">
        <v>814</v>
      </c>
      <c r="BRL47" s="1158"/>
      <c r="BRM47" s="1157" t="s">
        <v>814</v>
      </c>
      <c r="BRN47" s="1158"/>
      <c r="BRO47" s="1157" t="s">
        <v>814</v>
      </c>
      <c r="BRP47" s="1158"/>
      <c r="BRQ47" s="1157" t="s">
        <v>814</v>
      </c>
      <c r="BRR47" s="1158"/>
      <c r="BRS47" s="1157" t="s">
        <v>814</v>
      </c>
      <c r="BRT47" s="1158"/>
      <c r="BRU47" s="1157" t="s">
        <v>814</v>
      </c>
      <c r="BRV47" s="1158"/>
      <c r="BRW47" s="1157" t="s">
        <v>814</v>
      </c>
      <c r="BRX47" s="1158"/>
      <c r="BRY47" s="1157" t="s">
        <v>814</v>
      </c>
      <c r="BRZ47" s="1158"/>
      <c r="BSA47" s="1157" t="s">
        <v>814</v>
      </c>
      <c r="BSB47" s="1158"/>
      <c r="BSC47" s="1157" t="s">
        <v>814</v>
      </c>
      <c r="BSD47" s="1158"/>
      <c r="BSE47" s="1157" t="s">
        <v>814</v>
      </c>
      <c r="BSF47" s="1158"/>
      <c r="BSG47" s="1157" t="s">
        <v>814</v>
      </c>
      <c r="BSH47" s="1158"/>
      <c r="BSI47" s="1157" t="s">
        <v>814</v>
      </c>
      <c r="BSJ47" s="1158"/>
      <c r="BSK47" s="1157" t="s">
        <v>814</v>
      </c>
      <c r="BSL47" s="1158"/>
      <c r="BSM47" s="1157" t="s">
        <v>814</v>
      </c>
      <c r="BSN47" s="1158"/>
      <c r="BSO47" s="1157" t="s">
        <v>814</v>
      </c>
      <c r="BSP47" s="1158"/>
      <c r="BSQ47" s="1157" t="s">
        <v>814</v>
      </c>
      <c r="BSR47" s="1158"/>
      <c r="BSS47" s="1157" t="s">
        <v>814</v>
      </c>
      <c r="BST47" s="1158"/>
      <c r="BSU47" s="1157" t="s">
        <v>814</v>
      </c>
      <c r="BSV47" s="1158"/>
      <c r="BSW47" s="1157" t="s">
        <v>814</v>
      </c>
      <c r="BSX47" s="1158"/>
      <c r="BSY47" s="1157" t="s">
        <v>814</v>
      </c>
      <c r="BSZ47" s="1158"/>
      <c r="BTA47" s="1157" t="s">
        <v>814</v>
      </c>
      <c r="BTB47" s="1158"/>
      <c r="BTC47" s="1157" t="s">
        <v>814</v>
      </c>
      <c r="BTD47" s="1158"/>
      <c r="BTE47" s="1157" t="s">
        <v>814</v>
      </c>
      <c r="BTF47" s="1158"/>
      <c r="BTG47" s="1157" t="s">
        <v>814</v>
      </c>
      <c r="BTH47" s="1158"/>
      <c r="BTI47" s="1157" t="s">
        <v>814</v>
      </c>
      <c r="BTJ47" s="1158"/>
      <c r="BTK47" s="1157" t="s">
        <v>814</v>
      </c>
      <c r="BTL47" s="1158"/>
      <c r="BTM47" s="1157" t="s">
        <v>814</v>
      </c>
      <c r="BTN47" s="1158"/>
      <c r="BTO47" s="1157" t="s">
        <v>814</v>
      </c>
      <c r="BTP47" s="1158"/>
      <c r="BTQ47" s="1157" t="s">
        <v>814</v>
      </c>
      <c r="BTR47" s="1158"/>
      <c r="BTS47" s="1157" t="s">
        <v>814</v>
      </c>
      <c r="BTT47" s="1158"/>
      <c r="BTU47" s="1157" t="s">
        <v>814</v>
      </c>
      <c r="BTV47" s="1158"/>
      <c r="BTW47" s="1157" t="s">
        <v>814</v>
      </c>
      <c r="BTX47" s="1158"/>
      <c r="BTY47" s="1157" t="s">
        <v>814</v>
      </c>
      <c r="BTZ47" s="1158"/>
      <c r="BUA47" s="1157" t="s">
        <v>814</v>
      </c>
      <c r="BUB47" s="1158"/>
      <c r="BUC47" s="1157" t="s">
        <v>814</v>
      </c>
      <c r="BUD47" s="1158"/>
      <c r="BUE47" s="1157" t="s">
        <v>814</v>
      </c>
      <c r="BUF47" s="1158"/>
      <c r="BUG47" s="1157" t="s">
        <v>814</v>
      </c>
      <c r="BUH47" s="1158"/>
      <c r="BUI47" s="1157" t="s">
        <v>814</v>
      </c>
      <c r="BUJ47" s="1158"/>
      <c r="BUK47" s="1157" t="s">
        <v>814</v>
      </c>
      <c r="BUL47" s="1158"/>
      <c r="BUM47" s="1157" t="s">
        <v>814</v>
      </c>
      <c r="BUN47" s="1158"/>
      <c r="BUO47" s="1157" t="s">
        <v>814</v>
      </c>
      <c r="BUP47" s="1158"/>
      <c r="BUQ47" s="1157" t="s">
        <v>814</v>
      </c>
      <c r="BUR47" s="1158"/>
      <c r="BUS47" s="1157" t="s">
        <v>814</v>
      </c>
      <c r="BUT47" s="1158"/>
      <c r="BUU47" s="1157" t="s">
        <v>814</v>
      </c>
      <c r="BUV47" s="1158"/>
      <c r="BUW47" s="1157" t="s">
        <v>814</v>
      </c>
      <c r="BUX47" s="1158"/>
      <c r="BUY47" s="1157" t="s">
        <v>814</v>
      </c>
      <c r="BUZ47" s="1158"/>
      <c r="BVA47" s="1157" t="s">
        <v>814</v>
      </c>
      <c r="BVB47" s="1158"/>
      <c r="BVC47" s="1157" t="s">
        <v>814</v>
      </c>
      <c r="BVD47" s="1158"/>
      <c r="BVE47" s="1157" t="s">
        <v>814</v>
      </c>
      <c r="BVF47" s="1158"/>
      <c r="BVG47" s="1157" t="s">
        <v>814</v>
      </c>
      <c r="BVH47" s="1158"/>
      <c r="BVI47" s="1157" t="s">
        <v>814</v>
      </c>
      <c r="BVJ47" s="1158"/>
      <c r="BVK47" s="1157" t="s">
        <v>814</v>
      </c>
      <c r="BVL47" s="1158"/>
      <c r="BVM47" s="1157" t="s">
        <v>814</v>
      </c>
      <c r="BVN47" s="1158"/>
      <c r="BVO47" s="1157" t="s">
        <v>814</v>
      </c>
      <c r="BVP47" s="1158"/>
      <c r="BVQ47" s="1157" t="s">
        <v>814</v>
      </c>
      <c r="BVR47" s="1158"/>
      <c r="BVS47" s="1157" t="s">
        <v>814</v>
      </c>
      <c r="BVT47" s="1158"/>
      <c r="BVU47" s="1157" t="s">
        <v>814</v>
      </c>
      <c r="BVV47" s="1158"/>
      <c r="BVW47" s="1157" t="s">
        <v>814</v>
      </c>
      <c r="BVX47" s="1158"/>
      <c r="BVY47" s="1157" t="s">
        <v>814</v>
      </c>
      <c r="BVZ47" s="1158"/>
      <c r="BWA47" s="1157" t="s">
        <v>814</v>
      </c>
      <c r="BWB47" s="1158"/>
      <c r="BWC47" s="1157" t="s">
        <v>814</v>
      </c>
      <c r="BWD47" s="1158"/>
      <c r="BWE47" s="1157" t="s">
        <v>814</v>
      </c>
      <c r="BWF47" s="1158"/>
      <c r="BWG47" s="1157" t="s">
        <v>814</v>
      </c>
      <c r="BWH47" s="1158"/>
      <c r="BWI47" s="1157" t="s">
        <v>814</v>
      </c>
      <c r="BWJ47" s="1158"/>
      <c r="BWK47" s="1157" t="s">
        <v>814</v>
      </c>
      <c r="BWL47" s="1158"/>
      <c r="BWM47" s="1157" t="s">
        <v>814</v>
      </c>
      <c r="BWN47" s="1158"/>
      <c r="BWO47" s="1157" t="s">
        <v>814</v>
      </c>
      <c r="BWP47" s="1158"/>
      <c r="BWQ47" s="1157" t="s">
        <v>814</v>
      </c>
      <c r="BWR47" s="1158"/>
      <c r="BWS47" s="1157" t="s">
        <v>814</v>
      </c>
      <c r="BWT47" s="1158"/>
      <c r="BWU47" s="1157" t="s">
        <v>814</v>
      </c>
      <c r="BWV47" s="1158"/>
      <c r="BWW47" s="1157" t="s">
        <v>814</v>
      </c>
      <c r="BWX47" s="1158"/>
      <c r="BWY47" s="1157" t="s">
        <v>814</v>
      </c>
      <c r="BWZ47" s="1158"/>
      <c r="BXA47" s="1157" t="s">
        <v>814</v>
      </c>
      <c r="BXB47" s="1158"/>
      <c r="BXC47" s="1157" t="s">
        <v>814</v>
      </c>
      <c r="BXD47" s="1158"/>
      <c r="BXE47" s="1157" t="s">
        <v>814</v>
      </c>
      <c r="BXF47" s="1158"/>
      <c r="BXG47" s="1157" t="s">
        <v>814</v>
      </c>
      <c r="BXH47" s="1158"/>
      <c r="BXI47" s="1157" t="s">
        <v>814</v>
      </c>
      <c r="BXJ47" s="1158"/>
      <c r="BXK47" s="1157" t="s">
        <v>814</v>
      </c>
      <c r="BXL47" s="1158"/>
      <c r="BXM47" s="1157" t="s">
        <v>814</v>
      </c>
      <c r="BXN47" s="1158"/>
      <c r="BXO47" s="1157" t="s">
        <v>814</v>
      </c>
      <c r="BXP47" s="1158"/>
      <c r="BXQ47" s="1157" t="s">
        <v>814</v>
      </c>
      <c r="BXR47" s="1158"/>
      <c r="BXS47" s="1157" t="s">
        <v>814</v>
      </c>
      <c r="BXT47" s="1158"/>
      <c r="BXU47" s="1157" t="s">
        <v>814</v>
      </c>
      <c r="BXV47" s="1158"/>
      <c r="BXW47" s="1157" t="s">
        <v>814</v>
      </c>
      <c r="BXX47" s="1158"/>
      <c r="BXY47" s="1157" t="s">
        <v>814</v>
      </c>
      <c r="BXZ47" s="1158"/>
      <c r="BYA47" s="1157" t="s">
        <v>814</v>
      </c>
      <c r="BYB47" s="1158"/>
      <c r="BYC47" s="1157" t="s">
        <v>814</v>
      </c>
      <c r="BYD47" s="1158"/>
      <c r="BYE47" s="1157" t="s">
        <v>814</v>
      </c>
      <c r="BYF47" s="1158"/>
      <c r="BYG47" s="1157" t="s">
        <v>814</v>
      </c>
      <c r="BYH47" s="1158"/>
      <c r="BYI47" s="1157" t="s">
        <v>814</v>
      </c>
      <c r="BYJ47" s="1158"/>
      <c r="BYK47" s="1157" t="s">
        <v>814</v>
      </c>
      <c r="BYL47" s="1158"/>
      <c r="BYM47" s="1157" t="s">
        <v>814</v>
      </c>
      <c r="BYN47" s="1158"/>
      <c r="BYO47" s="1157" t="s">
        <v>814</v>
      </c>
      <c r="BYP47" s="1158"/>
      <c r="BYQ47" s="1157" t="s">
        <v>814</v>
      </c>
      <c r="BYR47" s="1158"/>
      <c r="BYS47" s="1157" t="s">
        <v>814</v>
      </c>
      <c r="BYT47" s="1158"/>
      <c r="BYU47" s="1157" t="s">
        <v>814</v>
      </c>
      <c r="BYV47" s="1158"/>
      <c r="BYW47" s="1157" t="s">
        <v>814</v>
      </c>
      <c r="BYX47" s="1158"/>
      <c r="BYY47" s="1157" t="s">
        <v>814</v>
      </c>
      <c r="BYZ47" s="1158"/>
      <c r="BZA47" s="1157" t="s">
        <v>814</v>
      </c>
      <c r="BZB47" s="1158"/>
      <c r="BZC47" s="1157" t="s">
        <v>814</v>
      </c>
      <c r="BZD47" s="1158"/>
      <c r="BZE47" s="1157" t="s">
        <v>814</v>
      </c>
      <c r="BZF47" s="1158"/>
      <c r="BZG47" s="1157" t="s">
        <v>814</v>
      </c>
      <c r="BZH47" s="1158"/>
      <c r="BZI47" s="1157" t="s">
        <v>814</v>
      </c>
      <c r="BZJ47" s="1158"/>
      <c r="BZK47" s="1157" t="s">
        <v>814</v>
      </c>
      <c r="BZL47" s="1158"/>
      <c r="BZM47" s="1157" t="s">
        <v>814</v>
      </c>
      <c r="BZN47" s="1158"/>
      <c r="BZO47" s="1157" t="s">
        <v>814</v>
      </c>
      <c r="BZP47" s="1158"/>
      <c r="BZQ47" s="1157" t="s">
        <v>814</v>
      </c>
      <c r="BZR47" s="1158"/>
      <c r="BZS47" s="1157" t="s">
        <v>814</v>
      </c>
      <c r="BZT47" s="1158"/>
      <c r="BZU47" s="1157" t="s">
        <v>814</v>
      </c>
      <c r="BZV47" s="1158"/>
      <c r="BZW47" s="1157" t="s">
        <v>814</v>
      </c>
      <c r="BZX47" s="1158"/>
      <c r="BZY47" s="1157" t="s">
        <v>814</v>
      </c>
      <c r="BZZ47" s="1158"/>
      <c r="CAA47" s="1157" t="s">
        <v>814</v>
      </c>
      <c r="CAB47" s="1158"/>
      <c r="CAC47" s="1157" t="s">
        <v>814</v>
      </c>
      <c r="CAD47" s="1158"/>
      <c r="CAE47" s="1157" t="s">
        <v>814</v>
      </c>
      <c r="CAF47" s="1158"/>
      <c r="CAG47" s="1157" t="s">
        <v>814</v>
      </c>
      <c r="CAH47" s="1158"/>
      <c r="CAI47" s="1157" t="s">
        <v>814</v>
      </c>
      <c r="CAJ47" s="1158"/>
      <c r="CAK47" s="1157" t="s">
        <v>814</v>
      </c>
      <c r="CAL47" s="1158"/>
      <c r="CAM47" s="1157" t="s">
        <v>814</v>
      </c>
      <c r="CAN47" s="1158"/>
      <c r="CAO47" s="1157" t="s">
        <v>814</v>
      </c>
      <c r="CAP47" s="1158"/>
      <c r="CAQ47" s="1157" t="s">
        <v>814</v>
      </c>
      <c r="CAR47" s="1158"/>
      <c r="CAS47" s="1157" t="s">
        <v>814</v>
      </c>
      <c r="CAT47" s="1158"/>
      <c r="CAU47" s="1157" t="s">
        <v>814</v>
      </c>
      <c r="CAV47" s="1158"/>
      <c r="CAW47" s="1157" t="s">
        <v>814</v>
      </c>
      <c r="CAX47" s="1158"/>
      <c r="CAY47" s="1157" t="s">
        <v>814</v>
      </c>
      <c r="CAZ47" s="1158"/>
      <c r="CBA47" s="1157" t="s">
        <v>814</v>
      </c>
      <c r="CBB47" s="1158"/>
      <c r="CBC47" s="1157" t="s">
        <v>814</v>
      </c>
      <c r="CBD47" s="1158"/>
      <c r="CBE47" s="1157" t="s">
        <v>814</v>
      </c>
      <c r="CBF47" s="1158"/>
      <c r="CBG47" s="1157" t="s">
        <v>814</v>
      </c>
      <c r="CBH47" s="1158"/>
      <c r="CBI47" s="1157" t="s">
        <v>814</v>
      </c>
      <c r="CBJ47" s="1158"/>
      <c r="CBK47" s="1157" t="s">
        <v>814</v>
      </c>
      <c r="CBL47" s="1158"/>
      <c r="CBM47" s="1157" t="s">
        <v>814</v>
      </c>
      <c r="CBN47" s="1158"/>
      <c r="CBO47" s="1157" t="s">
        <v>814</v>
      </c>
      <c r="CBP47" s="1158"/>
      <c r="CBQ47" s="1157" t="s">
        <v>814</v>
      </c>
      <c r="CBR47" s="1158"/>
      <c r="CBS47" s="1157" t="s">
        <v>814</v>
      </c>
      <c r="CBT47" s="1158"/>
      <c r="CBU47" s="1157" t="s">
        <v>814</v>
      </c>
      <c r="CBV47" s="1158"/>
      <c r="CBW47" s="1157" t="s">
        <v>814</v>
      </c>
      <c r="CBX47" s="1158"/>
      <c r="CBY47" s="1157" t="s">
        <v>814</v>
      </c>
      <c r="CBZ47" s="1158"/>
      <c r="CCA47" s="1157" t="s">
        <v>814</v>
      </c>
      <c r="CCB47" s="1158"/>
      <c r="CCC47" s="1157" t="s">
        <v>814</v>
      </c>
      <c r="CCD47" s="1158"/>
      <c r="CCE47" s="1157" t="s">
        <v>814</v>
      </c>
      <c r="CCF47" s="1158"/>
      <c r="CCG47" s="1157" t="s">
        <v>814</v>
      </c>
      <c r="CCH47" s="1158"/>
      <c r="CCI47" s="1157" t="s">
        <v>814</v>
      </c>
      <c r="CCJ47" s="1158"/>
      <c r="CCK47" s="1157" t="s">
        <v>814</v>
      </c>
      <c r="CCL47" s="1158"/>
      <c r="CCM47" s="1157" t="s">
        <v>814</v>
      </c>
      <c r="CCN47" s="1158"/>
      <c r="CCO47" s="1157" t="s">
        <v>814</v>
      </c>
      <c r="CCP47" s="1158"/>
      <c r="CCQ47" s="1157" t="s">
        <v>814</v>
      </c>
      <c r="CCR47" s="1158"/>
      <c r="CCS47" s="1157" t="s">
        <v>814</v>
      </c>
      <c r="CCT47" s="1158"/>
      <c r="CCU47" s="1157" t="s">
        <v>814</v>
      </c>
      <c r="CCV47" s="1158"/>
      <c r="CCW47" s="1157" t="s">
        <v>814</v>
      </c>
      <c r="CCX47" s="1158"/>
      <c r="CCY47" s="1157" t="s">
        <v>814</v>
      </c>
      <c r="CCZ47" s="1158"/>
      <c r="CDA47" s="1157" t="s">
        <v>814</v>
      </c>
      <c r="CDB47" s="1158"/>
      <c r="CDC47" s="1157" t="s">
        <v>814</v>
      </c>
      <c r="CDD47" s="1158"/>
      <c r="CDE47" s="1157" t="s">
        <v>814</v>
      </c>
      <c r="CDF47" s="1158"/>
      <c r="CDG47" s="1157" t="s">
        <v>814</v>
      </c>
      <c r="CDH47" s="1158"/>
      <c r="CDI47" s="1157" t="s">
        <v>814</v>
      </c>
      <c r="CDJ47" s="1158"/>
      <c r="CDK47" s="1157" t="s">
        <v>814</v>
      </c>
      <c r="CDL47" s="1158"/>
      <c r="CDM47" s="1157" t="s">
        <v>814</v>
      </c>
      <c r="CDN47" s="1158"/>
      <c r="CDO47" s="1157" t="s">
        <v>814</v>
      </c>
      <c r="CDP47" s="1158"/>
      <c r="CDQ47" s="1157" t="s">
        <v>814</v>
      </c>
      <c r="CDR47" s="1158"/>
      <c r="CDS47" s="1157" t="s">
        <v>814</v>
      </c>
      <c r="CDT47" s="1158"/>
      <c r="CDU47" s="1157" t="s">
        <v>814</v>
      </c>
      <c r="CDV47" s="1158"/>
      <c r="CDW47" s="1157" t="s">
        <v>814</v>
      </c>
      <c r="CDX47" s="1158"/>
      <c r="CDY47" s="1157" t="s">
        <v>814</v>
      </c>
      <c r="CDZ47" s="1158"/>
      <c r="CEA47" s="1157" t="s">
        <v>814</v>
      </c>
      <c r="CEB47" s="1158"/>
      <c r="CEC47" s="1157" t="s">
        <v>814</v>
      </c>
      <c r="CED47" s="1158"/>
      <c r="CEE47" s="1157" t="s">
        <v>814</v>
      </c>
      <c r="CEF47" s="1158"/>
      <c r="CEG47" s="1157" t="s">
        <v>814</v>
      </c>
      <c r="CEH47" s="1158"/>
      <c r="CEI47" s="1157" t="s">
        <v>814</v>
      </c>
      <c r="CEJ47" s="1158"/>
      <c r="CEK47" s="1157" t="s">
        <v>814</v>
      </c>
      <c r="CEL47" s="1158"/>
      <c r="CEM47" s="1157" t="s">
        <v>814</v>
      </c>
      <c r="CEN47" s="1158"/>
      <c r="CEO47" s="1157" t="s">
        <v>814</v>
      </c>
      <c r="CEP47" s="1158"/>
      <c r="CEQ47" s="1157" t="s">
        <v>814</v>
      </c>
      <c r="CER47" s="1158"/>
      <c r="CES47" s="1157" t="s">
        <v>814</v>
      </c>
      <c r="CET47" s="1158"/>
      <c r="CEU47" s="1157" t="s">
        <v>814</v>
      </c>
      <c r="CEV47" s="1158"/>
      <c r="CEW47" s="1157" t="s">
        <v>814</v>
      </c>
      <c r="CEX47" s="1158"/>
      <c r="CEY47" s="1157" t="s">
        <v>814</v>
      </c>
      <c r="CEZ47" s="1158"/>
      <c r="CFA47" s="1157" t="s">
        <v>814</v>
      </c>
      <c r="CFB47" s="1158"/>
      <c r="CFC47" s="1157" t="s">
        <v>814</v>
      </c>
      <c r="CFD47" s="1158"/>
      <c r="CFE47" s="1157" t="s">
        <v>814</v>
      </c>
      <c r="CFF47" s="1158"/>
      <c r="CFG47" s="1157" t="s">
        <v>814</v>
      </c>
      <c r="CFH47" s="1158"/>
      <c r="CFI47" s="1157" t="s">
        <v>814</v>
      </c>
      <c r="CFJ47" s="1158"/>
      <c r="CFK47" s="1157" t="s">
        <v>814</v>
      </c>
      <c r="CFL47" s="1158"/>
      <c r="CFM47" s="1157" t="s">
        <v>814</v>
      </c>
      <c r="CFN47" s="1158"/>
      <c r="CFO47" s="1157" t="s">
        <v>814</v>
      </c>
      <c r="CFP47" s="1158"/>
      <c r="CFQ47" s="1157" t="s">
        <v>814</v>
      </c>
      <c r="CFR47" s="1158"/>
      <c r="CFS47" s="1157" t="s">
        <v>814</v>
      </c>
      <c r="CFT47" s="1158"/>
      <c r="CFU47" s="1157" t="s">
        <v>814</v>
      </c>
      <c r="CFV47" s="1158"/>
      <c r="CFW47" s="1157" t="s">
        <v>814</v>
      </c>
      <c r="CFX47" s="1158"/>
      <c r="CFY47" s="1157" t="s">
        <v>814</v>
      </c>
      <c r="CFZ47" s="1158"/>
      <c r="CGA47" s="1157" t="s">
        <v>814</v>
      </c>
      <c r="CGB47" s="1158"/>
      <c r="CGC47" s="1157" t="s">
        <v>814</v>
      </c>
      <c r="CGD47" s="1158"/>
      <c r="CGE47" s="1157" t="s">
        <v>814</v>
      </c>
      <c r="CGF47" s="1158"/>
      <c r="CGG47" s="1157" t="s">
        <v>814</v>
      </c>
      <c r="CGH47" s="1158"/>
      <c r="CGI47" s="1157" t="s">
        <v>814</v>
      </c>
      <c r="CGJ47" s="1158"/>
      <c r="CGK47" s="1157" t="s">
        <v>814</v>
      </c>
      <c r="CGL47" s="1158"/>
      <c r="CGM47" s="1157" t="s">
        <v>814</v>
      </c>
      <c r="CGN47" s="1158"/>
      <c r="CGO47" s="1157" t="s">
        <v>814</v>
      </c>
      <c r="CGP47" s="1158"/>
      <c r="CGQ47" s="1157" t="s">
        <v>814</v>
      </c>
      <c r="CGR47" s="1158"/>
      <c r="CGS47" s="1157" t="s">
        <v>814</v>
      </c>
      <c r="CGT47" s="1158"/>
      <c r="CGU47" s="1157" t="s">
        <v>814</v>
      </c>
      <c r="CGV47" s="1158"/>
      <c r="CGW47" s="1157" t="s">
        <v>814</v>
      </c>
      <c r="CGX47" s="1158"/>
      <c r="CGY47" s="1157" t="s">
        <v>814</v>
      </c>
      <c r="CGZ47" s="1158"/>
      <c r="CHA47" s="1157" t="s">
        <v>814</v>
      </c>
      <c r="CHB47" s="1158"/>
      <c r="CHC47" s="1157" t="s">
        <v>814</v>
      </c>
      <c r="CHD47" s="1158"/>
      <c r="CHE47" s="1157" t="s">
        <v>814</v>
      </c>
      <c r="CHF47" s="1158"/>
      <c r="CHG47" s="1157" t="s">
        <v>814</v>
      </c>
      <c r="CHH47" s="1158"/>
      <c r="CHI47" s="1157" t="s">
        <v>814</v>
      </c>
      <c r="CHJ47" s="1158"/>
      <c r="CHK47" s="1157" t="s">
        <v>814</v>
      </c>
      <c r="CHL47" s="1158"/>
      <c r="CHM47" s="1157" t="s">
        <v>814</v>
      </c>
      <c r="CHN47" s="1158"/>
      <c r="CHO47" s="1157" t="s">
        <v>814</v>
      </c>
      <c r="CHP47" s="1158"/>
      <c r="CHQ47" s="1157" t="s">
        <v>814</v>
      </c>
      <c r="CHR47" s="1158"/>
      <c r="CHS47" s="1157" t="s">
        <v>814</v>
      </c>
      <c r="CHT47" s="1158"/>
      <c r="CHU47" s="1157" t="s">
        <v>814</v>
      </c>
      <c r="CHV47" s="1158"/>
      <c r="CHW47" s="1157" t="s">
        <v>814</v>
      </c>
      <c r="CHX47" s="1158"/>
      <c r="CHY47" s="1157" t="s">
        <v>814</v>
      </c>
      <c r="CHZ47" s="1158"/>
      <c r="CIA47" s="1157" t="s">
        <v>814</v>
      </c>
      <c r="CIB47" s="1158"/>
      <c r="CIC47" s="1157" t="s">
        <v>814</v>
      </c>
      <c r="CID47" s="1158"/>
      <c r="CIE47" s="1157" t="s">
        <v>814</v>
      </c>
      <c r="CIF47" s="1158"/>
      <c r="CIG47" s="1157" t="s">
        <v>814</v>
      </c>
      <c r="CIH47" s="1158"/>
      <c r="CII47" s="1157" t="s">
        <v>814</v>
      </c>
      <c r="CIJ47" s="1158"/>
      <c r="CIK47" s="1157" t="s">
        <v>814</v>
      </c>
      <c r="CIL47" s="1158"/>
      <c r="CIM47" s="1157" t="s">
        <v>814</v>
      </c>
      <c r="CIN47" s="1158"/>
      <c r="CIO47" s="1157" t="s">
        <v>814</v>
      </c>
      <c r="CIP47" s="1158"/>
      <c r="CIQ47" s="1157" t="s">
        <v>814</v>
      </c>
      <c r="CIR47" s="1158"/>
      <c r="CIS47" s="1157" t="s">
        <v>814</v>
      </c>
      <c r="CIT47" s="1158"/>
      <c r="CIU47" s="1157" t="s">
        <v>814</v>
      </c>
      <c r="CIV47" s="1158"/>
      <c r="CIW47" s="1157" t="s">
        <v>814</v>
      </c>
      <c r="CIX47" s="1158"/>
      <c r="CIY47" s="1157" t="s">
        <v>814</v>
      </c>
      <c r="CIZ47" s="1158"/>
      <c r="CJA47" s="1157" t="s">
        <v>814</v>
      </c>
      <c r="CJB47" s="1158"/>
      <c r="CJC47" s="1157" t="s">
        <v>814</v>
      </c>
      <c r="CJD47" s="1158"/>
      <c r="CJE47" s="1157" t="s">
        <v>814</v>
      </c>
      <c r="CJF47" s="1158"/>
      <c r="CJG47" s="1157" t="s">
        <v>814</v>
      </c>
      <c r="CJH47" s="1158"/>
      <c r="CJI47" s="1157" t="s">
        <v>814</v>
      </c>
      <c r="CJJ47" s="1158"/>
      <c r="CJK47" s="1157" t="s">
        <v>814</v>
      </c>
      <c r="CJL47" s="1158"/>
      <c r="CJM47" s="1157" t="s">
        <v>814</v>
      </c>
      <c r="CJN47" s="1158"/>
      <c r="CJO47" s="1157" t="s">
        <v>814</v>
      </c>
      <c r="CJP47" s="1158"/>
      <c r="CJQ47" s="1157" t="s">
        <v>814</v>
      </c>
      <c r="CJR47" s="1158"/>
      <c r="CJS47" s="1157" t="s">
        <v>814</v>
      </c>
      <c r="CJT47" s="1158"/>
      <c r="CJU47" s="1157" t="s">
        <v>814</v>
      </c>
      <c r="CJV47" s="1158"/>
      <c r="CJW47" s="1157" t="s">
        <v>814</v>
      </c>
      <c r="CJX47" s="1158"/>
      <c r="CJY47" s="1157" t="s">
        <v>814</v>
      </c>
      <c r="CJZ47" s="1158"/>
      <c r="CKA47" s="1157" t="s">
        <v>814</v>
      </c>
      <c r="CKB47" s="1158"/>
      <c r="CKC47" s="1157" t="s">
        <v>814</v>
      </c>
      <c r="CKD47" s="1158"/>
      <c r="CKE47" s="1157" t="s">
        <v>814</v>
      </c>
      <c r="CKF47" s="1158"/>
      <c r="CKG47" s="1157" t="s">
        <v>814</v>
      </c>
      <c r="CKH47" s="1158"/>
      <c r="CKI47" s="1157" t="s">
        <v>814</v>
      </c>
      <c r="CKJ47" s="1158"/>
      <c r="CKK47" s="1157" t="s">
        <v>814</v>
      </c>
      <c r="CKL47" s="1158"/>
      <c r="CKM47" s="1157" t="s">
        <v>814</v>
      </c>
      <c r="CKN47" s="1158"/>
      <c r="CKO47" s="1157" t="s">
        <v>814</v>
      </c>
      <c r="CKP47" s="1158"/>
      <c r="CKQ47" s="1157" t="s">
        <v>814</v>
      </c>
      <c r="CKR47" s="1158"/>
      <c r="CKS47" s="1157" t="s">
        <v>814</v>
      </c>
      <c r="CKT47" s="1158"/>
      <c r="CKU47" s="1157" t="s">
        <v>814</v>
      </c>
      <c r="CKV47" s="1158"/>
      <c r="CKW47" s="1157" t="s">
        <v>814</v>
      </c>
      <c r="CKX47" s="1158"/>
      <c r="CKY47" s="1157" t="s">
        <v>814</v>
      </c>
      <c r="CKZ47" s="1158"/>
      <c r="CLA47" s="1157" t="s">
        <v>814</v>
      </c>
      <c r="CLB47" s="1158"/>
      <c r="CLC47" s="1157" t="s">
        <v>814</v>
      </c>
      <c r="CLD47" s="1158"/>
      <c r="CLE47" s="1157" t="s">
        <v>814</v>
      </c>
      <c r="CLF47" s="1158"/>
      <c r="CLG47" s="1157" t="s">
        <v>814</v>
      </c>
      <c r="CLH47" s="1158"/>
      <c r="CLI47" s="1157" t="s">
        <v>814</v>
      </c>
      <c r="CLJ47" s="1158"/>
      <c r="CLK47" s="1157" t="s">
        <v>814</v>
      </c>
      <c r="CLL47" s="1158"/>
      <c r="CLM47" s="1157" t="s">
        <v>814</v>
      </c>
      <c r="CLN47" s="1158"/>
      <c r="CLO47" s="1157" t="s">
        <v>814</v>
      </c>
      <c r="CLP47" s="1158"/>
      <c r="CLQ47" s="1157" t="s">
        <v>814</v>
      </c>
      <c r="CLR47" s="1158"/>
      <c r="CLS47" s="1157" t="s">
        <v>814</v>
      </c>
      <c r="CLT47" s="1158"/>
      <c r="CLU47" s="1157" t="s">
        <v>814</v>
      </c>
      <c r="CLV47" s="1158"/>
      <c r="CLW47" s="1157" t="s">
        <v>814</v>
      </c>
      <c r="CLX47" s="1158"/>
      <c r="CLY47" s="1157" t="s">
        <v>814</v>
      </c>
      <c r="CLZ47" s="1158"/>
      <c r="CMA47" s="1157" t="s">
        <v>814</v>
      </c>
      <c r="CMB47" s="1158"/>
      <c r="CMC47" s="1157" t="s">
        <v>814</v>
      </c>
      <c r="CMD47" s="1158"/>
      <c r="CME47" s="1157" t="s">
        <v>814</v>
      </c>
      <c r="CMF47" s="1158"/>
      <c r="CMG47" s="1157" t="s">
        <v>814</v>
      </c>
      <c r="CMH47" s="1158"/>
      <c r="CMI47" s="1157" t="s">
        <v>814</v>
      </c>
      <c r="CMJ47" s="1158"/>
      <c r="CMK47" s="1157" t="s">
        <v>814</v>
      </c>
      <c r="CML47" s="1158"/>
      <c r="CMM47" s="1157" t="s">
        <v>814</v>
      </c>
      <c r="CMN47" s="1158"/>
      <c r="CMO47" s="1157" t="s">
        <v>814</v>
      </c>
      <c r="CMP47" s="1158"/>
      <c r="CMQ47" s="1157" t="s">
        <v>814</v>
      </c>
      <c r="CMR47" s="1158"/>
      <c r="CMS47" s="1157" t="s">
        <v>814</v>
      </c>
      <c r="CMT47" s="1158"/>
      <c r="CMU47" s="1157" t="s">
        <v>814</v>
      </c>
      <c r="CMV47" s="1158"/>
      <c r="CMW47" s="1157" t="s">
        <v>814</v>
      </c>
      <c r="CMX47" s="1158"/>
      <c r="CMY47" s="1157" t="s">
        <v>814</v>
      </c>
      <c r="CMZ47" s="1158"/>
      <c r="CNA47" s="1157" t="s">
        <v>814</v>
      </c>
      <c r="CNB47" s="1158"/>
      <c r="CNC47" s="1157" t="s">
        <v>814</v>
      </c>
      <c r="CND47" s="1158"/>
      <c r="CNE47" s="1157" t="s">
        <v>814</v>
      </c>
      <c r="CNF47" s="1158"/>
      <c r="CNG47" s="1157" t="s">
        <v>814</v>
      </c>
      <c r="CNH47" s="1158"/>
      <c r="CNI47" s="1157" t="s">
        <v>814</v>
      </c>
      <c r="CNJ47" s="1158"/>
      <c r="CNK47" s="1157" t="s">
        <v>814</v>
      </c>
      <c r="CNL47" s="1158"/>
      <c r="CNM47" s="1157" t="s">
        <v>814</v>
      </c>
      <c r="CNN47" s="1158"/>
      <c r="CNO47" s="1157" t="s">
        <v>814</v>
      </c>
      <c r="CNP47" s="1158"/>
      <c r="CNQ47" s="1157" t="s">
        <v>814</v>
      </c>
      <c r="CNR47" s="1158"/>
      <c r="CNS47" s="1157" t="s">
        <v>814</v>
      </c>
      <c r="CNT47" s="1158"/>
      <c r="CNU47" s="1157" t="s">
        <v>814</v>
      </c>
      <c r="CNV47" s="1158"/>
      <c r="CNW47" s="1157" t="s">
        <v>814</v>
      </c>
      <c r="CNX47" s="1158"/>
      <c r="CNY47" s="1157" t="s">
        <v>814</v>
      </c>
      <c r="CNZ47" s="1158"/>
      <c r="COA47" s="1157" t="s">
        <v>814</v>
      </c>
      <c r="COB47" s="1158"/>
      <c r="COC47" s="1157" t="s">
        <v>814</v>
      </c>
      <c r="COD47" s="1158"/>
      <c r="COE47" s="1157" t="s">
        <v>814</v>
      </c>
      <c r="COF47" s="1158"/>
      <c r="COG47" s="1157" t="s">
        <v>814</v>
      </c>
      <c r="COH47" s="1158"/>
      <c r="COI47" s="1157" t="s">
        <v>814</v>
      </c>
      <c r="COJ47" s="1158"/>
      <c r="COK47" s="1157" t="s">
        <v>814</v>
      </c>
      <c r="COL47" s="1158"/>
      <c r="COM47" s="1157" t="s">
        <v>814</v>
      </c>
      <c r="CON47" s="1158"/>
      <c r="COO47" s="1157" t="s">
        <v>814</v>
      </c>
      <c r="COP47" s="1158"/>
      <c r="COQ47" s="1157" t="s">
        <v>814</v>
      </c>
      <c r="COR47" s="1158"/>
      <c r="COS47" s="1157" t="s">
        <v>814</v>
      </c>
      <c r="COT47" s="1158"/>
      <c r="COU47" s="1157" t="s">
        <v>814</v>
      </c>
      <c r="COV47" s="1158"/>
      <c r="COW47" s="1157" t="s">
        <v>814</v>
      </c>
      <c r="COX47" s="1158"/>
      <c r="COY47" s="1157" t="s">
        <v>814</v>
      </c>
      <c r="COZ47" s="1158"/>
      <c r="CPA47" s="1157" t="s">
        <v>814</v>
      </c>
      <c r="CPB47" s="1158"/>
      <c r="CPC47" s="1157" t="s">
        <v>814</v>
      </c>
      <c r="CPD47" s="1158"/>
      <c r="CPE47" s="1157" t="s">
        <v>814</v>
      </c>
      <c r="CPF47" s="1158"/>
      <c r="CPG47" s="1157" t="s">
        <v>814</v>
      </c>
      <c r="CPH47" s="1158"/>
      <c r="CPI47" s="1157" t="s">
        <v>814</v>
      </c>
      <c r="CPJ47" s="1158"/>
      <c r="CPK47" s="1157" t="s">
        <v>814</v>
      </c>
      <c r="CPL47" s="1158"/>
      <c r="CPM47" s="1157" t="s">
        <v>814</v>
      </c>
      <c r="CPN47" s="1158"/>
      <c r="CPO47" s="1157" t="s">
        <v>814</v>
      </c>
      <c r="CPP47" s="1158"/>
      <c r="CPQ47" s="1157" t="s">
        <v>814</v>
      </c>
      <c r="CPR47" s="1158"/>
      <c r="CPS47" s="1157" t="s">
        <v>814</v>
      </c>
      <c r="CPT47" s="1158"/>
      <c r="CPU47" s="1157" t="s">
        <v>814</v>
      </c>
      <c r="CPV47" s="1158"/>
      <c r="CPW47" s="1157" t="s">
        <v>814</v>
      </c>
      <c r="CPX47" s="1158"/>
      <c r="CPY47" s="1157" t="s">
        <v>814</v>
      </c>
      <c r="CPZ47" s="1158"/>
      <c r="CQA47" s="1157" t="s">
        <v>814</v>
      </c>
      <c r="CQB47" s="1158"/>
      <c r="CQC47" s="1157" t="s">
        <v>814</v>
      </c>
      <c r="CQD47" s="1158"/>
      <c r="CQE47" s="1157" t="s">
        <v>814</v>
      </c>
      <c r="CQF47" s="1158"/>
      <c r="CQG47" s="1157" t="s">
        <v>814</v>
      </c>
      <c r="CQH47" s="1158"/>
      <c r="CQI47" s="1157" t="s">
        <v>814</v>
      </c>
      <c r="CQJ47" s="1158"/>
      <c r="CQK47" s="1157" t="s">
        <v>814</v>
      </c>
      <c r="CQL47" s="1158"/>
      <c r="CQM47" s="1157" t="s">
        <v>814</v>
      </c>
      <c r="CQN47" s="1158"/>
      <c r="CQO47" s="1157" t="s">
        <v>814</v>
      </c>
      <c r="CQP47" s="1158"/>
      <c r="CQQ47" s="1157" t="s">
        <v>814</v>
      </c>
      <c r="CQR47" s="1158"/>
      <c r="CQS47" s="1157" t="s">
        <v>814</v>
      </c>
      <c r="CQT47" s="1158"/>
      <c r="CQU47" s="1157" t="s">
        <v>814</v>
      </c>
      <c r="CQV47" s="1158"/>
      <c r="CQW47" s="1157" t="s">
        <v>814</v>
      </c>
      <c r="CQX47" s="1158"/>
      <c r="CQY47" s="1157" t="s">
        <v>814</v>
      </c>
      <c r="CQZ47" s="1158"/>
      <c r="CRA47" s="1157" t="s">
        <v>814</v>
      </c>
      <c r="CRB47" s="1158"/>
      <c r="CRC47" s="1157" t="s">
        <v>814</v>
      </c>
      <c r="CRD47" s="1158"/>
      <c r="CRE47" s="1157" t="s">
        <v>814</v>
      </c>
      <c r="CRF47" s="1158"/>
      <c r="CRG47" s="1157" t="s">
        <v>814</v>
      </c>
      <c r="CRH47" s="1158"/>
      <c r="CRI47" s="1157" t="s">
        <v>814</v>
      </c>
      <c r="CRJ47" s="1158"/>
      <c r="CRK47" s="1157" t="s">
        <v>814</v>
      </c>
      <c r="CRL47" s="1158"/>
      <c r="CRM47" s="1157" t="s">
        <v>814</v>
      </c>
      <c r="CRN47" s="1158"/>
      <c r="CRO47" s="1157" t="s">
        <v>814</v>
      </c>
      <c r="CRP47" s="1158"/>
      <c r="CRQ47" s="1157" t="s">
        <v>814</v>
      </c>
      <c r="CRR47" s="1158"/>
      <c r="CRS47" s="1157" t="s">
        <v>814</v>
      </c>
      <c r="CRT47" s="1158"/>
      <c r="CRU47" s="1157" t="s">
        <v>814</v>
      </c>
      <c r="CRV47" s="1158"/>
      <c r="CRW47" s="1157" t="s">
        <v>814</v>
      </c>
      <c r="CRX47" s="1158"/>
      <c r="CRY47" s="1157" t="s">
        <v>814</v>
      </c>
      <c r="CRZ47" s="1158"/>
      <c r="CSA47" s="1157" t="s">
        <v>814</v>
      </c>
      <c r="CSB47" s="1158"/>
      <c r="CSC47" s="1157" t="s">
        <v>814</v>
      </c>
      <c r="CSD47" s="1158"/>
      <c r="CSE47" s="1157" t="s">
        <v>814</v>
      </c>
      <c r="CSF47" s="1158"/>
      <c r="CSG47" s="1157" t="s">
        <v>814</v>
      </c>
      <c r="CSH47" s="1158"/>
      <c r="CSI47" s="1157" t="s">
        <v>814</v>
      </c>
      <c r="CSJ47" s="1158"/>
      <c r="CSK47" s="1157" t="s">
        <v>814</v>
      </c>
      <c r="CSL47" s="1158"/>
      <c r="CSM47" s="1157" t="s">
        <v>814</v>
      </c>
      <c r="CSN47" s="1158"/>
      <c r="CSO47" s="1157" t="s">
        <v>814</v>
      </c>
      <c r="CSP47" s="1158"/>
      <c r="CSQ47" s="1157" t="s">
        <v>814</v>
      </c>
      <c r="CSR47" s="1158"/>
      <c r="CSS47" s="1157" t="s">
        <v>814</v>
      </c>
      <c r="CST47" s="1158"/>
      <c r="CSU47" s="1157" t="s">
        <v>814</v>
      </c>
      <c r="CSV47" s="1158"/>
      <c r="CSW47" s="1157" t="s">
        <v>814</v>
      </c>
      <c r="CSX47" s="1158"/>
      <c r="CSY47" s="1157" t="s">
        <v>814</v>
      </c>
      <c r="CSZ47" s="1158"/>
      <c r="CTA47" s="1157" t="s">
        <v>814</v>
      </c>
      <c r="CTB47" s="1158"/>
      <c r="CTC47" s="1157" t="s">
        <v>814</v>
      </c>
      <c r="CTD47" s="1158"/>
      <c r="CTE47" s="1157" t="s">
        <v>814</v>
      </c>
      <c r="CTF47" s="1158"/>
      <c r="CTG47" s="1157" t="s">
        <v>814</v>
      </c>
      <c r="CTH47" s="1158"/>
      <c r="CTI47" s="1157" t="s">
        <v>814</v>
      </c>
      <c r="CTJ47" s="1158"/>
      <c r="CTK47" s="1157" t="s">
        <v>814</v>
      </c>
      <c r="CTL47" s="1158"/>
      <c r="CTM47" s="1157" t="s">
        <v>814</v>
      </c>
      <c r="CTN47" s="1158"/>
      <c r="CTO47" s="1157" t="s">
        <v>814</v>
      </c>
      <c r="CTP47" s="1158"/>
      <c r="CTQ47" s="1157" t="s">
        <v>814</v>
      </c>
      <c r="CTR47" s="1158"/>
      <c r="CTS47" s="1157" t="s">
        <v>814</v>
      </c>
      <c r="CTT47" s="1158"/>
      <c r="CTU47" s="1157" t="s">
        <v>814</v>
      </c>
      <c r="CTV47" s="1158"/>
      <c r="CTW47" s="1157" t="s">
        <v>814</v>
      </c>
      <c r="CTX47" s="1158"/>
      <c r="CTY47" s="1157" t="s">
        <v>814</v>
      </c>
      <c r="CTZ47" s="1158"/>
      <c r="CUA47" s="1157" t="s">
        <v>814</v>
      </c>
      <c r="CUB47" s="1158"/>
      <c r="CUC47" s="1157" t="s">
        <v>814</v>
      </c>
      <c r="CUD47" s="1158"/>
      <c r="CUE47" s="1157" t="s">
        <v>814</v>
      </c>
      <c r="CUF47" s="1158"/>
      <c r="CUG47" s="1157" t="s">
        <v>814</v>
      </c>
      <c r="CUH47" s="1158"/>
      <c r="CUI47" s="1157" t="s">
        <v>814</v>
      </c>
      <c r="CUJ47" s="1158"/>
      <c r="CUK47" s="1157" t="s">
        <v>814</v>
      </c>
      <c r="CUL47" s="1158"/>
      <c r="CUM47" s="1157" t="s">
        <v>814</v>
      </c>
      <c r="CUN47" s="1158"/>
      <c r="CUO47" s="1157" t="s">
        <v>814</v>
      </c>
      <c r="CUP47" s="1158"/>
      <c r="CUQ47" s="1157" t="s">
        <v>814</v>
      </c>
      <c r="CUR47" s="1158"/>
      <c r="CUS47" s="1157" t="s">
        <v>814</v>
      </c>
      <c r="CUT47" s="1158"/>
      <c r="CUU47" s="1157" t="s">
        <v>814</v>
      </c>
      <c r="CUV47" s="1158"/>
      <c r="CUW47" s="1157" t="s">
        <v>814</v>
      </c>
      <c r="CUX47" s="1158"/>
      <c r="CUY47" s="1157" t="s">
        <v>814</v>
      </c>
      <c r="CUZ47" s="1158"/>
      <c r="CVA47" s="1157" t="s">
        <v>814</v>
      </c>
      <c r="CVB47" s="1158"/>
      <c r="CVC47" s="1157" t="s">
        <v>814</v>
      </c>
      <c r="CVD47" s="1158"/>
      <c r="CVE47" s="1157" t="s">
        <v>814</v>
      </c>
      <c r="CVF47" s="1158"/>
      <c r="CVG47" s="1157" t="s">
        <v>814</v>
      </c>
      <c r="CVH47" s="1158"/>
      <c r="CVI47" s="1157" t="s">
        <v>814</v>
      </c>
      <c r="CVJ47" s="1158"/>
      <c r="CVK47" s="1157" t="s">
        <v>814</v>
      </c>
      <c r="CVL47" s="1158"/>
      <c r="CVM47" s="1157" t="s">
        <v>814</v>
      </c>
      <c r="CVN47" s="1158"/>
      <c r="CVO47" s="1157" t="s">
        <v>814</v>
      </c>
      <c r="CVP47" s="1158"/>
      <c r="CVQ47" s="1157" t="s">
        <v>814</v>
      </c>
      <c r="CVR47" s="1158"/>
      <c r="CVS47" s="1157" t="s">
        <v>814</v>
      </c>
      <c r="CVT47" s="1158"/>
      <c r="CVU47" s="1157" t="s">
        <v>814</v>
      </c>
      <c r="CVV47" s="1158"/>
      <c r="CVW47" s="1157" t="s">
        <v>814</v>
      </c>
      <c r="CVX47" s="1158"/>
      <c r="CVY47" s="1157" t="s">
        <v>814</v>
      </c>
      <c r="CVZ47" s="1158"/>
      <c r="CWA47" s="1157" t="s">
        <v>814</v>
      </c>
      <c r="CWB47" s="1158"/>
      <c r="CWC47" s="1157" t="s">
        <v>814</v>
      </c>
      <c r="CWD47" s="1158"/>
      <c r="CWE47" s="1157" t="s">
        <v>814</v>
      </c>
      <c r="CWF47" s="1158"/>
      <c r="CWG47" s="1157" t="s">
        <v>814</v>
      </c>
      <c r="CWH47" s="1158"/>
      <c r="CWI47" s="1157" t="s">
        <v>814</v>
      </c>
      <c r="CWJ47" s="1158"/>
      <c r="CWK47" s="1157" t="s">
        <v>814</v>
      </c>
      <c r="CWL47" s="1158"/>
      <c r="CWM47" s="1157" t="s">
        <v>814</v>
      </c>
      <c r="CWN47" s="1158"/>
      <c r="CWO47" s="1157" t="s">
        <v>814</v>
      </c>
      <c r="CWP47" s="1158"/>
      <c r="CWQ47" s="1157" t="s">
        <v>814</v>
      </c>
      <c r="CWR47" s="1158"/>
      <c r="CWS47" s="1157" t="s">
        <v>814</v>
      </c>
      <c r="CWT47" s="1158"/>
      <c r="CWU47" s="1157" t="s">
        <v>814</v>
      </c>
      <c r="CWV47" s="1158"/>
      <c r="CWW47" s="1157" t="s">
        <v>814</v>
      </c>
      <c r="CWX47" s="1158"/>
      <c r="CWY47" s="1157" t="s">
        <v>814</v>
      </c>
      <c r="CWZ47" s="1158"/>
      <c r="CXA47" s="1157" t="s">
        <v>814</v>
      </c>
      <c r="CXB47" s="1158"/>
      <c r="CXC47" s="1157" t="s">
        <v>814</v>
      </c>
      <c r="CXD47" s="1158"/>
      <c r="CXE47" s="1157" t="s">
        <v>814</v>
      </c>
      <c r="CXF47" s="1158"/>
      <c r="CXG47" s="1157" t="s">
        <v>814</v>
      </c>
      <c r="CXH47" s="1158"/>
      <c r="CXI47" s="1157" t="s">
        <v>814</v>
      </c>
      <c r="CXJ47" s="1158"/>
      <c r="CXK47" s="1157" t="s">
        <v>814</v>
      </c>
      <c r="CXL47" s="1158"/>
      <c r="CXM47" s="1157" t="s">
        <v>814</v>
      </c>
      <c r="CXN47" s="1158"/>
      <c r="CXO47" s="1157" t="s">
        <v>814</v>
      </c>
      <c r="CXP47" s="1158"/>
      <c r="CXQ47" s="1157" t="s">
        <v>814</v>
      </c>
      <c r="CXR47" s="1158"/>
      <c r="CXS47" s="1157" t="s">
        <v>814</v>
      </c>
      <c r="CXT47" s="1158"/>
      <c r="CXU47" s="1157" t="s">
        <v>814</v>
      </c>
      <c r="CXV47" s="1158"/>
      <c r="CXW47" s="1157" t="s">
        <v>814</v>
      </c>
      <c r="CXX47" s="1158"/>
      <c r="CXY47" s="1157" t="s">
        <v>814</v>
      </c>
      <c r="CXZ47" s="1158"/>
      <c r="CYA47" s="1157" t="s">
        <v>814</v>
      </c>
      <c r="CYB47" s="1158"/>
      <c r="CYC47" s="1157" t="s">
        <v>814</v>
      </c>
      <c r="CYD47" s="1158"/>
      <c r="CYE47" s="1157" t="s">
        <v>814</v>
      </c>
      <c r="CYF47" s="1158"/>
      <c r="CYG47" s="1157" t="s">
        <v>814</v>
      </c>
      <c r="CYH47" s="1158"/>
      <c r="CYI47" s="1157" t="s">
        <v>814</v>
      </c>
      <c r="CYJ47" s="1158"/>
      <c r="CYK47" s="1157" t="s">
        <v>814</v>
      </c>
      <c r="CYL47" s="1158"/>
      <c r="CYM47" s="1157" t="s">
        <v>814</v>
      </c>
      <c r="CYN47" s="1158"/>
      <c r="CYO47" s="1157" t="s">
        <v>814</v>
      </c>
      <c r="CYP47" s="1158"/>
      <c r="CYQ47" s="1157" t="s">
        <v>814</v>
      </c>
      <c r="CYR47" s="1158"/>
      <c r="CYS47" s="1157" t="s">
        <v>814</v>
      </c>
      <c r="CYT47" s="1158"/>
      <c r="CYU47" s="1157" t="s">
        <v>814</v>
      </c>
      <c r="CYV47" s="1158"/>
      <c r="CYW47" s="1157" t="s">
        <v>814</v>
      </c>
      <c r="CYX47" s="1158"/>
      <c r="CYY47" s="1157" t="s">
        <v>814</v>
      </c>
      <c r="CYZ47" s="1158"/>
      <c r="CZA47" s="1157" t="s">
        <v>814</v>
      </c>
      <c r="CZB47" s="1158"/>
      <c r="CZC47" s="1157" t="s">
        <v>814</v>
      </c>
      <c r="CZD47" s="1158"/>
      <c r="CZE47" s="1157" t="s">
        <v>814</v>
      </c>
      <c r="CZF47" s="1158"/>
      <c r="CZG47" s="1157" t="s">
        <v>814</v>
      </c>
      <c r="CZH47" s="1158"/>
      <c r="CZI47" s="1157" t="s">
        <v>814</v>
      </c>
      <c r="CZJ47" s="1158"/>
      <c r="CZK47" s="1157" t="s">
        <v>814</v>
      </c>
      <c r="CZL47" s="1158"/>
      <c r="CZM47" s="1157" t="s">
        <v>814</v>
      </c>
      <c r="CZN47" s="1158"/>
      <c r="CZO47" s="1157" t="s">
        <v>814</v>
      </c>
      <c r="CZP47" s="1158"/>
      <c r="CZQ47" s="1157" t="s">
        <v>814</v>
      </c>
      <c r="CZR47" s="1158"/>
      <c r="CZS47" s="1157" t="s">
        <v>814</v>
      </c>
      <c r="CZT47" s="1158"/>
      <c r="CZU47" s="1157" t="s">
        <v>814</v>
      </c>
      <c r="CZV47" s="1158"/>
      <c r="CZW47" s="1157" t="s">
        <v>814</v>
      </c>
      <c r="CZX47" s="1158"/>
      <c r="CZY47" s="1157" t="s">
        <v>814</v>
      </c>
      <c r="CZZ47" s="1158"/>
      <c r="DAA47" s="1157" t="s">
        <v>814</v>
      </c>
      <c r="DAB47" s="1158"/>
      <c r="DAC47" s="1157" t="s">
        <v>814</v>
      </c>
      <c r="DAD47" s="1158"/>
      <c r="DAE47" s="1157" t="s">
        <v>814</v>
      </c>
      <c r="DAF47" s="1158"/>
      <c r="DAG47" s="1157" t="s">
        <v>814</v>
      </c>
      <c r="DAH47" s="1158"/>
      <c r="DAI47" s="1157" t="s">
        <v>814</v>
      </c>
      <c r="DAJ47" s="1158"/>
      <c r="DAK47" s="1157" t="s">
        <v>814</v>
      </c>
      <c r="DAL47" s="1158"/>
      <c r="DAM47" s="1157" t="s">
        <v>814</v>
      </c>
      <c r="DAN47" s="1158"/>
      <c r="DAO47" s="1157" t="s">
        <v>814</v>
      </c>
      <c r="DAP47" s="1158"/>
      <c r="DAQ47" s="1157" t="s">
        <v>814</v>
      </c>
      <c r="DAR47" s="1158"/>
      <c r="DAS47" s="1157" t="s">
        <v>814</v>
      </c>
      <c r="DAT47" s="1158"/>
      <c r="DAU47" s="1157" t="s">
        <v>814</v>
      </c>
      <c r="DAV47" s="1158"/>
      <c r="DAW47" s="1157" t="s">
        <v>814</v>
      </c>
      <c r="DAX47" s="1158"/>
      <c r="DAY47" s="1157" t="s">
        <v>814</v>
      </c>
      <c r="DAZ47" s="1158"/>
      <c r="DBA47" s="1157" t="s">
        <v>814</v>
      </c>
      <c r="DBB47" s="1158"/>
      <c r="DBC47" s="1157" t="s">
        <v>814</v>
      </c>
      <c r="DBD47" s="1158"/>
      <c r="DBE47" s="1157" t="s">
        <v>814</v>
      </c>
      <c r="DBF47" s="1158"/>
      <c r="DBG47" s="1157" t="s">
        <v>814</v>
      </c>
      <c r="DBH47" s="1158"/>
      <c r="DBI47" s="1157" t="s">
        <v>814</v>
      </c>
      <c r="DBJ47" s="1158"/>
      <c r="DBK47" s="1157" t="s">
        <v>814</v>
      </c>
      <c r="DBL47" s="1158"/>
      <c r="DBM47" s="1157" t="s">
        <v>814</v>
      </c>
      <c r="DBN47" s="1158"/>
      <c r="DBO47" s="1157" t="s">
        <v>814</v>
      </c>
      <c r="DBP47" s="1158"/>
      <c r="DBQ47" s="1157" t="s">
        <v>814</v>
      </c>
      <c r="DBR47" s="1158"/>
      <c r="DBS47" s="1157" t="s">
        <v>814</v>
      </c>
      <c r="DBT47" s="1158"/>
      <c r="DBU47" s="1157" t="s">
        <v>814</v>
      </c>
      <c r="DBV47" s="1158"/>
      <c r="DBW47" s="1157" t="s">
        <v>814</v>
      </c>
      <c r="DBX47" s="1158"/>
      <c r="DBY47" s="1157" t="s">
        <v>814</v>
      </c>
      <c r="DBZ47" s="1158"/>
      <c r="DCA47" s="1157" t="s">
        <v>814</v>
      </c>
      <c r="DCB47" s="1158"/>
      <c r="DCC47" s="1157" t="s">
        <v>814</v>
      </c>
      <c r="DCD47" s="1158"/>
      <c r="DCE47" s="1157" t="s">
        <v>814</v>
      </c>
      <c r="DCF47" s="1158"/>
      <c r="DCG47" s="1157" t="s">
        <v>814</v>
      </c>
      <c r="DCH47" s="1158"/>
      <c r="DCI47" s="1157" t="s">
        <v>814</v>
      </c>
      <c r="DCJ47" s="1158"/>
      <c r="DCK47" s="1157" t="s">
        <v>814</v>
      </c>
      <c r="DCL47" s="1158"/>
      <c r="DCM47" s="1157" t="s">
        <v>814</v>
      </c>
      <c r="DCN47" s="1158"/>
      <c r="DCO47" s="1157" t="s">
        <v>814</v>
      </c>
      <c r="DCP47" s="1158"/>
      <c r="DCQ47" s="1157" t="s">
        <v>814</v>
      </c>
      <c r="DCR47" s="1158"/>
      <c r="DCS47" s="1157" t="s">
        <v>814</v>
      </c>
      <c r="DCT47" s="1158"/>
      <c r="DCU47" s="1157" t="s">
        <v>814</v>
      </c>
      <c r="DCV47" s="1158"/>
      <c r="DCW47" s="1157" t="s">
        <v>814</v>
      </c>
      <c r="DCX47" s="1158"/>
      <c r="DCY47" s="1157" t="s">
        <v>814</v>
      </c>
      <c r="DCZ47" s="1158"/>
      <c r="DDA47" s="1157" t="s">
        <v>814</v>
      </c>
      <c r="DDB47" s="1158"/>
      <c r="DDC47" s="1157" t="s">
        <v>814</v>
      </c>
      <c r="DDD47" s="1158"/>
      <c r="DDE47" s="1157" t="s">
        <v>814</v>
      </c>
      <c r="DDF47" s="1158"/>
      <c r="DDG47" s="1157" t="s">
        <v>814</v>
      </c>
      <c r="DDH47" s="1158"/>
      <c r="DDI47" s="1157" t="s">
        <v>814</v>
      </c>
      <c r="DDJ47" s="1158"/>
      <c r="DDK47" s="1157" t="s">
        <v>814</v>
      </c>
      <c r="DDL47" s="1158"/>
      <c r="DDM47" s="1157" t="s">
        <v>814</v>
      </c>
      <c r="DDN47" s="1158"/>
      <c r="DDO47" s="1157" t="s">
        <v>814</v>
      </c>
      <c r="DDP47" s="1158"/>
      <c r="DDQ47" s="1157" t="s">
        <v>814</v>
      </c>
      <c r="DDR47" s="1158"/>
      <c r="DDS47" s="1157" t="s">
        <v>814</v>
      </c>
      <c r="DDT47" s="1158"/>
      <c r="DDU47" s="1157" t="s">
        <v>814</v>
      </c>
      <c r="DDV47" s="1158"/>
      <c r="DDW47" s="1157" t="s">
        <v>814</v>
      </c>
      <c r="DDX47" s="1158"/>
      <c r="DDY47" s="1157" t="s">
        <v>814</v>
      </c>
      <c r="DDZ47" s="1158"/>
      <c r="DEA47" s="1157" t="s">
        <v>814</v>
      </c>
      <c r="DEB47" s="1158"/>
      <c r="DEC47" s="1157" t="s">
        <v>814</v>
      </c>
      <c r="DED47" s="1158"/>
      <c r="DEE47" s="1157" t="s">
        <v>814</v>
      </c>
      <c r="DEF47" s="1158"/>
      <c r="DEG47" s="1157" t="s">
        <v>814</v>
      </c>
      <c r="DEH47" s="1158"/>
      <c r="DEI47" s="1157" t="s">
        <v>814</v>
      </c>
      <c r="DEJ47" s="1158"/>
      <c r="DEK47" s="1157" t="s">
        <v>814</v>
      </c>
      <c r="DEL47" s="1158"/>
      <c r="DEM47" s="1157" t="s">
        <v>814</v>
      </c>
      <c r="DEN47" s="1158"/>
      <c r="DEO47" s="1157" t="s">
        <v>814</v>
      </c>
      <c r="DEP47" s="1158"/>
      <c r="DEQ47" s="1157" t="s">
        <v>814</v>
      </c>
      <c r="DER47" s="1158"/>
      <c r="DES47" s="1157" t="s">
        <v>814</v>
      </c>
      <c r="DET47" s="1158"/>
      <c r="DEU47" s="1157" t="s">
        <v>814</v>
      </c>
      <c r="DEV47" s="1158"/>
      <c r="DEW47" s="1157" t="s">
        <v>814</v>
      </c>
      <c r="DEX47" s="1158"/>
      <c r="DEY47" s="1157" t="s">
        <v>814</v>
      </c>
      <c r="DEZ47" s="1158"/>
      <c r="DFA47" s="1157" t="s">
        <v>814</v>
      </c>
      <c r="DFB47" s="1158"/>
      <c r="DFC47" s="1157" t="s">
        <v>814</v>
      </c>
      <c r="DFD47" s="1158"/>
      <c r="DFE47" s="1157" t="s">
        <v>814</v>
      </c>
      <c r="DFF47" s="1158"/>
      <c r="DFG47" s="1157" t="s">
        <v>814</v>
      </c>
      <c r="DFH47" s="1158"/>
      <c r="DFI47" s="1157" t="s">
        <v>814</v>
      </c>
      <c r="DFJ47" s="1158"/>
      <c r="DFK47" s="1157" t="s">
        <v>814</v>
      </c>
      <c r="DFL47" s="1158"/>
      <c r="DFM47" s="1157" t="s">
        <v>814</v>
      </c>
      <c r="DFN47" s="1158"/>
      <c r="DFO47" s="1157" t="s">
        <v>814</v>
      </c>
      <c r="DFP47" s="1158"/>
      <c r="DFQ47" s="1157" t="s">
        <v>814</v>
      </c>
      <c r="DFR47" s="1158"/>
      <c r="DFS47" s="1157" t="s">
        <v>814</v>
      </c>
      <c r="DFT47" s="1158"/>
      <c r="DFU47" s="1157" t="s">
        <v>814</v>
      </c>
      <c r="DFV47" s="1158"/>
      <c r="DFW47" s="1157" t="s">
        <v>814</v>
      </c>
      <c r="DFX47" s="1158"/>
      <c r="DFY47" s="1157" t="s">
        <v>814</v>
      </c>
      <c r="DFZ47" s="1158"/>
      <c r="DGA47" s="1157" t="s">
        <v>814</v>
      </c>
      <c r="DGB47" s="1158"/>
      <c r="DGC47" s="1157" t="s">
        <v>814</v>
      </c>
      <c r="DGD47" s="1158"/>
      <c r="DGE47" s="1157" t="s">
        <v>814</v>
      </c>
      <c r="DGF47" s="1158"/>
      <c r="DGG47" s="1157" t="s">
        <v>814</v>
      </c>
      <c r="DGH47" s="1158"/>
      <c r="DGI47" s="1157" t="s">
        <v>814</v>
      </c>
      <c r="DGJ47" s="1158"/>
      <c r="DGK47" s="1157" t="s">
        <v>814</v>
      </c>
      <c r="DGL47" s="1158"/>
      <c r="DGM47" s="1157" t="s">
        <v>814</v>
      </c>
      <c r="DGN47" s="1158"/>
      <c r="DGO47" s="1157" t="s">
        <v>814</v>
      </c>
      <c r="DGP47" s="1158"/>
      <c r="DGQ47" s="1157" t="s">
        <v>814</v>
      </c>
      <c r="DGR47" s="1158"/>
      <c r="DGS47" s="1157" t="s">
        <v>814</v>
      </c>
      <c r="DGT47" s="1158"/>
      <c r="DGU47" s="1157" t="s">
        <v>814</v>
      </c>
      <c r="DGV47" s="1158"/>
      <c r="DGW47" s="1157" t="s">
        <v>814</v>
      </c>
      <c r="DGX47" s="1158"/>
      <c r="DGY47" s="1157" t="s">
        <v>814</v>
      </c>
      <c r="DGZ47" s="1158"/>
      <c r="DHA47" s="1157" t="s">
        <v>814</v>
      </c>
      <c r="DHB47" s="1158"/>
      <c r="DHC47" s="1157" t="s">
        <v>814</v>
      </c>
      <c r="DHD47" s="1158"/>
      <c r="DHE47" s="1157" t="s">
        <v>814</v>
      </c>
      <c r="DHF47" s="1158"/>
      <c r="DHG47" s="1157" t="s">
        <v>814</v>
      </c>
      <c r="DHH47" s="1158"/>
      <c r="DHI47" s="1157" t="s">
        <v>814</v>
      </c>
      <c r="DHJ47" s="1158"/>
      <c r="DHK47" s="1157" t="s">
        <v>814</v>
      </c>
      <c r="DHL47" s="1158"/>
      <c r="DHM47" s="1157" t="s">
        <v>814</v>
      </c>
      <c r="DHN47" s="1158"/>
      <c r="DHO47" s="1157" t="s">
        <v>814</v>
      </c>
      <c r="DHP47" s="1158"/>
      <c r="DHQ47" s="1157" t="s">
        <v>814</v>
      </c>
      <c r="DHR47" s="1158"/>
      <c r="DHS47" s="1157" t="s">
        <v>814</v>
      </c>
      <c r="DHT47" s="1158"/>
      <c r="DHU47" s="1157" t="s">
        <v>814</v>
      </c>
      <c r="DHV47" s="1158"/>
      <c r="DHW47" s="1157" t="s">
        <v>814</v>
      </c>
      <c r="DHX47" s="1158"/>
      <c r="DHY47" s="1157" t="s">
        <v>814</v>
      </c>
      <c r="DHZ47" s="1158"/>
      <c r="DIA47" s="1157" t="s">
        <v>814</v>
      </c>
      <c r="DIB47" s="1158"/>
      <c r="DIC47" s="1157" t="s">
        <v>814</v>
      </c>
      <c r="DID47" s="1158"/>
      <c r="DIE47" s="1157" t="s">
        <v>814</v>
      </c>
      <c r="DIF47" s="1158"/>
      <c r="DIG47" s="1157" t="s">
        <v>814</v>
      </c>
      <c r="DIH47" s="1158"/>
      <c r="DII47" s="1157" t="s">
        <v>814</v>
      </c>
      <c r="DIJ47" s="1158"/>
      <c r="DIK47" s="1157" t="s">
        <v>814</v>
      </c>
      <c r="DIL47" s="1158"/>
      <c r="DIM47" s="1157" t="s">
        <v>814</v>
      </c>
      <c r="DIN47" s="1158"/>
      <c r="DIO47" s="1157" t="s">
        <v>814</v>
      </c>
      <c r="DIP47" s="1158"/>
      <c r="DIQ47" s="1157" t="s">
        <v>814</v>
      </c>
      <c r="DIR47" s="1158"/>
      <c r="DIS47" s="1157" t="s">
        <v>814</v>
      </c>
      <c r="DIT47" s="1158"/>
      <c r="DIU47" s="1157" t="s">
        <v>814</v>
      </c>
      <c r="DIV47" s="1158"/>
      <c r="DIW47" s="1157" t="s">
        <v>814</v>
      </c>
      <c r="DIX47" s="1158"/>
      <c r="DIY47" s="1157" t="s">
        <v>814</v>
      </c>
      <c r="DIZ47" s="1158"/>
      <c r="DJA47" s="1157" t="s">
        <v>814</v>
      </c>
      <c r="DJB47" s="1158"/>
      <c r="DJC47" s="1157" t="s">
        <v>814</v>
      </c>
      <c r="DJD47" s="1158"/>
      <c r="DJE47" s="1157" t="s">
        <v>814</v>
      </c>
      <c r="DJF47" s="1158"/>
      <c r="DJG47" s="1157" t="s">
        <v>814</v>
      </c>
      <c r="DJH47" s="1158"/>
      <c r="DJI47" s="1157" t="s">
        <v>814</v>
      </c>
      <c r="DJJ47" s="1158"/>
      <c r="DJK47" s="1157" t="s">
        <v>814</v>
      </c>
      <c r="DJL47" s="1158"/>
      <c r="DJM47" s="1157" t="s">
        <v>814</v>
      </c>
      <c r="DJN47" s="1158"/>
      <c r="DJO47" s="1157" t="s">
        <v>814</v>
      </c>
      <c r="DJP47" s="1158"/>
      <c r="DJQ47" s="1157" t="s">
        <v>814</v>
      </c>
      <c r="DJR47" s="1158"/>
      <c r="DJS47" s="1157" t="s">
        <v>814</v>
      </c>
      <c r="DJT47" s="1158"/>
      <c r="DJU47" s="1157" t="s">
        <v>814</v>
      </c>
      <c r="DJV47" s="1158"/>
      <c r="DJW47" s="1157" t="s">
        <v>814</v>
      </c>
      <c r="DJX47" s="1158"/>
      <c r="DJY47" s="1157" t="s">
        <v>814</v>
      </c>
      <c r="DJZ47" s="1158"/>
      <c r="DKA47" s="1157" t="s">
        <v>814</v>
      </c>
      <c r="DKB47" s="1158"/>
      <c r="DKC47" s="1157" t="s">
        <v>814</v>
      </c>
      <c r="DKD47" s="1158"/>
      <c r="DKE47" s="1157" t="s">
        <v>814</v>
      </c>
      <c r="DKF47" s="1158"/>
      <c r="DKG47" s="1157" t="s">
        <v>814</v>
      </c>
      <c r="DKH47" s="1158"/>
      <c r="DKI47" s="1157" t="s">
        <v>814</v>
      </c>
      <c r="DKJ47" s="1158"/>
      <c r="DKK47" s="1157" t="s">
        <v>814</v>
      </c>
      <c r="DKL47" s="1158"/>
      <c r="DKM47" s="1157" t="s">
        <v>814</v>
      </c>
      <c r="DKN47" s="1158"/>
      <c r="DKO47" s="1157" t="s">
        <v>814</v>
      </c>
      <c r="DKP47" s="1158"/>
      <c r="DKQ47" s="1157" t="s">
        <v>814</v>
      </c>
      <c r="DKR47" s="1158"/>
      <c r="DKS47" s="1157" t="s">
        <v>814</v>
      </c>
      <c r="DKT47" s="1158"/>
      <c r="DKU47" s="1157" t="s">
        <v>814</v>
      </c>
      <c r="DKV47" s="1158"/>
      <c r="DKW47" s="1157" t="s">
        <v>814</v>
      </c>
      <c r="DKX47" s="1158"/>
      <c r="DKY47" s="1157" t="s">
        <v>814</v>
      </c>
      <c r="DKZ47" s="1158"/>
      <c r="DLA47" s="1157" t="s">
        <v>814</v>
      </c>
      <c r="DLB47" s="1158"/>
      <c r="DLC47" s="1157" t="s">
        <v>814</v>
      </c>
      <c r="DLD47" s="1158"/>
      <c r="DLE47" s="1157" t="s">
        <v>814</v>
      </c>
      <c r="DLF47" s="1158"/>
      <c r="DLG47" s="1157" t="s">
        <v>814</v>
      </c>
      <c r="DLH47" s="1158"/>
      <c r="DLI47" s="1157" t="s">
        <v>814</v>
      </c>
      <c r="DLJ47" s="1158"/>
      <c r="DLK47" s="1157" t="s">
        <v>814</v>
      </c>
      <c r="DLL47" s="1158"/>
      <c r="DLM47" s="1157" t="s">
        <v>814</v>
      </c>
      <c r="DLN47" s="1158"/>
      <c r="DLO47" s="1157" t="s">
        <v>814</v>
      </c>
      <c r="DLP47" s="1158"/>
      <c r="DLQ47" s="1157" t="s">
        <v>814</v>
      </c>
      <c r="DLR47" s="1158"/>
      <c r="DLS47" s="1157" t="s">
        <v>814</v>
      </c>
      <c r="DLT47" s="1158"/>
      <c r="DLU47" s="1157" t="s">
        <v>814</v>
      </c>
      <c r="DLV47" s="1158"/>
      <c r="DLW47" s="1157" t="s">
        <v>814</v>
      </c>
      <c r="DLX47" s="1158"/>
      <c r="DLY47" s="1157" t="s">
        <v>814</v>
      </c>
      <c r="DLZ47" s="1158"/>
      <c r="DMA47" s="1157" t="s">
        <v>814</v>
      </c>
      <c r="DMB47" s="1158"/>
      <c r="DMC47" s="1157" t="s">
        <v>814</v>
      </c>
      <c r="DMD47" s="1158"/>
      <c r="DME47" s="1157" t="s">
        <v>814</v>
      </c>
      <c r="DMF47" s="1158"/>
      <c r="DMG47" s="1157" t="s">
        <v>814</v>
      </c>
      <c r="DMH47" s="1158"/>
      <c r="DMI47" s="1157" t="s">
        <v>814</v>
      </c>
      <c r="DMJ47" s="1158"/>
      <c r="DMK47" s="1157" t="s">
        <v>814</v>
      </c>
      <c r="DML47" s="1158"/>
      <c r="DMM47" s="1157" t="s">
        <v>814</v>
      </c>
      <c r="DMN47" s="1158"/>
      <c r="DMO47" s="1157" t="s">
        <v>814</v>
      </c>
      <c r="DMP47" s="1158"/>
      <c r="DMQ47" s="1157" t="s">
        <v>814</v>
      </c>
      <c r="DMR47" s="1158"/>
      <c r="DMS47" s="1157" t="s">
        <v>814</v>
      </c>
      <c r="DMT47" s="1158"/>
      <c r="DMU47" s="1157" t="s">
        <v>814</v>
      </c>
      <c r="DMV47" s="1158"/>
      <c r="DMW47" s="1157" t="s">
        <v>814</v>
      </c>
      <c r="DMX47" s="1158"/>
      <c r="DMY47" s="1157" t="s">
        <v>814</v>
      </c>
      <c r="DMZ47" s="1158"/>
      <c r="DNA47" s="1157" t="s">
        <v>814</v>
      </c>
      <c r="DNB47" s="1158"/>
      <c r="DNC47" s="1157" t="s">
        <v>814</v>
      </c>
      <c r="DND47" s="1158"/>
      <c r="DNE47" s="1157" t="s">
        <v>814</v>
      </c>
      <c r="DNF47" s="1158"/>
      <c r="DNG47" s="1157" t="s">
        <v>814</v>
      </c>
      <c r="DNH47" s="1158"/>
      <c r="DNI47" s="1157" t="s">
        <v>814</v>
      </c>
      <c r="DNJ47" s="1158"/>
      <c r="DNK47" s="1157" t="s">
        <v>814</v>
      </c>
      <c r="DNL47" s="1158"/>
      <c r="DNM47" s="1157" t="s">
        <v>814</v>
      </c>
      <c r="DNN47" s="1158"/>
      <c r="DNO47" s="1157" t="s">
        <v>814</v>
      </c>
      <c r="DNP47" s="1158"/>
      <c r="DNQ47" s="1157" t="s">
        <v>814</v>
      </c>
      <c r="DNR47" s="1158"/>
      <c r="DNS47" s="1157" t="s">
        <v>814</v>
      </c>
      <c r="DNT47" s="1158"/>
      <c r="DNU47" s="1157" t="s">
        <v>814</v>
      </c>
      <c r="DNV47" s="1158"/>
      <c r="DNW47" s="1157" t="s">
        <v>814</v>
      </c>
      <c r="DNX47" s="1158"/>
      <c r="DNY47" s="1157" t="s">
        <v>814</v>
      </c>
      <c r="DNZ47" s="1158"/>
      <c r="DOA47" s="1157" t="s">
        <v>814</v>
      </c>
      <c r="DOB47" s="1158"/>
      <c r="DOC47" s="1157" t="s">
        <v>814</v>
      </c>
      <c r="DOD47" s="1158"/>
      <c r="DOE47" s="1157" t="s">
        <v>814</v>
      </c>
      <c r="DOF47" s="1158"/>
      <c r="DOG47" s="1157" t="s">
        <v>814</v>
      </c>
      <c r="DOH47" s="1158"/>
      <c r="DOI47" s="1157" t="s">
        <v>814</v>
      </c>
      <c r="DOJ47" s="1158"/>
      <c r="DOK47" s="1157" t="s">
        <v>814</v>
      </c>
      <c r="DOL47" s="1158"/>
      <c r="DOM47" s="1157" t="s">
        <v>814</v>
      </c>
      <c r="DON47" s="1158"/>
      <c r="DOO47" s="1157" t="s">
        <v>814</v>
      </c>
      <c r="DOP47" s="1158"/>
      <c r="DOQ47" s="1157" t="s">
        <v>814</v>
      </c>
      <c r="DOR47" s="1158"/>
      <c r="DOS47" s="1157" t="s">
        <v>814</v>
      </c>
      <c r="DOT47" s="1158"/>
      <c r="DOU47" s="1157" t="s">
        <v>814</v>
      </c>
      <c r="DOV47" s="1158"/>
      <c r="DOW47" s="1157" t="s">
        <v>814</v>
      </c>
      <c r="DOX47" s="1158"/>
      <c r="DOY47" s="1157" t="s">
        <v>814</v>
      </c>
      <c r="DOZ47" s="1158"/>
      <c r="DPA47" s="1157" t="s">
        <v>814</v>
      </c>
      <c r="DPB47" s="1158"/>
      <c r="DPC47" s="1157" t="s">
        <v>814</v>
      </c>
      <c r="DPD47" s="1158"/>
      <c r="DPE47" s="1157" t="s">
        <v>814</v>
      </c>
      <c r="DPF47" s="1158"/>
      <c r="DPG47" s="1157" t="s">
        <v>814</v>
      </c>
      <c r="DPH47" s="1158"/>
      <c r="DPI47" s="1157" t="s">
        <v>814</v>
      </c>
      <c r="DPJ47" s="1158"/>
      <c r="DPK47" s="1157" t="s">
        <v>814</v>
      </c>
      <c r="DPL47" s="1158"/>
      <c r="DPM47" s="1157" t="s">
        <v>814</v>
      </c>
      <c r="DPN47" s="1158"/>
      <c r="DPO47" s="1157" t="s">
        <v>814</v>
      </c>
      <c r="DPP47" s="1158"/>
      <c r="DPQ47" s="1157" t="s">
        <v>814</v>
      </c>
      <c r="DPR47" s="1158"/>
      <c r="DPS47" s="1157" t="s">
        <v>814</v>
      </c>
      <c r="DPT47" s="1158"/>
      <c r="DPU47" s="1157" t="s">
        <v>814</v>
      </c>
      <c r="DPV47" s="1158"/>
      <c r="DPW47" s="1157" t="s">
        <v>814</v>
      </c>
      <c r="DPX47" s="1158"/>
      <c r="DPY47" s="1157" t="s">
        <v>814</v>
      </c>
      <c r="DPZ47" s="1158"/>
      <c r="DQA47" s="1157" t="s">
        <v>814</v>
      </c>
      <c r="DQB47" s="1158"/>
      <c r="DQC47" s="1157" t="s">
        <v>814</v>
      </c>
      <c r="DQD47" s="1158"/>
      <c r="DQE47" s="1157" t="s">
        <v>814</v>
      </c>
      <c r="DQF47" s="1158"/>
      <c r="DQG47" s="1157" t="s">
        <v>814</v>
      </c>
      <c r="DQH47" s="1158"/>
      <c r="DQI47" s="1157" t="s">
        <v>814</v>
      </c>
      <c r="DQJ47" s="1158"/>
      <c r="DQK47" s="1157" t="s">
        <v>814</v>
      </c>
      <c r="DQL47" s="1158"/>
      <c r="DQM47" s="1157" t="s">
        <v>814</v>
      </c>
      <c r="DQN47" s="1158"/>
      <c r="DQO47" s="1157" t="s">
        <v>814</v>
      </c>
      <c r="DQP47" s="1158"/>
      <c r="DQQ47" s="1157" t="s">
        <v>814</v>
      </c>
      <c r="DQR47" s="1158"/>
      <c r="DQS47" s="1157" t="s">
        <v>814</v>
      </c>
      <c r="DQT47" s="1158"/>
      <c r="DQU47" s="1157" t="s">
        <v>814</v>
      </c>
      <c r="DQV47" s="1158"/>
      <c r="DQW47" s="1157" t="s">
        <v>814</v>
      </c>
      <c r="DQX47" s="1158"/>
      <c r="DQY47" s="1157" t="s">
        <v>814</v>
      </c>
      <c r="DQZ47" s="1158"/>
      <c r="DRA47" s="1157" t="s">
        <v>814</v>
      </c>
      <c r="DRB47" s="1158"/>
      <c r="DRC47" s="1157" t="s">
        <v>814</v>
      </c>
      <c r="DRD47" s="1158"/>
      <c r="DRE47" s="1157" t="s">
        <v>814</v>
      </c>
      <c r="DRF47" s="1158"/>
      <c r="DRG47" s="1157" t="s">
        <v>814</v>
      </c>
      <c r="DRH47" s="1158"/>
      <c r="DRI47" s="1157" t="s">
        <v>814</v>
      </c>
      <c r="DRJ47" s="1158"/>
      <c r="DRK47" s="1157" t="s">
        <v>814</v>
      </c>
      <c r="DRL47" s="1158"/>
      <c r="DRM47" s="1157" t="s">
        <v>814</v>
      </c>
      <c r="DRN47" s="1158"/>
      <c r="DRO47" s="1157" t="s">
        <v>814</v>
      </c>
      <c r="DRP47" s="1158"/>
      <c r="DRQ47" s="1157" t="s">
        <v>814</v>
      </c>
      <c r="DRR47" s="1158"/>
      <c r="DRS47" s="1157" t="s">
        <v>814</v>
      </c>
      <c r="DRT47" s="1158"/>
      <c r="DRU47" s="1157" t="s">
        <v>814</v>
      </c>
      <c r="DRV47" s="1158"/>
      <c r="DRW47" s="1157" t="s">
        <v>814</v>
      </c>
      <c r="DRX47" s="1158"/>
      <c r="DRY47" s="1157" t="s">
        <v>814</v>
      </c>
      <c r="DRZ47" s="1158"/>
      <c r="DSA47" s="1157" t="s">
        <v>814</v>
      </c>
      <c r="DSB47" s="1158"/>
      <c r="DSC47" s="1157" t="s">
        <v>814</v>
      </c>
      <c r="DSD47" s="1158"/>
      <c r="DSE47" s="1157" t="s">
        <v>814</v>
      </c>
      <c r="DSF47" s="1158"/>
      <c r="DSG47" s="1157" t="s">
        <v>814</v>
      </c>
      <c r="DSH47" s="1158"/>
      <c r="DSI47" s="1157" t="s">
        <v>814</v>
      </c>
      <c r="DSJ47" s="1158"/>
      <c r="DSK47" s="1157" t="s">
        <v>814</v>
      </c>
      <c r="DSL47" s="1158"/>
      <c r="DSM47" s="1157" t="s">
        <v>814</v>
      </c>
      <c r="DSN47" s="1158"/>
      <c r="DSO47" s="1157" t="s">
        <v>814</v>
      </c>
      <c r="DSP47" s="1158"/>
      <c r="DSQ47" s="1157" t="s">
        <v>814</v>
      </c>
      <c r="DSR47" s="1158"/>
      <c r="DSS47" s="1157" t="s">
        <v>814</v>
      </c>
      <c r="DST47" s="1158"/>
      <c r="DSU47" s="1157" t="s">
        <v>814</v>
      </c>
      <c r="DSV47" s="1158"/>
      <c r="DSW47" s="1157" t="s">
        <v>814</v>
      </c>
      <c r="DSX47" s="1158"/>
      <c r="DSY47" s="1157" t="s">
        <v>814</v>
      </c>
      <c r="DSZ47" s="1158"/>
      <c r="DTA47" s="1157" t="s">
        <v>814</v>
      </c>
      <c r="DTB47" s="1158"/>
      <c r="DTC47" s="1157" t="s">
        <v>814</v>
      </c>
      <c r="DTD47" s="1158"/>
      <c r="DTE47" s="1157" t="s">
        <v>814</v>
      </c>
      <c r="DTF47" s="1158"/>
      <c r="DTG47" s="1157" t="s">
        <v>814</v>
      </c>
      <c r="DTH47" s="1158"/>
      <c r="DTI47" s="1157" t="s">
        <v>814</v>
      </c>
      <c r="DTJ47" s="1158"/>
      <c r="DTK47" s="1157" t="s">
        <v>814</v>
      </c>
      <c r="DTL47" s="1158"/>
      <c r="DTM47" s="1157" t="s">
        <v>814</v>
      </c>
      <c r="DTN47" s="1158"/>
      <c r="DTO47" s="1157" t="s">
        <v>814</v>
      </c>
      <c r="DTP47" s="1158"/>
      <c r="DTQ47" s="1157" t="s">
        <v>814</v>
      </c>
      <c r="DTR47" s="1158"/>
      <c r="DTS47" s="1157" t="s">
        <v>814</v>
      </c>
      <c r="DTT47" s="1158"/>
      <c r="DTU47" s="1157" t="s">
        <v>814</v>
      </c>
      <c r="DTV47" s="1158"/>
      <c r="DTW47" s="1157" t="s">
        <v>814</v>
      </c>
      <c r="DTX47" s="1158"/>
      <c r="DTY47" s="1157" t="s">
        <v>814</v>
      </c>
      <c r="DTZ47" s="1158"/>
      <c r="DUA47" s="1157" t="s">
        <v>814</v>
      </c>
      <c r="DUB47" s="1158"/>
      <c r="DUC47" s="1157" t="s">
        <v>814</v>
      </c>
      <c r="DUD47" s="1158"/>
      <c r="DUE47" s="1157" t="s">
        <v>814</v>
      </c>
      <c r="DUF47" s="1158"/>
      <c r="DUG47" s="1157" t="s">
        <v>814</v>
      </c>
      <c r="DUH47" s="1158"/>
      <c r="DUI47" s="1157" t="s">
        <v>814</v>
      </c>
      <c r="DUJ47" s="1158"/>
      <c r="DUK47" s="1157" t="s">
        <v>814</v>
      </c>
      <c r="DUL47" s="1158"/>
      <c r="DUM47" s="1157" t="s">
        <v>814</v>
      </c>
      <c r="DUN47" s="1158"/>
      <c r="DUO47" s="1157" t="s">
        <v>814</v>
      </c>
      <c r="DUP47" s="1158"/>
      <c r="DUQ47" s="1157" t="s">
        <v>814</v>
      </c>
      <c r="DUR47" s="1158"/>
      <c r="DUS47" s="1157" t="s">
        <v>814</v>
      </c>
      <c r="DUT47" s="1158"/>
      <c r="DUU47" s="1157" t="s">
        <v>814</v>
      </c>
      <c r="DUV47" s="1158"/>
      <c r="DUW47" s="1157" t="s">
        <v>814</v>
      </c>
      <c r="DUX47" s="1158"/>
      <c r="DUY47" s="1157" t="s">
        <v>814</v>
      </c>
      <c r="DUZ47" s="1158"/>
      <c r="DVA47" s="1157" t="s">
        <v>814</v>
      </c>
      <c r="DVB47" s="1158"/>
      <c r="DVC47" s="1157" t="s">
        <v>814</v>
      </c>
      <c r="DVD47" s="1158"/>
      <c r="DVE47" s="1157" t="s">
        <v>814</v>
      </c>
      <c r="DVF47" s="1158"/>
      <c r="DVG47" s="1157" t="s">
        <v>814</v>
      </c>
      <c r="DVH47" s="1158"/>
      <c r="DVI47" s="1157" t="s">
        <v>814</v>
      </c>
      <c r="DVJ47" s="1158"/>
      <c r="DVK47" s="1157" t="s">
        <v>814</v>
      </c>
      <c r="DVL47" s="1158"/>
      <c r="DVM47" s="1157" t="s">
        <v>814</v>
      </c>
      <c r="DVN47" s="1158"/>
      <c r="DVO47" s="1157" t="s">
        <v>814</v>
      </c>
      <c r="DVP47" s="1158"/>
      <c r="DVQ47" s="1157" t="s">
        <v>814</v>
      </c>
      <c r="DVR47" s="1158"/>
      <c r="DVS47" s="1157" t="s">
        <v>814</v>
      </c>
      <c r="DVT47" s="1158"/>
      <c r="DVU47" s="1157" t="s">
        <v>814</v>
      </c>
      <c r="DVV47" s="1158"/>
      <c r="DVW47" s="1157" t="s">
        <v>814</v>
      </c>
      <c r="DVX47" s="1158"/>
      <c r="DVY47" s="1157" t="s">
        <v>814</v>
      </c>
      <c r="DVZ47" s="1158"/>
      <c r="DWA47" s="1157" t="s">
        <v>814</v>
      </c>
      <c r="DWB47" s="1158"/>
      <c r="DWC47" s="1157" t="s">
        <v>814</v>
      </c>
      <c r="DWD47" s="1158"/>
      <c r="DWE47" s="1157" t="s">
        <v>814</v>
      </c>
      <c r="DWF47" s="1158"/>
      <c r="DWG47" s="1157" t="s">
        <v>814</v>
      </c>
      <c r="DWH47" s="1158"/>
      <c r="DWI47" s="1157" t="s">
        <v>814</v>
      </c>
      <c r="DWJ47" s="1158"/>
      <c r="DWK47" s="1157" t="s">
        <v>814</v>
      </c>
      <c r="DWL47" s="1158"/>
      <c r="DWM47" s="1157" t="s">
        <v>814</v>
      </c>
      <c r="DWN47" s="1158"/>
      <c r="DWO47" s="1157" t="s">
        <v>814</v>
      </c>
      <c r="DWP47" s="1158"/>
      <c r="DWQ47" s="1157" t="s">
        <v>814</v>
      </c>
      <c r="DWR47" s="1158"/>
      <c r="DWS47" s="1157" t="s">
        <v>814</v>
      </c>
      <c r="DWT47" s="1158"/>
      <c r="DWU47" s="1157" t="s">
        <v>814</v>
      </c>
      <c r="DWV47" s="1158"/>
      <c r="DWW47" s="1157" t="s">
        <v>814</v>
      </c>
      <c r="DWX47" s="1158"/>
      <c r="DWY47" s="1157" t="s">
        <v>814</v>
      </c>
      <c r="DWZ47" s="1158"/>
      <c r="DXA47" s="1157" t="s">
        <v>814</v>
      </c>
      <c r="DXB47" s="1158"/>
      <c r="DXC47" s="1157" t="s">
        <v>814</v>
      </c>
      <c r="DXD47" s="1158"/>
      <c r="DXE47" s="1157" t="s">
        <v>814</v>
      </c>
      <c r="DXF47" s="1158"/>
      <c r="DXG47" s="1157" t="s">
        <v>814</v>
      </c>
      <c r="DXH47" s="1158"/>
      <c r="DXI47" s="1157" t="s">
        <v>814</v>
      </c>
      <c r="DXJ47" s="1158"/>
      <c r="DXK47" s="1157" t="s">
        <v>814</v>
      </c>
      <c r="DXL47" s="1158"/>
      <c r="DXM47" s="1157" t="s">
        <v>814</v>
      </c>
      <c r="DXN47" s="1158"/>
      <c r="DXO47" s="1157" t="s">
        <v>814</v>
      </c>
      <c r="DXP47" s="1158"/>
      <c r="DXQ47" s="1157" t="s">
        <v>814</v>
      </c>
      <c r="DXR47" s="1158"/>
      <c r="DXS47" s="1157" t="s">
        <v>814</v>
      </c>
      <c r="DXT47" s="1158"/>
      <c r="DXU47" s="1157" t="s">
        <v>814</v>
      </c>
      <c r="DXV47" s="1158"/>
      <c r="DXW47" s="1157" t="s">
        <v>814</v>
      </c>
      <c r="DXX47" s="1158"/>
      <c r="DXY47" s="1157" t="s">
        <v>814</v>
      </c>
      <c r="DXZ47" s="1158"/>
      <c r="DYA47" s="1157" t="s">
        <v>814</v>
      </c>
      <c r="DYB47" s="1158"/>
      <c r="DYC47" s="1157" t="s">
        <v>814</v>
      </c>
      <c r="DYD47" s="1158"/>
      <c r="DYE47" s="1157" t="s">
        <v>814</v>
      </c>
      <c r="DYF47" s="1158"/>
      <c r="DYG47" s="1157" t="s">
        <v>814</v>
      </c>
      <c r="DYH47" s="1158"/>
      <c r="DYI47" s="1157" t="s">
        <v>814</v>
      </c>
      <c r="DYJ47" s="1158"/>
      <c r="DYK47" s="1157" t="s">
        <v>814</v>
      </c>
      <c r="DYL47" s="1158"/>
      <c r="DYM47" s="1157" t="s">
        <v>814</v>
      </c>
      <c r="DYN47" s="1158"/>
      <c r="DYO47" s="1157" t="s">
        <v>814</v>
      </c>
      <c r="DYP47" s="1158"/>
      <c r="DYQ47" s="1157" t="s">
        <v>814</v>
      </c>
      <c r="DYR47" s="1158"/>
      <c r="DYS47" s="1157" t="s">
        <v>814</v>
      </c>
      <c r="DYT47" s="1158"/>
      <c r="DYU47" s="1157" t="s">
        <v>814</v>
      </c>
      <c r="DYV47" s="1158"/>
      <c r="DYW47" s="1157" t="s">
        <v>814</v>
      </c>
      <c r="DYX47" s="1158"/>
      <c r="DYY47" s="1157" t="s">
        <v>814</v>
      </c>
      <c r="DYZ47" s="1158"/>
      <c r="DZA47" s="1157" t="s">
        <v>814</v>
      </c>
      <c r="DZB47" s="1158"/>
      <c r="DZC47" s="1157" t="s">
        <v>814</v>
      </c>
      <c r="DZD47" s="1158"/>
      <c r="DZE47" s="1157" t="s">
        <v>814</v>
      </c>
      <c r="DZF47" s="1158"/>
      <c r="DZG47" s="1157" t="s">
        <v>814</v>
      </c>
      <c r="DZH47" s="1158"/>
      <c r="DZI47" s="1157" t="s">
        <v>814</v>
      </c>
      <c r="DZJ47" s="1158"/>
      <c r="DZK47" s="1157" t="s">
        <v>814</v>
      </c>
      <c r="DZL47" s="1158"/>
      <c r="DZM47" s="1157" t="s">
        <v>814</v>
      </c>
      <c r="DZN47" s="1158"/>
      <c r="DZO47" s="1157" t="s">
        <v>814</v>
      </c>
      <c r="DZP47" s="1158"/>
      <c r="DZQ47" s="1157" t="s">
        <v>814</v>
      </c>
      <c r="DZR47" s="1158"/>
      <c r="DZS47" s="1157" t="s">
        <v>814</v>
      </c>
      <c r="DZT47" s="1158"/>
      <c r="DZU47" s="1157" t="s">
        <v>814</v>
      </c>
      <c r="DZV47" s="1158"/>
      <c r="DZW47" s="1157" t="s">
        <v>814</v>
      </c>
      <c r="DZX47" s="1158"/>
      <c r="DZY47" s="1157" t="s">
        <v>814</v>
      </c>
      <c r="DZZ47" s="1158"/>
      <c r="EAA47" s="1157" t="s">
        <v>814</v>
      </c>
      <c r="EAB47" s="1158"/>
      <c r="EAC47" s="1157" t="s">
        <v>814</v>
      </c>
      <c r="EAD47" s="1158"/>
      <c r="EAE47" s="1157" t="s">
        <v>814</v>
      </c>
      <c r="EAF47" s="1158"/>
      <c r="EAG47" s="1157" t="s">
        <v>814</v>
      </c>
      <c r="EAH47" s="1158"/>
      <c r="EAI47" s="1157" t="s">
        <v>814</v>
      </c>
      <c r="EAJ47" s="1158"/>
      <c r="EAK47" s="1157" t="s">
        <v>814</v>
      </c>
      <c r="EAL47" s="1158"/>
      <c r="EAM47" s="1157" t="s">
        <v>814</v>
      </c>
      <c r="EAN47" s="1158"/>
      <c r="EAO47" s="1157" t="s">
        <v>814</v>
      </c>
      <c r="EAP47" s="1158"/>
      <c r="EAQ47" s="1157" t="s">
        <v>814</v>
      </c>
      <c r="EAR47" s="1158"/>
      <c r="EAS47" s="1157" t="s">
        <v>814</v>
      </c>
      <c r="EAT47" s="1158"/>
      <c r="EAU47" s="1157" t="s">
        <v>814</v>
      </c>
      <c r="EAV47" s="1158"/>
      <c r="EAW47" s="1157" t="s">
        <v>814</v>
      </c>
      <c r="EAX47" s="1158"/>
      <c r="EAY47" s="1157" t="s">
        <v>814</v>
      </c>
      <c r="EAZ47" s="1158"/>
      <c r="EBA47" s="1157" t="s">
        <v>814</v>
      </c>
      <c r="EBB47" s="1158"/>
      <c r="EBC47" s="1157" t="s">
        <v>814</v>
      </c>
      <c r="EBD47" s="1158"/>
      <c r="EBE47" s="1157" t="s">
        <v>814</v>
      </c>
      <c r="EBF47" s="1158"/>
      <c r="EBG47" s="1157" t="s">
        <v>814</v>
      </c>
      <c r="EBH47" s="1158"/>
      <c r="EBI47" s="1157" t="s">
        <v>814</v>
      </c>
      <c r="EBJ47" s="1158"/>
      <c r="EBK47" s="1157" t="s">
        <v>814</v>
      </c>
      <c r="EBL47" s="1158"/>
      <c r="EBM47" s="1157" t="s">
        <v>814</v>
      </c>
      <c r="EBN47" s="1158"/>
      <c r="EBO47" s="1157" t="s">
        <v>814</v>
      </c>
      <c r="EBP47" s="1158"/>
      <c r="EBQ47" s="1157" t="s">
        <v>814</v>
      </c>
      <c r="EBR47" s="1158"/>
      <c r="EBS47" s="1157" t="s">
        <v>814</v>
      </c>
      <c r="EBT47" s="1158"/>
      <c r="EBU47" s="1157" t="s">
        <v>814</v>
      </c>
      <c r="EBV47" s="1158"/>
      <c r="EBW47" s="1157" t="s">
        <v>814</v>
      </c>
      <c r="EBX47" s="1158"/>
      <c r="EBY47" s="1157" t="s">
        <v>814</v>
      </c>
      <c r="EBZ47" s="1158"/>
      <c r="ECA47" s="1157" t="s">
        <v>814</v>
      </c>
      <c r="ECB47" s="1158"/>
      <c r="ECC47" s="1157" t="s">
        <v>814</v>
      </c>
      <c r="ECD47" s="1158"/>
      <c r="ECE47" s="1157" t="s">
        <v>814</v>
      </c>
      <c r="ECF47" s="1158"/>
      <c r="ECG47" s="1157" t="s">
        <v>814</v>
      </c>
      <c r="ECH47" s="1158"/>
      <c r="ECI47" s="1157" t="s">
        <v>814</v>
      </c>
      <c r="ECJ47" s="1158"/>
      <c r="ECK47" s="1157" t="s">
        <v>814</v>
      </c>
      <c r="ECL47" s="1158"/>
      <c r="ECM47" s="1157" t="s">
        <v>814</v>
      </c>
      <c r="ECN47" s="1158"/>
      <c r="ECO47" s="1157" t="s">
        <v>814</v>
      </c>
      <c r="ECP47" s="1158"/>
      <c r="ECQ47" s="1157" t="s">
        <v>814</v>
      </c>
      <c r="ECR47" s="1158"/>
      <c r="ECS47" s="1157" t="s">
        <v>814</v>
      </c>
      <c r="ECT47" s="1158"/>
      <c r="ECU47" s="1157" t="s">
        <v>814</v>
      </c>
      <c r="ECV47" s="1158"/>
      <c r="ECW47" s="1157" t="s">
        <v>814</v>
      </c>
      <c r="ECX47" s="1158"/>
      <c r="ECY47" s="1157" t="s">
        <v>814</v>
      </c>
      <c r="ECZ47" s="1158"/>
      <c r="EDA47" s="1157" t="s">
        <v>814</v>
      </c>
      <c r="EDB47" s="1158"/>
      <c r="EDC47" s="1157" t="s">
        <v>814</v>
      </c>
      <c r="EDD47" s="1158"/>
      <c r="EDE47" s="1157" t="s">
        <v>814</v>
      </c>
      <c r="EDF47" s="1158"/>
      <c r="EDG47" s="1157" t="s">
        <v>814</v>
      </c>
      <c r="EDH47" s="1158"/>
      <c r="EDI47" s="1157" t="s">
        <v>814</v>
      </c>
      <c r="EDJ47" s="1158"/>
      <c r="EDK47" s="1157" t="s">
        <v>814</v>
      </c>
      <c r="EDL47" s="1158"/>
      <c r="EDM47" s="1157" t="s">
        <v>814</v>
      </c>
      <c r="EDN47" s="1158"/>
      <c r="EDO47" s="1157" t="s">
        <v>814</v>
      </c>
      <c r="EDP47" s="1158"/>
      <c r="EDQ47" s="1157" t="s">
        <v>814</v>
      </c>
      <c r="EDR47" s="1158"/>
      <c r="EDS47" s="1157" t="s">
        <v>814</v>
      </c>
      <c r="EDT47" s="1158"/>
      <c r="EDU47" s="1157" t="s">
        <v>814</v>
      </c>
      <c r="EDV47" s="1158"/>
      <c r="EDW47" s="1157" t="s">
        <v>814</v>
      </c>
      <c r="EDX47" s="1158"/>
      <c r="EDY47" s="1157" t="s">
        <v>814</v>
      </c>
      <c r="EDZ47" s="1158"/>
      <c r="EEA47" s="1157" t="s">
        <v>814</v>
      </c>
      <c r="EEB47" s="1158"/>
      <c r="EEC47" s="1157" t="s">
        <v>814</v>
      </c>
      <c r="EED47" s="1158"/>
      <c r="EEE47" s="1157" t="s">
        <v>814</v>
      </c>
      <c r="EEF47" s="1158"/>
      <c r="EEG47" s="1157" t="s">
        <v>814</v>
      </c>
      <c r="EEH47" s="1158"/>
      <c r="EEI47" s="1157" t="s">
        <v>814</v>
      </c>
      <c r="EEJ47" s="1158"/>
      <c r="EEK47" s="1157" t="s">
        <v>814</v>
      </c>
      <c r="EEL47" s="1158"/>
      <c r="EEM47" s="1157" t="s">
        <v>814</v>
      </c>
      <c r="EEN47" s="1158"/>
      <c r="EEO47" s="1157" t="s">
        <v>814</v>
      </c>
      <c r="EEP47" s="1158"/>
      <c r="EEQ47" s="1157" t="s">
        <v>814</v>
      </c>
      <c r="EER47" s="1158"/>
      <c r="EES47" s="1157" t="s">
        <v>814</v>
      </c>
      <c r="EET47" s="1158"/>
      <c r="EEU47" s="1157" t="s">
        <v>814</v>
      </c>
      <c r="EEV47" s="1158"/>
      <c r="EEW47" s="1157" t="s">
        <v>814</v>
      </c>
      <c r="EEX47" s="1158"/>
      <c r="EEY47" s="1157" t="s">
        <v>814</v>
      </c>
      <c r="EEZ47" s="1158"/>
      <c r="EFA47" s="1157" t="s">
        <v>814</v>
      </c>
      <c r="EFB47" s="1158"/>
      <c r="EFC47" s="1157" t="s">
        <v>814</v>
      </c>
      <c r="EFD47" s="1158"/>
      <c r="EFE47" s="1157" t="s">
        <v>814</v>
      </c>
      <c r="EFF47" s="1158"/>
      <c r="EFG47" s="1157" t="s">
        <v>814</v>
      </c>
      <c r="EFH47" s="1158"/>
      <c r="EFI47" s="1157" t="s">
        <v>814</v>
      </c>
      <c r="EFJ47" s="1158"/>
      <c r="EFK47" s="1157" t="s">
        <v>814</v>
      </c>
      <c r="EFL47" s="1158"/>
      <c r="EFM47" s="1157" t="s">
        <v>814</v>
      </c>
      <c r="EFN47" s="1158"/>
      <c r="EFO47" s="1157" t="s">
        <v>814</v>
      </c>
      <c r="EFP47" s="1158"/>
      <c r="EFQ47" s="1157" t="s">
        <v>814</v>
      </c>
      <c r="EFR47" s="1158"/>
      <c r="EFS47" s="1157" t="s">
        <v>814</v>
      </c>
      <c r="EFT47" s="1158"/>
      <c r="EFU47" s="1157" t="s">
        <v>814</v>
      </c>
      <c r="EFV47" s="1158"/>
      <c r="EFW47" s="1157" t="s">
        <v>814</v>
      </c>
      <c r="EFX47" s="1158"/>
      <c r="EFY47" s="1157" t="s">
        <v>814</v>
      </c>
      <c r="EFZ47" s="1158"/>
      <c r="EGA47" s="1157" t="s">
        <v>814</v>
      </c>
      <c r="EGB47" s="1158"/>
      <c r="EGC47" s="1157" t="s">
        <v>814</v>
      </c>
      <c r="EGD47" s="1158"/>
      <c r="EGE47" s="1157" t="s">
        <v>814</v>
      </c>
      <c r="EGF47" s="1158"/>
      <c r="EGG47" s="1157" t="s">
        <v>814</v>
      </c>
      <c r="EGH47" s="1158"/>
      <c r="EGI47" s="1157" t="s">
        <v>814</v>
      </c>
      <c r="EGJ47" s="1158"/>
      <c r="EGK47" s="1157" t="s">
        <v>814</v>
      </c>
      <c r="EGL47" s="1158"/>
      <c r="EGM47" s="1157" t="s">
        <v>814</v>
      </c>
      <c r="EGN47" s="1158"/>
      <c r="EGO47" s="1157" t="s">
        <v>814</v>
      </c>
      <c r="EGP47" s="1158"/>
      <c r="EGQ47" s="1157" t="s">
        <v>814</v>
      </c>
      <c r="EGR47" s="1158"/>
      <c r="EGS47" s="1157" t="s">
        <v>814</v>
      </c>
      <c r="EGT47" s="1158"/>
      <c r="EGU47" s="1157" t="s">
        <v>814</v>
      </c>
      <c r="EGV47" s="1158"/>
      <c r="EGW47" s="1157" t="s">
        <v>814</v>
      </c>
      <c r="EGX47" s="1158"/>
      <c r="EGY47" s="1157" t="s">
        <v>814</v>
      </c>
      <c r="EGZ47" s="1158"/>
      <c r="EHA47" s="1157" t="s">
        <v>814</v>
      </c>
      <c r="EHB47" s="1158"/>
      <c r="EHC47" s="1157" t="s">
        <v>814</v>
      </c>
      <c r="EHD47" s="1158"/>
      <c r="EHE47" s="1157" t="s">
        <v>814</v>
      </c>
      <c r="EHF47" s="1158"/>
      <c r="EHG47" s="1157" t="s">
        <v>814</v>
      </c>
      <c r="EHH47" s="1158"/>
      <c r="EHI47" s="1157" t="s">
        <v>814</v>
      </c>
      <c r="EHJ47" s="1158"/>
      <c r="EHK47" s="1157" t="s">
        <v>814</v>
      </c>
      <c r="EHL47" s="1158"/>
      <c r="EHM47" s="1157" t="s">
        <v>814</v>
      </c>
      <c r="EHN47" s="1158"/>
      <c r="EHO47" s="1157" t="s">
        <v>814</v>
      </c>
      <c r="EHP47" s="1158"/>
      <c r="EHQ47" s="1157" t="s">
        <v>814</v>
      </c>
      <c r="EHR47" s="1158"/>
      <c r="EHS47" s="1157" t="s">
        <v>814</v>
      </c>
      <c r="EHT47" s="1158"/>
      <c r="EHU47" s="1157" t="s">
        <v>814</v>
      </c>
      <c r="EHV47" s="1158"/>
      <c r="EHW47" s="1157" t="s">
        <v>814</v>
      </c>
      <c r="EHX47" s="1158"/>
      <c r="EHY47" s="1157" t="s">
        <v>814</v>
      </c>
      <c r="EHZ47" s="1158"/>
      <c r="EIA47" s="1157" t="s">
        <v>814</v>
      </c>
      <c r="EIB47" s="1158"/>
      <c r="EIC47" s="1157" t="s">
        <v>814</v>
      </c>
      <c r="EID47" s="1158"/>
      <c r="EIE47" s="1157" t="s">
        <v>814</v>
      </c>
      <c r="EIF47" s="1158"/>
      <c r="EIG47" s="1157" t="s">
        <v>814</v>
      </c>
      <c r="EIH47" s="1158"/>
      <c r="EII47" s="1157" t="s">
        <v>814</v>
      </c>
      <c r="EIJ47" s="1158"/>
      <c r="EIK47" s="1157" t="s">
        <v>814</v>
      </c>
      <c r="EIL47" s="1158"/>
      <c r="EIM47" s="1157" t="s">
        <v>814</v>
      </c>
      <c r="EIN47" s="1158"/>
      <c r="EIO47" s="1157" t="s">
        <v>814</v>
      </c>
      <c r="EIP47" s="1158"/>
      <c r="EIQ47" s="1157" t="s">
        <v>814</v>
      </c>
      <c r="EIR47" s="1158"/>
      <c r="EIS47" s="1157" t="s">
        <v>814</v>
      </c>
      <c r="EIT47" s="1158"/>
      <c r="EIU47" s="1157" t="s">
        <v>814</v>
      </c>
      <c r="EIV47" s="1158"/>
      <c r="EIW47" s="1157" t="s">
        <v>814</v>
      </c>
      <c r="EIX47" s="1158"/>
      <c r="EIY47" s="1157" t="s">
        <v>814</v>
      </c>
      <c r="EIZ47" s="1158"/>
      <c r="EJA47" s="1157" t="s">
        <v>814</v>
      </c>
      <c r="EJB47" s="1158"/>
      <c r="EJC47" s="1157" t="s">
        <v>814</v>
      </c>
      <c r="EJD47" s="1158"/>
      <c r="EJE47" s="1157" t="s">
        <v>814</v>
      </c>
      <c r="EJF47" s="1158"/>
      <c r="EJG47" s="1157" t="s">
        <v>814</v>
      </c>
      <c r="EJH47" s="1158"/>
      <c r="EJI47" s="1157" t="s">
        <v>814</v>
      </c>
      <c r="EJJ47" s="1158"/>
      <c r="EJK47" s="1157" t="s">
        <v>814</v>
      </c>
      <c r="EJL47" s="1158"/>
      <c r="EJM47" s="1157" t="s">
        <v>814</v>
      </c>
      <c r="EJN47" s="1158"/>
      <c r="EJO47" s="1157" t="s">
        <v>814</v>
      </c>
      <c r="EJP47" s="1158"/>
      <c r="EJQ47" s="1157" t="s">
        <v>814</v>
      </c>
      <c r="EJR47" s="1158"/>
      <c r="EJS47" s="1157" t="s">
        <v>814</v>
      </c>
      <c r="EJT47" s="1158"/>
      <c r="EJU47" s="1157" t="s">
        <v>814</v>
      </c>
      <c r="EJV47" s="1158"/>
      <c r="EJW47" s="1157" t="s">
        <v>814</v>
      </c>
      <c r="EJX47" s="1158"/>
      <c r="EJY47" s="1157" t="s">
        <v>814</v>
      </c>
      <c r="EJZ47" s="1158"/>
      <c r="EKA47" s="1157" t="s">
        <v>814</v>
      </c>
      <c r="EKB47" s="1158"/>
      <c r="EKC47" s="1157" t="s">
        <v>814</v>
      </c>
      <c r="EKD47" s="1158"/>
      <c r="EKE47" s="1157" t="s">
        <v>814</v>
      </c>
      <c r="EKF47" s="1158"/>
      <c r="EKG47" s="1157" t="s">
        <v>814</v>
      </c>
      <c r="EKH47" s="1158"/>
      <c r="EKI47" s="1157" t="s">
        <v>814</v>
      </c>
      <c r="EKJ47" s="1158"/>
      <c r="EKK47" s="1157" t="s">
        <v>814</v>
      </c>
      <c r="EKL47" s="1158"/>
      <c r="EKM47" s="1157" t="s">
        <v>814</v>
      </c>
      <c r="EKN47" s="1158"/>
      <c r="EKO47" s="1157" t="s">
        <v>814</v>
      </c>
      <c r="EKP47" s="1158"/>
      <c r="EKQ47" s="1157" t="s">
        <v>814</v>
      </c>
      <c r="EKR47" s="1158"/>
      <c r="EKS47" s="1157" t="s">
        <v>814</v>
      </c>
      <c r="EKT47" s="1158"/>
      <c r="EKU47" s="1157" t="s">
        <v>814</v>
      </c>
      <c r="EKV47" s="1158"/>
      <c r="EKW47" s="1157" t="s">
        <v>814</v>
      </c>
      <c r="EKX47" s="1158"/>
      <c r="EKY47" s="1157" t="s">
        <v>814</v>
      </c>
      <c r="EKZ47" s="1158"/>
      <c r="ELA47" s="1157" t="s">
        <v>814</v>
      </c>
      <c r="ELB47" s="1158"/>
      <c r="ELC47" s="1157" t="s">
        <v>814</v>
      </c>
      <c r="ELD47" s="1158"/>
      <c r="ELE47" s="1157" t="s">
        <v>814</v>
      </c>
      <c r="ELF47" s="1158"/>
      <c r="ELG47" s="1157" t="s">
        <v>814</v>
      </c>
      <c r="ELH47" s="1158"/>
      <c r="ELI47" s="1157" t="s">
        <v>814</v>
      </c>
      <c r="ELJ47" s="1158"/>
      <c r="ELK47" s="1157" t="s">
        <v>814</v>
      </c>
      <c r="ELL47" s="1158"/>
      <c r="ELM47" s="1157" t="s">
        <v>814</v>
      </c>
      <c r="ELN47" s="1158"/>
      <c r="ELO47" s="1157" t="s">
        <v>814</v>
      </c>
      <c r="ELP47" s="1158"/>
      <c r="ELQ47" s="1157" t="s">
        <v>814</v>
      </c>
      <c r="ELR47" s="1158"/>
      <c r="ELS47" s="1157" t="s">
        <v>814</v>
      </c>
      <c r="ELT47" s="1158"/>
      <c r="ELU47" s="1157" t="s">
        <v>814</v>
      </c>
      <c r="ELV47" s="1158"/>
      <c r="ELW47" s="1157" t="s">
        <v>814</v>
      </c>
      <c r="ELX47" s="1158"/>
      <c r="ELY47" s="1157" t="s">
        <v>814</v>
      </c>
      <c r="ELZ47" s="1158"/>
      <c r="EMA47" s="1157" t="s">
        <v>814</v>
      </c>
      <c r="EMB47" s="1158"/>
      <c r="EMC47" s="1157" t="s">
        <v>814</v>
      </c>
      <c r="EMD47" s="1158"/>
      <c r="EME47" s="1157" t="s">
        <v>814</v>
      </c>
      <c r="EMF47" s="1158"/>
      <c r="EMG47" s="1157" t="s">
        <v>814</v>
      </c>
      <c r="EMH47" s="1158"/>
      <c r="EMI47" s="1157" t="s">
        <v>814</v>
      </c>
      <c r="EMJ47" s="1158"/>
      <c r="EMK47" s="1157" t="s">
        <v>814</v>
      </c>
      <c r="EML47" s="1158"/>
      <c r="EMM47" s="1157" t="s">
        <v>814</v>
      </c>
      <c r="EMN47" s="1158"/>
      <c r="EMO47" s="1157" t="s">
        <v>814</v>
      </c>
      <c r="EMP47" s="1158"/>
      <c r="EMQ47" s="1157" t="s">
        <v>814</v>
      </c>
      <c r="EMR47" s="1158"/>
      <c r="EMS47" s="1157" t="s">
        <v>814</v>
      </c>
      <c r="EMT47" s="1158"/>
      <c r="EMU47" s="1157" t="s">
        <v>814</v>
      </c>
      <c r="EMV47" s="1158"/>
      <c r="EMW47" s="1157" t="s">
        <v>814</v>
      </c>
      <c r="EMX47" s="1158"/>
      <c r="EMY47" s="1157" t="s">
        <v>814</v>
      </c>
      <c r="EMZ47" s="1158"/>
      <c r="ENA47" s="1157" t="s">
        <v>814</v>
      </c>
      <c r="ENB47" s="1158"/>
      <c r="ENC47" s="1157" t="s">
        <v>814</v>
      </c>
      <c r="END47" s="1158"/>
      <c r="ENE47" s="1157" t="s">
        <v>814</v>
      </c>
      <c r="ENF47" s="1158"/>
      <c r="ENG47" s="1157" t="s">
        <v>814</v>
      </c>
      <c r="ENH47" s="1158"/>
      <c r="ENI47" s="1157" t="s">
        <v>814</v>
      </c>
      <c r="ENJ47" s="1158"/>
      <c r="ENK47" s="1157" t="s">
        <v>814</v>
      </c>
      <c r="ENL47" s="1158"/>
      <c r="ENM47" s="1157" t="s">
        <v>814</v>
      </c>
      <c r="ENN47" s="1158"/>
      <c r="ENO47" s="1157" t="s">
        <v>814</v>
      </c>
      <c r="ENP47" s="1158"/>
      <c r="ENQ47" s="1157" t="s">
        <v>814</v>
      </c>
      <c r="ENR47" s="1158"/>
      <c r="ENS47" s="1157" t="s">
        <v>814</v>
      </c>
      <c r="ENT47" s="1158"/>
      <c r="ENU47" s="1157" t="s">
        <v>814</v>
      </c>
      <c r="ENV47" s="1158"/>
      <c r="ENW47" s="1157" t="s">
        <v>814</v>
      </c>
      <c r="ENX47" s="1158"/>
      <c r="ENY47" s="1157" t="s">
        <v>814</v>
      </c>
      <c r="ENZ47" s="1158"/>
      <c r="EOA47" s="1157" t="s">
        <v>814</v>
      </c>
      <c r="EOB47" s="1158"/>
      <c r="EOC47" s="1157" t="s">
        <v>814</v>
      </c>
      <c r="EOD47" s="1158"/>
      <c r="EOE47" s="1157" t="s">
        <v>814</v>
      </c>
      <c r="EOF47" s="1158"/>
      <c r="EOG47" s="1157" t="s">
        <v>814</v>
      </c>
      <c r="EOH47" s="1158"/>
      <c r="EOI47" s="1157" t="s">
        <v>814</v>
      </c>
      <c r="EOJ47" s="1158"/>
      <c r="EOK47" s="1157" t="s">
        <v>814</v>
      </c>
      <c r="EOL47" s="1158"/>
      <c r="EOM47" s="1157" t="s">
        <v>814</v>
      </c>
      <c r="EON47" s="1158"/>
      <c r="EOO47" s="1157" t="s">
        <v>814</v>
      </c>
      <c r="EOP47" s="1158"/>
      <c r="EOQ47" s="1157" t="s">
        <v>814</v>
      </c>
      <c r="EOR47" s="1158"/>
      <c r="EOS47" s="1157" t="s">
        <v>814</v>
      </c>
      <c r="EOT47" s="1158"/>
      <c r="EOU47" s="1157" t="s">
        <v>814</v>
      </c>
      <c r="EOV47" s="1158"/>
      <c r="EOW47" s="1157" t="s">
        <v>814</v>
      </c>
      <c r="EOX47" s="1158"/>
      <c r="EOY47" s="1157" t="s">
        <v>814</v>
      </c>
      <c r="EOZ47" s="1158"/>
      <c r="EPA47" s="1157" t="s">
        <v>814</v>
      </c>
      <c r="EPB47" s="1158"/>
      <c r="EPC47" s="1157" t="s">
        <v>814</v>
      </c>
      <c r="EPD47" s="1158"/>
      <c r="EPE47" s="1157" t="s">
        <v>814</v>
      </c>
      <c r="EPF47" s="1158"/>
      <c r="EPG47" s="1157" t="s">
        <v>814</v>
      </c>
      <c r="EPH47" s="1158"/>
      <c r="EPI47" s="1157" t="s">
        <v>814</v>
      </c>
      <c r="EPJ47" s="1158"/>
      <c r="EPK47" s="1157" t="s">
        <v>814</v>
      </c>
      <c r="EPL47" s="1158"/>
      <c r="EPM47" s="1157" t="s">
        <v>814</v>
      </c>
      <c r="EPN47" s="1158"/>
      <c r="EPO47" s="1157" t="s">
        <v>814</v>
      </c>
      <c r="EPP47" s="1158"/>
      <c r="EPQ47" s="1157" t="s">
        <v>814</v>
      </c>
      <c r="EPR47" s="1158"/>
      <c r="EPS47" s="1157" t="s">
        <v>814</v>
      </c>
      <c r="EPT47" s="1158"/>
      <c r="EPU47" s="1157" t="s">
        <v>814</v>
      </c>
      <c r="EPV47" s="1158"/>
      <c r="EPW47" s="1157" t="s">
        <v>814</v>
      </c>
      <c r="EPX47" s="1158"/>
      <c r="EPY47" s="1157" t="s">
        <v>814</v>
      </c>
      <c r="EPZ47" s="1158"/>
      <c r="EQA47" s="1157" t="s">
        <v>814</v>
      </c>
      <c r="EQB47" s="1158"/>
      <c r="EQC47" s="1157" t="s">
        <v>814</v>
      </c>
      <c r="EQD47" s="1158"/>
      <c r="EQE47" s="1157" t="s">
        <v>814</v>
      </c>
      <c r="EQF47" s="1158"/>
      <c r="EQG47" s="1157" t="s">
        <v>814</v>
      </c>
      <c r="EQH47" s="1158"/>
      <c r="EQI47" s="1157" t="s">
        <v>814</v>
      </c>
      <c r="EQJ47" s="1158"/>
      <c r="EQK47" s="1157" t="s">
        <v>814</v>
      </c>
      <c r="EQL47" s="1158"/>
      <c r="EQM47" s="1157" t="s">
        <v>814</v>
      </c>
      <c r="EQN47" s="1158"/>
      <c r="EQO47" s="1157" t="s">
        <v>814</v>
      </c>
      <c r="EQP47" s="1158"/>
      <c r="EQQ47" s="1157" t="s">
        <v>814</v>
      </c>
      <c r="EQR47" s="1158"/>
      <c r="EQS47" s="1157" t="s">
        <v>814</v>
      </c>
      <c r="EQT47" s="1158"/>
      <c r="EQU47" s="1157" t="s">
        <v>814</v>
      </c>
      <c r="EQV47" s="1158"/>
      <c r="EQW47" s="1157" t="s">
        <v>814</v>
      </c>
      <c r="EQX47" s="1158"/>
      <c r="EQY47" s="1157" t="s">
        <v>814</v>
      </c>
      <c r="EQZ47" s="1158"/>
      <c r="ERA47" s="1157" t="s">
        <v>814</v>
      </c>
      <c r="ERB47" s="1158"/>
      <c r="ERC47" s="1157" t="s">
        <v>814</v>
      </c>
      <c r="ERD47" s="1158"/>
      <c r="ERE47" s="1157" t="s">
        <v>814</v>
      </c>
      <c r="ERF47" s="1158"/>
      <c r="ERG47" s="1157" t="s">
        <v>814</v>
      </c>
      <c r="ERH47" s="1158"/>
      <c r="ERI47" s="1157" t="s">
        <v>814</v>
      </c>
      <c r="ERJ47" s="1158"/>
      <c r="ERK47" s="1157" t="s">
        <v>814</v>
      </c>
      <c r="ERL47" s="1158"/>
      <c r="ERM47" s="1157" t="s">
        <v>814</v>
      </c>
      <c r="ERN47" s="1158"/>
      <c r="ERO47" s="1157" t="s">
        <v>814</v>
      </c>
      <c r="ERP47" s="1158"/>
      <c r="ERQ47" s="1157" t="s">
        <v>814</v>
      </c>
      <c r="ERR47" s="1158"/>
      <c r="ERS47" s="1157" t="s">
        <v>814</v>
      </c>
      <c r="ERT47" s="1158"/>
      <c r="ERU47" s="1157" t="s">
        <v>814</v>
      </c>
      <c r="ERV47" s="1158"/>
      <c r="ERW47" s="1157" t="s">
        <v>814</v>
      </c>
      <c r="ERX47" s="1158"/>
      <c r="ERY47" s="1157" t="s">
        <v>814</v>
      </c>
      <c r="ERZ47" s="1158"/>
      <c r="ESA47" s="1157" t="s">
        <v>814</v>
      </c>
      <c r="ESB47" s="1158"/>
      <c r="ESC47" s="1157" t="s">
        <v>814</v>
      </c>
      <c r="ESD47" s="1158"/>
      <c r="ESE47" s="1157" t="s">
        <v>814</v>
      </c>
      <c r="ESF47" s="1158"/>
      <c r="ESG47" s="1157" t="s">
        <v>814</v>
      </c>
      <c r="ESH47" s="1158"/>
      <c r="ESI47" s="1157" t="s">
        <v>814</v>
      </c>
      <c r="ESJ47" s="1158"/>
      <c r="ESK47" s="1157" t="s">
        <v>814</v>
      </c>
      <c r="ESL47" s="1158"/>
      <c r="ESM47" s="1157" t="s">
        <v>814</v>
      </c>
      <c r="ESN47" s="1158"/>
      <c r="ESO47" s="1157" t="s">
        <v>814</v>
      </c>
      <c r="ESP47" s="1158"/>
      <c r="ESQ47" s="1157" t="s">
        <v>814</v>
      </c>
      <c r="ESR47" s="1158"/>
      <c r="ESS47" s="1157" t="s">
        <v>814</v>
      </c>
      <c r="EST47" s="1158"/>
      <c r="ESU47" s="1157" t="s">
        <v>814</v>
      </c>
      <c r="ESV47" s="1158"/>
      <c r="ESW47" s="1157" t="s">
        <v>814</v>
      </c>
      <c r="ESX47" s="1158"/>
      <c r="ESY47" s="1157" t="s">
        <v>814</v>
      </c>
      <c r="ESZ47" s="1158"/>
      <c r="ETA47" s="1157" t="s">
        <v>814</v>
      </c>
      <c r="ETB47" s="1158"/>
      <c r="ETC47" s="1157" t="s">
        <v>814</v>
      </c>
      <c r="ETD47" s="1158"/>
      <c r="ETE47" s="1157" t="s">
        <v>814</v>
      </c>
      <c r="ETF47" s="1158"/>
      <c r="ETG47" s="1157" t="s">
        <v>814</v>
      </c>
      <c r="ETH47" s="1158"/>
      <c r="ETI47" s="1157" t="s">
        <v>814</v>
      </c>
      <c r="ETJ47" s="1158"/>
      <c r="ETK47" s="1157" t="s">
        <v>814</v>
      </c>
      <c r="ETL47" s="1158"/>
      <c r="ETM47" s="1157" t="s">
        <v>814</v>
      </c>
      <c r="ETN47" s="1158"/>
      <c r="ETO47" s="1157" t="s">
        <v>814</v>
      </c>
      <c r="ETP47" s="1158"/>
      <c r="ETQ47" s="1157" t="s">
        <v>814</v>
      </c>
      <c r="ETR47" s="1158"/>
      <c r="ETS47" s="1157" t="s">
        <v>814</v>
      </c>
      <c r="ETT47" s="1158"/>
      <c r="ETU47" s="1157" t="s">
        <v>814</v>
      </c>
      <c r="ETV47" s="1158"/>
      <c r="ETW47" s="1157" t="s">
        <v>814</v>
      </c>
      <c r="ETX47" s="1158"/>
      <c r="ETY47" s="1157" t="s">
        <v>814</v>
      </c>
      <c r="ETZ47" s="1158"/>
      <c r="EUA47" s="1157" t="s">
        <v>814</v>
      </c>
      <c r="EUB47" s="1158"/>
      <c r="EUC47" s="1157" t="s">
        <v>814</v>
      </c>
      <c r="EUD47" s="1158"/>
      <c r="EUE47" s="1157" t="s">
        <v>814</v>
      </c>
      <c r="EUF47" s="1158"/>
      <c r="EUG47" s="1157" t="s">
        <v>814</v>
      </c>
      <c r="EUH47" s="1158"/>
      <c r="EUI47" s="1157" t="s">
        <v>814</v>
      </c>
      <c r="EUJ47" s="1158"/>
      <c r="EUK47" s="1157" t="s">
        <v>814</v>
      </c>
      <c r="EUL47" s="1158"/>
      <c r="EUM47" s="1157" t="s">
        <v>814</v>
      </c>
      <c r="EUN47" s="1158"/>
      <c r="EUO47" s="1157" t="s">
        <v>814</v>
      </c>
      <c r="EUP47" s="1158"/>
      <c r="EUQ47" s="1157" t="s">
        <v>814</v>
      </c>
      <c r="EUR47" s="1158"/>
      <c r="EUS47" s="1157" t="s">
        <v>814</v>
      </c>
      <c r="EUT47" s="1158"/>
      <c r="EUU47" s="1157" t="s">
        <v>814</v>
      </c>
      <c r="EUV47" s="1158"/>
      <c r="EUW47" s="1157" t="s">
        <v>814</v>
      </c>
      <c r="EUX47" s="1158"/>
      <c r="EUY47" s="1157" t="s">
        <v>814</v>
      </c>
      <c r="EUZ47" s="1158"/>
      <c r="EVA47" s="1157" t="s">
        <v>814</v>
      </c>
      <c r="EVB47" s="1158"/>
      <c r="EVC47" s="1157" t="s">
        <v>814</v>
      </c>
      <c r="EVD47" s="1158"/>
      <c r="EVE47" s="1157" t="s">
        <v>814</v>
      </c>
      <c r="EVF47" s="1158"/>
      <c r="EVG47" s="1157" t="s">
        <v>814</v>
      </c>
      <c r="EVH47" s="1158"/>
      <c r="EVI47" s="1157" t="s">
        <v>814</v>
      </c>
      <c r="EVJ47" s="1158"/>
      <c r="EVK47" s="1157" t="s">
        <v>814</v>
      </c>
      <c r="EVL47" s="1158"/>
      <c r="EVM47" s="1157" t="s">
        <v>814</v>
      </c>
      <c r="EVN47" s="1158"/>
      <c r="EVO47" s="1157" t="s">
        <v>814</v>
      </c>
      <c r="EVP47" s="1158"/>
      <c r="EVQ47" s="1157" t="s">
        <v>814</v>
      </c>
      <c r="EVR47" s="1158"/>
      <c r="EVS47" s="1157" t="s">
        <v>814</v>
      </c>
      <c r="EVT47" s="1158"/>
      <c r="EVU47" s="1157" t="s">
        <v>814</v>
      </c>
      <c r="EVV47" s="1158"/>
      <c r="EVW47" s="1157" t="s">
        <v>814</v>
      </c>
      <c r="EVX47" s="1158"/>
      <c r="EVY47" s="1157" t="s">
        <v>814</v>
      </c>
      <c r="EVZ47" s="1158"/>
      <c r="EWA47" s="1157" t="s">
        <v>814</v>
      </c>
      <c r="EWB47" s="1158"/>
      <c r="EWC47" s="1157" t="s">
        <v>814</v>
      </c>
      <c r="EWD47" s="1158"/>
      <c r="EWE47" s="1157" t="s">
        <v>814</v>
      </c>
      <c r="EWF47" s="1158"/>
      <c r="EWG47" s="1157" t="s">
        <v>814</v>
      </c>
      <c r="EWH47" s="1158"/>
      <c r="EWI47" s="1157" t="s">
        <v>814</v>
      </c>
      <c r="EWJ47" s="1158"/>
      <c r="EWK47" s="1157" t="s">
        <v>814</v>
      </c>
      <c r="EWL47" s="1158"/>
      <c r="EWM47" s="1157" t="s">
        <v>814</v>
      </c>
      <c r="EWN47" s="1158"/>
      <c r="EWO47" s="1157" t="s">
        <v>814</v>
      </c>
      <c r="EWP47" s="1158"/>
      <c r="EWQ47" s="1157" t="s">
        <v>814</v>
      </c>
      <c r="EWR47" s="1158"/>
      <c r="EWS47" s="1157" t="s">
        <v>814</v>
      </c>
      <c r="EWT47" s="1158"/>
      <c r="EWU47" s="1157" t="s">
        <v>814</v>
      </c>
      <c r="EWV47" s="1158"/>
      <c r="EWW47" s="1157" t="s">
        <v>814</v>
      </c>
      <c r="EWX47" s="1158"/>
      <c r="EWY47" s="1157" t="s">
        <v>814</v>
      </c>
      <c r="EWZ47" s="1158"/>
      <c r="EXA47" s="1157" t="s">
        <v>814</v>
      </c>
      <c r="EXB47" s="1158"/>
      <c r="EXC47" s="1157" t="s">
        <v>814</v>
      </c>
      <c r="EXD47" s="1158"/>
      <c r="EXE47" s="1157" t="s">
        <v>814</v>
      </c>
      <c r="EXF47" s="1158"/>
      <c r="EXG47" s="1157" t="s">
        <v>814</v>
      </c>
      <c r="EXH47" s="1158"/>
      <c r="EXI47" s="1157" t="s">
        <v>814</v>
      </c>
      <c r="EXJ47" s="1158"/>
      <c r="EXK47" s="1157" t="s">
        <v>814</v>
      </c>
      <c r="EXL47" s="1158"/>
      <c r="EXM47" s="1157" t="s">
        <v>814</v>
      </c>
      <c r="EXN47" s="1158"/>
      <c r="EXO47" s="1157" t="s">
        <v>814</v>
      </c>
      <c r="EXP47" s="1158"/>
      <c r="EXQ47" s="1157" t="s">
        <v>814</v>
      </c>
      <c r="EXR47" s="1158"/>
      <c r="EXS47" s="1157" t="s">
        <v>814</v>
      </c>
      <c r="EXT47" s="1158"/>
      <c r="EXU47" s="1157" t="s">
        <v>814</v>
      </c>
      <c r="EXV47" s="1158"/>
      <c r="EXW47" s="1157" t="s">
        <v>814</v>
      </c>
      <c r="EXX47" s="1158"/>
      <c r="EXY47" s="1157" t="s">
        <v>814</v>
      </c>
      <c r="EXZ47" s="1158"/>
      <c r="EYA47" s="1157" t="s">
        <v>814</v>
      </c>
      <c r="EYB47" s="1158"/>
      <c r="EYC47" s="1157" t="s">
        <v>814</v>
      </c>
      <c r="EYD47" s="1158"/>
      <c r="EYE47" s="1157" t="s">
        <v>814</v>
      </c>
      <c r="EYF47" s="1158"/>
      <c r="EYG47" s="1157" t="s">
        <v>814</v>
      </c>
      <c r="EYH47" s="1158"/>
      <c r="EYI47" s="1157" t="s">
        <v>814</v>
      </c>
      <c r="EYJ47" s="1158"/>
      <c r="EYK47" s="1157" t="s">
        <v>814</v>
      </c>
      <c r="EYL47" s="1158"/>
      <c r="EYM47" s="1157" t="s">
        <v>814</v>
      </c>
      <c r="EYN47" s="1158"/>
      <c r="EYO47" s="1157" t="s">
        <v>814</v>
      </c>
      <c r="EYP47" s="1158"/>
      <c r="EYQ47" s="1157" t="s">
        <v>814</v>
      </c>
      <c r="EYR47" s="1158"/>
      <c r="EYS47" s="1157" t="s">
        <v>814</v>
      </c>
      <c r="EYT47" s="1158"/>
      <c r="EYU47" s="1157" t="s">
        <v>814</v>
      </c>
      <c r="EYV47" s="1158"/>
      <c r="EYW47" s="1157" t="s">
        <v>814</v>
      </c>
      <c r="EYX47" s="1158"/>
      <c r="EYY47" s="1157" t="s">
        <v>814</v>
      </c>
      <c r="EYZ47" s="1158"/>
      <c r="EZA47" s="1157" t="s">
        <v>814</v>
      </c>
      <c r="EZB47" s="1158"/>
      <c r="EZC47" s="1157" t="s">
        <v>814</v>
      </c>
      <c r="EZD47" s="1158"/>
      <c r="EZE47" s="1157" t="s">
        <v>814</v>
      </c>
      <c r="EZF47" s="1158"/>
      <c r="EZG47" s="1157" t="s">
        <v>814</v>
      </c>
      <c r="EZH47" s="1158"/>
      <c r="EZI47" s="1157" t="s">
        <v>814</v>
      </c>
      <c r="EZJ47" s="1158"/>
      <c r="EZK47" s="1157" t="s">
        <v>814</v>
      </c>
      <c r="EZL47" s="1158"/>
      <c r="EZM47" s="1157" t="s">
        <v>814</v>
      </c>
      <c r="EZN47" s="1158"/>
      <c r="EZO47" s="1157" t="s">
        <v>814</v>
      </c>
      <c r="EZP47" s="1158"/>
      <c r="EZQ47" s="1157" t="s">
        <v>814</v>
      </c>
      <c r="EZR47" s="1158"/>
      <c r="EZS47" s="1157" t="s">
        <v>814</v>
      </c>
      <c r="EZT47" s="1158"/>
      <c r="EZU47" s="1157" t="s">
        <v>814</v>
      </c>
      <c r="EZV47" s="1158"/>
      <c r="EZW47" s="1157" t="s">
        <v>814</v>
      </c>
      <c r="EZX47" s="1158"/>
      <c r="EZY47" s="1157" t="s">
        <v>814</v>
      </c>
      <c r="EZZ47" s="1158"/>
      <c r="FAA47" s="1157" t="s">
        <v>814</v>
      </c>
      <c r="FAB47" s="1158"/>
      <c r="FAC47" s="1157" t="s">
        <v>814</v>
      </c>
      <c r="FAD47" s="1158"/>
      <c r="FAE47" s="1157" t="s">
        <v>814</v>
      </c>
      <c r="FAF47" s="1158"/>
      <c r="FAG47" s="1157" t="s">
        <v>814</v>
      </c>
      <c r="FAH47" s="1158"/>
      <c r="FAI47" s="1157" t="s">
        <v>814</v>
      </c>
      <c r="FAJ47" s="1158"/>
      <c r="FAK47" s="1157" t="s">
        <v>814</v>
      </c>
      <c r="FAL47" s="1158"/>
      <c r="FAM47" s="1157" t="s">
        <v>814</v>
      </c>
      <c r="FAN47" s="1158"/>
      <c r="FAO47" s="1157" t="s">
        <v>814</v>
      </c>
      <c r="FAP47" s="1158"/>
      <c r="FAQ47" s="1157" t="s">
        <v>814</v>
      </c>
      <c r="FAR47" s="1158"/>
      <c r="FAS47" s="1157" t="s">
        <v>814</v>
      </c>
      <c r="FAT47" s="1158"/>
      <c r="FAU47" s="1157" t="s">
        <v>814</v>
      </c>
      <c r="FAV47" s="1158"/>
      <c r="FAW47" s="1157" t="s">
        <v>814</v>
      </c>
      <c r="FAX47" s="1158"/>
      <c r="FAY47" s="1157" t="s">
        <v>814</v>
      </c>
      <c r="FAZ47" s="1158"/>
      <c r="FBA47" s="1157" t="s">
        <v>814</v>
      </c>
      <c r="FBB47" s="1158"/>
      <c r="FBC47" s="1157" t="s">
        <v>814</v>
      </c>
      <c r="FBD47" s="1158"/>
      <c r="FBE47" s="1157" t="s">
        <v>814</v>
      </c>
      <c r="FBF47" s="1158"/>
      <c r="FBG47" s="1157" t="s">
        <v>814</v>
      </c>
      <c r="FBH47" s="1158"/>
      <c r="FBI47" s="1157" t="s">
        <v>814</v>
      </c>
      <c r="FBJ47" s="1158"/>
      <c r="FBK47" s="1157" t="s">
        <v>814</v>
      </c>
      <c r="FBL47" s="1158"/>
      <c r="FBM47" s="1157" t="s">
        <v>814</v>
      </c>
      <c r="FBN47" s="1158"/>
      <c r="FBO47" s="1157" t="s">
        <v>814</v>
      </c>
      <c r="FBP47" s="1158"/>
      <c r="FBQ47" s="1157" t="s">
        <v>814</v>
      </c>
      <c r="FBR47" s="1158"/>
      <c r="FBS47" s="1157" t="s">
        <v>814</v>
      </c>
      <c r="FBT47" s="1158"/>
      <c r="FBU47" s="1157" t="s">
        <v>814</v>
      </c>
      <c r="FBV47" s="1158"/>
      <c r="FBW47" s="1157" t="s">
        <v>814</v>
      </c>
      <c r="FBX47" s="1158"/>
      <c r="FBY47" s="1157" t="s">
        <v>814</v>
      </c>
      <c r="FBZ47" s="1158"/>
      <c r="FCA47" s="1157" t="s">
        <v>814</v>
      </c>
      <c r="FCB47" s="1158"/>
      <c r="FCC47" s="1157" t="s">
        <v>814</v>
      </c>
      <c r="FCD47" s="1158"/>
      <c r="FCE47" s="1157" t="s">
        <v>814</v>
      </c>
      <c r="FCF47" s="1158"/>
      <c r="FCG47" s="1157" t="s">
        <v>814</v>
      </c>
      <c r="FCH47" s="1158"/>
      <c r="FCI47" s="1157" t="s">
        <v>814</v>
      </c>
      <c r="FCJ47" s="1158"/>
      <c r="FCK47" s="1157" t="s">
        <v>814</v>
      </c>
      <c r="FCL47" s="1158"/>
      <c r="FCM47" s="1157" t="s">
        <v>814</v>
      </c>
      <c r="FCN47" s="1158"/>
      <c r="FCO47" s="1157" t="s">
        <v>814</v>
      </c>
      <c r="FCP47" s="1158"/>
      <c r="FCQ47" s="1157" t="s">
        <v>814</v>
      </c>
      <c r="FCR47" s="1158"/>
      <c r="FCS47" s="1157" t="s">
        <v>814</v>
      </c>
      <c r="FCT47" s="1158"/>
      <c r="FCU47" s="1157" t="s">
        <v>814</v>
      </c>
      <c r="FCV47" s="1158"/>
      <c r="FCW47" s="1157" t="s">
        <v>814</v>
      </c>
      <c r="FCX47" s="1158"/>
      <c r="FCY47" s="1157" t="s">
        <v>814</v>
      </c>
      <c r="FCZ47" s="1158"/>
      <c r="FDA47" s="1157" t="s">
        <v>814</v>
      </c>
      <c r="FDB47" s="1158"/>
      <c r="FDC47" s="1157" t="s">
        <v>814</v>
      </c>
      <c r="FDD47" s="1158"/>
      <c r="FDE47" s="1157" t="s">
        <v>814</v>
      </c>
      <c r="FDF47" s="1158"/>
      <c r="FDG47" s="1157" t="s">
        <v>814</v>
      </c>
      <c r="FDH47" s="1158"/>
      <c r="FDI47" s="1157" t="s">
        <v>814</v>
      </c>
      <c r="FDJ47" s="1158"/>
      <c r="FDK47" s="1157" t="s">
        <v>814</v>
      </c>
      <c r="FDL47" s="1158"/>
      <c r="FDM47" s="1157" t="s">
        <v>814</v>
      </c>
      <c r="FDN47" s="1158"/>
      <c r="FDO47" s="1157" t="s">
        <v>814</v>
      </c>
      <c r="FDP47" s="1158"/>
      <c r="FDQ47" s="1157" t="s">
        <v>814</v>
      </c>
      <c r="FDR47" s="1158"/>
      <c r="FDS47" s="1157" t="s">
        <v>814</v>
      </c>
      <c r="FDT47" s="1158"/>
      <c r="FDU47" s="1157" t="s">
        <v>814</v>
      </c>
      <c r="FDV47" s="1158"/>
      <c r="FDW47" s="1157" t="s">
        <v>814</v>
      </c>
      <c r="FDX47" s="1158"/>
      <c r="FDY47" s="1157" t="s">
        <v>814</v>
      </c>
      <c r="FDZ47" s="1158"/>
      <c r="FEA47" s="1157" t="s">
        <v>814</v>
      </c>
      <c r="FEB47" s="1158"/>
      <c r="FEC47" s="1157" t="s">
        <v>814</v>
      </c>
      <c r="FED47" s="1158"/>
      <c r="FEE47" s="1157" t="s">
        <v>814</v>
      </c>
      <c r="FEF47" s="1158"/>
      <c r="FEG47" s="1157" t="s">
        <v>814</v>
      </c>
      <c r="FEH47" s="1158"/>
      <c r="FEI47" s="1157" t="s">
        <v>814</v>
      </c>
      <c r="FEJ47" s="1158"/>
      <c r="FEK47" s="1157" t="s">
        <v>814</v>
      </c>
      <c r="FEL47" s="1158"/>
      <c r="FEM47" s="1157" t="s">
        <v>814</v>
      </c>
      <c r="FEN47" s="1158"/>
      <c r="FEO47" s="1157" t="s">
        <v>814</v>
      </c>
      <c r="FEP47" s="1158"/>
      <c r="FEQ47" s="1157" t="s">
        <v>814</v>
      </c>
      <c r="FER47" s="1158"/>
      <c r="FES47" s="1157" t="s">
        <v>814</v>
      </c>
      <c r="FET47" s="1158"/>
      <c r="FEU47" s="1157" t="s">
        <v>814</v>
      </c>
      <c r="FEV47" s="1158"/>
      <c r="FEW47" s="1157" t="s">
        <v>814</v>
      </c>
      <c r="FEX47" s="1158"/>
      <c r="FEY47" s="1157" t="s">
        <v>814</v>
      </c>
      <c r="FEZ47" s="1158"/>
      <c r="FFA47" s="1157" t="s">
        <v>814</v>
      </c>
      <c r="FFB47" s="1158"/>
      <c r="FFC47" s="1157" t="s">
        <v>814</v>
      </c>
      <c r="FFD47" s="1158"/>
      <c r="FFE47" s="1157" t="s">
        <v>814</v>
      </c>
      <c r="FFF47" s="1158"/>
      <c r="FFG47" s="1157" t="s">
        <v>814</v>
      </c>
      <c r="FFH47" s="1158"/>
      <c r="FFI47" s="1157" t="s">
        <v>814</v>
      </c>
      <c r="FFJ47" s="1158"/>
      <c r="FFK47" s="1157" t="s">
        <v>814</v>
      </c>
      <c r="FFL47" s="1158"/>
      <c r="FFM47" s="1157" t="s">
        <v>814</v>
      </c>
      <c r="FFN47" s="1158"/>
      <c r="FFO47" s="1157" t="s">
        <v>814</v>
      </c>
      <c r="FFP47" s="1158"/>
      <c r="FFQ47" s="1157" t="s">
        <v>814</v>
      </c>
      <c r="FFR47" s="1158"/>
      <c r="FFS47" s="1157" t="s">
        <v>814</v>
      </c>
      <c r="FFT47" s="1158"/>
      <c r="FFU47" s="1157" t="s">
        <v>814</v>
      </c>
      <c r="FFV47" s="1158"/>
      <c r="FFW47" s="1157" t="s">
        <v>814</v>
      </c>
      <c r="FFX47" s="1158"/>
      <c r="FFY47" s="1157" t="s">
        <v>814</v>
      </c>
      <c r="FFZ47" s="1158"/>
      <c r="FGA47" s="1157" t="s">
        <v>814</v>
      </c>
      <c r="FGB47" s="1158"/>
      <c r="FGC47" s="1157" t="s">
        <v>814</v>
      </c>
      <c r="FGD47" s="1158"/>
      <c r="FGE47" s="1157" t="s">
        <v>814</v>
      </c>
      <c r="FGF47" s="1158"/>
      <c r="FGG47" s="1157" t="s">
        <v>814</v>
      </c>
      <c r="FGH47" s="1158"/>
      <c r="FGI47" s="1157" t="s">
        <v>814</v>
      </c>
      <c r="FGJ47" s="1158"/>
      <c r="FGK47" s="1157" t="s">
        <v>814</v>
      </c>
      <c r="FGL47" s="1158"/>
      <c r="FGM47" s="1157" t="s">
        <v>814</v>
      </c>
      <c r="FGN47" s="1158"/>
      <c r="FGO47" s="1157" t="s">
        <v>814</v>
      </c>
      <c r="FGP47" s="1158"/>
      <c r="FGQ47" s="1157" t="s">
        <v>814</v>
      </c>
      <c r="FGR47" s="1158"/>
      <c r="FGS47" s="1157" t="s">
        <v>814</v>
      </c>
      <c r="FGT47" s="1158"/>
      <c r="FGU47" s="1157" t="s">
        <v>814</v>
      </c>
      <c r="FGV47" s="1158"/>
      <c r="FGW47" s="1157" t="s">
        <v>814</v>
      </c>
      <c r="FGX47" s="1158"/>
      <c r="FGY47" s="1157" t="s">
        <v>814</v>
      </c>
      <c r="FGZ47" s="1158"/>
      <c r="FHA47" s="1157" t="s">
        <v>814</v>
      </c>
      <c r="FHB47" s="1158"/>
      <c r="FHC47" s="1157" t="s">
        <v>814</v>
      </c>
      <c r="FHD47" s="1158"/>
      <c r="FHE47" s="1157" t="s">
        <v>814</v>
      </c>
      <c r="FHF47" s="1158"/>
      <c r="FHG47" s="1157" t="s">
        <v>814</v>
      </c>
      <c r="FHH47" s="1158"/>
      <c r="FHI47" s="1157" t="s">
        <v>814</v>
      </c>
      <c r="FHJ47" s="1158"/>
      <c r="FHK47" s="1157" t="s">
        <v>814</v>
      </c>
      <c r="FHL47" s="1158"/>
      <c r="FHM47" s="1157" t="s">
        <v>814</v>
      </c>
      <c r="FHN47" s="1158"/>
      <c r="FHO47" s="1157" t="s">
        <v>814</v>
      </c>
      <c r="FHP47" s="1158"/>
      <c r="FHQ47" s="1157" t="s">
        <v>814</v>
      </c>
      <c r="FHR47" s="1158"/>
      <c r="FHS47" s="1157" t="s">
        <v>814</v>
      </c>
      <c r="FHT47" s="1158"/>
      <c r="FHU47" s="1157" t="s">
        <v>814</v>
      </c>
      <c r="FHV47" s="1158"/>
      <c r="FHW47" s="1157" t="s">
        <v>814</v>
      </c>
      <c r="FHX47" s="1158"/>
      <c r="FHY47" s="1157" t="s">
        <v>814</v>
      </c>
      <c r="FHZ47" s="1158"/>
      <c r="FIA47" s="1157" t="s">
        <v>814</v>
      </c>
      <c r="FIB47" s="1158"/>
      <c r="FIC47" s="1157" t="s">
        <v>814</v>
      </c>
      <c r="FID47" s="1158"/>
      <c r="FIE47" s="1157" t="s">
        <v>814</v>
      </c>
      <c r="FIF47" s="1158"/>
      <c r="FIG47" s="1157" t="s">
        <v>814</v>
      </c>
      <c r="FIH47" s="1158"/>
      <c r="FII47" s="1157" t="s">
        <v>814</v>
      </c>
      <c r="FIJ47" s="1158"/>
      <c r="FIK47" s="1157" t="s">
        <v>814</v>
      </c>
      <c r="FIL47" s="1158"/>
      <c r="FIM47" s="1157" t="s">
        <v>814</v>
      </c>
      <c r="FIN47" s="1158"/>
      <c r="FIO47" s="1157" t="s">
        <v>814</v>
      </c>
      <c r="FIP47" s="1158"/>
      <c r="FIQ47" s="1157" t="s">
        <v>814</v>
      </c>
      <c r="FIR47" s="1158"/>
      <c r="FIS47" s="1157" t="s">
        <v>814</v>
      </c>
      <c r="FIT47" s="1158"/>
      <c r="FIU47" s="1157" t="s">
        <v>814</v>
      </c>
      <c r="FIV47" s="1158"/>
      <c r="FIW47" s="1157" t="s">
        <v>814</v>
      </c>
      <c r="FIX47" s="1158"/>
      <c r="FIY47" s="1157" t="s">
        <v>814</v>
      </c>
      <c r="FIZ47" s="1158"/>
      <c r="FJA47" s="1157" t="s">
        <v>814</v>
      </c>
      <c r="FJB47" s="1158"/>
      <c r="FJC47" s="1157" t="s">
        <v>814</v>
      </c>
      <c r="FJD47" s="1158"/>
      <c r="FJE47" s="1157" t="s">
        <v>814</v>
      </c>
      <c r="FJF47" s="1158"/>
      <c r="FJG47" s="1157" t="s">
        <v>814</v>
      </c>
      <c r="FJH47" s="1158"/>
      <c r="FJI47" s="1157" t="s">
        <v>814</v>
      </c>
      <c r="FJJ47" s="1158"/>
      <c r="FJK47" s="1157" t="s">
        <v>814</v>
      </c>
      <c r="FJL47" s="1158"/>
      <c r="FJM47" s="1157" t="s">
        <v>814</v>
      </c>
      <c r="FJN47" s="1158"/>
      <c r="FJO47" s="1157" t="s">
        <v>814</v>
      </c>
      <c r="FJP47" s="1158"/>
      <c r="FJQ47" s="1157" t="s">
        <v>814</v>
      </c>
      <c r="FJR47" s="1158"/>
      <c r="FJS47" s="1157" t="s">
        <v>814</v>
      </c>
      <c r="FJT47" s="1158"/>
      <c r="FJU47" s="1157" t="s">
        <v>814</v>
      </c>
      <c r="FJV47" s="1158"/>
      <c r="FJW47" s="1157" t="s">
        <v>814</v>
      </c>
      <c r="FJX47" s="1158"/>
      <c r="FJY47" s="1157" t="s">
        <v>814</v>
      </c>
      <c r="FJZ47" s="1158"/>
      <c r="FKA47" s="1157" t="s">
        <v>814</v>
      </c>
      <c r="FKB47" s="1158"/>
      <c r="FKC47" s="1157" t="s">
        <v>814</v>
      </c>
      <c r="FKD47" s="1158"/>
      <c r="FKE47" s="1157" t="s">
        <v>814</v>
      </c>
      <c r="FKF47" s="1158"/>
      <c r="FKG47" s="1157" t="s">
        <v>814</v>
      </c>
      <c r="FKH47" s="1158"/>
      <c r="FKI47" s="1157" t="s">
        <v>814</v>
      </c>
      <c r="FKJ47" s="1158"/>
      <c r="FKK47" s="1157" t="s">
        <v>814</v>
      </c>
      <c r="FKL47" s="1158"/>
      <c r="FKM47" s="1157" t="s">
        <v>814</v>
      </c>
      <c r="FKN47" s="1158"/>
      <c r="FKO47" s="1157" t="s">
        <v>814</v>
      </c>
      <c r="FKP47" s="1158"/>
      <c r="FKQ47" s="1157" t="s">
        <v>814</v>
      </c>
      <c r="FKR47" s="1158"/>
      <c r="FKS47" s="1157" t="s">
        <v>814</v>
      </c>
      <c r="FKT47" s="1158"/>
      <c r="FKU47" s="1157" t="s">
        <v>814</v>
      </c>
      <c r="FKV47" s="1158"/>
      <c r="FKW47" s="1157" t="s">
        <v>814</v>
      </c>
      <c r="FKX47" s="1158"/>
      <c r="FKY47" s="1157" t="s">
        <v>814</v>
      </c>
      <c r="FKZ47" s="1158"/>
      <c r="FLA47" s="1157" t="s">
        <v>814</v>
      </c>
      <c r="FLB47" s="1158"/>
      <c r="FLC47" s="1157" t="s">
        <v>814</v>
      </c>
      <c r="FLD47" s="1158"/>
      <c r="FLE47" s="1157" t="s">
        <v>814</v>
      </c>
      <c r="FLF47" s="1158"/>
      <c r="FLG47" s="1157" t="s">
        <v>814</v>
      </c>
      <c r="FLH47" s="1158"/>
      <c r="FLI47" s="1157" t="s">
        <v>814</v>
      </c>
      <c r="FLJ47" s="1158"/>
      <c r="FLK47" s="1157" t="s">
        <v>814</v>
      </c>
      <c r="FLL47" s="1158"/>
      <c r="FLM47" s="1157" t="s">
        <v>814</v>
      </c>
      <c r="FLN47" s="1158"/>
      <c r="FLO47" s="1157" t="s">
        <v>814</v>
      </c>
      <c r="FLP47" s="1158"/>
      <c r="FLQ47" s="1157" t="s">
        <v>814</v>
      </c>
      <c r="FLR47" s="1158"/>
      <c r="FLS47" s="1157" t="s">
        <v>814</v>
      </c>
      <c r="FLT47" s="1158"/>
      <c r="FLU47" s="1157" t="s">
        <v>814</v>
      </c>
      <c r="FLV47" s="1158"/>
      <c r="FLW47" s="1157" t="s">
        <v>814</v>
      </c>
      <c r="FLX47" s="1158"/>
      <c r="FLY47" s="1157" t="s">
        <v>814</v>
      </c>
      <c r="FLZ47" s="1158"/>
      <c r="FMA47" s="1157" t="s">
        <v>814</v>
      </c>
      <c r="FMB47" s="1158"/>
      <c r="FMC47" s="1157" t="s">
        <v>814</v>
      </c>
      <c r="FMD47" s="1158"/>
      <c r="FME47" s="1157" t="s">
        <v>814</v>
      </c>
      <c r="FMF47" s="1158"/>
      <c r="FMG47" s="1157" t="s">
        <v>814</v>
      </c>
      <c r="FMH47" s="1158"/>
      <c r="FMI47" s="1157" t="s">
        <v>814</v>
      </c>
      <c r="FMJ47" s="1158"/>
      <c r="FMK47" s="1157" t="s">
        <v>814</v>
      </c>
      <c r="FML47" s="1158"/>
      <c r="FMM47" s="1157" t="s">
        <v>814</v>
      </c>
      <c r="FMN47" s="1158"/>
      <c r="FMO47" s="1157" t="s">
        <v>814</v>
      </c>
      <c r="FMP47" s="1158"/>
      <c r="FMQ47" s="1157" t="s">
        <v>814</v>
      </c>
      <c r="FMR47" s="1158"/>
      <c r="FMS47" s="1157" t="s">
        <v>814</v>
      </c>
      <c r="FMT47" s="1158"/>
      <c r="FMU47" s="1157" t="s">
        <v>814</v>
      </c>
      <c r="FMV47" s="1158"/>
      <c r="FMW47" s="1157" t="s">
        <v>814</v>
      </c>
      <c r="FMX47" s="1158"/>
      <c r="FMY47" s="1157" t="s">
        <v>814</v>
      </c>
      <c r="FMZ47" s="1158"/>
      <c r="FNA47" s="1157" t="s">
        <v>814</v>
      </c>
      <c r="FNB47" s="1158"/>
      <c r="FNC47" s="1157" t="s">
        <v>814</v>
      </c>
      <c r="FND47" s="1158"/>
      <c r="FNE47" s="1157" t="s">
        <v>814</v>
      </c>
      <c r="FNF47" s="1158"/>
      <c r="FNG47" s="1157" t="s">
        <v>814</v>
      </c>
      <c r="FNH47" s="1158"/>
      <c r="FNI47" s="1157" t="s">
        <v>814</v>
      </c>
      <c r="FNJ47" s="1158"/>
      <c r="FNK47" s="1157" t="s">
        <v>814</v>
      </c>
      <c r="FNL47" s="1158"/>
      <c r="FNM47" s="1157" t="s">
        <v>814</v>
      </c>
      <c r="FNN47" s="1158"/>
      <c r="FNO47" s="1157" t="s">
        <v>814</v>
      </c>
      <c r="FNP47" s="1158"/>
      <c r="FNQ47" s="1157" t="s">
        <v>814</v>
      </c>
      <c r="FNR47" s="1158"/>
      <c r="FNS47" s="1157" t="s">
        <v>814</v>
      </c>
      <c r="FNT47" s="1158"/>
      <c r="FNU47" s="1157" t="s">
        <v>814</v>
      </c>
      <c r="FNV47" s="1158"/>
      <c r="FNW47" s="1157" t="s">
        <v>814</v>
      </c>
      <c r="FNX47" s="1158"/>
      <c r="FNY47" s="1157" t="s">
        <v>814</v>
      </c>
      <c r="FNZ47" s="1158"/>
      <c r="FOA47" s="1157" t="s">
        <v>814</v>
      </c>
      <c r="FOB47" s="1158"/>
      <c r="FOC47" s="1157" t="s">
        <v>814</v>
      </c>
      <c r="FOD47" s="1158"/>
      <c r="FOE47" s="1157" t="s">
        <v>814</v>
      </c>
      <c r="FOF47" s="1158"/>
      <c r="FOG47" s="1157" t="s">
        <v>814</v>
      </c>
      <c r="FOH47" s="1158"/>
      <c r="FOI47" s="1157" t="s">
        <v>814</v>
      </c>
      <c r="FOJ47" s="1158"/>
      <c r="FOK47" s="1157" t="s">
        <v>814</v>
      </c>
      <c r="FOL47" s="1158"/>
      <c r="FOM47" s="1157" t="s">
        <v>814</v>
      </c>
      <c r="FON47" s="1158"/>
      <c r="FOO47" s="1157" t="s">
        <v>814</v>
      </c>
      <c r="FOP47" s="1158"/>
      <c r="FOQ47" s="1157" t="s">
        <v>814</v>
      </c>
      <c r="FOR47" s="1158"/>
      <c r="FOS47" s="1157" t="s">
        <v>814</v>
      </c>
      <c r="FOT47" s="1158"/>
      <c r="FOU47" s="1157" t="s">
        <v>814</v>
      </c>
      <c r="FOV47" s="1158"/>
      <c r="FOW47" s="1157" t="s">
        <v>814</v>
      </c>
      <c r="FOX47" s="1158"/>
      <c r="FOY47" s="1157" t="s">
        <v>814</v>
      </c>
      <c r="FOZ47" s="1158"/>
      <c r="FPA47" s="1157" t="s">
        <v>814</v>
      </c>
      <c r="FPB47" s="1158"/>
      <c r="FPC47" s="1157" t="s">
        <v>814</v>
      </c>
      <c r="FPD47" s="1158"/>
      <c r="FPE47" s="1157" t="s">
        <v>814</v>
      </c>
      <c r="FPF47" s="1158"/>
      <c r="FPG47" s="1157" t="s">
        <v>814</v>
      </c>
      <c r="FPH47" s="1158"/>
      <c r="FPI47" s="1157" t="s">
        <v>814</v>
      </c>
      <c r="FPJ47" s="1158"/>
      <c r="FPK47" s="1157" t="s">
        <v>814</v>
      </c>
      <c r="FPL47" s="1158"/>
      <c r="FPM47" s="1157" t="s">
        <v>814</v>
      </c>
      <c r="FPN47" s="1158"/>
      <c r="FPO47" s="1157" t="s">
        <v>814</v>
      </c>
      <c r="FPP47" s="1158"/>
      <c r="FPQ47" s="1157" t="s">
        <v>814</v>
      </c>
      <c r="FPR47" s="1158"/>
      <c r="FPS47" s="1157" t="s">
        <v>814</v>
      </c>
      <c r="FPT47" s="1158"/>
      <c r="FPU47" s="1157" t="s">
        <v>814</v>
      </c>
      <c r="FPV47" s="1158"/>
      <c r="FPW47" s="1157" t="s">
        <v>814</v>
      </c>
      <c r="FPX47" s="1158"/>
      <c r="FPY47" s="1157" t="s">
        <v>814</v>
      </c>
      <c r="FPZ47" s="1158"/>
      <c r="FQA47" s="1157" t="s">
        <v>814</v>
      </c>
      <c r="FQB47" s="1158"/>
      <c r="FQC47" s="1157" t="s">
        <v>814</v>
      </c>
      <c r="FQD47" s="1158"/>
      <c r="FQE47" s="1157" t="s">
        <v>814</v>
      </c>
      <c r="FQF47" s="1158"/>
      <c r="FQG47" s="1157" t="s">
        <v>814</v>
      </c>
      <c r="FQH47" s="1158"/>
      <c r="FQI47" s="1157" t="s">
        <v>814</v>
      </c>
      <c r="FQJ47" s="1158"/>
      <c r="FQK47" s="1157" t="s">
        <v>814</v>
      </c>
      <c r="FQL47" s="1158"/>
      <c r="FQM47" s="1157" t="s">
        <v>814</v>
      </c>
      <c r="FQN47" s="1158"/>
      <c r="FQO47" s="1157" t="s">
        <v>814</v>
      </c>
      <c r="FQP47" s="1158"/>
      <c r="FQQ47" s="1157" t="s">
        <v>814</v>
      </c>
      <c r="FQR47" s="1158"/>
      <c r="FQS47" s="1157" t="s">
        <v>814</v>
      </c>
      <c r="FQT47" s="1158"/>
      <c r="FQU47" s="1157" t="s">
        <v>814</v>
      </c>
      <c r="FQV47" s="1158"/>
      <c r="FQW47" s="1157" t="s">
        <v>814</v>
      </c>
      <c r="FQX47" s="1158"/>
      <c r="FQY47" s="1157" t="s">
        <v>814</v>
      </c>
      <c r="FQZ47" s="1158"/>
      <c r="FRA47" s="1157" t="s">
        <v>814</v>
      </c>
      <c r="FRB47" s="1158"/>
      <c r="FRC47" s="1157" t="s">
        <v>814</v>
      </c>
      <c r="FRD47" s="1158"/>
      <c r="FRE47" s="1157" t="s">
        <v>814</v>
      </c>
      <c r="FRF47" s="1158"/>
      <c r="FRG47" s="1157" t="s">
        <v>814</v>
      </c>
      <c r="FRH47" s="1158"/>
      <c r="FRI47" s="1157" t="s">
        <v>814</v>
      </c>
      <c r="FRJ47" s="1158"/>
      <c r="FRK47" s="1157" t="s">
        <v>814</v>
      </c>
      <c r="FRL47" s="1158"/>
      <c r="FRM47" s="1157" t="s">
        <v>814</v>
      </c>
      <c r="FRN47" s="1158"/>
      <c r="FRO47" s="1157" t="s">
        <v>814</v>
      </c>
      <c r="FRP47" s="1158"/>
      <c r="FRQ47" s="1157" t="s">
        <v>814</v>
      </c>
      <c r="FRR47" s="1158"/>
      <c r="FRS47" s="1157" t="s">
        <v>814</v>
      </c>
      <c r="FRT47" s="1158"/>
      <c r="FRU47" s="1157" t="s">
        <v>814</v>
      </c>
      <c r="FRV47" s="1158"/>
      <c r="FRW47" s="1157" t="s">
        <v>814</v>
      </c>
      <c r="FRX47" s="1158"/>
      <c r="FRY47" s="1157" t="s">
        <v>814</v>
      </c>
      <c r="FRZ47" s="1158"/>
      <c r="FSA47" s="1157" t="s">
        <v>814</v>
      </c>
      <c r="FSB47" s="1158"/>
      <c r="FSC47" s="1157" t="s">
        <v>814</v>
      </c>
      <c r="FSD47" s="1158"/>
      <c r="FSE47" s="1157" t="s">
        <v>814</v>
      </c>
      <c r="FSF47" s="1158"/>
      <c r="FSG47" s="1157" t="s">
        <v>814</v>
      </c>
      <c r="FSH47" s="1158"/>
      <c r="FSI47" s="1157" t="s">
        <v>814</v>
      </c>
      <c r="FSJ47" s="1158"/>
      <c r="FSK47" s="1157" t="s">
        <v>814</v>
      </c>
      <c r="FSL47" s="1158"/>
      <c r="FSM47" s="1157" t="s">
        <v>814</v>
      </c>
      <c r="FSN47" s="1158"/>
      <c r="FSO47" s="1157" t="s">
        <v>814</v>
      </c>
      <c r="FSP47" s="1158"/>
      <c r="FSQ47" s="1157" t="s">
        <v>814</v>
      </c>
      <c r="FSR47" s="1158"/>
      <c r="FSS47" s="1157" t="s">
        <v>814</v>
      </c>
      <c r="FST47" s="1158"/>
      <c r="FSU47" s="1157" t="s">
        <v>814</v>
      </c>
      <c r="FSV47" s="1158"/>
      <c r="FSW47" s="1157" t="s">
        <v>814</v>
      </c>
      <c r="FSX47" s="1158"/>
      <c r="FSY47" s="1157" t="s">
        <v>814</v>
      </c>
      <c r="FSZ47" s="1158"/>
      <c r="FTA47" s="1157" t="s">
        <v>814</v>
      </c>
      <c r="FTB47" s="1158"/>
      <c r="FTC47" s="1157" t="s">
        <v>814</v>
      </c>
      <c r="FTD47" s="1158"/>
      <c r="FTE47" s="1157" t="s">
        <v>814</v>
      </c>
      <c r="FTF47" s="1158"/>
      <c r="FTG47" s="1157" t="s">
        <v>814</v>
      </c>
      <c r="FTH47" s="1158"/>
      <c r="FTI47" s="1157" t="s">
        <v>814</v>
      </c>
      <c r="FTJ47" s="1158"/>
      <c r="FTK47" s="1157" t="s">
        <v>814</v>
      </c>
      <c r="FTL47" s="1158"/>
      <c r="FTM47" s="1157" t="s">
        <v>814</v>
      </c>
      <c r="FTN47" s="1158"/>
      <c r="FTO47" s="1157" t="s">
        <v>814</v>
      </c>
      <c r="FTP47" s="1158"/>
      <c r="FTQ47" s="1157" t="s">
        <v>814</v>
      </c>
      <c r="FTR47" s="1158"/>
      <c r="FTS47" s="1157" t="s">
        <v>814</v>
      </c>
      <c r="FTT47" s="1158"/>
      <c r="FTU47" s="1157" t="s">
        <v>814</v>
      </c>
      <c r="FTV47" s="1158"/>
      <c r="FTW47" s="1157" t="s">
        <v>814</v>
      </c>
      <c r="FTX47" s="1158"/>
      <c r="FTY47" s="1157" t="s">
        <v>814</v>
      </c>
      <c r="FTZ47" s="1158"/>
      <c r="FUA47" s="1157" t="s">
        <v>814</v>
      </c>
      <c r="FUB47" s="1158"/>
      <c r="FUC47" s="1157" t="s">
        <v>814</v>
      </c>
      <c r="FUD47" s="1158"/>
      <c r="FUE47" s="1157" t="s">
        <v>814</v>
      </c>
      <c r="FUF47" s="1158"/>
      <c r="FUG47" s="1157" t="s">
        <v>814</v>
      </c>
      <c r="FUH47" s="1158"/>
      <c r="FUI47" s="1157" t="s">
        <v>814</v>
      </c>
      <c r="FUJ47" s="1158"/>
      <c r="FUK47" s="1157" t="s">
        <v>814</v>
      </c>
      <c r="FUL47" s="1158"/>
      <c r="FUM47" s="1157" t="s">
        <v>814</v>
      </c>
      <c r="FUN47" s="1158"/>
      <c r="FUO47" s="1157" t="s">
        <v>814</v>
      </c>
      <c r="FUP47" s="1158"/>
      <c r="FUQ47" s="1157" t="s">
        <v>814</v>
      </c>
      <c r="FUR47" s="1158"/>
      <c r="FUS47" s="1157" t="s">
        <v>814</v>
      </c>
      <c r="FUT47" s="1158"/>
      <c r="FUU47" s="1157" t="s">
        <v>814</v>
      </c>
      <c r="FUV47" s="1158"/>
      <c r="FUW47" s="1157" t="s">
        <v>814</v>
      </c>
      <c r="FUX47" s="1158"/>
      <c r="FUY47" s="1157" t="s">
        <v>814</v>
      </c>
      <c r="FUZ47" s="1158"/>
      <c r="FVA47" s="1157" t="s">
        <v>814</v>
      </c>
      <c r="FVB47" s="1158"/>
      <c r="FVC47" s="1157" t="s">
        <v>814</v>
      </c>
      <c r="FVD47" s="1158"/>
      <c r="FVE47" s="1157" t="s">
        <v>814</v>
      </c>
      <c r="FVF47" s="1158"/>
      <c r="FVG47" s="1157" t="s">
        <v>814</v>
      </c>
      <c r="FVH47" s="1158"/>
      <c r="FVI47" s="1157" t="s">
        <v>814</v>
      </c>
      <c r="FVJ47" s="1158"/>
      <c r="FVK47" s="1157" t="s">
        <v>814</v>
      </c>
      <c r="FVL47" s="1158"/>
      <c r="FVM47" s="1157" t="s">
        <v>814</v>
      </c>
      <c r="FVN47" s="1158"/>
      <c r="FVO47" s="1157" t="s">
        <v>814</v>
      </c>
      <c r="FVP47" s="1158"/>
      <c r="FVQ47" s="1157" t="s">
        <v>814</v>
      </c>
      <c r="FVR47" s="1158"/>
      <c r="FVS47" s="1157" t="s">
        <v>814</v>
      </c>
      <c r="FVT47" s="1158"/>
      <c r="FVU47" s="1157" t="s">
        <v>814</v>
      </c>
      <c r="FVV47" s="1158"/>
      <c r="FVW47" s="1157" t="s">
        <v>814</v>
      </c>
      <c r="FVX47" s="1158"/>
      <c r="FVY47" s="1157" t="s">
        <v>814</v>
      </c>
      <c r="FVZ47" s="1158"/>
      <c r="FWA47" s="1157" t="s">
        <v>814</v>
      </c>
      <c r="FWB47" s="1158"/>
      <c r="FWC47" s="1157" t="s">
        <v>814</v>
      </c>
      <c r="FWD47" s="1158"/>
      <c r="FWE47" s="1157" t="s">
        <v>814</v>
      </c>
      <c r="FWF47" s="1158"/>
      <c r="FWG47" s="1157" t="s">
        <v>814</v>
      </c>
      <c r="FWH47" s="1158"/>
      <c r="FWI47" s="1157" t="s">
        <v>814</v>
      </c>
      <c r="FWJ47" s="1158"/>
      <c r="FWK47" s="1157" t="s">
        <v>814</v>
      </c>
      <c r="FWL47" s="1158"/>
      <c r="FWM47" s="1157" t="s">
        <v>814</v>
      </c>
      <c r="FWN47" s="1158"/>
      <c r="FWO47" s="1157" t="s">
        <v>814</v>
      </c>
      <c r="FWP47" s="1158"/>
      <c r="FWQ47" s="1157" t="s">
        <v>814</v>
      </c>
      <c r="FWR47" s="1158"/>
      <c r="FWS47" s="1157" t="s">
        <v>814</v>
      </c>
      <c r="FWT47" s="1158"/>
      <c r="FWU47" s="1157" t="s">
        <v>814</v>
      </c>
      <c r="FWV47" s="1158"/>
      <c r="FWW47" s="1157" t="s">
        <v>814</v>
      </c>
      <c r="FWX47" s="1158"/>
      <c r="FWY47" s="1157" t="s">
        <v>814</v>
      </c>
      <c r="FWZ47" s="1158"/>
      <c r="FXA47" s="1157" t="s">
        <v>814</v>
      </c>
      <c r="FXB47" s="1158"/>
      <c r="FXC47" s="1157" t="s">
        <v>814</v>
      </c>
      <c r="FXD47" s="1158"/>
      <c r="FXE47" s="1157" t="s">
        <v>814</v>
      </c>
      <c r="FXF47" s="1158"/>
      <c r="FXG47" s="1157" t="s">
        <v>814</v>
      </c>
      <c r="FXH47" s="1158"/>
      <c r="FXI47" s="1157" t="s">
        <v>814</v>
      </c>
      <c r="FXJ47" s="1158"/>
      <c r="FXK47" s="1157" t="s">
        <v>814</v>
      </c>
      <c r="FXL47" s="1158"/>
      <c r="FXM47" s="1157" t="s">
        <v>814</v>
      </c>
      <c r="FXN47" s="1158"/>
      <c r="FXO47" s="1157" t="s">
        <v>814</v>
      </c>
      <c r="FXP47" s="1158"/>
      <c r="FXQ47" s="1157" t="s">
        <v>814</v>
      </c>
      <c r="FXR47" s="1158"/>
      <c r="FXS47" s="1157" t="s">
        <v>814</v>
      </c>
      <c r="FXT47" s="1158"/>
      <c r="FXU47" s="1157" t="s">
        <v>814</v>
      </c>
      <c r="FXV47" s="1158"/>
      <c r="FXW47" s="1157" t="s">
        <v>814</v>
      </c>
      <c r="FXX47" s="1158"/>
      <c r="FXY47" s="1157" t="s">
        <v>814</v>
      </c>
      <c r="FXZ47" s="1158"/>
      <c r="FYA47" s="1157" t="s">
        <v>814</v>
      </c>
      <c r="FYB47" s="1158"/>
      <c r="FYC47" s="1157" t="s">
        <v>814</v>
      </c>
      <c r="FYD47" s="1158"/>
      <c r="FYE47" s="1157" t="s">
        <v>814</v>
      </c>
      <c r="FYF47" s="1158"/>
      <c r="FYG47" s="1157" t="s">
        <v>814</v>
      </c>
      <c r="FYH47" s="1158"/>
      <c r="FYI47" s="1157" t="s">
        <v>814</v>
      </c>
      <c r="FYJ47" s="1158"/>
      <c r="FYK47" s="1157" t="s">
        <v>814</v>
      </c>
      <c r="FYL47" s="1158"/>
      <c r="FYM47" s="1157" t="s">
        <v>814</v>
      </c>
      <c r="FYN47" s="1158"/>
      <c r="FYO47" s="1157" t="s">
        <v>814</v>
      </c>
      <c r="FYP47" s="1158"/>
      <c r="FYQ47" s="1157" t="s">
        <v>814</v>
      </c>
      <c r="FYR47" s="1158"/>
      <c r="FYS47" s="1157" t="s">
        <v>814</v>
      </c>
      <c r="FYT47" s="1158"/>
      <c r="FYU47" s="1157" t="s">
        <v>814</v>
      </c>
      <c r="FYV47" s="1158"/>
      <c r="FYW47" s="1157" t="s">
        <v>814</v>
      </c>
      <c r="FYX47" s="1158"/>
      <c r="FYY47" s="1157" t="s">
        <v>814</v>
      </c>
      <c r="FYZ47" s="1158"/>
      <c r="FZA47" s="1157" t="s">
        <v>814</v>
      </c>
      <c r="FZB47" s="1158"/>
      <c r="FZC47" s="1157" t="s">
        <v>814</v>
      </c>
      <c r="FZD47" s="1158"/>
      <c r="FZE47" s="1157" t="s">
        <v>814</v>
      </c>
      <c r="FZF47" s="1158"/>
      <c r="FZG47" s="1157" t="s">
        <v>814</v>
      </c>
      <c r="FZH47" s="1158"/>
      <c r="FZI47" s="1157" t="s">
        <v>814</v>
      </c>
      <c r="FZJ47" s="1158"/>
      <c r="FZK47" s="1157" t="s">
        <v>814</v>
      </c>
      <c r="FZL47" s="1158"/>
      <c r="FZM47" s="1157" t="s">
        <v>814</v>
      </c>
      <c r="FZN47" s="1158"/>
      <c r="FZO47" s="1157" t="s">
        <v>814</v>
      </c>
      <c r="FZP47" s="1158"/>
      <c r="FZQ47" s="1157" t="s">
        <v>814</v>
      </c>
      <c r="FZR47" s="1158"/>
      <c r="FZS47" s="1157" t="s">
        <v>814</v>
      </c>
      <c r="FZT47" s="1158"/>
      <c r="FZU47" s="1157" t="s">
        <v>814</v>
      </c>
      <c r="FZV47" s="1158"/>
      <c r="FZW47" s="1157" t="s">
        <v>814</v>
      </c>
      <c r="FZX47" s="1158"/>
      <c r="FZY47" s="1157" t="s">
        <v>814</v>
      </c>
      <c r="FZZ47" s="1158"/>
      <c r="GAA47" s="1157" t="s">
        <v>814</v>
      </c>
      <c r="GAB47" s="1158"/>
      <c r="GAC47" s="1157" t="s">
        <v>814</v>
      </c>
      <c r="GAD47" s="1158"/>
      <c r="GAE47" s="1157" t="s">
        <v>814</v>
      </c>
      <c r="GAF47" s="1158"/>
      <c r="GAG47" s="1157" t="s">
        <v>814</v>
      </c>
      <c r="GAH47" s="1158"/>
      <c r="GAI47" s="1157" t="s">
        <v>814</v>
      </c>
      <c r="GAJ47" s="1158"/>
      <c r="GAK47" s="1157" t="s">
        <v>814</v>
      </c>
      <c r="GAL47" s="1158"/>
      <c r="GAM47" s="1157" t="s">
        <v>814</v>
      </c>
      <c r="GAN47" s="1158"/>
      <c r="GAO47" s="1157" t="s">
        <v>814</v>
      </c>
      <c r="GAP47" s="1158"/>
      <c r="GAQ47" s="1157" t="s">
        <v>814</v>
      </c>
      <c r="GAR47" s="1158"/>
      <c r="GAS47" s="1157" t="s">
        <v>814</v>
      </c>
      <c r="GAT47" s="1158"/>
      <c r="GAU47" s="1157" t="s">
        <v>814</v>
      </c>
      <c r="GAV47" s="1158"/>
      <c r="GAW47" s="1157" t="s">
        <v>814</v>
      </c>
      <c r="GAX47" s="1158"/>
      <c r="GAY47" s="1157" t="s">
        <v>814</v>
      </c>
      <c r="GAZ47" s="1158"/>
      <c r="GBA47" s="1157" t="s">
        <v>814</v>
      </c>
      <c r="GBB47" s="1158"/>
      <c r="GBC47" s="1157" t="s">
        <v>814</v>
      </c>
      <c r="GBD47" s="1158"/>
      <c r="GBE47" s="1157" t="s">
        <v>814</v>
      </c>
      <c r="GBF47" s="1158"/>
      <c r="GBG47" s="1157" t="s">
        <v>814</v>
      </c>
      <c r="GBH47" s="1158"/>
      <c r="GBI47" s="1157" t="s">
        <v>814</v>
      </c>
      <c r="GBJ47" s="1158"/>
      <c r="GBK47" s="1157" t="s">
        <v>814</v>
      </c>
      <c r="GBL47" s="1158"/>
      <c r="GBM47" s="1157" t="s">
        <v>814</v>
      </c>
      <c r="GBN47" s="1158"/>
      <c r="GBO47" s="1157" t="s">
        <v>814</v>
      </c>
      <c r="GBP47" s="1158"/>
      <c r="GBQ47" s="1157" t="s">
        <v>814</v>
      </c>
      <c r="GBR47" s="1158"/>
      <c r="GBS47" s="1157" t="s">
        <v>814</v>
      </c>
      <c r="GBT47" s="1158"/>
      <c r="GBU47" s="1157" t="s">
        <v>814</v>
      </c>
      <c r="GBV47" s="1158"/>
      <c r="GBW47" s="1157" t="s">
        <v>814</v>
      </c>
      <c r="GBX47" s="1158"/>
      <c r="GBY47" s="1157" t="s">
        <v>814</v>
      </c>
      <c r="GBZ47" s="1158"/>
      <c r="GCA47" s="1157" t="s">
        <v>814</v>
      </c>
      <c r="GCB47" s="1158"/>
      <c r="GCC47" s="1157" t="s">
        <v>814</v>
      </c>
      <c r="GCD47" s="1158"/>
      <c r="GCE47" s="1157" t="s">
        <v>814</v>
      </c>
      <c r="GCF47" s="1158"/>
      <c r="GCG47" s="1157" t="s">
        <v>814</v>
      </c>
      <c r="GCH47" s="1158"/>
      <c r="GCI47" s="1157" t="s">
        <v>814</v>
      </c>
      <c r="GCJ47" s="1158"/>
      <c r="GCK47" s="1157" t="s">
        <v>814</v>
      </c>
      <c r="GCL47" s="1158"/>
      <c r="GCM47" s="1157" t="s">
        <v>814</v>
      </c>
      <c r="GCN47" s="1158"/>
      <c r="GCO47" s="1157" t="s">
        <v>814</v>
      </c>
      <c r="GCP47" s="1158"/>
      <c r="GCQ47" s="1157" t="s">
        <v>814</v>
      </c>
      <c r="GCR47" s="1158"/>
      <c r="GCS47" s="1157" t="s">
        <v>814</v>
      </c>
      <c r="GCT47" s="1158"/>
      <c r="GCU47" s="1157" t="s">
        <v>814</v>
      </c>
      <c r="GCV47" s="1158"/>
      <c r="GCW47" s="1157" t="s">
        <v>814</v>
      </c>
      <c r="GCX47" s="1158"/>
      <c r="GCY47" s="1157" t="s">
        <v>814</v>
      </c>
      <c r="GCZ47" s="1158"/>
      <c r="GDA47" s="1157" t="s">
        <v>814</v>
      </c>
      <c r="GDB47" s="1158"/>
      <c r="GDC47" s="1157" t="s">
        <v>814</v>
      </c>
      <c r="GDD47" s="1158"/>
      <c r="GDE47" s="1157" t="s">
        <v>814</v>
      </c>
      <c r="GDF47" s="1158"/>
      <c r="GDG47" s="1157" t="s">
        <v>814</v>
      </c>
      <c r="GDH47" s="1158"/>
      <c r="GDI47" s="1157" t="s">
        <v>814</v>
      </c>
      <c r="GDJ47" s="1158"/>
      <c r="GDK47" s="1157" t="s">
        <v>814</v>
      </c>
      <c r="GDL47" s="1158"/>
      <c r="GDM47" s="1157" t="s">
        <v>814</v>
      </c>
      <c r="GDN47" s="1158"/>
      <c r="GDO47" s="1157" t="s">
        <v>814</v>
      </c>
      <c r="GDP47" s="1158"/>
      <c r="GDQ47" s="1157" t="s">
        <v>814</v>
      </c>
      <c r="GDR47" s="1158"/>
      <c r="GDS47" s="1157" t="s">
        <v>814</v>
      </c>
      <c r="GDT47" s="1158"/>
      <c r="GDU47" s="1157" t="s">
        <v>814</v>
      </c>
      <c r="GDV47" s="1158"/>
      <c r="GDW47" s="1157" t="s">
        <v>814</v>
      </c>
      <c r="GDX47" s="1158"/>
      <c r="GDY47" s="1157" t="s">
        <v>814</v>
      </c>
      <c r="GDZ47" s="1158"/>
      <c r="GEA47" s="1157" t="s">
        <v>814</v>
      </c>
      <c r="GEB47" s="1158"/>
      <c r="GEC47" s="1157" t="s">
        <v>814</v>
      </c>
      <c r="GED47" s="1158"/>
      <c r="GEE47" s="1157" t="s">
        <v>814</v>
      </c>
      <c r="GEF47" s="1158"/>
      <c r="GEG47" s="1157" t="s">
        <v>814</v>
      </c>
      <c r="GEH47" s="1158"/>
      <c r="GEI47" s="1157" t="s">
        <v>814</v>
      </c>
      <c r="GEJ47" s="1158"/>
      <c r="GEK47" s="1157" t="s">
        <v>814</v>
      </c>
      <c r="GEL47" s="1158"/>
      <c r="GEM47" s="1157" t="s">
        <v>814</v>
      </c>
      <c r="GEN47" s="1158"/>
      <c r="GEO47" s="1157" t="s">
        <v>814</v>
      </c>
      <c r="GEP47" s="1158"/>
      <c r="GEQ47" s="1157" t="s">
        <v>814</v>
      </c>
      <c r="GER47" s="1158"/>
      <c r="GES47" s="1157" t="s">
        <v>814</v>
      </c>
      <c r="GET47" s="1158"/>
      <c r="GEU47" s="1157" t="s">
        <v>814</v>
      </c>
      <c r="GEV47" s="1158"/>
      <c r="GEW47" s="1157" t="s">
        <v>814</v>
      </c>
      <c r="GEX47" s="1158"/>
      <c r="GEY47" s="1157" t="s">
        <v>814</v>
      </c>
      <c r="GEZ47" s="1158"/>
      <c r="GFA47" s="1157" t="s">
        <v>814</v>
      </c>
      <c r="GFB47" s="1158"/>
      <c r="GFC47" s="1157" t="s">
        <v>814</v>
      </c>
      <c r="GFD47" s="1158"/>
      <c r="GFE47" s="1157" t="s">
        <v>814</v>
      </c>
      <c r="GFF47" s="1158"/>
      <c r="GFG47" s="1157" t="s">
        <v>814</v>
      </c>
      <c r="GFH47" s="1158"/>
      <c r="GFI47" s="1157" t="s">
        <v>814</v>
      </c>
      <c r="GFJ47" s="1158"/>
      <c r="GFK47" s="1157" t="s">
        <v>814</v>
      </c>
      <c r="GFL47" s="1158"/>
      <c r="GFM47" s="1157" t="s">
        <v>814</v>
      </c>
      <c r="GFN47" s="1158"/>
      <c r="GFO47" s="1157" t="s">
        <v>814</v>
      </c>
      <c r="GFP47" s="1158"/>
      <c r="GFQ47" s="1157" t="s">
        <v>814</v>
      </c>
      <c r="GFR47" s="1158"/>
      <c r="GFS47" s="1157" t="s">
        <v>814</v>
      </c>
      <c r="GFT47" s="1158"/>
      <c r="GFU47" s="1157" t="s">
        <v>814</v>
      </c>
      <c r="GFV47" s="1158"/>
      <c r="GFW47" s="1157" t="s">
        <v>814</v>
      </c>
      <c r="GFX47" s="1158"/>
      <c r="GFY47" s="1157" t="s">
        <v>814</v>
      </c>
      <c r="GFZ47" s="1158"/>
      <c r="GGA47" s="1157" t="s">
        <v>814</v>
      </c>
      <c r="GGB47" s="1158"/>
      <c r="GGC47" s="1157" t="s">
        <v>814</v>
      </c>
      <c r="GGD47" s="1158"/>
      <c r="GGE47" s="1157" t="s">
        <v>814</v>
      </c>
      <c r="GGF47" s="1158"/>
      <c r="GGG47" s="1157" t="s">
        <v>814</v>
      </c>
      <c r="GGH47" s="1158"/>
      <c r="GGI47" s="1157" t="s">
        <v>814</v>
      </c>
      <c r="GGJ47" s="1158"/>
      <c r="GGK47" s="1157" t="s">
        <v>814</v>
      </c>
      <c r="GGL47" s="1158"/>
      <c r="GGM47" s="1157" t="s">
        <v>814</v>
      </c>
      <c r="GGN47" s="1158"/>
      <c r="GGO47" s="1157" t="s">
        <v>814</v>
      </c>
      <c r="GGP47" s="1158"/>
      <c r="GGQ47" s="1157" t="s">
        <v>814</v>
      </c>
      <c r="GGR47" s="1158"/>
      <c r="GGS47" s="1157" t="s">
        <v>814</v>
      </c>
      <c r="GGT47" s="1158"/>
      <c r="GGU47" s="1157" t="s">
        <v>814</v>
      </c>
      <c r="GGV47" s="1158"/>
      <c r="GGW47" s="1157" t="s">
        <v>814</v>
      </c>
      <c r="GGX47" s="1158"/>
      <c r="GGY47" s="1157" t="s">
        <v>814</v>
      </c>
      <c r="GGZ47" s="1158"/>
      <c r="GHA47" s="1157" t="s">
        <v>814</v>
      </c>
      <c r="GHB47" s="1158"/>
      <c r="GHC47" s="1157" t="s">
        <v>814</v>
      </c>
      <c r="GHD47" s="1158"/>
      <c r="GHE47" s="1157" t="s">
        <v>814</v>
      </c>
      <c r="GHF47" s="1158"/>
      <c r="GHG47" s="1157" t="s">
        <v>814</v>
      </c>
      <c r="GHH47" s="1158"/>
      <c r="GHI47" s="1157" t="s">
        <v>814</v>
      </c>
      <c r="GHJ47" s="1158"/>
      <c r="GHK47" s="1157" t="s">
        <v>814</v>
      </c>
      <c r="GHL47" s="1158"/>
      <c r="GHM47" s="1157" t="s">
        <v>814</v>
      </c>
      <c r="GHN47" s="1158"/>
      <c r="GHO47" s="1157" t="s">
        <v>814</v>
      </c>
      <c r="GHP47" s="1158"/>
      <c r="GHQ47" s="1157" t="s">
        <v>814</v>
      </c>
      <c r="GHR47" s="1158"/>
      <c r="GHS47" s="1157" t="s">
        <v>814</v>
      </c>
      <c r="GHT47" s="1158"/>
      <c r="GHU47" s="1157" t="s">
        <v>814</v>
      </c>
      <c r="GHV47" s="1158"/>
      <c r="GHW47" s="1157" t="s">
        <v>814</v>
      </c>
      <c r="GHX47" s="1158"/>
      <c r="GHY47" s="1157" t="s">
        <v>814</v>
      </c>
      <c r="GHZ47" s="1158"/>
      <c r="GIA47" s="1157" t="s">
        <v>814</v>
      </c>
      <c r="GIB47" s="1158"/>
      <c r="GIC47" s="1157" t="s">
        <v>814</v>
      </c>
      <c r="GID47" s="1158"/>
      <c r="GIE47" s="1157" t="s">
        <v>814</v>
      </c>
      <c r="GIF47" s="1158"/>
      <c r="GIG47" s="1157" t="s">
        <v>814</v>
      </c>
      <c r="GIH47" s="1158"/>
      <c r="GII47" s="1157" t="s">
        <v>814</v>
      </c>
      <c r="GIJ47" s="1158"/>
      <c r="GIK47" s="1157" t="s">
        <v>814</v>
      </c>
      <c r="GIL47" s="1158"/>
      <c r="GIM47" s="1157" t="s">
        <v>814</v>
      </c>
      <c r="GIN47" s="1158"/>
      <c r="GIO47" s="1157" t="s">
        <v>814</v>
      </c>
      <c r="GIP47" s="1158"/>
      <c r="GIQ47" s="1157" t="s">
        <v>814</v>
      </c>
      <c r="GIR47" s="1158"/>
      <c r="GIS47" s="1157" t="s">
        <v>814</v>
      </c>
      <c r="GIT47" s="1158"/>
      <c r="GIU47" s="1157" t="s">
        <v>814</v>
      </c>
      <c r="GIV47" s="1158"/>
      <c r="GIW47" s="1157" t="s">
        <v>814</v>
      </c>
      <c r="GIX47" s="1158"/>
      <c r="GIY47" s="1157" t="s">
        <v>814</v>
      </c>
      <c r="GIZ47" s="1158"/>
      <c r="GJA47" s="1157" t="s">
        <v>814</v>
      </c>
      <c r="GJB47" s="1158"/>
      <c r="GJC47" s="1157" t="s">
        <v>814</v>
      </c>
      <c r="GJD47" s="1158"/>
      <c r="GJE47" s="1157" t="s">
        <v>814</v>
      </c>
      <c r="GJF47" s="1158"/>
      <c r="GJG47" s="1157" t="s">
        <v>814</v>
      </c>
      <c r="GJH47" s="1158"/>
      <c r="GJI47" s="1157" t="s">
        <v>814</v>
      </c>
      <c r="GJJ47" s="1158"/>
      <c r="GJK47" s="1157" t="s">
        <v>814</v>
      </c>
      <c r="GJL47" s="1158"/>
      <c r="GJM47" s="1157" t="s">
        <v>814</v>
      </c>
      <c r="GJN47" s="1158"/>
      <c r="GJO47" s="1157" t="s">
        <v>814</v>
      </c>
      <c r="GJP47" s="1158"/>
      <c r="GJQ47" s="1157" t="s">
        <v>814</v>
      </c>
      <c r="GJR47" s="1158"/>
      <c r="GJS47" s="1157" t="s">
        <v>814</v>
      </c>
      <c r="GJT47" s="1158"/>
      <c r="GJU47" s="1157" t="s">
        <v>814</v>
      </c>
      <c r="GJV47" s="1158"/>
      <c r="GJW47" s="1157" t="s">
        <v>814</v>
      </c>
      <c r="GJX47" s="1158"/>
      <c r="GJY47" s="1157" t="s">
        <v>814</v>
      </c>
      <c r="GJZ47" s="1158"/>
      <c r="GKA47" s="1157" t="s">
        <v>814</v>
      </c>
      <c r="GKB47" s="1158"/>
      <c r="GKC47" s="1157" t="s">
        <v>814</v>
      </c>
      <c r="GKD47" s="1158"/>
      <c r="GKE47" s="1157" t="s">
        <v>814</v>
      </c>
      <c r="GKF47" s="1158"/>
      <c r="GKG47" s="1157" t="s">
        <v>814</v>
      </c>
      <c r="GKH47" s="1158"/>
      <c r="GKI47" s="1157" t="s">
        <v>814</v>
      </c>
      <c r="GKJ47" s="1158"/>
      <c r="GKK47" s="1157" t="s">
        <v>814</v>
      </c>
      <c r="GKL47" s="1158"/>
      <c r="GKM47" s="1157" t="s">
        <v>814</v>
      </c>
      <c r="GKN47" s="1158"/>
      <c r="GKO47" s="1157" t="s">
        <v>814</v>
      </c>
      <c r="GKP47" s="1158"/>
      <c r="GKQ47" s="1157" t="s">
        <v>814</v>
      </c>
      <c r="GKR47" s="1158"/>
      <c r="GKS47" s="1157" t="s">
        <v>814</v>
      </c>
      <c r="GKT47" s="1158"/>
      <c r="GKU47" s="1157" t="s">
        <v>814</v>
      </c>
      <c r="GKV47" s="1158"/>
      <c r="GKW47" s="1157" t="s">
        <v>814</v>
      </c>
      <c r="GKX47" s="1158"/>
      <c r="GKY47" s="1157" t="s">
        <v>814</v>
      </c>
      <c r="GKZ47" s="1158"/>
      <c r="GLA47" s="1157" t="s">
        <v>814</v>
      </c>
      <c r="GLB47" s="1158"/>
      <c r="GLC47" s="1157" t="s">
        <v>814</v>
      </c>
      <c r="GLD47" s="1158"/>
      <c r="GLE47" s="1157" t="s">
        <v>814</v>
      </c>
      <c r="GLF47" s="1158"/>
      <c r="GLG47" s="1157" t="s">
        <v>814</v>
      </c>
      <c r="GLH47" s="1158"/>
      <c r="GLI47" s="1157" t="s">
        <v>814</v>
      </c>
      <c r="GLJ47" s="1158"/>
      <c r="GLK47" s="1157" t="s">
        <v>814</v>
      </c>
      <c r="GLL47" s="1158"/>
      <c r="GLM47" s="1157" t="s">
        <v>814</v>
      </c>
      <c r="GLN47" s="1158"/>
      <c r="GLO47" s="1157" t="s">
        <v>814</v>
      </c>
      <c r="GLP47" s="1158"/>
      <c r="GLQ47" s="1157" t="s">
        <v>814</v>
      </c>
      <c r="GLR47" s="1158"/>
      <c r="GLS47" s="1157" t="s">
        <v>814</v>
      </c>
      <c r="GLT47" s="1158"/>
      <c r="GLU47" s="1157" t="s">
        <v>814</v>
      </c>
      <c r="GLV47" s="1158"/>
      <c r="GLW47" s="1157" t="s">
        <v>814</v>
      </c>
      <c r="GLX47" s="1158"/>
      <c r="GLY47" s="1157" t="s">
        <v>814</v>
      </c>
      <c r="GLZ47" s="1158"/>
      <c r="GMA47" s="1157" t="s">
        <v>814</v>
      </c>
      <c r="GMB47" s="1158"/>
      <c r="GMC47" s="1157" t="s">
        <v>814</v>
      </c>
      <c r="GMD47" s="1158"/>
      <c r="GME47" s="1157" t="s">
        <v>814</v>
      </c>
      <c r="GMF47" s="1158"/>
      <c r="GMG47" s="1157" t="s">
        <v>814</v>
      </c>
      <c r="GMH47" s="1158"/>
      <c r="GMI47" s="1157" t="s">
        <v>814</v>
      </c>
      <c r="GMJ47" s="1158"/>
      <c r="GMK47" s="1157" t="s">
        <v>814</v>
      </c>
      <c r="GML47" s="1158"/>
      <c r="GMM47" s="1157" t="s">
        <v>814</v>
      </c>
      <c r="GMN47" s="1158"/>
      <c r="GMO47" s="1157" t="s">
        <v>814</v>
      </c>
      <c r="GMP47" s="1158"/>
      <c r="GMQ47" s="1157" t="s">
        <v>814</v>
      </c>
      <c r="GMR47" s="1158"/>
      <c r="GMS47" s="1157" t="s">
        <v>814</v>
      </c>
      <c r="GMT47" s="1158"/>
      <c r="GMU47" s="1157" t="s">
        <v>814</v>
      </c>
      <c r="GMV47" s="1158"/>
      <c r="GMW47" s="1157" t="s">
        <v>814</v>
      </c>
      <c r="GMX47" s="1158"/>
      <c r="GMY47" s="1157" t="s">
        <v>814</v>
      </c>
      <c r="GMZ47" s="1158"/>
      <c r="GNA47" s="1157" t="s">
        <v>814</v>
      </c>
      <c r="GNB47" s="1158"/>
      <c r="GNC47" s="1157" t="s">
        <v>814</v>
      </c>
      <c r="GND47" s="1158"/>
      <c r="GNE47" s="1157" t="s">
        <v>814</v>
      </c>
      <c r="GNF47" s="1158"/>
      <c r="GNG47" s="1157" t="s">
        <v>814</v>
      </c>
      <c r="GNH47" s="1158"/>
      <c r="GNI47" s="1157" t="s">
        <v>814</v>
      </c>
      <c r="GNJ47" s="1158"/>
      <c r="GNK47" s="1157" t="s">
        <v>814</v>
      </c>
      <c r="GNL47" s="1158"/>
      <c r="GNM47" s="1157" t="s">
        <v>814</v>
      </c>
      <c r="GNN47" s="1158"/>
      <c r="GNO47" s="1157" t="s">
        <v>814</v>
      </c>
      <c r="GNP47" s="1158"/>
      <c r="GNQ47" s="1157" t="s">
        <v>814</v>
      </c>
      <c r="GNR47" s="1158"/>
      <c r="GNS47" s="1157" t="s">
        <v>814</v>
      </c>
      <c r="GNT47" s="1158"/>
      <c r="GNU47" s="1157" t="s">
        <v>814</v>
      </c>
      <c r="GNV47" s="1158"/>
      <c r="GNW47" s="1157" t="s">
        <v>814</v>
      </c>
      <c r="GNX47" s="1158"/>
      <c r="GNY47" s="1157" t="s">
        <v>814</v>
      </c>
      <c r="GNZ47" s="1158"/>
      <c r="GOA47" s="1157" t="s">
        <v>814</v>
      </c>
      <c r="GOB47" s="1158"/>
      <c r="GOC47" s="1157" t="s">
        <v>814</v>
      </c>
      <c r="GOD47" s="1158"/>
      <c r="GOE47" s="1157" t="s">
        <v>814</v>
      </c>
      <c r="GOF47" s="1158"/>
      <c r="GOG47" s="1157" t="s">
        <v>814</v>
      </c>
      <c r="GOH47" s="1158"/>
      <c r="GOI47" s="1157" t="s">
        <v>814</v>
      </c>
      <c r="GOJ47" s="1158"/>
      <c r="GOK47" s="1157" t="s">
        <v>814</v>
      </c>
      <c r="GOL47" s="1158"/>
      <c r="GOM47" s="1157" t="s">
        <v>814</v>
      </c>
      <c r="GON47" s="1158"/>
      <c r="GOO47" s="1157" t="s">
        <v>814</v>
      </c>
      <c r="GOP47" s="1158"/>
      <c r="GOQ47" s="1157" t="s">
        <v>814</v>
      </c>
      <c r="GOR47" s="1158"/>
      <c r="GOS47" s="1157" t="s">
        <v>814</v>
      </c>
      <c r="GOT47" s="1158"/>
      <c r="GOU47" s="1157" t="s">
        <v>814</v>
      </c>
      <c r="GOV47" s="1158"/>
      <c r="GOW47" s="1157" t="s">
        <v>814</v>
      </c>
      <c r="GOX47" s="1158"/>
      <c r="GOY47" s="1157" t="s">
        <v>814</v>
      </c>
      <c r="GOZ47" s="1158"/>
      <c r="GPA47" s="1157" t="s">
        <v>814</v>
      </c>
      <c r="GPB47" s="1158"/>
      <c r="GPC47" s="1157" t="s">
        <v>814</v>
      </c>
      <c r="GPD47" s="1158"/>
      <c r="GPE47" s="1157" t="s">
        <v>814</v>
      </c>
      <c r="GPF47" s="1158"/>
      <c r="GPG47" s="1157" t="s">
        <v>814</v>
      </c>
      <c r="GPH47" s="1158"/>
      <c r="GPI47" s="1157" t="s">
        <v>814</v>
      </c>
      <c r="GPJ47" s="1158"/>
      <c r="GPK47" s="1157" t="s">
        <v>814</v>
      </c>
      <c r="GPL47" s="1158"/>
      <c r="GPM47" s="1157" t="s">
        <v>814</v>
      </c>
      <c r="GPN47" s="1158"/>
      <c r="GPO47" s="1157" t="s">
        <v>814</v>
      </c>
      <c r="GPP47" s="1158"/>
      <c r="GPQ47" s="1157" t="s">
        <v>814</v>
      </c>
      <c r="GPR47" s="1158"/>
      <c r="GPS47" s="1157" t="s">
        <v>814</v>
      </c>
      <c r="GPT47" s="1158"/>
      <c r="GPU47" s="1157" t="s">
        <v>814</v>
      </c>
      <c r="GPV47" s="1158"/>
      <c r="GPW47" s="1157" t="s">
        <v>814</v>
      </c>
      <c r="GPX47" s="1158"/>
      <c r="GPY47" s="1157" t="s">
        <v>814</v>
      </c>
      <c r="GPZ47" s="1158"/>
      <c r="GQA47" s="1157" t="s">
        <v>814</v>
      </c>
      <c r="GQB47" s="1158"/>
      <c r="GQC47" s="1157" t="s">
        <v>814</v>
      </c>
      <c r="GQD47" s="1158"/>
      <c r="GQE47" s="1157" t="s">
        <v>814</v>
      </c>
      <c r="GQF47" s="1158"/>
      <c r="GQG47" s="1157" t="s">
        <v>814</v>
      </c>
      <c r="GQH47" s="1158"/>
      <c r="GQI47" s="1157" t="s">
        <v>814</v>
      </c>
      <c r="GQJ47" s="1158"/>
      <c r="GQK47" s="1157" t="s">
        <v>814</v>
      </c>
      <c r="GQL47" s="1158"/>
      <c r="GQM47" s="1157" t="s">
        <v>814</v>
      </c>
      <c r="GQN47" s="1158"/>
      <c r="GQO47" s="1157" t="s">
        <v>814</v>
      </c>
      <c r="GQP47" s="1158"/>
      <c r="GQQ47" s="1157" t="s">
        <v>814</v>
      </c>
      <c r="GQR47" s="1158"/>
      <c r="GQS47" s="1157" t="s">
        <v>814</v>
      </c>
      <c r="GQT47" s="1158"/>
      <c r="GQU47" s="1157" t="s">
        <v>814</v>
      </c>
      <c r="GQV47" s="1158"/>
      <c r="GQW47" s="1157" t="s">
        <v>814</v>
      </c>
      <c r="GQX47" s="1158"/>
      <c r="GQY47" s="1157" t="s">
        <v>814</v>
      </c>
      <c r="GQZ47" s="1158"/>
      <c r="GRA47" s="1157" t="s">
        <v>814</v>
      </c>
      <c r="GRB47" s="1158"/>
      <c r="GRC47" s="1157" t="s">
        <v>814</v>
      </c>
      <c r="GRD47" s="1158"/>
      <c r="GRE47" s="1157" t="s">
        <v>814</v>
      </c>
      <c r="GRF47" s="1158"/>
      <c r="GRG47" s="1157" t="s">
        <v>814</v>
      </c>
      <c r="GRH47" s="1158"/>
      <c r="GRI47" s="1157" t="s">
        <v>814</v>
      </c>
      <c r="GRJ47" s="1158"/>
      <c r="GRK47" s="1157" t="s">
        <v>814</v>
      </c>
      <c r="GRL47" s="1158"/>
      <c r="GRM47" s="1157" t="s">
        <v>814</v>
      </c>
      <c r="GRN47" s="1158"/>
      <c r="GRO47" s="1157" t="s">
        <v>814</v>
      </c>
      <c r="GRP47" s="1158"/>
      <c r="GRQ47" s="1157" t="s">
        <v>814</v>
      </c>
      <c r="GRR47" s="1158"/>
      <c r="GRS47" s="1157" t="s">
        <v>814</v>
      </c>
      <c r="GRT47" s="1158"/>
      <c r="GRU47" s="1157" t="s">
        <v>814</v>
      </c>
      <c r="GRV47" s="1158"/>
      <c r="GRW47" s="1157" t="s">
        <v>814</v>
      </c>
      <c r="GRX47" s="1158"/>
      <c r="GRY47" s="1157" t="s">
        <v>814</v>
      </c>
      <c r="GRZ47" s="1158"/>
      <c r="GSA47" s="1157" t="s">
        <v>814</v>
      </c>
      <c r="GSB47" s="1158"/>
      <c r="GSC47" s="1157" t="s">
        <v>814</v>
      </c>
      <c r="GSD47" s="1158"/>
      <c r="GSE47" s="1157" t="s">
        <v>814</v>
      </c>
      <c r="GSF47" s="1158"/>
      <c r="GSG47" s="1157" t="s">
        <v>814</v>
      </c>
      <c r="GSH47" s="1158"/>
      <c r="GSI47" s="1157" t="s">
        <v>814</v>
      </c>
      <c r="GSJ47" s="1158"/>
      <c r="GSK47" s="1157" t="s">
        <v>814</v>
      </c>
      <c r="GSL47" s="1158"/>
      <c r="GSM47" s="1157" t="s">
        <v>814</v>
      </c>
      <c r="GSN47" s="1158"/>
      <c r="GSO47" s="1157" t="s">
        <v>814</v>
      </c>
      <c r="GSP47" s="1158"/>
      <c r="GSQ47" s="1157" t="s">
        <v>814</v>
      </c>
      <c r="GSR47" s="1158"/>
      <c r="GSS47" s="1157" t="s">
        <v>814</v>
      </c>
      <c r="GST47" s="1158"/>
      <c r="GSU47" s="1157" t="s">
        <v>814</v>
      </c>
      <c r="GSV47" s="1158"/>
      <c r="GSW47" s="1157" t="s">
        <v>814</v>
      </c>
      <c r="GSX47" s="1158"/>
      <c r="GSY47" s="1157" t="s">
        <v>814</v>
      </c>
      <c r="GSZ47" s="1158"/>
      <c r="GTA47" s="1157" t="s">
        <v>814</v>
      </c>
      <c r="GTB47" s="1158"/>
      <c r="GTC47" s="1157" t="s">
        <v>814</v>
      </c>
      <c r="GTD47" s="1158"/>
      <c r="GTE47" s="1157" t="s">
        <v>814</v>
      </c>
      <c r="GTF47" s="1158"/>
      <c r="GTG47" s="1157" t="s">
        <v>814</v>
      </c>
      <c r="GTH47" s="1158"/>
      <c r="GTI47" s="1157" t="s">
        <v>814</v>
      </c>
      <c r="GTJ47" s="1158"/>
      <c r="GTK47" s="1157" t="s">
        <v>814</v>
      </c>
      <c r="GTL47" s="1158"/>
      <c r="GTM47" s="1157" t="s">
        <v>814</v>
      </c>
      <c r="GTN47" s="1158"/>
      <c r="GTO47" s="1157" t="s">
        <v>814</v>
      </c>
      <c r="GTP47" s="1158"/>
      <c r="GTQ47" s="1157" t="s">
        <v>814</v>
      </c>
      <c r="GTR47" s="1158"/>
      <c r="GTS47" s="1157" t="s">
        <v>814</v>
      </c>
      <c r="GTT47" s="1158"/>
      <c r="GTU47" s="1157" t="s">
        <v>814</v>
      </c>
      <c r="GTV47" s="1158"/>
      <c r="GTW47" s="1157" t="s">
        <v>814</v>
      </c>
      <c r="GTX47" s="1158"/>
      <c r="GTY47" s="1157" t="s">
        <v>814</v>
      </c>
      <c r="GTZ47" s="1158"/>
      <c r="GUA47" s="1157" t="s">
        <v>814</v>
      </c>
      <c r="GUB47" s="1158"/>
      <c r="GUC47" s="1157" t="s">
        <v>814</v>
      </c>
      <c r="GUD47" s="1158"/>
      <c r="GUE47" s="1157" t="s">
        <v>814</v>
      </c>
      <c r="GUF47" s="1158"/>
      <c r="GUG47" s="1157" t="s">
        <v>814</v>
      </c>
      <c r="GUH47" s="1158"/>
      <c r="GUI47" s="1157" t="s">
        <v>814</v>
      </c>
      <c r="GUJ47" s="1158"/>
      <c r="GUK47" s="1157" t="s">
        <v>814</v>
      </c>
      <c r="GUL47" s="1158"/>
      <c r="GUM47" s="1157" t="s">
        <v>814</v>
      </c>
      <c r="GUN47" s="1158"/>
      <c r="GUO47" s="1157" t="s">
        <v>814</v>
      </c>
      <c r="GUP47" s="1158"/>
      <c r="GUQ47" s="1157" t="s">
        <v>814</v>
      </c>
      <c r="GUR47" s="1158"/>
      <c r="GUS47" s="1157" t="s">
        <v>814</v>
      </c>
      <c r="GUT47" s="1158"/>
      <c r="GUU47" s="1157" t="s">
        <v>814</v>
      </c>
      <c r="GUV47" s="1158"/>
      <c r="GUW47" s="1157" t="s">
        <v>814</v>
      </c>
      <c r="GUX47" s="1158"/>
      <c r="GUY47" s="1157" t="s">
        <v>814</v>
      </c>
      <c r="GUZ47" s="1158"/>
      <c r="GVA47" s="1157" t="s">
        <v>814</v>
      </c>
      <c r="GVB47" s="1158"/>
      <c r="GVC47" s="1157" t="s">
        <v>814</v>
      </c>
      <c r="GVD47" s="1158"/>
      <c r="GVE47" s="1157" t="s">
        <v>814</v>
      </c>
      <c r="GVF47" s="1158"/>
      <c r="GVG47" s="1157" t="s">
        <v>814</v>
      </c>
      <c r="GVH47" s="1158"/>
      <c r="GVI47" s="1157" t="s">
        <v>814</v>
      </c>
      <c r="GVJ47" s="1158"/>
      <c r="GVK47" s="1157" t="s">
        <v>814</v>
      </c>
      <c r="GVL47" s="1158"/>
      <c r="GVM47" s="1157" t="s">
        <v>814</v>
      </c>
      <c r="GVN47" s="1158"/>
      <c r="GVO47" s="1157" t="s">
        <v>814</v>
      </c>
      <c r="GVP47" s="1158"/>
      <c r="GVQ47" s="1157" t="s">
        <v>814</v>
      </c>
      <c r="GVR47" s="1158"/>
      <c r="GVS47" s="1157" t="s">
        <v>814</v>
      </c>
      <c r="GVT47" s="1158"/>
      <c r="GVU47" s="1157" t="s">
        <v>814</v>
      </c>
      <c r="GVV47" s="1158"/>
      <c r="GVW47" s="1157" t="s">
        <v>814</v>
      </c>
      <c r="GVX47" s="1158"/>
      <c r="GVY47" s="1157" t="s">
        <v>814</v>
      </c>
      <c r="GVZ47" s="1158"/>
      <c r="GWA47" s="1157" t="s">
        <v>814</v>
      </c>
      <c r="GWB47" s="1158"/>
      <c r="GWC47" s="1157" t="s">
        <v>814</v>
      </c>
      <c r="GWD47" s="1158"/>
      <c r="GWE47" s="1157" t="s">
        <v>814</v>
      </c>
      <c r="GWF47" s="1158"/>
      <c r="GWG47" s="1157" t="s">
        <v>814</v>
      </c>
      <c r="GWH47" s="1158"/>
      <c r="GWI47" s="1157" t="s">
        <v>814</v>
      </c>
      <c r="GWJ47" s="1158"/>
      <c r="GWK47" s="1157" t="s">
        <v>814</v>
      </c>
      <c r="GWL47" s="1158"/>
      <c r="GWM47" s="1157" t="s">
        <v>814</v>
      </c>
      <c r="GWN47" s="1158"/>
      <c r="GWO47" s="1157" t="s">
        <v>814</v>
      </c>
      <c r="GWP47" s="1158"/>
      <c r="GWQ47" s="1157" t="s">
        <v>814</v>
      </c>
      <c r="GWR47" s="1158"/>
      <c r="GWS47" s="1157" t="s">
        <v>814</v>
      </c>
      <c r="GWT47" s="1158"/>
      <c r="GWU47" s="1157" t="s">
        <v>814</v>
      </c>
      <c r="GWV47" s="1158"/>
      <c r="GWW47" s="1157" t="s">
        <v>814</v>
      </c>
      <c r="GWX47" s="1158"/>
      <c r="GWY47" s="1157" t="s">
        <v>814</v>
      </c>
      <c r="GWZ47" s="1158"/>
      <c r="GXA47" s="1157" t="s">
        <v>814</v>
      </c>
      <c r="GXB47" s="1158"/>
      <c r="GXC47" s="1157" t="s">
        <v>814</v>
      </c>
      <c r="GXD47" s="1158"/>
      <c r="GXE47" s="1157" t="s">
        <v>814</v>
      </c>
      <c r="GXF47" s="1158"/>
      <c r="GXG47" s="1157" t="s">
        <v>814</v>
      </c>
      <c r="GXH47" s="1158"/>
      <c r="GXI47" s="1157" t="s">
        <v>814</v>
      </c>
      <c r="GXJ47" s="1158"/>
      <c r="GXK47" s="1157" t="s">
        <v>814</v>
      </c>
      <c r="GXL47" s="1158"/>
      <c r="GXM47" s="1157" t="s">
        <v>814</v>
      </c>
      <c r="GXN47" s="1158"/>
      <c r="GXO47" s="1157" t="s">
        <v>814</v>
      </c>
      <c r="GXP47" s="1158"/>
      <c r="GXQ47" s="1157" t="s">
        <v>814</v>
      </c>
      <c r="GXR47" s="1158"/>
      <c r="GXS47" s="1157" t="s">
        <v>814</v>
      </c>
      <c r="GXT47" s="1158"/>
      <c r="GXU47" s="1157" t="s">
        <v>814</v>
      </c>
      <c r="GXV47" s="1158"/>
      <c r="GXW47" s="1157" t="s">
        <v>814</v>
      </c>
      <c r="GXX47" s="1158"/>
      <c r="GXY47" s="1157" t="s">
        <v>814</v>
      </c>
      <c r="GXZ47" s="1158"/>
      <c r="GYA47" s="1157" t="s">
        <v>814</v>
      </c>
      <c r="GYB47" s="1158"/>
      <c r="GYC47" s="1157" t="s">
        <v>814</v>
      </c>
      <c r="GYD47" s="1158"/>
      <c r="GYE47" s="1157" t="s">
        <v>814</v>
      </c>
      <c r="GYF47" s="1158"/>
      <c r="GYG47" s="1157" t="s">
        <v>814</v>
      </c>
      <c r="GYH47" s="1158"/>
      <c r="GYI47" s="1157" t="s">
        <v>814</v>
      </c>
      <c r="GYJ47" s="1158"/>
      <c r="GYK47" s="1157" t="s">
        <v>814</v>
      </c>
      <c r="GYL47" s="1158"/>
      <c r="GYM47" s="1157" t="s">
        <v>814</v>
      </c>
      <c r="GYN47" s="1158"/>
      <c r="GYO47" s="1157" t="s">
        <v>814</v>
      </c>
      <c r="GYP47" s="1158"/>
      <c r="GYQ47" s="1157" t="s">
        <v>814</v>
      </c>
      <c r="GYR47" s="1158"/>
      <c r="GYS47" s="1157" t="s">
        <v>814</v>
      </c>
      <c r="GYT47" s="1158"/>
      <c r="GYU47" s="1157" t="s">
        <v>814</v>
      </c>
      <c r="GYV47" s="1158"/>
      <c r="GYW47" s="1157" t="s">
        <v>814</v>
      </c>
      <c r="GYX47" s="1158"/>
      <c r="GYY47" s="1157" t="s">
        <v>814</v>
      </c>
      <c r="GYZ47" s="1158"/>
      <c r="GZA47" s="1157" t="s">
        <v>814</v>
      </c>
      <c r="GZB47" s="1158"/>
      <c r="GZC47" s="1157" t="s">
        <v>814</v>
      </c>
      <c r="GZD47" s="1158"/>
      <c r="GZE47" s="1157" t="s">
        <v>814</v>
      </c>
      <c r="GZF47" s="1158"/>
      <c r="GZG47" s="1157" t="s">
        <v>814</v>
      </c>
      <c r="GZH47" s="1158"/>
      <c r="GZI47" s="1157" t="s">
        <v>814</v>
      </c>
      <c r="GZJ47" s="1158"/>
      <c r="GZK47" s="1157" t="s">
        <v>814</v>
      </c>
      <c r="GZL47" s="1158"/>
      <c r="GZM47" s="1157" t="s">
        <v>814</v>
      </c>
      <c r="GZN47" s="1158"/>
      <c r="GZO47" s="1157" t="s">
        <v>814</v>
      </c>
      <c r="GZP47" s="1158"/>
      <c r="GZQ47" s="1157" t="s">
        <v>814</v>
      </c>
      <c r="GZR47" s="1158"/>
      <c r="GZS47" s="1157" t="s">
        <v>814</v>
      </c>
      <c r="GZT47" s="1158"/>
      <c r="GZU47" s="1157" t="s">
        <v>814</v>
      </c>
      <c r="GZV47" s="1158"/>
      <c r="GZW47" s="1157" t="s">
        <v>814</v>
      </c>
      <c r="GZX47" s="1158"/>
      <c r="GZY47" s="1157" t="s">
        <v>814</v>
      </c>
      <c r="GZZ47" s="1158"/>
      <c r="HAA47" s="1157" t="s">
        <v>814</v>
      </c>
      <c r="HAB47" s="1158"/>
      <c r="HAC47" s="1157" t="s">
        <v>814</v>
      </c>
      <c r="HAD47" s="1158"/>
      <c r="HAE47" s="1157" t="s">
        <v>814</v>
      </c>
      <c r="HAF47" s="1158"/>
      <c r="HAG47" s="1157" t="s">
        <v>814</v>
      </c>
      <c r="HAH47" s="1158"/>
      <c r="HAI47" s="1157" t="s">
        <v>814</v>
      </c>
      <c r="HAJ47" s="1158"/>
      <c r="HAK47" s="1157" t="s">
        <v>814</v>
      </c>
      <c r="HAL47" s="1158"/>
      <c r="HAM47" s="1157" t="s">
        <v>814</v>
      </c>
      <c r="HAN47" s="1158"/>
      <c r="HAO47" s="1157" t="s">
        <v>814</v>
      </c>
      <c r="HAP47" s="1158"/>
      <c r="HAQ47" s="1157" t="s">
        <v>814</v>
      </c>
      <c r="HAR47" s="1158"/>
      <c r="HAS47" s="1157" t="s">
        <v>814</v>
      </c>
      <c r="HAT47" s="1158"/>
      <c r="HAU47" s="1157" t="s">
        <v>814</v>
      </c>
      <c r="HAV47" s="1158"/>
      <c r="HAW47" s="1157" t="s">
        <v>814</v>
      </c>
      <c r="HAX47" s="1158"/>
      <c r="HAY47" s="1157" t="s">
        <v>814</v>
      </c>
      <c r="HAZ47" s="1158"/>
      <c r="HBA47" s="1157" t="s">
        <v>814</v>
      </c>
      <c r="HBB47" s="1158"/>
      <c r="HBC47" s="1157" t="s">
        <v>814</v>
      </c>
      <c r="HBD47" s="1158"/>
      <c r="HBE47" s="1157" t="s">
        <v>814</v>
      </c>
      <c r="HBF47" s="1158"/>
      <c r="HBG47" s="1157" t="s">
        <v>814</v>
      </c>
      <c r="HBH47" s="1158"/>
      <c r="HBI47" s="1157" t="s">
        <v>814</v>
      </c>
      <c r="HBJ47" s="1158"/>
      <c r="HBK47" s="1157" t="s">
        <v>814</v>
      </c>
      <c r="HBL47" s="1158"/>
      <c r="HBM47" s="1157" t="s">
        <v>814</v>
      </c>
      <c r="HBN47" s="1158"/>
      <c r="HBO47" s="1157" t="s">
        <v>814</v>
      </c>
      <c r="HBP47" s="1158"/>
      <c r="HBQ47" s="1157" t="s">
        <v>814</v>
      </c>
      <c r="HBR47" s="1158"/>
      <c r="HBS47" s="1157" t="s">
        <v>814</v>
      </c>
      <c r="HBT47" s="1158"/>
      <c r="HBU47" s="1157" t="s">
        <v>814</v>
      </c>
      <c r="HBV47" s="1158"/>
      <c r="HBW47" s="1157" t="s">
        <v>814</v>
      </c>
      <c r="HBX47" s="1158"/>
      <c r="HBY47" s="1157" t="s">
        <v>814</v>
      </c>
      <c r="HBZ47" s="1158"/>
      <c r="HCA47" s="1157" t="s">
        <v>814</v>
      </c>
      <c r="HCB47" s="1158"/>
      <c r="HCC47" s="1157" t="s">
        <v>814</v>
      </c>
      <c r="HCD47" s="1158"/>
      <c r="HCE47" s="1157" t="s">
        <v>814</v>
      </c>
      <c r="HCF47" s="1158"/>
      <c r="HCG47" s="1157" t="s">
        <v>814</v>
      </c>
      <c r="HCH47" s="1158"/>
      <c r="HCI47" s="1157" t="s">
        <v>814</v>
      </c>
      <c r="HCJ47" s="1158"/>
      <c r="HCK47" s="1157" t="s">
        <v>814</v>
      </c>
      <c r="HCL47" s="1158"/>
      <c r="HCM47" s="1157" t="s">
        <v>814</v>
      </c>
      <c r="HCN47" s="1158"/>
      <c r="HCO47" s="1157" t="s">
        <v>814</v>
      </c>
      <c r="HCP47" s="1158"/>
      <c r="HCQ47" s="1157" t="s">
        <v>814</v>
      </c>
      <c r="HCR47" s="1158"/>
      <c r="HCS47" s="1157" t="s">
        <v>814</v>
      </c>
      <c r="HCT47" s="1158"/>
      <c r="HCU47" s="1157" t="s">
        <v>814</v>
      </c>
      <c r="HCV47" s="1158"/>
      <c r="HCW47" s="1157" t="s">
        <v>814</v>
      </c>
      <c r="HCX47" s="1158"/>
      <c r="HCY47" s="1157" t="s">
        <v>814</v>
      </c>
      <c r="HCZ47" s="1158"/>
      <c r="HDA47" s="1157" t="s">
        <v>814</v>
      </c>
      <c r="HDB47" s="1158"/>
      <c r="HDC47" s="1157" t="s">
        <v>814</v>
      </c>
      <c r="HDD47" s="1158"/>
      <c r="HDE47" s="1157" t="s">
        <v>814</v>
      </c>
      <c r="HDF47" s="1158"/>
      <c r="HDG47" s="1157" t="s">
        <v>814</v>
      </c>
      <c r="HDH47" s="1158"/>
      <c r="HDI47" s="1157" t="s">
        <v>814</v>
      </c>
      <c r="HDJ47" s="1158"/>
      <c r="HDK47" s="1157" t="s">
        <v>814</v>
      </c>
      <c r="HDL47" s="1158"/>
      <c r="HDM47" s="1157" t="s">
        <v>814</v>
      </c>
      <c r="HDN47" s="1158"/>
      <c r="HDO47" s="1157" t="s">
        <v>814</v>
      </c>
      <c r="HDP47" s="1158"/>
      <c r="HDQ47" s="1157" t="s">
        <v>814</v>
      </c>
      <c r="HDR47" s="1158"/>
      <c r="HDS47" s="1157" t="s">
        <v>814</v>
      </c>
      <c r="HDT47" s="1158"/>
      <c r="HDU47" s="1157" t="s">
        <v>814</v>
      </c>
      <c r="HDV47" s="1158"/>
      <c r="HDW47" s="1157" t="s">
        <v>814</v>
      </c>
      <c r="HDX47" s="1158"/>
      <c r="HDY47" s="1157" t="s">
        <v>814</v>
      </c>
      <c r="HDZ47" s="1158"/>
      <c r="HEA47" s="1157" t="s">
        <v>814</v>
      </c>
      <c r="HEB47" s="1158"/>
      <c r="HEC47" s="1157" t="s">
        <v>814</v>
      </c>
      <c r="HED47" s="1158"/>
      <c r="HEE47" s="1157" t="s">
        <v>814</v>
      </c>
      <c r="HEF47" s="1158"/>
      <c r="HEG47" s="1157" t="s">
        <v>814</v>
      </c>
      <c r="HEH47" s="1158"/>
      <c r="HEI47" s="1157" t="s">
        <v>814</v>
      </c>
      <c r="HEJ47" s="1158"/>
      <c r="HEK47" s="1157" t="s">
        <v>814</v>
      </c>
      <c r="HEL47" s="1158"/>
      <c r="HEM47" s="1157" t="s">
        <v>814</v>
      </c>
      <c r="HEN47" s="1158"/>
      <c r="HEO47" s="1157" t="s">
        <v>814</v>
      </c>
      <c r="HEP47" s="1158"/>
      <c r="HEQ47" s="1157" t="s">
        <v>814</v>
      </c>
      <c r="HER47" s="1158"/>
      <c r="HES47" s="1157" t="s">
        <v>814</v>
      </c>
      <c r="HET47" s="1158"/>
      <c r="HEU47" s="1157" t="s">
        <v>814</v>
      </c>
      <c r="HEV47" s="1158"/>
      <c r="HEW47" s="1157" t="s">
        <v>814</v>
      </c>
      <c r="HEX47" s="1158"/>
      <c r="HEY47" s="1157" t="s">
        <v>814</v>
      </c>
      <c r="HEZ47" s="1158"/>
      <c r="HFA47" s="1157" t="s">
        <v>814</v>
      </c>
      <c r="HFB47" s="1158"/>
      <c r="HFC47" s="1157" t="s">
        <v>814</v>
      </c>
      <c r="HFD47" s="1158"/>
      <c r="HFE47" s="1157" t="s">
        <v>814</v>
      </c>
      <c r="HFF47" s="1158"/>
      <c r="HFG47" s="1157" t="s">
        <v>814</v>
      </c>
      <c r="HFH47" s="1158"/>
      <c r="HFI47" s="1157" t="s">
        <v>814</v>
      </c>
      <c r="HFJ47" s="1158"/>
      <c r="HFK47" s="1157" t="s">
        <v>814</v>
      </c>
      <c r="HFL47" s="1158"/>
      <c r="HFM47" s="1157" t="s">
        <v>814</v>
      </c>
      <c r="HFN47" s="1158"/>
      <c r="HFO47" s="1157" t="s">
        <v>814</v>
      </c>
      <c r="HFP47" s="1158"/>
      <c r="HFQ47" s="1157" t="s">
        <v>814</v>
      </c>
      <c r="HFR47" s="1158"/>
      <c r="HFS47" s="1157" t="s">
        <v>814</v>
      </c>
      <c r="HFT47" s="1158"/>
      <c r="HFU47" s="1157" t="s">
        <v>814</v>
      </c>
      <c r="HFV47" s="1158"/>
      <c r="HFW47" s="1157" t="s">
        <v>814</v>
      </c>
      <c r="HFX47" s="1158"/>
      <c r="HFY47" s="1157" t="s">
        <v>814</v>
      </c>
      <c r="HFZ47" s="1158"/>
      <c r="HGA47" s="1157" t="s">
        <v>814</v>
      </c>
      <c r="HGB47" s="1158"/>
      <c r="HGC47" s="1157" t="s">
        <v>814</v>
      </c>
      <c r="HGD47" s="1158"/>
      <c r="HGE47" s="1157" t="s">
        <v>814</v>
      </c>
      <c r="HGF47" s="1158"/>
      <c r="HGG47" s="1157" t="s">
        <v>814</v>
      </c>
      <c r="HGH47" s="1158"/>
      <c r="HGI47" s="1157" t="s">
        <v>814</v>
      </c>
      <c r="HGJ47" s="1158"/>
      <c r="HGK47" s="1157" t="s">
        <v>814</v>
      </c>
      <c r="HGL47" s="1158"/>
      <c r="HGM47" s="1157" t="s">
        <v>814</v>
      </c>
      <c r="HGN47" s="1158"/>
      <c r="HGO47" s="1157" t="s">
        <v>814</v>
      </c>
      <c r="HGP47" s="1158"/>
      <c r="HGQ47" s="1157" t="s">
        <v>814</v>
      </c>
      <c r="HGR47" s="1158"/>
      <c r="HGS47" s="1157" t="s">
        <v>814</v>
      </c>
      <c r="HGT47" s="1158"/>
      <c r="HGU47" s="1157" t="s">
        <v>814</v>
      </c>
      <c r="HGV47" s="1158"/>
      <c r="HGW47" s="1157" t="s">
        <v>814</v>
      </c>
      <c r="HGX47" s="1158"/>
      <c r="HGY47" s="1157" t="s">
        <v>814</v>
      </c>
      <c r="HGZ47" s="1158"/>
      <c r="HHA47" s="1157" t="s">
        <v>814</v>
      </c>
      <c r="HHB47" s="1158"/>
      <c r="HHC47" s="1157" t="s">
        <v>814</v>
      </c>
      <c r="HHD47" s="1158"/>
      <c r="HHE47" s="1157" t="s">
        <v>814</v>
      </c>
      <c r="HHF47" s="1158"/>
      <c r="HHG47" s="1157" t="s">
        <v>814</v>
      </c>
      <c r="HHH47" s="1158"/>
      <c r="HHI47" s="1157" t="s">
        <v>814</v>
      </c>
      <c r="HHJ47" s="1158"/>
      <c r="HHK47" s="1157" t="s">
        <v>814</v>
      </c>
      <c r="HHL47" s="1158"/>
      <c r="HHM47" s="1157" t="s">
        <v>814</v>
      </c>
      <c r="HHN47" s="1158"/>
      <c r="HHO47" s="1157" t="s">
        <v>814</v>
      </c>
      <c r="HHP47" s="1158"/>
      <c r="HHQ47" s="1157" t="s">
        <v>814</v>
      </c>
      <c r="HHR47" s="1158"/>
      <c r="HHS47" s="1157" t="s">
        <v>814</v>
      </c>
      <c r="HHT47" s="1158"/>
      <c r="HHU47" s="1157" t="s">
        <v>814</v>
      </c>
      <c r="HHV47" s="1158"/>
      <c r="HHW47" s="1157" t="s">
        <v>814</v>
      </c>
      <c r="HHX47" s="1158"/>
      <c r="HHY47" s="1157" t="s">
        <v>814</v>
      </c>
      <c r="HHZ47" s="1158"/>
      <c r="HIA47" s="1157" t="s">
        <v>814</v>
      </c>
      <c r="HIB47" s="1158"/>
      <c r="HIC47" s="1157" t="s">
        <v>814</v>
      </c>
      <c r="HID47" s="1158"/>
      <c r="HIE47" s="1157" t="s">
        <v>814</v>
      </c>
      <c r="HIF47" s="1158"/>
      <c r="HIG47" s="1157" t="s">
        <v>814</v>
      </c>
      <c r="HIH47" s="1158"/>
      <c r="HII47" s="1157" t="s">
        <v>814</v>
      </c>
      <c r="HIJ47" s="1158"/>
      <c r="HIK47" s="1157" t="s">
        <v>814</v>
      </c>
      <c r="HIL47" s="1158"/>
      <c r="HIM47" s="1157" t="s">
        <v>814</v>
      </c>
      <c r="HIN47" s="1158"/>
      <c r="HIO47" s="1157" t="s">
        <v>814</v>
      </c>
      <c r="HIP47" s="1158"/>
      <c r="HIQ47" s="1157" t="s">
        <v>814</v>
      </c>
      <c r="HIR47" s="1158"/>
      <c r="HIS47" s="1157" t="s">
        <v>814</v>
      </c>
      <c r="HIT47" s="1158"/>
      <c r="HIU47" s="1157" t="s">
        <v>814</v>
      </c>
      <c r="HIV47" s="1158"/>
      <c r="HIW47" s="1157" t="s">
        <v>814</v>
      </c>
      <c r="HIX47" s="1158"/>
      <c r="HIY47" s="1157" t="s">
        <v>814</v>
      </c>
      <c r="HIZ47" s="1158"/>
      <c r="HJA47" s="1157" t="s">
        <v>814</v>
      </c>
      <c r="HJB47" s="1158"/>
      <c r="HJC47" s="1157" t="s">
        <v>814</v>
      </c>
      <c r="HJD47" s="1158"/>
      <c r="HJE47" s="1157" t="s">
        <v>814</v>
      </c>
      <c r="HJF47" s="1158"/>
      <c r="HJG47" s="1157" t="s">
        <v>814</v>
      </c>
      <c r="HJH47" s="1158"/>
      <c r="HJI47" s="1157" t="s">
        <v>814</v>
      </c>
      <c r="HJJ47" s="1158"/>
      <c r="HJK47" s="1157" t="s">
        <v>814</v>
      </c>
      <c r="HJL47" s="1158"/>
      <c r="HJM47" s="1157" t="s">
        <v>814</v>
      </c>
      <c r="HJN47" s="1158"/>
      <c r="HJO47" s="1157" t="s">
        <v>814</v>
      </c>
      <c r="HJP47" s="1158"/>
      <c r="HJQ47" s="1157" t="s">
        <v>814</v>
      </c>
      <c r="HJR47" s="1158"/>
      <c r="HJS47" s="1157" t="s">
        <v>814</v>
      </c>
      <c r="HJT47" s="1158"/>
      <c r="HJU47" s="1157" t="s">
        <v>814</v>
      </c>
      <c r="HJV47" s="1158"/>
      <c r="HJW47" s="1157" t="s">
        <v>814</v>
      </c>
      <c r="HJX47" s="1158"/>
      <c r="HJY47" s="1157" t="s">
        <v>814</v>
      </c>
      <c r="HJZ47" s="1158"/>
      <c r="HKA47" s="1157" t="s">
        <v>814</v>
      </c>
      <c r="HKB47" s="1158"/>
      <c r="HKC47" s="1157" t="s">
        <v>814</v>
      </c>
      <c r="HKD47" s="1158"/>
      <c r="HKE47" s="1157" t="s">
        <v>814</v>
      </c>
      <c r="HKF47" s="1158"/>
      <c r="HKG47" s="1157" t="s">
        <v>814</v>
      </c>
      <c r="HKH47" s="1158"/>
      <c r="HKI47" s="1157" t="s">
        <v>814</v>
      </c>
      <c r="HKJ47" s="1158"/>
      <c r="HKK47" s="1157" t="s">
        <v>814</v>
      </c>
      <c r="HKL47" s="1158"/>
      <c r="HKM47" s="1157" t="s">
        <v>814</v>
      </c>
      <c r="HKN47" s="1158"/>
      <c r="HKO47" s="1157" t="s">
        <v>814</v>
      </c>
      <c r="HKP47" s="1158"/>
      <c r="HKQ47" s="1157" t="s">
        <v>814</v>
      </c>
      <c r="HKR47" s="1158"/>
      <c r="HKS47" s="1157" t="s">
        <v>814</v>
      </c>
      <c r="HKT47" s="1158"/>
      <c r="HKU47" s="1157" t="s">
        <v>814</v>
      </c>
      <c r="HKV47" s="1158"/>
      <c r="HKW47" s="1157" t="s">
        <v>814</v>
      </c>
      <c r="HKX47" s="1158"/>
      <c r="HKY47" s="1157" t="s">
        <v>814</v>
      </c>
      <c r="HKZ47" s="1158"/>
      <c r="HLA47" s="1157" t="s">
        <v>814</v>
      </c>
      <c r="HLB47" s="1158"/>
      <c r="HLC47" s="1157" t="s">
        <v>814</v>
      </c>
      <c r="HLD47" s="1158"/>
      <c r="HLE47" s="1157" t="s">
        <v>814</v>
      </c>
      <c r="HLF47" s="1158"/>
      <c r="HLG47" s="1157" t="s">
        <v>814</v>
      </c>
      <c r="HLH47" s="1158"/>
      <c r="HLI47" s="1157" t="s">
        <v>814</v>
      </c>
      <c r="HLJ47" s="1158"/>
      <c r="HLK47" s="1157" t="s">
        <v>814</v>
      </c>
      <c r="HLL47" s="1158"/>
      <c r="HLM47" s="1157" t="s">
        <v>814</v>
      </c>
      <c r="HLN47" s="1158"/>
      <c r="HLO47" s="1157" t="s">
        <v>814</v>
      </c>
      <c r="HLP47" s="1158"/>
      <c r="HLQ47" s="1157" t="s">
        <v>814</v>
      </c>
      <c r="HLR47" s="1158"/>
      <c r="HLS47" s="1157" t="s">
        <v>814</v>
      </c>
      <c r="HLT47" s="1158"/>
      <c r="HLU47" s="1157" t="s">
        <v>814</v>
      </c>
      <c r="HLV47" s="1158"/>
      <c r="HLW47" s="1157" t="s">
        <v>814</v>
      </c>
      <c r="HLX47" s="1158"/>
      <c r="HLY47" s="1157" t="s">
        <v>814</v>
      </c>
      <c r="HLZ47" s="1158"/>
      <c r="HMA47" s="1157" t="s">
        <v>814</v>
      </c>
      <c r="HMB47" s="1158"/>
      <c r="HMC47" s="1157" t="s">
        <v>814</v>
      </c>
      <c r="HMD47" s="1158"/>
      <c r="HME47" s="1157" t="s">
        <v>814</v>
      </c>
      <c r="HMF47" s="1158"/>
      <c r="HMG47" s="1157" t="s">
        <v>814</v>
      </c>
      <c r="HMH47" s="1158"/>
      <c r="HMI47" s="1157" t="s">
        <v>814</v>
      </c>
      <c r="HMJ47" s="1158"/>
      <c r="HMK47" s="1157" t="s">
        <v>814</v>
      </c>
      <c r="HML47" s="1158"/>
      <c r="HMM47" s="1157" t="s">
        <v>814</v>
      </c>
      <c r="HMN47" s="1158"/>
      <c r="HMO47" s="1157" t="s">
        <v>814</v>
      </c>
      <c r="HMP47" s="1158"/>
      <c r="HMQ47" s="1157" t="s">
        <v>814</v>
      </c>
      <c r="HMR47" s="1158"/>
      <c r="HMS47" s="1157" t="s">
        <v>814</v>
      </c>
      <c r="HMT47" s="1158"/>
      <c r="HMU47" s="1157" t="s">
        <v>814</v>
      </c>
      <c r="HMV47" s="1158"/>
      <c r="HMW47" s="1157" t="s">
        <v>814</v>
      </c>
      <c r="HMX47" s="1158"/>
      <c r="HMY47" s="1157" t="s">
        <v>814</v>
      </c>
      <c r="HMZ47" s="1158"/>
      <c r="HNA47" s="1157" t="s">
        <v>814</v>
      </c>
      <c r="HNB47" s="1158"/>
      <c r="HNC47" s="1157" t="s">
        <v>814</v>
      </c>
      <c r="HND47" s="1158"/>
      <c r="HNE47" s="1157" t="s">
        <v>814</v>
      </c>
      <c r="HNF47" s="1158"/>
      <c r="HNG47" s="1157" t="s">
        <v>814</v>
      </c>
      <c r="HNH47" s="1158"/>
      <c r="HNI47" s="1157" t="s">
        <v>814</v>
      </c>
      <c r="HNJ47" s="1158"/>
      <c r="HNK47" s="1157" t="s">
        <v>814</v>
      </c>
      <c r="HNL47" s="1158"/>
      <c r="HNM47" s="1157" t="s">
        <v>814</v>
      </c>
      <c r="HNN47" s="1158"/>
      <c r="HNO47" s="1157" t="s">
        <v>814</v>
      </c>
      <c r="HNP47" s="1158"/>
      <c r="HNQ47" s="1157" t="s">
        <v>814</v>
      </c>
      <c r="HNR47" s="1158"/>
      <c r="HNS47" s="1157" t="s">
        <v>814</v>
      </c>
      <c r="HNT47" s="1158"/>
      <c r="HNU47" s="1157" t="s">
        <v>814</v>
      </c>
      <c r="HNV47" s="1158"/>
      <c r="HNW47" s="1157" t="s">
        <v>814</v>
      </c>
      <c r="HNX47" s="1158"/>
      <c r="HNY47" s="1157" t="s">
        <v>814</v>
      </c>
      <c r="HNZ47" s="1158"/>
      <c r="HOA47" s="1157" t="s">
        <v>814</v>
      </c>
      <c r="HOB47" s="1158"/>
      <c r="HOC47" s="1157" t="s">
        <v>814</v>
      </c>
      <c r="HOD47" s="1158"/>
      <c r="HOE47" s="1157" t="s">
        <v>814</v>
      </c>
      <c r="HOF47" s="1158"/>
      <c r="HOG47" s="1157" t="s">
        <v>814</v>
      </c>
      <c r="HOH47" s="1158"/>
      <c r="HOI47" s="1157" t="s">
        <v>814</v>
      </c>
      <c r="HOJ47" s="1158"/>
      <c r="HOK47" s="1157" t="s">
        <v>814</v>
      </c>
      <c r="HOL47" s="1158"/>
      <c r="HOM47" s="1157" t="s">
        <v>814</v>
      </c>
      <c r="HON47" s="1158"/>
      <c r="HOO47" s="1157" t="s">
        <v>814</v>
      </c>
      <c r="HOP47" s="1158"/>
      <c r="HOQ47" s="1157" t="s">
        <v>814</v>
      </c>
      <c r="HOR47" s="1158"/>
      <c r="HOS47" s="1157" t="s">
        <v>814</v>
      </c>
      <c r="HOT47" s="1158"/>
      <c r="HOU47" s="1157" t="s">
        <v>814</v>
      </c>
      <c r="HOV47" s="1158"/>
      <c r="HOW47" s="1157" t="s">
        <v>814</v>
      </c>
      <c r="HOX47" s="1158"/>
      <c r="HOY47" s="1157" t="s">
        <v>814</v>
      </c>
      <c r="HOZ47" s="1158"/>
      <c r="HPA47" s="1157" t="s">
        <v>814</v>
      </c>
      <c r="HPB47" s="1158"/>
      <c r="HPC47" s="1157" t="s">
        <v>814</v>
      </c>
      <c r="HPD47" s="1158"/>
      <c r="HPE47" s="1157" t="s">
        <v>814</v>
      </c>
      <c r="HPF47" s="1158"/>
      <c r="HPG47" s="1157" t="s">
        <v>814</v>
      </c>
      <c r="HPH47" s="1158"/>
      <c r="HPI47" s="1157" t="s">
        <v>814</v>
      </c>
      <c r="HPJ47" s="1158"/>
      <c r="HPK47" s="1157" t="s">
        <v>814</v>
      </c>
      <c r="HPL47" s="1158"/>
      <c r="HPM47" s="1157" t="s">
        <v>814</v>
      </c>
      <c r="HPN47" s="1158"/>
      <c r="HPO47" s="1157" t="s">
        <v>814</v>
      </c>
      <c r="HPP47" s="1158"/>
      <c r="HPQ47" s="1157" t="s">
        <v>814</v>
      </c>
      <c r="HPR47" s="1158"/>
      <c r="HPS47" s="1157" t="s">
        <v>814</v>
      </c>
      <c r="HPT47" s="1158"/>
      <c r="HPU47" s="1157" t="s">
        <v>814</v>
      </c>
      <c r="HPV47" s="1158"/>
      <c r="HPW47" s="1157" t="s">
        <v>814</v>
      </c>
      <c r="HPX47" s="1158"/>
      <c r="HPY47" s="1157" t="s">
        <v>814</v>
      </c>
      <c r="HPZ47" s="1158"/>
      <c r="HQA47" s="1157" t="s">
        <v>814</v>
      </c>
      <c r="HQB47" s="1158"/>
      <c r="HQC47" s="1157" t="s">
        <v>814</v>
      </c>
      <c r="HQD47" s="1158"/>
      <c r="HQE47" s="1157" t="s">
        <v>814</v>
      </c>
      <c r="HQF47" s="1158"/>
      <c r="HQG47" s="1157" t="s">
        <v>814</v>
      </c>
      <c r="HQH47" s="1158"/>
      <c r="HQI47" s="1157" t="s">
        <v>814</v>
      </c>
      <c r="HQJ47" s="1158"/>
      <c r="HQK47" s="1157" t="s">
        <v>814</v>
      </c>
      <c r="HQL47" s="1158"/>
      <c r="HQM47" s="1157" t="s">
        <v>814</v>
      </c>
      <c r="HQN47" s="1158"/>
      <c r="HQO47" s="1157" t="s">
        <v>814</v>
      </c>
      <c r="HQP47" s="1158"/>
      <c r="HQQ47" s="1157" t="s">
        <v>814</v>
      </c>
      <c r="HQR47" s="1158"/>
      <c r="HQS47" s="1157" t="s">
        <v>814</v>
      </c>
      <c r="HQT47" s="1158"/>
      <c r="HQU47" s="1157" t="s">
        <v>814</v>
      </c>
      <c r="HQV47" s="1158"/>
      <c r="HQW47" s="1157" t="s">
        <v>814</v>
      </c>
      <c r="HQX47" s="1158"/>
      <c r="HQY47" s="1157" t="s">
        <v>814</v>
      </c>
      <c r="HQZ47" s="1158"/>
      <c r="HRA47" s="1157" t="s">
        <v>814</v>
      </c>
      <c r="HRB47" s="1158"/>
      <c r="HRC47" s="1157" t="s">
        <v>814</v>
      </c>
      <c r="HRD47" s="1158"/>
      <c r="HRE47" s="1157" t="s">
        <v>814</v>
      </c>
      <c r="HRF47" s="1158"/>
      <c r="HRG47" s="1157" t="s">
        <v>814</v>
      </c>
      <c r="HRH47" s="1158"/>
      <c r="HRI47" s="1157" t="s">
        <v>814</v>
      </c>
      <c r="HRJ47" s="1158"/>
      <c r="HRK47" s="1157" t="s">
        <v>814</v>
      </c>
      <c r="HRL47" s="1158"/>
      <c r="HRM47" s="1157" t="s">
        <v>814</v>
      </c>
      <c r="HRN47" s="1158"/>
      <c r="HRO47" s="1157" t="s">
        <v>814</v>
      </c>
      <c r="HRP47" s="1158"/>
      <c r="HRQ47" s="1157" t="s">
        <v>814</v>
      </c>
      <c r="HRR47" s="1158"/>
      <c r="HRS47" s="1157" t="s">
        <v>814</v>
      </c>
      <c r="HRT47" s="1158"/>
      <c r="HRU47" s="1157" t="s">
        <v>814</v>
      </c>
      <c r="HRV47" s="1158"/>
      <c r="HRW47" s="1157" t="s">
        <v>814</v>
      </c>
      <c r="HRX47" s="1158"/>
      <c r="HRY47" s="1157" t="s">
        <v>814</v>
      </c>
      <c r="HRZ47" s="1158"/>
      <c r="HSA47" s="1157" t="s">
        <v>814</v>
      </c>
      <c r="HSB47" s="1158"/>
      <c r="HSC47" s="1157" t="s">
        <v>814</v>
      </c>
      <c r="HSD47" s="1158"/>
      <c r="HSE47" s="1157" t="s">
        <v>814</v>
      </c>
      <c r="HSF47" s="1158"/>
      <c r="HSG47" s="1157" t="s">
        <v>814</v>
      </c>
      <c r="HSH47" s="1158"/>
      <c r="HSI47" s="1157" t="s">
        <v>814</v>
      </c>
      <c r="HSJ47" s="1158"/>
      <c r="HSK47" s="1157" t="s">
        <v>814</v>
      </c>
      <c r="HSL47" s="1158"/>
      <c r="HSM47" s="1157" t="s">
        <v>814</v>
      </c>
      <c r="HSN47" s="1158"/>
      <c r="HSO47" s="1157" t="s">
        <v>814</v>
      </c>
      <c r="HSP47" s="1158"/>
      <c r="HSQ47" s="1157" t="s">
        <v>814</v>
      </c>
      <c r="HSR47" s="1158"/>
      <c r="HSS47" s="1157" t="s">
        <v>814</v>
      </c>
      <c r="HST47" s="1158"/>
      <c r="HSU47" s="1157" t="s">
        <v>814</v>
      </c>
      <c r="HSV47" s="1158"/>
      <c r="HSW47" s="1157" t="s">
        <v>814</v>
      </c>
      <c r="HSX47" s="1158"/>
      <c r="HSY47" s="1157" t="s">
        <v>814</v>
      </c>
      <c r="HSZ47" s="1158"/>
      <c r="HTA47" s="1157" t="s">
        <v>814</v>
      </c>
      <c r="HTB47" s="1158"/>
      <c r="HTC47" s="1157" t="s">
        <v>814</v>
      </c>
      <c r="HTD47" s="1158"/>
      <c r="HTE47" s="1157" t="s">
        <v>814</v>
      </c>
      <c r="HTF47" s="1158"/>
      <c r="HTG47" s="1157" t="s">
        <v>814</v>
      </c>
      <c r="HTH47" s="1158"/>
      <c r="HTI47" s="1157" t="s">
        <v>814</v>
      </c>
      <c r="HTJ47" s="1158"/>
      <c r="HTK47" s="1157" t="s">
        <v>814</v>
      </c>
      <c r="HTL47" s="1158"/>
      <c r="HTM47" s="1157" t="s">
        <v>814</v>
      </c>
      <c r="HTN47" s="1158"/>
      <c r="HTO47" s="1157" t="s">
        <v>814</v>
      </c>
      <c r="HTP47" s="1158"/>
      <c r="HTQ47" s="1157" t="s">
        <v>814</v>
      </c>
      <c r="HTR47" s="1158"/>
      <c r="HTS47" s="1157" t="s">
        <v>814</v>
      </c>
      <c r="HTT47" s="1158"/>
      <c r="HTU47" s="1157" t="s">
        <v>814</v>
      </c>
      <c r="HTV47" s="1158"/>
      <c r="HTW47" s="1157" t="s">
        <v>814</v>
      </c>
      <c r="HTX47" s="1158"/>
      <c r="HTY47" s="1157" t="s">
        <v>814</v>
      </c>
      <c r="HTZ47" s="1158"/>
      <c r="HUA47" s="1157" t="s">
        <v>814</v>
      </c>
      <c r="HUB47" s="1158"/>
      <c r="HUC47" s="1157" t="s">
        <v>814</v>
      </c>
      <c r="HUD47" s="1158"/>
      <c r="HUE47" s="1157" t="s">
        <v>814</v>
      </c>
      <c r="HUF47" s="1158"/>
      <c r="HUG47" s="1157" t="s">
        <v>814</v>
      </c>
      <c r="HUH47" s="1158"/>
      <c r="HUI47" s="1157" t="s">
        <v>814</v>
      </c>
      <c r="HUJ47" s="1158"/>
      <c r="HUK47" s="1157" t="s">
        <v>814</v>
      </c>
      <c r="HUL47" s="1158"/>
      <c r="HUM47" s="1157" t="s">
        <v>814</v>
      </c>
      <c r="HUN47" s="1158"/>
      <c r="HUO47" s="1157" t="s">
        <v>814</v>
      </c>
      <c r="HUP47" s="1158"/>
      <c r="HUQ47" s="1157" t="s">
        <v>814</v>
      </c>
      <c r="HUR47" s="1158"/>
      <c r="HUS47" s="1157" t="s">
        <v>814</v>
      </c>
      <c r="HUT47" s="1158"/>
      <c r="HUU47" s="1157" t="s">
        <v>814</v>
      </c>
      <c r="HUV47" s="1158"/>
      <c r="HUW47" s="1157" t="s">
        <v>814</v>
      </c>
      <c r="HUX47" s="1158"/>
      <c r="HUY47" s="1157" t="s">
        <v>814</v>
      </c>
      <c r="HUZ47" s="1158"/>
      <c r="HVA47" s="1157" t="s">
        <v>814</v>
      </c>
      <c r="HVB47" s="1158"/>
      <c r="HVC47" s="1157" t="s">
        <v>814</v>
      </c>
      <c r="HVD47" s="1158"/>
      <c r="HVE47" s="1157" t="s">
        <v>814</v>
      </c>
      <c r="HVF47" s="1158"/>
      <c r="HVG47" s="1157" t="s">
        <v>814</v>
      </c>
      <c r="HVH47" s="1158"/>
      <c r="HVI47" s="1157" t="s">
        <v>814</v>
      </c>
      <c r="HVJ47" s="1158"/>
      <c r="HVK47" s="1157" t="s">
        <v>814</v>
      </c>
      <c r="HVL47" s="1158"/>
      <c r="HVM47" s="1157" t="s">
        <v>814</v>
      </c>
      <c r="HVN47" s="1158"/>
      <c r="HVO47" s="1157" t="s">
        <v>814</v>
      </c>
      <c r="HVP47" s="1158"/>
      <c r="HVQ47" s="1157" t="s">
        <v>814</v>
      </c>
      <c r="HVR47" s="1158"/>
      <c r="HVS47" s="1157" t="s">
        <v>814</v>
      </c>
      <c r="HVT47" s="1158"/>
      <c r="HVU47" s="1157" t="s">
        <v>814</v>
      </c>
      <c r="HVV47" s="1158"/>
      <c r="HVW47" s="1157" t="s">
        <v>814</v>
      </c>
      <c r="HVX47" s="1158"/>
      <c r="HVY47" s="1157" t="s">
        <v>814</v>
      </c>
      <c r="HVZ47" s="1158"/>
      <c r="HWA47" s="1157" t="s">
        <v>814</v>
      </c>
      <c r="HWB47" s="1158"/>
      <c r="HWC47" s="1157" t="s">
        <v>814</v>
      </c>
      <c r="HWD47" s="1158"/>
      <c r="HWE47" s="1157" t="s">
        <v>814</v>
      </c>
      <c r="HWF47" s="1158"/>
      <c r="HWG47" s="1157" t="s">
        <v>814</v>
      </c>
      <c r="HWH47" s="1158"/>
      <c r="HWI47" s="1157" t="s">
        <v>814</v>
      </c>
      <c r="HWJ47" s="1158"/>
      <c r="HWK47" s="1157" t="s">
        <v>814</v>
      </c>
      <c r="HWL47" s="1158"/>
      <c r="HWM47" s="1157" t="s">
        <v>814</v>
      </c>
      <c r="HWN47" s="1158"/>
      <c r="HWO47" s="1157" t="s">
        <v>814</v>
      </c>
      <c r="HWP47" s="1158"/>
      <c r="HWQ47" s="1157" t="s">
        <v>814</v>
      </c>
      <c r="HWR47" s="1158"/>
      <c r="HWS47" s="1157" t="s">
        <v>814</v>
      </c>
      <c r="HWT47" s="1158"/>
      <c r="HWU47" s="1157" t="s">
        <v>814</v>
      </c>
      <c r="HWV47" s="1158"/>
      <c r="HWW47" s="1157" t="s">
        <v>814</v>
      </c>
      <c r="HWX47" s="1158"/>
      <c r="HWY47" s="1157" t="s">
        <v>814</v>
      </c>
      <c r="HWZ47" s="1158"/>
      <c r="HXA47" s="1157" t="s">
        <v>814</v>
      </c>
      <c r="HXB47" s="1158"/>
      <c r="HXC47" s="1157" t="s">
        <v>814</v>
      </c>
      <c r="HXD47" s="1158"/>
      <c r="HXE47" s="1157" t="s">
        <v>814</v>
      </c>
      <c r="HXF47" s="1158"/>
      <c r="HXG47" s="1157" t="s">
        <v>814</v>
      </c>
      <c r="HXH47" s="1158"/>
      <c r="HXI47" s="1157" t="s">
        <v>814</v>
      </c>
      <c r="HXJ47" s="1158"/>
      <c r="HXK47" s="1157" t="s">
        <v>814</v>
      </c>
      <c r="HXL47" s="1158"/>
      <c r="HXM47" s="1157" t="s">
        <v>814</v>
      </c>
      <c r="HXN47" s="1158"/>
      <c r="HXO47" s="1157" t="s">
        <v>814</v>
      </c>
      <c r="HXP47" s="1158"/>
      <c r="HXQ47" s="1157" t="s">
        <v>814</v>
      </c>
      <c r="HXR47" s="1158"/>
      <c r="HXS47" s="1157" t="s">
        <v>814</v>
      </c>
      <c r="HXT47" s="1158"/>
      <c r="HXU47" s="1157" t="s">
        <v>814</v>
      </c>
      <c r="HXV47" s="1158"/>
      <c r="HXW47" s="1157" t="s">
        <v>814</v>
      </c>
      <c r="HXX47" s="1158"/>
      <c r="HXY47" s="1157" t="s">
        <v>814</v>
      </c>
      <c r="HXZ47" s="1158"/>
      <c r="HYA47" s="1157" t="s">
        <v>814</v>
      </c>
      <c r="HYB47" s="1158"/>
      <c r="HYC47" s="1157" t="s">
        <v>814</v>
      </c>
      <c r="HYD47" s="1158"/>
      <c r="HYE47" s="1157" t="s">
        <v>814</v>
      </c>
      <c r="HYF47" s="1158"/>
      <c r="HYG47" s="1157" t="s">
        <v>814</v>
      </c>
      <c r="HYH47" s="1158"/>
      <c r="HYI47" s="1157" t="s">
        <v>814</v>
      </c>
      <c r="HYJ47" s="1158"/>
      <c r="HYK47" s="1157" t="s">
        <v>814</v>
      </c>
      <c r="HYL47" s="1158"/>
      <c r="HYM47" s="1157" t="s">
        <v>814</v>
      </c>
      <c r="HYN47" s="1158"/>
      <c r="HYO47" s="1157" t="s">
        <v>814</v>
      </c>
      <c r="HYP47" s="1158"/>
      <c r="HYQ47" s="1157" t="s">
        <v>814</v>
      </c>
      <c r="HYR47" s="1158"/>
      <c r="HYS47" s="1157" t="s">
        <v>814</v>
      </c>
      <c r="HYT47" s="1158"/>
      <c r="HYU47" s="1157" t="s">
        <v>814</v>
      </c>
      <c r="HYV47" s="1158"/>
      <c r="HYW47" s="1157" t="s">
        <v>814</v>
      </c>
      <c r="HYX47" s="1158"/>
      <c r="HYY47" s="1157" t="s">
        <v>814</v>
      </c>
      <c r="HYZ47" s="1158"/>
      <c r="HZA47" s="1157" t="s">
        <v>814</v>
      </c>
      <c r="HZB47" s="1158"/>
      <c r="HZC47" s="1157" t="s">
        <v>814</v>
      </c>
      <c r="HZD47" s="1158"/>
      <c r="HZE47" s="1157" t="s">
        <v>814</v>
      </c>
      <c r="HZF47" s="1158"/>
      <c r="HZG47" s="1157" t="s">
        <v>814</v>
      </c>
      <c r="HZH47" s="1158"/>
      <c r="HZI47" s="1157" t="s">
        <v>814</v>
      </c>
      <c r="HZJ47" s="1158"/>
      <c r="HZK47" s="1157" t="s">
        <v>814</v>
      </c>
      <c r="HZL47" s="1158"/>
      <c r="HZM47" s="1157" t="s">
        <v>814</v>
      </c>
      <c r="HZN47" s="1158"/>
      <c r="HZO47" s="1157" t="s">
        <v>814</v>
      </c>
      <c r="HZP47" s="1158"/>
      <c r="HZQ47" s="1157" t="s">
        <v>814</v>
      </c>
      <c r="HZR47" s="1158"/>
      <c r="HZS47" s="1157" t="s">
        <v>814</v>
      </c>
      <c r="HZT47" s="1158"/>
      <c r="HZU47" s="1157" t="s">
        <v>814</v>
      </c>
      <c r="HZV47" s="1158"/>
      <c r="HZW47" s="1157" t="s">
        <v>814</v>
      </c>
      <c r="HZX47" s="1158"/>
      <c r="HZY47" s="1157" t="s">
        <v>814</v>
      </c>
      <c r="HZZ47" s="1158"/>
      <c r="IAA47" s="1157" t="s">
        <v>814</v>
      </c>
      <c r="IAB47" s="1158"/>
      <c r="IAC47" s="1157" t="s">
        <v>814</v>
      </c>
      <c r="IAD47" s="1158"/>
      <c r="IAE47" s="1157" t="s">
        <v>814</v>
      </c>
      <c r="IAF47" s="1158"/>
      <c r="IAG47" s="1157" t="s">
        <v>814</v>
      </c>
      <c r="IAH47" s="1158"/>
      <c r="IAI47" s="1157" t="s">
        <v>814</v>
      </c>
      <c r="IAJ47" s="1158"/>
      <c r="IAK47" s="1157" t="s">
        <v>814</v>
      </c>
      <c r="IAL47" s="1158"/>
      <c r="IAM47" s="1157" t="s">
        <v>814</v>
      </c>
      <c r="IAN47" s="1158"/>
      <c r="IAO47" s="1157" t="s">
        <v>814</v>
      </c>
      <c r="IAP47" s="1158"/>
      <c r="IAQ47" s="1157" t="s">
        <v>814</v>
      </c>
      <c r="IAR47" s="1158"/>
      <c r="IAS47" s="1157" t="s">
        <v>814</v>
      </c>
      <c r="IAT47" s="1158"/>
      <c r="IAU47" s="1157" t="s">
        <v>814</v>
      </c>
      <c r="IAV47" s="1158"/>
      <c r="IAW47" s="1157" t="s">
        <v>814</v>
      </c>
      <c r="IAX47" s="1158"/>
      <c r="IAY47" s="1157" t="s">
        <v>814</v>
      </c>
      <c r="IAZ47" s="1158"/>
      <c r="IBA47" s="1157" t="s">
        <v>814</v>
      </c>
      <c r="IBB47" s="1158"/>
      <c r="IBC47" s="1157" t="s">
        <v>814</v>
      </c>
      <c r="IBD47" s="1158"/>
      <c r="IBE47" s="1157" t="s">
        <v>814</v>
      </c>
      <c r="IBF47" s="1158"/>
      <c r="IBG47" s="1157" t="s">
        <v>814</v>
      </c>
      <c r="IBH47" s="1158"/>
      <c r="IBI47" s="1157" t="s">
        <v>814</v>
      </c>
      <c r="IBJ47" s="1158"/>
      <c r="IBK47" s="1157" t="s">
        <v>814</v>
      </c>
      <c r="IBL47" s="1158"/>
      <c r="IBM47" s="1157" t="s">
        <v>814</v>
      </c>
      <c r="IBN47" s="1158"/>
      <c r="IBO47" s="1157" t="s">
        <v>814</v>
      </c>
      <c r="IBP47" s="1158"/>
      <c r="IBQ47" s="1157" t="s">
        <v>814</v>
      </c>
      <c r="IBR47" s="1158"/>
      <c r="IBS47" s="1157" t="s">
        <v>814</v>
      </c>
      <c r="IBT47" s="1158"/>
      <c r="IBU47" s="1157" t="s">
        <v>814</v>
      </c>
      <c r="IBV47" s="1158"/>
      <c r="IBW47" s="1157" t="s">
        <v>814</v>
      </c>
      <c r="IBX47" s="1158"/>
      <c r="IBY47" s="1157" t="s">
        <v>814</v>
      </c>
      <c r="IBZ47" s="1158"/>
      <c r="ICA47" s="1157" t="s">
        <v>814</v>
      </c>
      <c r="ICB47" s="1158"/>
      <c r="ICC47" s="1157" t="s">
        <v>814</v>
      </c>
      <c r="ICD47" s="1158"/>
      <c r="ICE47" s="1157" t="s">
        <v>814</v>
      </c>
      <c r="ICF47" s="1158"/>
      <c r="ICG47" s="1157" t="s">
        <v>814</v>
      </c>
      <c r="ICH47" s="1158"/>
      <c r="ICI47" s="1157" t="s">
        <v>814</v>
      </c>
      <c r="ICJ47" s="1158"/>
      <c r="ICK47" s="1157" t="s">
        <v>814</v>
      </c>
      <c r="ICL47" s="1158"/>
      <c r="ICM47" s="1157" t="s">
        <v>814</v>
      </c>
      <c r="ICN47" s="1158"/>
      <c r="ICO47" s="1157" t="s">
        <v>814</v>
      </c>
      <c r="ICP47" s="1158"/>
      <c r="ICQ47" s="1157" t="s">
        <v>814</v>
      </c>
      <c r="ICR47" s="1158"/>
      <c r="ICS47" s="1157" t="s">
        <v>814</v>
      </c>
      <c r="ICT47" s="1158"/>
      <c r="ICU47" s="1157" t="s">
        <v>814</v>
      </c>
      <c r="ICV47" s="1158"/>
      <c r="ICW47" s="1157" t="s">
        <v>814</v>
      </c>
      <c r="ICX47" s="1158"/>
      <c r="ICY47" s="1157" t="s">
        <v>814</v>
      </c>
      <c r="ICZ47" s="1158"/>
      <c r="IDA47" s="1157" t="s">
        <v>814</v>
      </c>
      <c r="IDB47" s="1158"/>
      <c r="IDC47" s="1157" t="s">
        <v>814</v>
      </c>
      <c r="IDD47" s="1158"/>
      <c r="IDE47" s="1157" t="s">
        <v>814</v>
      </c>
      <c r="IDF47" s="1158"/>
      <c r="IDG47" s="1157" t="s">
        <v>814</v>
      </c>
      <c r="IDH47" s="1158"/>
      <c r="IDI47" s="1157" t="s">
        <v>814</v>
      </c>
      <c r="IDJ47" s="1158"/>
      <c r="IDK47" s="1157" t="s">
        <v>814</v>
      </c>
      <c r="IDL47" s="1158"/>
      <c r="IDM47" s="1157" t="s">
        <v>814</v>
      </c>
      <c r="IDN47" s="1158"/>
      <c r="IDO47" s="1157" t="s">
        <v>814</v>
      </c>
      <c r="IDP47" s="1158"/>
      <c r="IDQ47" s="1157" t="s">
        <v>814</v>
      </c>
      <c r="IDR47" s="1158"/>
      <c r="IDS47" s="1157" t="s">
        <v>814</v>
      </c>
      <c r="IDT47" s="1158"/>
      <c r="IDU47" s="1157" t="s">
        <v>814</v>
      </c>
      <c r="IDV47" s="1158"/>
      <c r="IDW47" s="1157" t="s">
        <v>814</v>
      </c>
      <c r="IDX47" s="1158"/>
      <c r="IDY47" s="1157" t="s">
        <v>814</v>
      </c>
      <c r="IDZ47" s="1158"/>
      <c r="IEA47" s="1157" t="s">
        <v>814</v>
      </c>
      <c r="IEB47" s="1158"/>
      <c r="IEC47" s="1157" t="s">
        <v>814</v>
      </c>
      <c r="IED47" s="1158"/>
      <c r="IEE47" s="1157" t="s">
        <v>814</v>
      </c>
      <c r="IEF47" s="1158"/>
      <c r="IEG47" s="1157" t="s">
        <v>814</v>
      </c>
      <c r="IEH47" s="1158"/>
      <c r="IEI47" s="1157" t="s">
        <v>814</v>
      </c>
      <c r="IEJ47" s="1158"/>
      <c r="IEK47" s="1157" t="s">
        <v>814</v>
      </c>
      <c r="IEL47" s="1158"/>
      <c r="IEM47" s="1157" t="s">
        <v>814</v>
      </c>
      <c r="IEN47" s="1158"/>
      <c r="IEO47" s="1157" t="s">
        <v>814</v>
      </c>
      <c r="IEP47" s="1158"/>
      <c r="IEQ47" s="1157" t="s">
        <v>814</v>
      </c>
      <c r="IER47" s="1158"/>
      <c r="IES47" s="1157" t="s">
        <v>814</v>
      </c>
      <c r="IET47" s="1158"/>
      <c r="IEU47" s="1157" t="s">
        <v>814</v>
      </c>
      <c r="IEV47" s="1158"/>
      <c r="IEW47" s="1157" t="s">
        <v>814</v>
      </c>
      <c r="IEX47" s="1158"/>
      <c r="IEY47" s="1157" t="s">
        <v>814</v>
      </c>
      <c r="IEZ47" s="1158"/>
      <c r="IFA47" s="1157" t="s">
        <v>814</v>
      </c>
      <c r="IFB47" s="1158"/>
      <c r="IFC47" s="1157" t="s">
        <v>814</v>
      </c>
      <c r="IFD47" s="1158"/>
      <c r="IFE47" s="1157" t="s">
        <v>814</v>
      </c>
      <c r="IFF47" s="1158"/>
      <c r="IFG47" s="1157" t="s">
        <v>814</v>
      </c>
      <c r="IFH47" s="1158"/>
      <c r="IFI47" s="1157" t="s">
        <v>814</v>
      </c>
      <c r="IFJ47" s="1158"/>
      <c r="IFK47" s="1157" t="s">
        <v>814</v>
      </c>
      <c r="IFL47" s="1158"/>
      <c r="IFM47" s="1157" t="s">
        <v>814</v>
      </c>
      <c r="IFN47" s="1158"/>
      <c r="IFO47" s="1157" t="s">
        <v>814</v>
      </c>
      <c r="IFP47" s="1158"/>
      <c r="IFQ47" s="1157" t="s">
        <v>814</v>
      </c>
      <c r="IFR47" s="1158"/>
      <c r="IFS47" s="1157" t="s">
        <v>814</v>
      </c>
      <c r="IFT47" s="1158"/>
      <c r="IFU47" s="1157" t="s">
        <v>814</v>
      </c>
      <c r="IFV47" s="1158"/>
      <c r="IFW47" s="1157" t="s">
        <v>814</v>
      </c>
      <c r="IFX47" s="1158"/>
      <c r="IFY47" s="1157" t="s">
        <v>814</v>
      </c>
      <c r="IFZ47" s="1158"/>
      <c r="IGA47" s="1157" t="s">
        <v>814</v>
      </c>
      <c r="IGB47" s="1158"/>
      <c r="IGC47" s="1157" t="s">
        <v>814</v>
      </c>
      <c r="IGD47" s="1158"/>
      <c r="IGE47" s="1157" t="s">
        <v>814</v>
      </c>
      <c r="IGF47" s="1158"/>
      <c r="IGG47" s="1157" t="s">
        <v>814</v>
      </c>
      <c r="IGH47" s="1158"/>
      <c r="IGI47" s="1157" t="s">
        <v>814</v>
      </c>
      <c r="IGJ47" s="1158"/>
      <c r="IGK47" s="1157" t="s">
        <v>814</v>
      </c>
      <c r="IGL47" s="1158"/>
      <c r="IGM47" s="1157" t="s">
        <v>814</v>
      </c>
      <c r="IGN47" s="1158"/>
      <c r="IGO47" s="1157" t="s">
        <v>814</v>
      </c>
      <c r="IGP47" s="1158"/>
      <c r="IGQ47" s="1157" t="s">
        <v>814</v>
      </c>
      <c r="IGR47" s="1158"/>
      <c r="IGS47" s="1157" t="s">
        <v>814</v>
      </c>
      <c r="IGT47" s="1158"/>
      <c r="IGU47" s="1157" t="s">
        <v>814</v>
      </c>
      <c r="IGV47" s="1158"/>
      <c r="IGW47" s="1157" t="s">
        <v>814</v>
      </c>
      <c r="IGX47" s="1158"/>
      <c r="IGY47" s="1157" t="s">
        <v>814</v>
      </c>
      <c r="IGZ47" s="1158"/>
      <c r="IHA47" s="1157" t="s">
        <v>814</v>
      </c>
      <c r="IHB47" s="1158"/>
      <c r="IHC47" s="1157" t="s">
        <v>814</v>
      </c>
      <c r="IHD47" s="1158"/>
      <c r="IHE47" s="1157" t="s">
        <v>814</v>
      </c>
      <c r="IHF47" s="1158"/>
      <c r="IHG47" s="1157" t="s">
        <v>814</v>
      </c>
      <c r="IHH47" s="1158"/>
      <c r="IHI47" s="1157" t="s">
        <v>814</v>
      </c>
      <c r="IHJ47" s="1158"/>
      <c r="IHK47" s="1157" t="s">
        <v>814</v>
      </c>
      <c r="IHL47" s="1158"/>
      <c r="IHM47" s="1157" t="s">
        <v>814</v>
      </c>
      <c r="IHN47" s="1158"/>
      <c r="IHO47" s="1157" t="s">
        <v>814</v>
      </c>
      <c r="IHP47" s="1158"/>
      <c r="IHQ47" s="1157" t="s">
        <v>814</v>
      </c>
      <c r="IHR47" s="1158"/>
      <c r="IHS47" s="1157" t="s">
        <v>814</v>
      </c>
      <c r="IHT47" s="1158"/>
      <c r="IHU47" s="1157" t="s">
        <v>814</v>
      </c>
      <c r="IHV47" s="1158"/>
      <c r="IHW47" s="1157" t="s">
        <v>814</v>
      </c>
      <c r="IHX47" s="1158"/>
      <c r="IHY47" s="1157" t="s">
        <v>814</v>
      </c>
      <c r="IHZ47" s="1158"/>
      <c r="IIA47" s="1157" t="s">
        <v>814</v>
      </c>
      <c r="IIB47" s="1158"/>
      <c r="IIC47" s="1157" t="s">
        <v>814</v>
      </c>
      <c r="IID47" s="1158"/>
      <c r="IIE47" s="1157" t="s">
        <v>814</v>
      </c>
      <c r="IIF47" s="1158"/>
      <c r="IIG47" s="1157" t="s">
        <v>814</v>
      </c>
      <c r="IIH47" s="1158"/>
      <c r="III47" s="1157" t="s">
        <v>814</v>
      </c>
      <c r="IIJ47" s="1158"/>
      <c r="IIK47" s="1157" t="s">
        <v>814</v>
      </c>
      <c r="IIL47" s="1158"/>
      <c r="IIM47" s="1157" t="s">
        <v>814</v>
      </c>
      <c r="IIN47" s="1158"/>
      <c r="IIO47" s="1157" t="s">
        <v>814</v>
      </c>
      <c r="IIP47" s="1158"/>
      <c r="IIQ47" s="1157" t="s">
        <v>814</v>
      </c>
      <c r="IIR47" s="1158"/>
      <c r="IIS47" s="1157" t="s">
        <v>814</v>
      </c>
      <c r="IIT47" s="1158"/>
      <c r="IIU47" s="1157" t="s">
        <v>814</v>
      </c>
      <c r="IIV47" s="1158"/>
      <c r="IIW47" s="1157" t="s">
        <v>814</v>
      </c>
      <c r="IIX47" s="1158"/>
      <c r="IIY47" s="1157" t="s">
        <v>814</v>
      </c>
      <c r="IIZ47" s="1158"/>
      <c r="IJA47" s="1157" t="s">
        <v>814</v>
      </c>
      <c r="IJB47" s="1158"/>
      <c r="IJC47" s="1157" t="s">
        <v>814</v>
      </c>
      <c r="IJD47" s="1158"/>
      <c r="IJE47" s="1157" t="s">
        <v>814</v>
      </c>
      <c r="IJF47" s="1158"/>
      <c r="IJG47" s="1157" t="s">
        <v>814</v>
      </c>
      <c r="IJH47" s="1158"/>
      <c r="IJI47" s="1157" t="s">
        <v>814</v>
      </c>
      <c r="IJJ47" s="1158"/>
      <c r="IJK47" s="1157" t="s">
        <v>814</v>
      </c>
      <c r="IJL47" s="1158"/>
      <c r="IJM47" s="1157" t="s">
        <v>814</v>
      </c>
      <c r="IJN47" s="1158"/>
      <c r="IJO47" s="1157" t="s">
        <v>814</v>
      </c>
      <c r="IJP47" s="1158"/>
      <c r="IJQ47" s="1157" t="s">
        <v>814</v>
      </c>
      <c r="IJR47" s="1158"/>
      <c r="IJS47" s="1157" t="s">
        <v>814</v>
      </c>
      <c r="IJT47" s="1158"/>
      <c r="IJU47" s="1157" t="s">
        <v>814</v>
      </c>
      <c r="IJV47" s="1158"/>
      <c r="IJW47" s="1157" t="s">
        <v>814</v>
      </c>
      <c r="IJX47" s="1158"/>
      <c r="IJY47" s="1157" t="s">
        <v>814</v>
      </c>
      <c r="IJZ47" s="1158"/>
      <c r="IKA47" s="1157" t="s">
        <v>814</v>
      </c>
      <c r="IKB47" s="1158"/>
      <c r="IKC47" s="1157" t="s">
        <v>814</v>
      </c>
      <c r="IKD47" s="1158"/>
      <c r="IKE47" s="1157" t="s">
        <v>814</v>
      </c>
      <c r="IKF47" s="1158"/>
      <c r="IKG47" s="1157" t="s">
        <v>814</v>
      </c>
      <c r="IKH47" s="1158"/>
      <c r="IKI47" s="1157" t="s">
        <v>814</v>
      </c>
      <c r="IKJ47" s="1158"/>
      <c r="IKK47" s="1157" t="s">
        <v>814</v>
      </c>
      <c r="IKL47" s="1158"/>
      <c r="IKM47" s="1157" t="s">
        <v>814</v>
      </c>
      <c r="IKN47" s="1158"/>
      <c r="IKO47" s="1157" t="s">
        <v>814</v>
      </c>
      <c r="IKP47" s="1158"/>
      <c r="IKQ47" s="1157" t="s">
        <v>814</v>
      </c>
      <c r="IKR47" s="1158"/>
      <c r="IKS47" s="1157" t="s">
        <v>814</v>
      </c>
      <c r="IKT47" s="1158"/>
      <c r="IKU47" s="1157" t="s">
        <v>814</v>
      </c>
      <c r="IKV47" s="1158"/>
      <c r="IKW47" s="1157" t="s">
        <v>814</v>
      </c>
      <c r="IKX47" s="1158"/>
      <c r="IKY47" s="1157" t="s">
        <v>814</v>
      </c>
      <c r="IKZ47" s="1158"/>
      <c r="ILA47" s="1157" t="s">
        <v>814</v>
      </c>
      <c r="ILB47" s="1158"/>
      <c r="ILC47" s="1157" t="s">
        <v>814</v>
      </c>
      <c r="ILD47" s="1158"/>
      <c r="ILE47" s="1157" t="s">
        <v>814</v>
      </c>
      <c r="ILF47" s="1158"/>
      <c r="ILG47" s="1157" t="s">
        <v>814</v>
      </c>
      <c r="ILH47" s="1158"/>
      <c r="ILI47" s="1157" t="s">
        <v>814</v>
      </c>
      <c r="ILJ47" s="1158"/>
      <c r="ILK47" s="1157" t="s">
        <v>814</v>
      </c>
      <c r="ILL47" s="1158"/>
      <c r="ILM47" s="1157" t="s">
        <v>814</v>
      </c>
      <c r="ILN47" s="1158"/>
      <c r="ILO47" s="1157" t="s">
        <v>814</v>
      </c>
      <c r="ILP47" s="1158"/>
      <c r="ILQ47" s="1157" t="s">
        <v>814</v>
      </c>
      <c r="ILR47" s="1158"/>
      <c r="ILS47" s="1157" t="s">
        <v>814</v>
      </c>
      <c r="ILT47" s="1158"/>
      <c r="ILU47" s="1157" t="s">
        <v>814</v>
      </c>
      <c r="ILV47" s="1158"/>
      <c r="ILW47" s="1157" t="s">
        <v>814</v>
      </c>
      <c r="ILX47" s="1158"/>
      <c r="ILY47" s="1157" t="s">
        <v>814</v>
      </c>
      <c r="ILZ47" s="1158"/>
      <c r="IMA47" s="1157" t="s">
        <v>814</v>
      </c>
      <c r="IMB47" s="1158"/>
      <c r="IMC47" s="1157" t="s">
        <v>814</v>
      </c>
      <c r="IMD47" s="1158"/>
      <c r="IME47" s="1157" t="s">
        <v>814</v>
      </c>
      <c r="IMF47" s="1158"/>
      <c r="IMG47" s="1157" t="s">
        <v>814</v>
      </c>
      <c r="IMH47" s="1158"/>
      <c r="IMI47" s="1157" t="s">
        <v>814</v>
      </c>
      <c r="IMJ47" s="1158"/>
      <c r="IMK47" s="1157" t="s">
        <v>814</v>
      </c>
      <c r="IML47" s="1158"/>
      <c r="IMM47" s="1157" t="s">
        <v>814</v>
      </c>
      <c r="IMN47" s="1158"/>
      <c r="IMO47" s="1157" t="s">
        <v>814</v>
      </c>
      <c r="IMP47" s="1158"/>
      <c r="IMQ47" s="1157" t="s">
        <v>814</v>
      </c>
      <c r="IMR47" s="1158"/>
      <c r="IMS47" s="1157" t="s">
        <v>814</v>
      </c>
      <c r="IMT47" s="1158"/>
      <c r="IMU47" s="1157" t="s">
        <v>814</v>
      </c>
      <c r="IMV47" s="1158"/>
      <c r="IMW47" s="1157" t="s">
        <v>814</v>
      </c>
      <c r="IMX47" s="1158"/>
      <c r="IMY47" s="1157" t="s">
        <v>814</v>
      </c>
      <c r="IMZ47" s="1158"/>
      <c r="INA47" s="1157" t="s">
        <v>814</v>
      </c>
      <c r="INB47" s="1158"/>
      <c r="INC47" s="1157" t="s">
        <v>814</v>
      </c>
      <c r="IND47" s="1158"/>
      <c r="INE47" s="1157" t="s">
        <v>814</v>
      </c>
      <c r="INF47" s="1158"/>
      <c r="ING47" s="1157" t="s">
        <v>814</v>
      </c>
      <c r="INH47" s="1158"/>
      <c r="INI47" s="1157" t="s">
        <v>814</v>
      </c>
      <c r="INJ47" s="1158"/>
      <c r="INK47" s="1157" t="s">
        <v>814</v>
      </c>
      <c r="INL47" s="1158"/>
      <c r="INM47" s="1157" t="s">
        <v>814</v>
      </c>
      <c r="INN47" s="1158"/>
      <c r="INO47" s="1157" t="s">
        <v>814</v>
      </c>
      <c r="INP47" s="1158"/>
      <c r="INQ47" s="1157" t="s">
        <v>814</v>
      </c>
      <c r="INR47" s="1158"/>
      <c r="INS47" s="1157" t="s">
        <v>814</v>
      </c>
      <c r="INT47" s="1158"/>
      <c r="INU47" s="1157" t="s">
        <v>814</v>
      </c>
      <c r="INV47" s="1158"/>
      <c r="INW47" s="1157" t="s">
        <v>814</v>
      </c>
      <c r="INX47" s="1158"/>
      <c r="INY47" s="1157" t="s">
        <v>814</v>
      </c>
      <c r="INZ47" s="1158"/>
      <c r="IOA47" s="1157" t="s">
        <v>814</v>
      </c>
      <c r="IOB47" s="1158"/>
      <c r="IOC47" s="1157" t="s">
        <v>814</v>
      </c>
      <c r="IOD47" s="1158"/>
      <c r="IOE47" s="1157" t="s">
        <v>814</v>
      </c>
      <c r="IOF47" s="1158"/>
      <c r="IOG47" s="1157" t="s">
        <v>814</v>
      </c>
      <c r="IOH47" s="1158"/>
      <c r="IOI47" s="1157" t="s">
        <v>814</v>
      </c>
      <c r="IOJ47" s="1158"/>
      <c r="IOK47" s="1157" t="s">
        <v>814</v>
      </c>
      <c r="IOL47" s="1158"/>
      <c r="IOM47" s="1157" t="s">
        <v>814</v>
      </c>
      <c r="ION47" s="1158"/>
      <c r="IOO47" s="1157" t="s">
        <v>814</v>
      </c>
      <c r="IOP47" s="1158"/>
      <c r="IOQ47" s="1157" t="s">
        <v>814</v>
      </c>
      <c r="IOR47" s="1158"/>
      <c r="IOS47" s="1157" t="s">
        <v>814</v>
      </c>
      <c r="IOT47" s="1158"/>
      <c r="IOU47" s="1157" t="s">
        <v>814</v>
      </c>
      <c r="IOV47" s="1158"/>
      <c r="IOW47" s="1157" t="s">
        <v>814</v>
      </c>
      <c r="IOX47" s="1158"/>
      <c r="IOY47" s="1157" t="s">
        <v>814</v>
      </c>
      <c r="IOZ47" s="1158"/>
      <c r="IPA47" s="1157" t="s">
        <v>814</v>
      </c>
      <c r="IPB47" s="1158"/>
      <c r="IPC47" s="1157" t="s">
        <v>814</v>
      </c>
      <c r="IPD47" s="1158"/>
      <c r="IPE47" s="1157" t="s">
        <v>814</v>
      </c>
      <c r="IPF47" s="1158"/>
      <c r="IPG47" s="1157" t="s">
        <v>814</v>
      </c>
      <c r="IPH47" s="1158"/>
      <c r="IPI47" s="1157" t="s">
        <v>814</v>
      </c>
      <c r="IPJ47" s="1158"/>
      <c r="IPK47" s="1157" t="s">
        <v>814</v>
      </c>
      <c r="IPL47" s="1158"/>
      <c r="IPM47" s="1157" t="s">
        <v>814</v>
      </c>
      <c r="IPN47" s="1158"/>
      <c r="IPO47" s="1157" t="s">
        <v>814</v>
      </c>
      <c r="IPP47" s="1158"/>
      <c r="IPQ47" s="1157" t="s">
        <v>814</v>
      </c>
      <c r="IPR47" s="1158"/>
      <c r="IPS47" s="1157" t="s">
        <v>814</v>
      </c>
      <c r="IPT47" s="1158"/>
      <c r="IPU47" s="1157" t="s">
        <v>814</v>
      </c>
      <c r="IPV47" s="1158"/>
      <c r="IPW47" s="1157" t="s">
        <v>814</v>
      </c>
      <c r="IPX47" s="1158"/>
      <c r="IPY47" s="1157" t="s">
        <v>814</v>
      </c>
      <c r="IPZ47" s="1158"/>
      <c r="IQA47" s="1157" t="s">
        <v>814</v>
      </c>
      <c r="IQB47" s="1158"/>
      <c r="IQC47" s="1157" t="s">
        <v>814</v>
      </c>
      <c r="IQD47" s="1158"/>
      <c r="IQE47" s="1157" t="s">
        <v>814</v>
      </c>
      <c r="IQF47" s="1158"/>
      <c r="IQG47" s="1157" t="s">
        <v>814</v>
      </c>
      <c r="IQH47" s="1158"/>
      <c r="IQI47" s="1157" t="s">
        <v>814</v>
      </c>
      <c r="IQJ47" s="1158"/>
      <c r="IQK47" s="1157" t="s">
        <v>814</v>
      </c>
      <c r="IQL47" s="1158"/>
      <c r="IQM47" s="1157" t="s">
        <v>814</v>
      </c>
      <c r="IQN47" s="1158"/>
      <c r="IQO47" s="1157" t="s">
        <v>814</v>
      </c>
      <c r="IQP47" s="1158"/>
      <c r="IQQ47" s="1157" t="s">
        <v>814</v>
      </c>
      <c r="IQR47" s="1158"/>
      <c r="IQS47" s="1157" t="s">
        <v>814</v>
      </c>
      <c r="IQT47" s="1158"/>
      <c r="IQU47" s="1157" t="s">
        <v>814</v>
      </c>
      <c r="IQV47" s="1158"/>
      <c r="IQW47" s="1157" t="s">
        <v>814</v>
      </c>
      <c r="IQX47" s="1158"/>
      <c r="IQY47" s="1157" t="s">
        <v>814</v>
      </c>
      <c r="IQZ47" s="1158"/>
      <c r="IRA47" s="1157" t="s">
        <v>814</v>
      </c>
      <c r="IRB47" s="1158"/>
      <c r="IRC47" s="1157" t="s">
        <v>814</v>
      </c>
      <c r="IRD47" s="1158"/>
      <c r="IRE47" s="1157" t="s">
        <v>814</v>
      </c>
      <c r="IRF47" s="1158"/>
      <c r="IRG47" s="1157" t="s">
        <v>814</v>
      </c>
      <c r="IRH47" s="1158"/>
      <c r="IRI47" s="1157" t="s">
        <v>814</v>
      </c>
      <c r="IRJ47" s="1158"/>
      <c r="IRK47" s="1157" t="s">
        <v>814</v>
      </c>
      <c r="IRL47" s="1158"/>
      <c r="IRM47" s="1157" t="s">
        <v>814</v>
      </c>
      <c r="IRN47" s="1158"/>
      <c r="IRO47" s="1157" t="s">
        <v>814</v>
      </c>
      <c r="IRP47" s="1158"/>
      <c r="IRQ47" s="1157" t="s">
        <v>814</v>
      </c>
      <c r="IRR47" s="1158"/>
      <c r="IRS47" s="1157" t="s">
        <v>814</v>
      </c>
      <c r="IRT47" s="1158"/>
      <c r="IRU47" s="1157" t="s">
        <v>814</v>
      </c>
      <c r="IRV47" s="1158"/>
      <c r="IRW47" s="1157" t="s">
        <v>814</v>
      </c>
      <c r="IRX47" s="1158"/>
      <c r="IRY47" s="1157" t="s">
        <v>814</v>
      </c>
      <c r="IRZ47" s="1158"/>
      <c r="ISA47" s="1157" t="s">
        <v>814</v>
      </c>
      <c r="ISB47" s="1158"/>
      <c r="ISC47" s="1157" t="s">
        <v>814</v>
      </c>
      <c r="ISD47" s="1158"/>
      <c r="ISE47" s="1157" t="s">
        <v>814</v>
      </c>
      <c r="ISF47" s="1158"/>
      <c r="ISG47" s="1157" t="s">
        <v>814</v>
      </c>
      <c r="ISH47" s="1158"/>
      <c r="ISI47" s="1157" t="s">
        <v>814</v>
      </c>
      <c r="ISJ47" s="1158"/>
      <c r="ISK47" s="1157" t="s">
        <v>814</v>
      </c>
      <c r="ISL47" s="1158"/>
      <c r="ISM47" s="1157" t="s">
        <v>814</v>
      </c>
      <c r="ISN47" s="1158"/>
      <c r="ISO47" s="1157" t="s">
        <v>814</v>
      </c>
      <c r="ISP47" s="1158"/>
      <c r="ISQ47" s="1157" t="s">
        <v>814</v>
      </c>
      <c r="ISR47" s="1158"/>
      <c r="ISS47" s="1157" t="s">
        <v>814</v>
      </c>
      <c r="IST47" s="1158"/>
      <c r="ISU47" s="1157" t="s">
        <v>814</v>
      </c>
      <c r="ISV47" s="1158"/>
      <c r="ISW47" s="1157" t="s">
        <v>814</v>
      </c>
      <c r="ISX47" s="1158"/>
      <c r="ISY47" s="1157" t="s">
        <v>814</v>
      </c>
      <c r="ISZ47" s="1158"/>
      <c r="ITA47" s="1157" t="s">
        <v>814</v>
      </c>
      <c r="ITB47" s="1158"/>
      <c r="ITC47" s="1157" t="s">
        <v>814</v>
      </c>
      <c r="ITD47" s="1158"/>
      <c r="ITE47" s="1157" t="s">
        <v>814</v>
      </c>
      <c r="ITF47" s="1158"/>
      <c r="ITG47" s="1157" t="s">
        <v>814</v>
      </c>
      <c r="ITH47" s="1158"/>
      <c r="ITI47" s="1157" t="s">
        <v>814</v>
      </c>
      <c r="ITJ47" s="1158"/>
      <c r="ITK47" s="1157" t="s">
        <v>814</v>
      </c>
      <c r="ITL47" s="1158"/>
      <c r="ITM47" s="1157" t="s">
        <v>814</v>
      </c>
      <c r="ITN47" s="1158"/>
      <c r="ITO47" s="1157" t="s">
        <v>814</v>
      </c>
      <c r="ITP47" s="1158"/>
      <c r="ITQ47" s="1157" t="s">
        <v>814</v>
      </c>
      <c r="ITR47" s="1158"/>
      <c r="ITS47" s="1157" t="s">
        <v>814</v>
      </c>
      <c r="ITT47" s="1158"/>
      <c r="ITU47" s="1157" t="s">
        <v>814</v>
      </c>
      <c r="ITV47" s="1158"/>
      <c r="ITW47" s="1157" t="s">
        <v>814</v>
      </c>
      <c r="ITX47" s="1158"/>
      <c r="ITY47" s="1157" t="s">
        <v>814</v>
      </c>
      <c r="ITZ47" s="1158"/>
      <c r="IUA47" s="1157" t="s">
        <v>814</v>
      </c>
      <c r="IUB47" s="1158"/>
      <c r="IUC47" s="1157" t="s">
        <v>814</v>
      </c>
      <c r="IUD47" s="1158"/>
      <c r="IUE47" s="1157" t="s">
        <v>814</v>
      </c>
      <c r="IUF47" s="1158"/>
      <c r="IUG47" s="1157" t="s">
        <v>814</v>
      </c>
      <c r="IUH47" s="1158"/>
      <c r="IUI47" s="1157" t="s">
        <v>814</v>
      </c>
      <c r="IUJ47" s="1158"/>
      <c r="IUK47" s="1157" t="s">
        <v>814</v>
      </c>
      <c r="IUL47" s="1158"/>
      <c r="IUM47" s="1157" t="s">
        <v>814</v>
      </c>
      <c r="IUN47" s="1158"/>
      <c r="IUO47" s="1157" t="s">
        <v>814</v>
      </c>
      <c r="IUP47" s="1158"/>
      <c r="IUQ47" s="1157" t="s">
        <v>814</v>
      </c>
      <c r="IUR47" s="1158"/>
      <c r="IUS47" s="1157" t="s">
        <v>814</v>
      </c>
      <c r="IUT47" s="1158"/>
      <c r="IUU47" s="1157" t="s">
        <v>814</v>
      </c>
      <c r="IUV47" s="1158"/>
      <c r="IUW47" s="1157" t="s">
        <v>814</v>
      </c>
      <c r="IUX47" s="1158"/>
      <c r="IUY47" s="1157" t="s">
        <v>814</v>
      </c>
      <c r="IUZ47" s="1158"/>
      <c r="IVA47" s="1157" t="s">
        <v>814</v>
      </c>
      <c r="IVB47" s="1158"/>
      <c r="IVC47" s="1157" t="s">
        <v>814</v>
      </c>
      <c r="IVD47" s="1158"/>
      <c r="IVE47" s="1157" t="s">
        <v>814</v>
      </c>
      <c r="IVF47" s="1158"/>
      <c r="IVG47" s="1157" t="s">
        <v>814</v>
      </c>
      <c r="IVH47" s="1158"/>
      <c r="IVI47" s="1157" t="s">
        <v>814</v>
      </c>
      <c r="IVJ47" s="1158"/>
      <c r="IVK47" s="1157" t="s">
        <v>814</v>
      </c>
      <c r="IVL47" s="1158"/>
      <c r="IVM47" s="1157" t="s">
        <v>814</v>
      </c>
      <c r="IVN47" s="1158"/>
      <c r="IVO47" s="1157" t="s">
        <v>814</v>
      </c>
      <c r="IVP47" s="1158"/>
      <c r="IVQ47" s="1157" t="s">
        <v>814</v>
      </c>
      <c r="IVR47" s="1158"/>
      <c r="IVS47" s="1157" t="s">
        <v>814</v>
      </c>
      <c r="IVT47" s="1158"/>
      <c r="IVU47" s="1157" t="s">
        <v>814</v>
      </c>
      <c r="IVV47" s="1158"/>
      <c r="IVW47" s="1157" t="s">
        <v>814</v>
      </c>
      <c r="IVX47" s="1158"/>
      <c r="IVY47" s="1157" t="s">
        <v>814</v>
      </c>
      <c r="IVZ47" s="1158"/>
      <c r="IWA47" s="1157" t="s">
        <v>814</v>
      </c>
      <c r="IWB47" s="1158"/>
      <c r="IWC47" s="1157" t="s">
        <v>814</v>
      </c>
      <c r="IWD47" s="1158"/>
      <c r="IWE47" s="1157" t="s">
        <v>814</v>
      </c>
      <c r="IWF47" s="1158"/>
      <c r="IWG47" s="1157" t="s">
        <v>814</v>
      </c>
      <c r="IWH47" s="1158"/>
      <c r="IWI47" s="1157" t="s">
        <v>814</v>
      </c>
      <c r="IWJ47" s="1158"/>
      <c r="IWK47" s="1157" t="s">
        <v>814</v>
      </c>
      <c r="IWL47" s="1158"/>
      <c r="IWM47" s="1157" t="s">
        <v>814</v>
      </c>
      <c r="IWN47" s="1158"/>
      <c r="IWO47" s="1157" t="s">
        <v>814</v>
      </c>
      <c r="IWP47" s="1158"/>
      <c r="IWQ47" s="1157" t="s">
        <v>814</v>
      </c>
      <c r="IWR47" s="1158"/>
      <c r="IWS47" s="1157" t="s">
        <v>814</v>
      </c>
      <c r="IWT47" s="1158"/>
      <c r="IWU47" s="1157" t="s">
        <v>814</v>
      </c>
      <c r="IWV47" s="1158"/>
      <c r="IWW47" s="1157" t="s">
        <v>814</v>
      </c>
      <c r="IWX47" s="1158"/>
      <c r="IWY47" s="1157" t="s">
        <v>814</v>
      </c>
      <c r="IWZ47" s="1158"/>
      <c r="IXA47" s="1157" t="s">
        <v>814</v>
      </c>
      <c r="IXB47" s="1158"/>
      <c r="IXC47" s="1157" t="s">
        <v>814</v>
      </c>
      <c r="IXD47" s="1158"/>
      <c r="IXE47" s="1157" t="s">
        <v>814</v>
      </c>
      <c r="IXF47" s="1158"/>
      <c r="IXG47" s="1157" t="s">
        <v>814</v>
      </c>
      <c r="IXH47" s="1158"/>
      <c r="IXI47" s="1157" t="s">
        <v>814</v>
      </c>
      <c r="IXJ47" s="1158"/>
      <c r="IXK47" s="1157" t="s">
        <v>814</v>
      </c>
      <c r="IXL47" s="1158"/>
      <c r="IXM47" s="1157" t="s">
        <v>814</v>
      </c>
      <c r="IXN47" s="1158"/>
      <c r="IXO47" s="1157" t="s">
        <v>814</v>
      </c>
      <c r="IXP47" s="1158"/>
      <c r="IXQ47" s="1157" t="s">
        <v>814</v>
      </c>
      <c r="IXR47" s="1158"/>
      <c r="IXS47" s="1157" t="s">
        <v>814</v>
      </c>
      <c r="IXT47" s="1158"/>
      <c r="IXU47" s="1157" t="s">
        <v>814</v>
      </c>
      <c r="IXV47" s="1158"/>
      <c r="IXW47" s="1157" t="s">
        <v>814</v>
      </c>
      <c r="IXX47" s="1158"/>
      <c r="IXY47" s="1157" t="s">
        <v>814</v>
      </c>
      <c r="IXZ47" s="1158"/>
      <c r="IYA47" s="1157" t="s">
        <v>814</v>
      </c>
      <c r="IYB47" s="1158"/>
      <c r="IYC47" s="1157" t="s">
        <v>814</v>
      </c>
      <c r="IYD47" s="1158"/>
      <c r="IYE47" s="1157" t="s">
        <v>814</v>
      </c>
      <c r="IYF47" s="1158"/>
      <c r="IYG47" s="1157" t="s">
        <v>814</v>
      </c>
      <c r="IYH47" s="1158"/>
      <c r="IYI47" s="1157" t="s">
        <v>814</v>
      </c>
      <c r="IYJ47" s="1158"/>
      <c r="IYK47" s="1157" t="s">
        <v>814</v>
      </c>
      <c r="IYL47" s="1158"/>
      <c r="IYM47" s="1157" t="s">
        <v>814</v>
      </c>
      <c r="IYN47" s="1158"/>
      <c r="IYO47" s="1157" t="s">
        <v>814</v>
      </c>
      <c r="IYP47" s="1158"/>
      <c r="IYQ47" s="1157" t="s">
        <v>814</v>
      </c>
      <c r="IYR47" s="1158"/>
      <c r="IYS47" s="1157" t="s">
        <v>814</v>
      </c>
      <c r="IYT47" s="1158"/>
      <c r="IYU47" s="1157" t="s">
        <v>814</v>
      </c>
      <c r="IYV47" s="1158"/>
      <c r="IYW47" s="1157" t="s">
        <v>814</v>
      </c>
      <c r="IYX47" s="1158"/>
      <c r="IYY47" s="1157" t="s">
        <v>814</v>
      </c>
      <c r="IYZ47" s="1158"/>
      <c r="IZA47" s="1157" t="s">
        <v>814</v>
      </c>
      <c r="IZB47" s="1158"/>
      <c r="IZC47" s="1157" t="s">
        <v>814</v>
      </c>
      <c r="IZD47" s="1158"/>
      <c r="IZE47" s="1157" t="s">
        <v>814</v>
      </c>
      <c r="IZF47" s="1158"/>
      <c r="IZG47" s="1157" t="s">
        <v>814</v>
      </c>
      <c r="IZH47" s="1158"/>
      <c r="IZI47" s="1157" t="s">
        <v>814</v>
      </c>
      <c r="IZJ47" s="1158"/>
      <c r="IZK47" s="1157" t="s">
        <v>814</v>
      </c>
      <c r="IZL47" s="1158"/>
      <c r="IZM47" s="1157" t="s">
        <v>814</v>
      </c>
      <c r="IZN47" s="1158"/>
      <c r="IZO47" s="1157" t="s">
        <v>814</v>
      </c>
      <c r="IZP47" s="1158"/>
      <c r="IZQ47" s="1157" t="s">
        <v>814</v>
      </c>
      <c r="IZR47" s="1158"/>
      <c r="IZS47" s="1157" t="s">
        <v>814</v>
      </c>
      <c r="IZT47" s="1158"/>
      <c r="IZU47" s="1157" t="s">
        <v>814</v>
      </c>
      <c r="IZV47" s="1158"/>
      <c r="IZW47" s="1157" t="s">
        <v>814</v>
      </c>
      <c r="IZX47" s="1158"/>
      <c r="IZY47" s="1157" t="s">
        <v>814</v>
      </c>
      <c r="IZZ47" s="1158"/>
      <c r="JAA47" s="1157" t="s">
        <v>814</v>
      </c>
      <c r="JAB47" s="1158"/>
      <c r="JAC47" s="1157" t="s">
        <v>814</v>
      </c>
      <c r="JAD47" s="1158"/>
      <c r="JAE47" s="1157" t="s">
        <v>814</v>
      </c>
      <c r="JAF47" s="1158"/>
      <c r="JAG47" s="1157" t="s">
        <v>814</v>
      </c>
      <c r="JAH47" s="1158"/>
      <c r="JAI47" s="1157" t="s">
        <v>814</v>
      </c>
      <c r="JAJ47" s="1158"/>
      <c r="JAK47" s="1157" t="s">
        <v>814</v>
      </c>
      <c r="JAL47" s="1158"/>
      <c r="JAM47" s="1157" t="s">
        <v>814</v>
      </c>
      <c r="JAN47" s="1158"/>
      <c r="JAO47" s="1157" t="s">
        <v>814</v>
      </c>
      <c r="JAP47" s="1158"/>
      <c r="JAQ47" s="1157" t="s">
        <v>814</v>
      </c>
      <c r="JAR47" s="1158"/>
      <c r="JAS47" s="1157" t="s">
        <v>814</v>
      </c>
      <c r="JAT47" s="1158"/>
      <c r="JAU47" s="1157" t="s">
        <v>814</v>
      </c>
      <c r="JAV47" s="1158"/>
      <c r="JAW47" s="1157" t="s">
        <v>814</v>
      </c>
      <c r="JAX47" s="1158"/>
      <c r="JAY47" s="1157" t="s">
        <v>814</v>
      </c>
      <c r="JAZ47" s="1158"/>
      <c r="JBA47" s="1157" t="s">
        <v>814</v>
      </c>
      <c r="JBB47" s="1158"/>
      <c r="JBC47" s="1157" t="s">
        <v>814</v>
      </c>
      <c r="JBD47" s="1158"/>
      <c r="JBE47" s="1157" t="s">
        <v>814</v>
      </c>
      <c r="JBF47" s="1158"/>
      <c r="JBG47" s="1157" t="s">
        <v>814</v>
      </c>
      <c r="JBH47" s="1158"/>
      <c r="JBI47" s="1157" t="s">
        <v>814</v>
      </c>
      <c r="JBJ47" s="1158"/>
      <c r="JBK47" s="1157" t="s">
        <v>814</v>
      </c>
      <c r="JBL47" s="1158"/>
      <c r="JBM47" s="1157" t="s">
        <v>814</v>
      </c>
      <c r="JBN47" s="1158"/>
      <c r="JBO47" s="1157" t="s">
        <v>814</v>
      </c>
      <c r="JBP47" s="1158"/>
      <c r="JBQ47" s="1157" t="s">
        <v>814</v>
      </c>
      <c r="JBR47" s="1158"/>
      <c r="JBS47" s="1157" t="s">
        <v>814</v>
      </c>
      <c r="JBT47" s="1158"/>
      <c r="JBU47" s="1157" t="s">
        <v>814</v>
      </c>
      <c r="JBV47" s="1158"/>
      <c r="JBW47" s="1157" t="s">
        <v>814</v>
      </c>
      <c r="JBX47" s="1158"/>
      <c r="JBY47" s="1157" t="s">
        <v>814</v>
      </c>
      <c r="JBZ47" s="1158"/>
      <c r="JCA47" s="1157" t="s">
        <v>814</v>
      </c>
      <c r="JCB47" s="1158"/>
      <c r="JCC47" s="1157" t="s">
        <v>814</v>
      </c>
      <c r="JCD47" s="1158"/>
      <c r="JCE47" s="1157" t="s">
        <v>814</v>
      </c>
      <c r="JCF47" s="1158"/>
      <c r="JCG47" s="1157" t="s">
        <v>814</v>
      </c>
      <c r="JCH47" s="1158"/>
      <c r="JCI47" s="1157" t="s">
        <v>814</v>
      </c>
      <c r="JCJ47" s="1158"/>
      <c r="JCK47" s="1157" t="s">
        <v>814</v>
      </c>
      <c r="JCL47" s="1158"/>
      <c r="JCM47" s="1157" t="s">
        <v>814</v>
      </c>
      <c r="JCN47" s="1158"/>
      <c r="JCO47" s="1157" t="s">
        <v>814</v>
      </c>
      <c r="JCP47" s="1158"/>
      <c r="JCQ47" s="1157" t="s">
        <v>814</v>
      </c>
      <c r="JCR47" s="1158"/>
      <c r="JCS47" s="1157" t="s">
        <v>814</v>
      </c>
      <c r="JCT47" s="1158"/>
      <c r="JCU47" s="1157" t="s">
        <v>814</v>
      </c>
      <c r="JCV47" s="1158"/>
      <c r="JCW47" s="1157" t="s">
        <v>814</v>
      </c>
      <c r="JCX47" s="1158"/>
      <c r="JCY47" s="1157" t="s">
        <v>814</v>
      </c>
      <c r="JCZ47" s="1158"/>
      <c r="JDA47" s="1157" t="s">
        <v>814</v>
      </c>
      <c r="JDB47" s="1158"/>
      <c r="JDC47" s="1157" t="s">
        <v>814</v>
      </c>
      <c r="JDD47" s="1158"/>
      <c r="JDE47" s="1157" t="s">
        <v>814</v>
      </c>
      <c r="JDF47" s="1158"/>
      <c r="JDG47" s="1157" t="s">
        <v>814</v>
      </c>
      <c r="JDH47" s="1158"/>
      <c r="JDI47" s="1157" t="s">
        <v>814</v>
      </c>
      <c r="JDJ47" s="1158"/>
      <c r="JDK47" s="1157" t="s">
        <v>814</v>
      </c>
      <c r="JDL47" s="1158"/>
      <c r="JDM47" s="1157" t="s">
        <v>814</v>
      </c>
      <c r="JDN47" s="1158"/>
      <c r="JDO47" s="1157" t="s">
        <v>814</v>
      </c>
      <c r="JDP47" s="1158"/>
      <c r="JDQ47" s="1157" t="s">
        <v>814</v>
      </c>
      <c r="JDR47" s="1158"/>
      <c r="JDS47" s="1157" t="s">
        <v>814</v>
      </c>
      <c r="JDT47" s="1158"/>
      <c r="JDU47" s="1157" t="s">
        <v>814</v>
      </c>
      <c r="JDV47" s="1158"/>
      <c r="JDW47" s="1157" t="s">
        <v>814</v>
      </c>
      <c r="JDX47" s="1158"/>
      <c r="JDY47" s="1157" t="s">
        <v>814</v>
      </c>
      <c r="JDZ47" s="1158"/>
      <c r="JEA47" s="1157" t="s">
        <v>814</v>
      </c>
      <c r="JEB47" s="1158"/>
      <c r="JEC47" s="1157" t="s">
        <v>814</v>
      </c>
      <c r="JED47" s="1158"/>
      <c r="JEE47" s="1157" t="s">
        <v>814</v>
      </c>
      <c r="JEF47" s="1158"/>
      <c r="JEG47" s="1157" t="s">
        <v>814</v>
      </c>
      <c r="JEH47" s="1158"/>
      <c r="JEI47" s="1157" t="s">
        <v>814</v>
      </c>
      <c r="JEJ47" s="1158"/>
      <c r="JEK47" s="1157" t="s">
        <v>814</v>
      </c>
      <c r="JEL47" s="1158"/>
      <c r="JEM47" s="1157" t="s">
        <v>814</v>
      </c>
      <c r="JEN47" s="1158"/>
      <c r="JEO47" s="1157" t="s">
        <v>814</v>
      </c>
      <c r="JEP47" s="1158"/>
      <c r="JEQ47" s="1157" t="s">
        <v>814</v>
      </c>
      <c r="JER47" s="1158"/>
      <c r="JES47" s="1157" t="s">
        <v>814</v>
      </c>
      <c r="JET47" s="1158"/>
      <c r="JEU47" s="1157" t="s">
        <v>814</v>
      </c>
      <c r="JEV47" s="1158"/>
      <c r="JEW47" s="1157" t="s">
        <v>814</v>
      </c>
      <c r="JEX47" s="1158"/>
      <c r="JEY47" s="1157" t="s">
        <v>814</v>
      </c>
      <c r="JEZ47" s="1158"/>
      <c r="JFA47" s="1157" t="s">
        <v>814</v>
      </c>
      <c r="JFB47" s="1158"/>
      <c r="JFC47" s="1157" t="s">
        <v>814</v>
      </c>
      <c r="JFD47" s="1158"/>
      <c r="JFE47" s="1157" t="s">
        <v>814</v>
      </c>
      <c r="JFF47" s="1158"/>
      <c r="JFG47" s="1157" t="s">
        <v>814</v>
      </c>
      <c r="JFH47" s="1158"/>
      <c r="JFI47" s="1157" t="s">
        <v>814</v>
      </c>
      <c r="JFJ47" s="1158"/>
      <c r="JFK47" s="1157" t="s">
        <v>814</v>
      </c>
      <c r="JFL47" s="1158"/>
      <c r="JFM47" s="1157" t="s">
        <v>814</v>
      </c>
      <c r="JFN47" s="1158"/>
      <c r="JFO47" s="1157" t="s">
        <v>814</v>
      </c>
      <c r="JFP47" s="1158"/>
      <c r="JFQ47" s="1157" t="s">
        <v>814</v>
      </c>
      <c r="JFR47" s="1158"/>
      <c r="JFS47" s="1157" t="s">
        <v>814</v>
      </c>
      <c r="JFT47" s="1158"/>
      <c r="JFU47" s="1157" t="s">
        <v>814</v>
      </c>
      <c r="JFV47" s="1158"/>
      <c r="JFW47" s="1157" t="s">
        <v>814</v>
      </c>
      <c r="JFX47" s="1158"/>
      <c r="JFY47" s="1157" t="s">
        <v>814</v>
      </c>
      <c r="JFZ47" s="1158"/>
      <c r="JGA47" s="1157" t="s">
        <v>814</v>
      </c>
      <c r="JGB47" s="1158"/>
      <c r="JGC47" s="1157" t="s">
        <v>814</v>
      </c>
      <c r="JGD47" s="1158"/>
      <c r="JGE47" s="1157" t="s">
        <v>814</v>
      </c>
      <c r="JGF47" s="1158"/>
      <c r="JGG47" s="1157" t="s">
        <v>814</v>
      </c>
      <c r="JGH47" s="1158"/>
      <c r="JGI47" s="1157" t="s">
        <v>814</v>
      </c>
      <c r="JGJ47" s="1158"/>
      <c r="JGK47" s="1157" t="s">
        <v>814</v>
      </c>
      <c r="JGL47" s="1158"/>
      <c r="JGM47" s="1157" t="s">
        <v>814</v>
      </c>
      <c r="JGN47" s="1158"/>
      <c r="JGO47" s="1157" t="s">
        <v>814</v>
      </c>
      <c r="JGP47" s="1158"/>
      <c r="JGQ47" s="1157" t="s">
        <v>814</v>
      </c>
      <c r="JGR47" s="1158"/>
      <c r="JGS47" s="1157" t="s">
        <v>814</v>
      </c>
      <c r="JGT47" s="1158"/>
      <c r="JGU47" s="1157" t="s">
        <v>814</v>
      </c>
      <c r="JGV47" s="1158"/>
      <c r="JGW47" s="1157" t="s">
        <v>814</v>
      </c>
      <c r="JGX47" s="1158"/>
      <c r="JGY47" s="1157" t="s">
        <v>814</v>
      </c>
      <c r="JGZ47" s="1158"/>
      <c r="JHA47" s="1157" t="s">
        <v>814</v>
      </c>
      <c r="JHB47" s="1158"/>
      <c r="JHC47" s="1157" t="s">
        <v>814</v>
      </c>
      <c r="JHD47" s="1158"/>
      <c r="JHE47" s="1157" t="s">
        <v>814</v>
      </c>
      <c r="JHF47" s="1158"/>
      <c r="JHG47" s="1157" t="s">
        <v>814</v>
      </c>
      <c r="JHH47" s="1158"/>
      <c r="JHI47" s="1157" t="s">
        <v>814</v>
      </c>
      <c r="JHJ47" s="1158"/>
      <c r="JHK47" s="1157" t="s">
        <v>814</v>
      </c>
      <c r="JHL47" s="1158"/>
      <c r="JHM47" s="1157" t="s">
        <v>814</v>
      </c>
      <c r="JHN47" s="1158"/>
      <c r="JHO47" s="1157" t="s">
        <v>814</v>
      </c>
      <c r="JHP47" s="1158"/>
      <c r="JHQ47" s="1157" t="s">
        <v>814</v>
      </c>
      <c r="JHR47" s="1158"/>
      <c r="JHS47" s="1157" t="s">
        <v>814</v>
      </c>
      <c r="JHT47" s="1158"/>
      <c r="JHU47" s="1157" t="s">
        <v>814</v>
      </c>
      <c r="JHV47" s="1158"/>
      <c r="JHW47" s="1157" t="s">
        <v>814</v>
      </c>
      <c r="JHX47" s="1158"/>
      <c r="JHY47" s="1157" t="s">
        <v>814</v>
      </c>
      <c r="JHZ47" s="1158"/>
      <c r="JIA47" s="1157" t="s">
        <v>814</v>
      </c>
      <c r="JIB47" s="1158"/>
      <c r="JIC47" s="1157" t="s">
        <v>814</v>
      </c>
      <c r="JID47" s="1158"/>
      <c r="JIE47" s="1157" t="s">
        <v>814</v>
      </c>
      <c r="JIF47" s="1158"/>
      <c r="JIG47" s="1157" t="s">
        <v>814</v>
      </c>
      <c r="JIH47" s="1158"/>
      <c r="JII47" s="1157" t="s">
        <v>814</v>
      </c>
      <c r="JIJ47" s="1158"/>
      <c r="JIK47" s="1157" t="s">
        <v>814</v>
      </c>
      <c r="JIL47" s="1158"/>
      <c r="JIM47" s="1157" t="s">
        <v>814</v>
      </c>
      <c r="JIN47" s="1158"/>
      <c r="JIO47" s="1157" t="s">
        <v>814</v>
      </c>
      <c r="JIP47" s="1158"/>
      <c r="JIQ47" s="1157" t="s">
        <v>814</v>
      </c>
      <c r="JIR47" s="1158"/>
      <c r="JIS47" s="1157" t="s">
        <v>814</v>
      </c>
      <c r="JIT47" s="1158"/>
      <c r="JIU47" s="1157" t="s">
        <v>814</v>
      </c>
      <c r="JIV47" s="1158"/>
      <c r="JIW47" s="1157" t="s">
        <v>814</v>
      </c>
      <c r="JIX47" s="1158"/>
      <c r="JIY47" s="1157" t="s">
        <v>814</v>
      </c>
      <c r="JIZ47" s="1158"/>
      <c r="JJA47" s="1157" t="s">
        <v>814</v>
      </c>
      <c r="JJB47" s="1158"/>
      <c r="JJC47" s="1157" t="s">
        <v>814</v>
      </c>
      <c r="JJD47" s="1158"/>
      <c r="JJE47" s="1157" t="s">
        <v>814</v>
      </c>
      <c r="JJF47" s="1158"/>
      <c r="JJG47" s="1157" t="s">
        <v>814</v>
      </c>
      <c r="JJH47" s="1158"/>
      <c r="JJI47" s="1157" t="s">
        <v>814</v>
      </c>
      <c r="JJJ47" s="1158"/>
      <c r="JJK47" s="1157" t="s">
        <v>814</v>
      </c>
      <c r="JJL47" s="1158"/>
      <c r="JJM47" s="1157" t="s">
        <v>814</v>
      </c>
      <c r="JJN47" s="1158"/>
      <c r="JJO47" s="1157" t="s">
        <v>814</v>
      </c>
      <c r="JJP47" s="1158"/>
      <c r="JJQ47" s="1157" t="s">
        <v>814</v>
      </c>
      <c r="JJR47" s="1158"/>
      <c r="JJS47" s="1157" t="s">
        <v>814</v>
      </c>
      <c r="JJT47" s="1158"/>
      <c r="JJU47" s="1157" t="s">
        <v>814</v>
      </c>
      <c r="JJV47" s="1158"/>
      <c r="JJW47" s="1157" t="s">
        <v>814</v>
      </c>
      <c r="JJX47" s="1158"/>
      <c r="JJY47" s="1157" t="s">
        <v>814</v>
      </c>
      <c r="JJZ47" s="1158"/>
      <c r="JKA47" s="1157" t="s">
        <v>814</v>
      </c>
      <c r="JKB47" s="1158"/>
      <c r="JKC47" s="1157" t="s">
        <v>814</v>
      </c>
      <c r="JKD47" s="1158"/>
      <c r="JKE47" s="1157" t="s">
        <v>814</v>
      </c>
      <c r="JKF47" s="1158"/>
      <c r="JKG47" s="1157" t="s">
        <v>814</v>
      </c>
      <c r="JKH47" s="1158"/>
      <c r="JKI47" s="1157" t="s">
        <v>814</v>
      </c>
      <c r="JKJ47" s="1158"/>
      <c r="JKK47" s="1157" t="s">
        <v>814</v>
      </c>
      <c r="JKL47" s="1158"/>
      <c r="JKM47" s="1157" t="s">
        <v>814</v>
      </c>
      <c r="JKN47" s="1158"/>
      <c r="JKO47" s="1157" t="s">
        <v>814</v>
      </c>
      <c r="JKP47" s="1158"/>
      <c r="JKQ47" s="1157" t="s">
        <v>814</v>
      </c>
      <c r="JKR47" s="1158"/>
      <c r="JKS47" s="1157" t="s">
        <v>814</v>
      </c>
      <c r="JKT47" s="1158"/>
      <c r="JKU47" s="1157" t="s">
        <v>814</v>
      </c>
      <c r="JKV47" s="1158"/>
      <c r="JKW47" s="1157" t="s">
        <v>814</v>
      </c>
      <c r="JKX47" s="1158"/>
      <c r="JKY47" s="1157" t="s">
        <v>814</v>
      </c>
      <c r="JKZ47" s="1158"/>
      <c r="JLA47" s="1157" t="s">
        <v>814</v>
      </c>
      <c r="JLB47" s="1158"/>
      <c r="JLC47" s="1157" t="s">
        <v>814</v>
      </c>
      <c r="JLD47" s="1158"/>
      <c r="JLE47" s="1157" t="s">
        <v>814</v>
      </c>
      <c r="JLF47" s="1158"/>
      <c r="JLG47" s="1157" t="s">
        <v>814</v>
      </c>
      <c r="JLH47" s="1158"/>
      <c r="JLI47" s="1157" t="s">
        <v>814</v>
      </c>
      <c r="JLJ47" s="1158"/>
      <c r="JLK47" s="1157" t="s">
        <v>814</v>
      </c>
      <c r="JLL47" s="1158"/>
      <c r="JLM47" s="1157" t="s">
        <v>814</v>
      </c>
      <c r="JLN47" s="1158"/>
      <c r="JLO47" s="1157" t="s">
        <v>814</v>
      </c>
      <c r="JLP47" s="1158"/>
      <c r="JLQ47" s="1157" t="s">
        <v>814</v>
      </c>
      <c r="JLR47" s="1158"/>
      <c r="JLS47" s="1157" t="s">
        <v>814</v>
      </c>
      <c r="JLT47" s="1158"/>
      <c r="JLU47" s="1157" t="s">
        <v>814</v>
      </c>
      <c r="JLV47" s="1158"/>
      <c r="JLW47" s="1157" t="s">
        <v>814</v>
      </c>
      <c r="JLX47" s="1158"/>
      <c r="JLY47" s="1157" t="s">
        <v>814</v>
      </c>
      <c r="JLZ47" s="1158"/>
      <c r="JMA47" s="1157" t="s">
        <v>814</v>
      </c>
      <c r="JMB47" s="1158"/>
      <c r="JMC47" s="1157" t="s">
        <v>814</v>
      </c>
      <c r="JMD47" s="1158"/>
      <c r="JME47" s="1157" t="s">
        <v>814</v>
      </c>
      <c r="JMF47" s="1158"/>
      <c r="JMG47" s="1157" t="s">
        <v>814</v>
      </c>
      <c r="JMH47" s="1158"/>
      <c r="JMI47" s="1157" t="s">
        <v>814</v>
      </c>
      <c r="JMJ47" s="1158"/>
      <c r="JMK47" s="1157" t="s">
        <v>814</v>
      </c>
      <c r="JML47" s="1158"/>
      <c r="JMM47" s="1157" t="s">
        <v>814</v>
      </c>
      <c r="JMN47" s="1158"/>
      <c r="JMO47" s="1157" t="s">
        <v>814</v>
      </c>
      <c r="JMP47" s="1158"/>
      <c r="JMQ47" s="1157" t="s">
        <v>814</v>
      </c>
      <c r="JMR47" s="1158"/>
      <c r="JMS47" s="1157" t="s">
        <v>814</v>
      </c>
      <c r="JMT47" s="1158"/>
      <c r="JMU47" s="1157" t="s">
        <v>814</v>
      </c>
      <c r="JMV47" s="1158"/>
      <c r="JMW47" s="1157" t="s">
        <v>814</v>
      </c>
      <c r="JMX47" s="1158"/>
      <c r="JMY47" s="1157" t="s">
        <v>814</v>
      </c>
      <c r="JMZ47" s="1158"/>
      <c r="JNA47" s="1157" t="s">
        <v>814</v>
      </c>
      <c r="JNB47" s="1158"/>
      <c r="JNC47" s="1157" t="s">
        <v>814</v>
      </c>
      <c r="JND47" s="1158"/>
      <c r="JNE47" s="1157" t="s">
        <v>814</v>
      </c>
      <c r="JNF47" s="1158"/>
      <c r="JNG47" s="1157" t="s">
        <v>814</v>
      </c>
      <c r="JNH47" s="1158"/>
      <c r="JNI47" s="1157" t="s">
        <v>814</v>
      </c>
      <c r="JNJ47" s="1158"/>
      <c r="JNK47" s="1157" t="s">
        <v>814</v>
      </c>
      <c r="JNL47" s="1158"/>
      <c r="JNM47" s="1157" t="s">
        <v>814</v>
      </c>
      <c r="JNN47" s="1158"/>
      <c r="JNO47" s="1157" t="s">
        <v>814</v>
      </c>
      <c r="JNP47" s="1158"/>
      <c r="JNQ47" s="1157" t="s">
        <v>814</v>
      </c>
      <c r="JNR47" s="1158"/>
      <c r="JNS47" s="1157" t="s">
        <v>814</v>
      </c>
      <c r="JNT47" s="1158"/>
      <c r="JNU47" s="1157" t="s">
        <v>814</v>
      </c>
      <c r="JNV47" s="1158"/>
      <c r="JNW47" s="1157" t="s">
        <v>814</v>
      </c>
      <c r="JNX47" s="1158"/>
      <c r="JNY47" s="1157" t="s">
        <v>814</v>
      </c>
      <c r="JNZ47" s="1158"/>
      <c r="JOA47" s="1157" t="s">
        <v>814</v>
      </c>
      <c r="JOB47" s="1158"/>
      <c r="JOC47" s="1157" t="s">
        <v>814</v>
      </c>
      <c r="JOD47" s="1158"/>
      <c r="JOE47" s="1157" t="s">
        <v>814</v>
      </c>
      <c r="JOF47" s="1158"/>
      <c r="JOG47" s="1157" t="s">
        <v>814</v>
      </c>
      <c r="JOH47" s="1158"/>
      <c r="JOI47" s="1157" t="s">
        <v>814</v>
      </c>
      <c r="JOJ47" s="1158"/>
      <c r="JOK47" s="1157" t="s">
        <v>814</v>
      </c>
      <c r="JOL47" s="1158"/>
      <c r="JOM47" s="1157" t="s">
        <v>814</v>
      </c>
      <c r="JON47" s="1158"/>
      <c r="JOO47" s="1157" t="s">
        <v>814</v>
      </c>
      <c r="JOP47" s="1158"/>
      <c r="JOQ47" s="1157" t="s">
        <v>814</v>
      </c>
      <c r="JOR47" s="1158"/>
      <c r="JOS47" s="1157" t="s">
        <v>814</v>
      </c>
      <c r="JOT47" s="1158"/>
      <c r="JOU47" s="1157" t="s">
        <v>814</v>
      </c>
      <c r="JOV47" s="1158"/>
      <c r="JOW47" s="1157" t="s">
        <v>814</v>
      </c>
      <c r="JOX47" s="1158"/>
      <c r="JOY47" s="1157" t="s">
        <v>814</v>
      </c>
      <c r="JOZ47" s="1158"/>
      <c r="JPA47" s="1157" t="s">
        <v>814</v>
      </c>
      <c r="JPB47" s="1158"/>
      <c r="JPC47" s="1157" t="s">
        <v>814</v>
      </c>
      <c r="JPD47" s="1158"/>
      <c r="JPE47" s="1157" t="s">
        <v>814</v>
      </c>
      <c r="JPF47" s="1158"/>
      <c r="JPG47" s="1157" t="s">
        <v>814</v>
      </c>
      <c r="JPH47" s="1158"/>
      <c r="JPI47" s="1157" t="s">
        <v>814</v>
      </c>
      <c r="JPJ47" s="1158"/>
      <c r="JPK47" s="1157" t="s">
        <v>814</v>
      </c>
      <c r="JPL47" s="1158"/>
      <c r="JPM47" s="1157" t="s">
        <v>814</v>
      </c>
      <c r="JPN47" s="1158"/>
      <c r="JPO47" s="1157" t="s">
        <v>814</v>
      </c>
      <c r="JPP47" s="1158"/>
      <c r="JPQ47" s="1157" t="s">
        <v>814</v>
      </c>
      <c r="JPR47" s="1158"/>
      <c r="JPS47" s="1157" t="s">
        <v>814</v>
      </c>
      <c r="JPT47" s="1158"/>
      <c r="JPU47" s="1157" t="s">
        <v>814</v>
      </c>
      <c r="JPV47" s="1158"/>
      <c r="JPW47" s="1157" t="s">
        <v>814</v>
      </c>
      <c r="JPX47" s="1158"/>
      <c r="JPY47" s="1157" t="s">
        <v>814</v>
      </c>
      <c r="JPZ47" s="1158"/>
      <c r="JQA47" s="1157" t="s">
        <v>814</v>
      </c>
      <c r="JQB47" s="1158"/>
      <c r="JQC47" s="1157" t="s">
        <v>814</v>
      </c>
      <c r="JQD47" s="1158"/>
      <c r="JQE47" s="1157" t="s">
        <v>814</v>
      </c>
      <c r="JQF47" s="1158"/>
      <c r="JQG47" s="1157" t="s">
        <v>814</v>
      </c>
      <c r="JQH47" s="1158"/>
      <c r="JQI47" s="1157" t="s">
        <v>814</v>
      </c>
      <c r="JQJ47" s="1158"/>
      <c r="JQK47" s="1157" t="s">
        <v>814</v>
      </c>
      <c r="JQL47" s="1158"/>
      <c r="JQM47" s="1157" t="s">
        <v>814</v>
      </c>
      <c r="JQN47" s="1158"/>
      <c r="JQO47" s="1157" t="s">
        <v>814</v>
      </c>
      <c r="JQP47" s="1158"/>
      <c r="JQQ47" s="1157" t="s">
        <v>814</v>
      </c>
      <c r="JQR47" s="1158"/>
      <c r="JQS47" s="1157" t="s">
        <v>814</v>
      </c>
      <c r="JQT47" s="1158"/>
      <c r="JQU47" s="1157" t="s">
        <v>814</v>
      </c>
      <c r="JQV47" s="1158"/>
      <c r="JQW47" s="1157" t="s">
        <v>814</v>
      </c>
      <c r="JQX47" s="1158"/>
      <c r="JQY47" s="1157" t="s">
        <v>814</v>
      </c>
      <c r="JQZ47" s="1158"/>
      <c r="JRA47" s="1157" t="s">
        <v>814</v>
      </c>
      <c r="JRB47" s="1158"/>
      <c r="JRC47" s="1157" t="s">
        <v>814</v>
      </c>
      <c r="JRD47" s="1158"/>
      <c r="JRE47" s="1157" t="s">
        <v>814</v>
      </c>
      <c r="JRF47" s="1158"/>
      <c r="JRG47" s="1157" t="s">
        <v>814</v>
      </c>
      <c r="JRH47" s="1158"/>
      <c r="JRI47" s="1157" t="s">
        <v>814</v>
      </c>
      <c r="JRJ47" s="1158"/>
      <c r="JRK47" s="1157" t="s">
        <v>814</v>
      </c>
      <c r="JRL47" s="1158"/>
      <c r="JRM47" s="1157" t="s">
        <v>814</v>
      </c>
      <c r="JRN47" s="1158"/>
      <c r="JRO47" s="1157" t="s">
        <v>814</v>
      </c>
      <c r="JRP47" s="1158"/>
      <c r="JRQ47" s="1157" t="s">
        <v>814</v>
      </c>
      <c r="JRR47" s="1158"/>
      <c r="JRS47" s="1157" t="s">
        <v>814</v>
      </c>
      <c r="JRT47" s="1158"/>
      <c r="JRU47" s="1157" t="s">
        <v>814</v>
      </c>
      <c r="JRV47" s="1158"/>
      <c r="JRW47" s="1157" t="s">
        <v>814</v>
      </c>
      <c r="JRX47" s="1158"/>
      <c r="JRY47" s="1157" t="s">
        <v>814</v>
      </c>
      <c r="JRZ47" s="1158"/>
      <c r="JSA47" s="1157" t="s">
        <v>814</v>
      </c>
      <c r="JSB47" s="1158"/>
      <c r="JSC47" s="1157" t="s">
        <v>814</v>
      </c>
      <c r="JSD47" s="1158"/>
      <c r="JSE47" s="1157" t="s">
        <v>814</v>
      </c>
      <c r="JSF47" s="1158"/>
      <c r="JSG47" s="1157" t="s">
        <v>814</v>
      </c>
      <c r="JSH47" s="1158"/>
      <c r="JSI47" s="1157" t="s">
        <v>814</v>
      </c>
      <c r="JSJ47" s="1158"/>
      <c r="JSK47" s="1157" t="s">
        <v>814</v>
      </c>
      <c r="JSL47" s="1158"/>
      <c r="JSM47" s="1157" t="s">
        <v>814</v>
      </c>
      <c r="JSN47" s="1158"/>
      <c r="JSO47" s="1157" t="s">
        <v>814</v>
      </c>
      <c r="JSP47" s="1158"/>
      <c r="JSQ47" s="1157" t="s">
        <v>814</v>
      </c>
      <c r="JSR47" s="1158"/>
      <c r="JSS47" s="1157" t="s">
        <v>814</v>
      </c>
      <c r="JST47" s="1158"/>
      <c r="JSU47" s="1157" t="s">
        <v>814</v>
      </c>
      <c r="JSV47" s="1158"/>
      <c r="JSW47" s="1157" t="s">
        <v>814</v>
      </c>
      <c r="JSX47" s="1158"/>
      <c r="JSY47" s="1157" t="s">
        <v>814</v>
      </c>
      <c r="JSZ47" s="1158"/>
      <c r="JTA47" s="1157" t="s">
        <v>814</v>
      </c>
      <c r="JTB47" s="1158"/>
      <c r="JTC47" s="1157" t="s">
        <v>814</v>
      </c>
      <c r="JTD47" s="1158"/>
      <c r="JTE47" s="1157" t="s">
        <v>814</v>
      </c>
      <c r="JTF47" s="1158"/>
      <c r="JTG47" s="1157" t="s">
        <v>814</v>
      </c>
      <c r="JTH47" s="1158"/>
      <c r="JTI47" s="1157" t="s">
        <v>814</v>
      </c>
      <c r="JTJ47" s="1158"/>
      <c r="JTK47" s="1157" t="s">
        <v>814</v>
      </c>
      <c r="JTL47" s="1158"/>
      <c r="JTM47" s="1157" t="s">
        <v>814</v>
      </c>
      <c r="JTN47" s="1158"/>
      <c r="JTO47" s="1157" t="s">
        <v>814</v>
      </c>
      <c r="JTP47" s="1158"/>
      <c r="JTQ47" s="1157" t="s">
        <v>814</v>
      </c>
      <c r="JTR47" s="1158"/>
      <c r="JTS47" s="1157" t="s">
        <v>814</v>
      </c>
      <c r="JTT47" s="1158"/>
      <c r="JTU47" s="1157" t="s">
        <v>814</v>
      </c>
      <c r="JTV47" s="1158"/>
      <c r="JTW47" s="1157" t="s">
        <v>814</v>
      </c>
      <c r="JTX47" s="1158"/>
      <c r="JTY47" s="1157" t="s">
        <v>814</v>
      </c>
      <c r="JTZ47" s="1158"/>
      <c r="JUA47" s="1157" t="s">
        <v>814</v>
      </c>
      <c r="JUB47" s="1158"/>
      <c r="JUC47" s="1157" t="s">
        <v>814</v>
      </c>
      <c r="JUD47" s="1158"/>
      <c r="JUE47" s="1157" t="s">
        <v>814</v>
      </c>
      <c r="JUF47" s="1158"/>
      <c r="JUG47" s="1157" t="s">
        <v>814</v>
      </c>
      <c r="JUH47" s="1158"/>
      <c r="JUI47" s="1157" t="s">
        <v>814</v>
      </c>
      <c r="JUJ47" s="1158"/>
      <c r="JUK47" s="1157" t="s">
        <v>814</v>
      </c>
      <c r="JUL47" s="1158"/>
      <c r="JUM47" s="1157" t="s">
        <v>814</v>
      </c>
      <c r="JUN47" s="1158"/>
      <c r="JUO47" s="1157" t="s">
        <v>814</v>
      </c>
      <c r="JUP47" s="1158"/>
      <c r="JUQ47" s="1157" t="s">
        <v>814</v>
      </c>
      <c r="JUR47" s="1158"/>
      <c r="JUS47" s="1157" t="s">
        <v>814</v>
      </c>
      <c r="JUT47" s="1158"/>
      <c r="JUU47" s="1157" t="s">
        <v>814</v>
      </c>
      <c r="JUV47" s="1158"/>
      <c r="JUW47" s="1157" t="s">
        <v>814</v>
      </c>
      <c r="JUX47" s="1158"/>
      <c r="JUY47" s="1157" t="s">
        <v>814</v>
      </c>
      <c r="JUZ47" s="1158"/>
      <c r="JVA47" s="1157" t="s">
        <v>814</v>
      </c>
      <c r="JVB47" s="1158"/>
      <c r="JVC47" s="1157" t="s">
        <v>814</v>
      </c>
      <c r="JVD47" s="1158"/>
      <c r="JVE47" s="1157" t="s">
        <v>814</v>
      </c>
      <c r="JVF47" s="1158"/>
      <c r="JVG47" s="1157" t="s">
        <v>814</v>
      </c>
      <c r="JVH47" s="1158"/>
      <c r="JVI47" s="1157" t="s">
        <v>814</v>
      </c>
      <c r="JVJ47" s="1158"/>
      <c r="JVK47" s="1157" t="s">
        <v>814</v>
      </c>
      <c r="JVL47" s="1158"/>
      <c r="JVM47" s="1157" t="s">
        <v>814</v>
      </c>
      <c r="JVN47" s="1158"/>
      <c r="JVO47" s="1157" t="s">
        <v>814</v>
      </c>
      <c r="JVP47" s="1158"/>
      <c r="JVQ47" s="1157" t="s">
        <v>814</v>
      </c>
      <c r="JVR47" s="1158"/>
      <c r="JVS47" s="1157" t="s">
        <v>814</v>
      </c>
      <c r="JVT47" s="1158"/>
      <c r="JVU47" s="1157" t="s">
        <v>814</v>
      </c>
      <c r="JVV47" s="1158"/>
      <c r="JVW47" s="1157" t="s">
        <v>814</v>
      </c>
      <c r="JVX47" s="1158"/>
      <c r="JVY47" s="1157" t="s">
        <v>814</v>
      </c>
      <c r="JVZ47" s="1158"/>
      <c r="JWA47" s="1157" t="s">
        <v>814</v>
      </c>
      <c r="JWB47" s="1158"/>
      <c r="JWC47" s="1157" t="s">
        <v>814</v>
      </c>
      <c r="JWD47" s="1158"/>
      <c r="JWE47" s="1157" t="s">
        <v>814</v>
      </c>
      <c r="JWF47" s="1158"/>
      <c r="JWG47" s="1157" t="s">
        <v>814</v>
      </c>
      <c r="JWH47" s="1158"/>
      <c r="JWI47" s="1157" t="s">
        <v>814</v>
      </c>
      <c r="JWJ47" s="1158"/>
      <c r="JWK47" s="1157" t="s">
        <v>814</v>
      </c>
      <c r="JWL47" s="1158"/>
      <c r="JWM47" s="1157" t="s">
        <v>814</v>
      </c>
      <c r="JWN47" s="1158"/>
      <c r="JWO47" s="1157" t="s">
        <v>814</v>
      </c>
      <c r="JWP47" s="1158"/>
      <c r="JWQ47" s="1157" t="s">
        <v>814</v>
      </c>
      <c r="JWR47" s="1158"/>
      <c r="JWS47" s="1157" t="s">
        <v>814</v>
      </c>
      <c r="JWT47" s="1158"/>
      <c r="JWU47" s="1157" t="s">
        <v>814</v>
      </c>
      <c r="JWV47" s="1158"/>
      <c r="JWW47" s="1157" t="s">
        <v>814</v>
      </c>
      <c r="JWX47" s="1158"/>
      <c r="JWY47" s="1157" t="s">
        <v>814</v>
      </c>
      <c r="JWZ47" s="1158"/>
      <c r="JXA47" s="1157" t="s">
        <v>814</v>
      </c>
      <c r="JXB47" s="1158"/>
      <c r="JXC47" s="1157" t="s">
        <v>814</v>
      </c>
      <c r="JXD47" s="1158"/>
      <c r="JXE47" s="1157" t="s">
        <v>814</v>
      </c>
      <c r="JXF47" s="1158"/>
      <c r="JXG47" s="1157" t="s">
        <v>814</v>
      </c>
      <c r="JXH47" s="1158"/>
      <c r="JXI47" s="1157" t="s">
        <v>814</v>
      </c>
      <c r="JXJ47" s="1158"/>
      <c r="JXK47" s="1157" t="s">
        <v>814</v>
      </c>
      <c r="JXL47" s="1158"/>
      <c r="JXM47" s="1157" t="s">
        <v>814</v>
      </c>
      <c r="JXN47" s="1158"/>
      <c r="JXO47" s="1157" t="s">
        <v>814</v>
      </c>
      <c r="JXP47" s="1158"/>
      <c r="JXQ47" s="1157" t="s">
        <v>814</v>
      </c>
      <c r="JXR47" s="1158"/>
      <c r="JXS47" s="1157" t="s">
        <v>814</v>
      </c>
      <c r="JXT47" s="1158"/>
      <c r="JXU47" s="1157" t="s">
        <v>814</v>
      </c>
      <c r="JXV47" s="1158"/>
      <c r="JXW47" s="1157" t="s">
        <v>814</v>
      </c>
      <c r="JXX47" s="1158"/>
      <c r="JXY47" s="1157" t="s">
        <v>814</v>
      </c>
      <c r="JXZ47" s="1158"/>
      <c r="JYA47" s="1157" t="s">
        <v>814</v>
      </c>
      <c r="JYB47" s="1158"/>
      <c r="JYC47" s="1157" t="s">
        <v>814</v>
      </c>
      <c r="JYD47" s="1158"/>
      <c r="JYE47" s="1157" t="s">
        <v>814</v>
      </c>
      <c r="JYF47" s="1158"/>
      <c r="JYG47" s="1157" t="s">
        <v>814</v>
      </c>
      <c r="JYH47" s="1158"/>
      <c r="JYI47" s="1157" t="s">
        <v>814</v>
      </c>
      <c r="JYJ47" s="1158"/>
      <c r="JYK47" s="1157" t="s">
        <v>814</v>
      </c>
      <c r="JYL47" s="1158"/>
      <c r="JYM47" s="1157" t="s">
        <v>814</v>
      </c>
      <c r="JYN47" s="1158"/>
      <c r="JYO47" s="1157" t="s">
        <v>814</v>
      </c>
      <c r="JYP47" s="1158"/>
      <c r="JYQ47" s="1157" t="s">
        <v>814</v>
      </c>
      <c r="JYR47" s="1158"/>
      <c r="JYS47" s="1157" t="s">
        <v>814</v>
      </c>
      <c r="JYT47" s="1158"/>
      <c r="JYU47" s="1157" t="s">
        <v>814</v>
      </c>
      <c r="JYV47" s="1158"/>
      <c r="JYW47" s="1157" t="s">
        <v>814</v>
      </c>
      <c r="JYX47" s="1158"/>
      <c r="JYY47" s="1157" t="s">
        <v>814</v>
      </c>
      <c r="JYZ47" s="1158"/>
      <c r="JZA47" s="1157" t="s">
        <v>814</v>
      </c>
      <c r="JZB47" s="1158"/>
      <c r="JZC47" s="1157" t="s">
        <v>814</v>
      </c>
      <c r="JZD47" s="1158"/>
      <c r="JZE47" s="1157" t="s">
        <v>814</v>
      </c>
      <c r="JZF47" s="1158"/>
      <c r="JZG47" s="1157" t="s">
        <v>814</v>
      </c>
      <c r="JZH47" s="1158"/>
      <c r="JZI47" s="1157" t="s">
        <v>814</v>
      </c>
      <c r="JZJ47" s="1158"/>
      <c r="JZK47" s="1157" t="s">
        <v>814</v>
      </c>
      <c r="JZL47" s="1158"/>
      <c r="JZM47" s="1157" t="s">
        <v>814</v>
      </c>
      <c r="JZN47" s="1158"/>
      <c r="JZO47" s="1157" t="s">
        <v>814</v>
      </c>
      <c r="JZP47" s="1158"/>
      <c r="JZQ47" s="1157" t="s">
        <v>814</v>
      </c>
      <c r="JZR47" s="1158"/>
      <c r="JZS47" s="1157" t="s">
        <v>814</v>
      </c>
      <c r="JZT47" s="1158"/>
      <c r="JZU47" s="1157" t="s">
        <v>814</v>
      </c>
      <c r="JZV47" s="1158"/>
      <c r="JZW47" s="1157" t="s">
        <v>814</v>
      </c>
      <c r="JZX47" s="1158"/>
      <c r="JZY47" s="1157" t="s">
        <v>814</v>
      </c>
      <c r="JZZ47" s="1158"/>
      <c r="KAA47" s="1157" t="s">
        <v>814</v>
      </c>
      <c r="KAB47" s="1158"/>
      <c r="KAC47" s="1157" t="s">
        <v>814</v>
      </c>
      <c r="KAD47" s="1158"/>
      <c r="KAE47" s="1157" t="s">
        <v>814</v>
      </c>
      <c r="KAF47" s="1158"/>
      <c r="KAG47" s="1157" t="s">
        <v>814</v>
      </c>
      <c r="KAH47" s="1158"/>
      <c r="KAI47" s="1157" t="s">
        <v>814</v>
      </c>
      <c r="KAJ47" s="1158"/>
      <c r="KAK47" s="1157" t="s">
        <v>814</v>
      </c>
      <c r="KAL47" s="1158"/>
      <c r="KAM47" s="1157" t="s">
        <v>814</v>
      </c>
      <c r="KAN47" s="1158"/>
      <c r="KAO47" s="1157" t="s">
        <v>814</v>
      </c>
      <c r="KAP47" s="1158"/>
      <c r="KAQ47" s="1157" t="s">
        <v>814</v>
      </c>
      <c r="KAR47" s="1158"/>
      <c r="KAS47" s="1157" t="s">
        <v>814</v>
      </c>
      <c r="KAT47" s="1158"/>
      <c r="KAU47" s="1157" t="s">
        <v>814</v>
      </c>
      <c r="KAV47" s="1158"/>
      <c r="KAW47" s="1157" t="s">
        <v>814</v>
      </c>
      <c r="KAX47" s="1158"/>
      <c r="KAY47" s="1157" t="s">
        <v>814</v>
      </c>
      <c r="KAZ47" s="1158"/>
      <c r="KBA47" s="1157" t="s">
        <v>814</v>
      </c>
      <c r="KBB47" s="1158"/>
      <c r="KBC47" s="1157" t="s">
        <v>814</v>
      </c>
      <c r="KBD47" s="1158"/>
      <c r="KBE47" s="1157" t="s">
        <v>814</v>
      </c>
      <c r="KBF47" s="1158"/>
      <c r="KBG47" s="1157" t="s">
        <v>814</v>
      </c>
      <c r="KBH47" s="1158"/>
      <c r="KBI47" s="1157" t="s">
        <v>814</v>
      </c>
      <c r="KBJ47" s="1158"/>
      <c r="KBK47" s="1157" t="s">
        <v>814</v>
      </c>
      <c r="KBL47" s="1158"/>
      <c r="KBM47" s="1157" t="s">
        <v>814</v>
      </c>
      <c r="KBN47" s="1158"/>
      <c r="KBO47" s="1157" t="s">
        <v>814</v>
      </c>
      <c r="KBP47" s="1158"/>
      <c r="KBQ47" s="1157" t="s">
        <v>814</v>
      </c>
      <c r="KBR47" s="1158"/>
      <c r="KBS47" s="1157" t="s">
        <v>814</v>
      </c>
      <c r="KBT47" s="1158"/>
      <c r="KBU47" s="1157" t="s">
        <v>814</v>
      </c>
      <c r="KBV47" s="1158"/>
      <c r="KBW47" s="1157" t="s">
        <v>814</v>
      </c>
      <c r="KBX47" s="1158"/>
      <c r="KBY47" s="1157" t="s">
        <v>814</v>
      </c>
      <c r="KBZ47" s="1158"/>
      <c r="KCA47" s="1157" t="s">
        <v>814</v>
      </c>
      <c r="KCB47" s="1158"/>
      <c r="KCC47" s="1157" t="s">
        <v>814</v>
      </c>
      <c r="KCD47" s="1158"/>
      <c r="KCE47" s="1157" t="s">
        <v>814</v>
      </c>
      <c r="KCF47" s="1158"/>
      <c r="KCG47" s="1157" t="s">
        <v>814</v>
      </c>
      <c r="KCH47" s="1158"/>
      <c r="KCI47" s="1157" t="s">
        <v>814</v>
      </c>
      <c r="KCJ47" s="1158"/>
      <c r="KCK47" s="1157" t="s">
        <v>814</v>
      </c>
      <c r="KCL47" s="1158"/>
      <c r="KCM47" s="1157" t="s">
        <v>814</v>
      </c>
      <c r="KCN47" s="1158"/>
      <c r="KCO47" s="1157" t="s">
        <v>814</v>
      </c>
      <c r="KCP47" s="1158"/>
      <c r="KCQ47" s="1157" t="s">
        <v>814</v>
      </c>
      <c r="KCR47" s="1158"/>
      <c r="KCS47" s="1157" t="s">
        <v>814</v>
      </c>
      <c r="KCT47" s="1158"/>
      <c r="KCU47" s="1157" t="s">
        <v>814</v>
      </c>
      <c r="KCV47" s="1158"/>
      <c r="KCW47" s="1157" t="s">
        <v>814</v>
      </c>
      <c r="KCX47" s="1158"/>
      <c r="KCY47" s="1157" t="s">
        <v>814</v>
      </c>
      <c r="KCZ47" s="1158"/>
      <c r="KDA47" s="1157" t="s">
        <v>814</v>
      </c>
      <c r="KDB47" s="1158"/>
      <c r="KDC47" s="1157" t="s">
        <v>814</v>
      </c>
      <c r="KDD47" s="1158"/>
      <c r="KDE47" s="1157" t="s">
        <v>814</v>
      </c>
      <c r="KDF47" s="1158"/>
      <c r="KDG47" s="1157" t="s">
        <v>814</v>
      </c>
      <c r="KDH47" s="1158"/>
      <c r="KDI47" s="1157" t="s">
        <v>814</v>
      </c>
      <c r="KDJ47" s="1158"/>
      <c r="KDK47" s="1157" t="s">
        <v>814</v>
      </c>
      <c r="KDL47" s="1158"/>
      <c r="KDM47" s="1157" t="s">
        <v>814</v>
      </c>
      <c r="KDN47" s="1158"/>
      <c r="KDO47" s="1157" t="s">
        <v>814</v>
      </c>
      <c r="KDP47" s="1158"/>
      <c r="KDQ47" s="1157" t="s">
        <v>814</v>
      </c>
      <c r="KDR47" s="1158"/>
      <c r="KDS47" s="1157" t="s">
        <v>814</v>
      </c>
      <c r="KDT47" s="1158"/>
      <c r="KDU47" s="1157" t="s">
        <v>814</v>
      </c>
      <c r="KDV47" s="1158"/>
      <c r="KDW47" s="1157" t="s">
        <v>814</v>
      </c>
      <c r="KDX47" s="1158"/>
      <c r="KDY47" s="1157" t="s">
        <v>814</v>
      </c>
      <c r="KDZ47" s="1158"/>
      <c r="KEA47" s="1157" t="s">
        <v>814</v>
      </c>
      <c r="KEB47" s="1158"/>
      <c r="KEC47" s="1157" t="s">
        <v>814</v>
      </c>
      <c r="KED47" s="1158"/>
      <c r="KEE47" s="1157" t="s">
        <v>814</v>
      </c>
      <c r="KEF47" s="1158"/>
      <c r="KEG47" s="1157" t="s">
        <v>814</v>
      </c>
      <c r="KEH47" s="1158"/>
      <c r="KEI47" s="1157" t="s">
        <v>814</v>
      </c>
      <c r="KEJ47" s="1158"/>
      <c r="KEK47" s="1157" t="s">
        <v>814</v>
      </c>
      <c r="KEL47" s="1158"/>
      <c r="KEM47" s="1157" t="s">
        <v>814</v>
      </c>
      <c r="KEN47" s="1158"/>
      <c r="KEO47" s="1157" t="s">
        <v>814</v>
      </c>
      <c r="KEP47" s="1158"/>
      <c r="KEQ47" s="1157" t="s">
        <v>814</v>
      </c>
      <c r="KER47" s="1158"/>
      <c r="KES47" s="1157" t="s">
        <v>814</v>
      </c>
      <c r="KET47" s="1158"/>
      <c r="KEU47" s="1157" t="s">
        <v>814</v>
      </c>
      <c r="KEV47" s="1158"/>
      <c r="KEW47" s="1157" t="s">
        <v>814</v>
      </c>
      <c r="KEX47" s="1158"/>
      <c r="KEY47" s="1157" t="s">
        <v>814</v>
      </c>
      <c r="KEZ47" s="1158"/>
      <c r="KFA47" s="1157" t="s">
        <v>814</v>
      </c>
      <c r="KFB47" s="1158"/>
      <c r="KFC47" s="1157" t="s">
        <v>814</v>
      </c>
      <c r="KFD47" s="1158"/>
      <c r="KFE47" s="1157" t="s">
        <v>814</v>
      </c>
      <c r="KFF47" s="1158"/>
      <c r="KFG47" s="1157" t="s">
        <v>814</v>
      </c>
      <c r="KFH47" s="1158"/>
      <c r="KFI47" s="1157" t="s">
        <v>814</v>
      </c>
      <c r="KFJ47" s="1158"/>
      <c r="KFK47" s="1157" t="s">
        <v>814</v>
      </c>
      <c r="KFL47" s="1158"/>
      <c r="KFM47" s="1157" t="s">
        <v>814</v>
      </c>
      <c r="KFN47" s="1158"/>
      <c r="KFO47" s="1157" t="s">
        <v>814</v>
      </c>
      <c r="KFP47" s="1158"/>
      <c r="KFQ47" s="1157" t="s">
        <v>814</v>
      </c>
      <c r="KFR47" s="1158"/>
      <c r="KFS47" s="1157" t="s">
        <v>814</v>
      </c>
      <c r="KFT47" s="1158"/>
      <c r="KFU47" s="1157" t="s">
        <v>814</v>
      </c>
      <c r="KFV47" s="1158"/>
      <c r="KFW47" s="1157" t="s">
        <v>814</v>
      </c>
      <c r="KFX47" s="1158"/>
      <c r="KFY47" s="1157" t="s">
        <v>814</v>
      </c>
      <c r="KFZ47" s="1158"/>
      <c r="KGA47" s="1157" t="s">
        <v>814</v>
      </c>
      <c r="KGB47" s="1158"/>
      <c r="KGC47" s="1157" t="s">
        <v>814</v>
      </c>
      <c r="KGD47" s="1158"/>
      <c r="KGE47" s="1157" t="s">
        <v>814</v>
      </c>
      <c r="KGF47" s="1158"/>
      <c r="KGG47" s="1157" t="s">
        <v>814</v>
      </c>
      <c r="KGH47" s="1158"/>
      <c r="KGI47" s="1157" t="s">
        <v>814</v>
      </c>
      <c r="KGJ47" s="1158"/>
      <c r="KGK47" s="1157" t="s">
        <v>814</v>
      </c>
      <c r="KGL47" s="1158"/>
      <c r="KGM47" s="1157" t="s">
        <v>814</v>
      </c>
      <c r="KGN47" s="1158"/>
      <c r="KGO47" s="1156" t="s">
        <v>814</v>
      </c>
      <c r="KGP47" s="1156"/>
      <c r="KGQ47" s="1156" t="s">
        <v>814</v>
      </c>
      <c r="KGR47" s="1156"/>
      <c r="KGS47" s="1156" t="s">
        <v>814</v>
      </c>
      <c r="KGT47" s="1156"/>
      <c r="KGU47" s="1156" t="s">
        <v>814</v>
      </c>
      <c r="KGV47" s="1156"/>
      <c r="KGW47" s="1156" t="s">
        <v>814</v>
      </c>
      <c r="KGX47" s="1156"/>
      <c r="KGY47" s="1156" t="s">
        <v>814</v>
      </c>
      <c r="KGZ47" s="1156"/>
      <c r="KHA47" s="1156" t="s">
        <v>814</v>
      </c>
      <c r="KHB47" s="1156"/>
      <c r="KHC47" s="1156" t="s">
        <v>814</v>
      </c>
      <c r="KHD47" s="1156"/>
      <c r="KHE47" s="1156" t="s">
        <v>814</v>
      </c>
      <c r="KHF47" s="1156"/>
      <c r="KHG47" s="1156" t="s">
        <v>814</v>
      </c>
      <c r="KHH47" s="1156"/>
      <c r="KHI47" s="1156" t="s">
        <v>814</v>
      </c>
      <c r="KHJ47" s="1156"/>
      <c r="KHK47" s="1156" t="s">
        <v>814</v>
      </c>
      <c r="KHL47" s="1156"/>
      <c r="KHM47" s="1156" t="s">
        <v>814</v>
      </c>
      <c r="KHN47" s="1156"/>
      <c r="KHO47" s="1156" t="s">
        <v>814</v>
      </c>
      <c r="KHP47" s="1156"/>
      <c r="KHQ47" s="1156" t="s">
        <v>814</v>
      </c>
      <c r="KHR47" s="1156"/>
      <c r="KHS47" s="1156" t="s">
        <v>814</v>
      </c>
      <c r="KHT47" s="1156"/>
      <c r="KHU47" s="1156" t="s">
        <v>814</v>
      </c>
      <c r="KHV47" s="1156"/>
      <c r="KHW47" s="1156" t="s">
        <v>814</v>
      </c>
      <c r="KHX47" s="1156"/>
      <c r="KHY47" s="1156" t="s">
        <v>814</v>
      </c>
      <c r="KHZ47" s="1156"/>
      <c r="KIA47" s="1156" t="s">
        <v>814</v>
      </c>
      <c r="KIB47" s="1156"/>
      <c r="KIC47" s="1156" t="s">
        <v>814</v>
      </c>
      <c r="KID47" s="1156"/>
      <c r="KIE47" s="1156" t="s">
        <v>814</v>
      </c>
      <c r="KIF47" s="1156"/>
      <c r="KIG47" s="1156" t="s">
        <v>814</v>
      </c>
      <c r="KIH47" s="1156"/>
      <c r="KII47" s="1156" t="s">
        <v>814</v>
      </c>
      <c r="KIJ47" s="1156"/>
      <c r="KIK47" s="1156" t="s">
        <v>814</v>
      </c>
      <c r="KIL47" s="1156"/>
      <c r="KIM47" s="1156" t="s">
        <v>814</v>
      </c>
      <c r="KIN47" s="1156"/>
      <c r="KIO47" s="1156" t="s">
        <v>814</v>
      </c>
      <c r="KIP47" s="1156"/>
      <c r="KIQ47" s="1156" t="s">
        <v>814</v>
      </c>
      <c r="KIR47" s="1156"/>
      <c r="KIS47" s="1156" t="s">
        <v>814</v>
      </c>
      <c r="KIT47" s="1156"/>
      <c r="KIU47" s="1156" t="s">
        <v>814</v>
      </c>
      <c r="KIV47" s="1156"/>
      <c r="KIW47" s="1156" t="s">
        <v>814</v>
      </c>
      <c r="KIX47" s="1156"/>
      <c r="KIY47" s="1156" t="s">
        <v>814</v>
      </c>
      <c r="KIZ47" s="1156"/>
      <c r="KJA47" s="1156" t="s">
        <v>814</v>
      </c>
      <c r="KJB47" s="1156"/>
      <c r="KJC47" s="1156" t="s">
        <v>814</v>
      </c>
      <c r="KJD47" s="1156"/>
      <c r="KJE47" s="1156" t="s">
        <v>814</v>
      </c>
      <c r="KJF47" s="1156"/>
      <c r="KJG47" s="1156" t="s">
        <v>814</v>
      </c>
      <c r="KJH47" s="1156"/>
      <c r="KJI47" s="1156" t="s">
        <v>814</v>
      </c>
      <c r="KJJ47" s="1156"/>
      <c r="KJK47" s="1156" t="s">
        <v>814</v>
      </c>
      <c r="KJL47" s="1156"/>
      <c r="KJM47" s="1156" t="s">
        <v>814</v>
      </c>
      <c r="KJN47" s="1156"/>
      <c r="KJO47" s="1156" t="s">
        <v>814</v>
      </c>
      <c r="KJP47" s="1156"/>
      <c r="KJQ47" s="1156" t="s">
        <v>814</v>
      </c>
      <c r="KJR47" s="1156"/>
      <c r="KJS47" s="1156" t="s">
        <v>814</v>
      </c>
      <c r="KJT47" s="1156"/>
      <c r="KJU47" s="1156" t="s">
        <v>814</v>
      </c>
      <c r="KJV47" s="1156"/>
      <c r="KJW47" s="1156" t="s">
        <v>814</v>
      </c>
      <c r="KJX47" s="1156"/>
      <c r="KJY47" s="1156" t="s">
        <v>814</v>
      </c>
      <c r="KJZ47" s="1156"/>
      <c r="KKA47" s="1156" t="s">
        <v>814</v>
      </c>
      <c r="KKB47" s="1156"/>
      <c r="KKC47" s="1156" t="s">
        <v>814</v>
      </c>
      <c r="KKD47" s="1156"/>
      <c r="KKE47" s="1156" t="s">
        <v>814</v>
      </c>
      <c r="KKF47" s="1156"/>
      <c r="KKG47" s="1156" t="s">
        <v>814</v>
      </c>
      <c r="KKH47" s="1156"/>
      <c r="KKI47" s="1156" t="s">
        <v>814</v>
      </c>
      <c r="KKJ47" s="1156"/>
      <c r="KKK47" s="1156" t="s">
        <v>814</v>
      </c>
      <c r="KKL47" s="1156"/>
      <c r="KKM47" s="1156" t="s">
        <v>814</v>
      </c>
      <c r="KKN47" s="1156"/>
      <c r="KKO47" s="1156" t="s">
        <v>814</v>
      </c>
      <c r="KKP47" s="1156"/>
      <c r="KKQ47" s="1156" t="s">
        <v>814</v>
      </c>
      <c r="KKR47" s="1156"/>
      <c r="KKS47" s="1156" t="s">
        <v>814</v>
      </c>
      <c r="KKT47" s="1156"/>
      <c r="KKU47" s="1156" t="s">
        <v>814</v>
      </c>
      <c r="KKV47" s="1156"/>
      <c r="KKW47" s="1156" t="s">
        <v>814</v>
      </c>
      <c r="KKX47" s="1156"/>
      <c r="KKY47" s="1156" t="s">
        <v>814</v>
      </c>
      <c r="KKZ47" s="1156"/>
      <c r="KLA47" s="1156" t="s">
        <v>814</v>
      </c>
      <c r="KLB47" s="1156"/>
      <c r="KLC47" s="1156" t="s">
        <v>814</v>
      </c>
      <c r="KLD47" s="1156"/>
      <c r="KLE47" s="1156" t="s">
        <v>814</v>
      </c>
      <c r="KLF47" s="1156"/>
      <c r="KLG47" s="1156" t="s">
        <v>814</v>
      </c>
      <c r="KLH47" s="1156"/>
      <c r="KLI47" s="1156" t="s">
        <v>814</v>
      </c>
      <c r="KLJ47" s="1156"/>
      <c r="KLK47" s="1156" t="s">
        <v>814</v>
      </c>
      <c r="KLL47" s="1156"/>
      <c r="KLM47" s="1156" t="s">
        <v>814</v>
      </c>
      <c r="KLN47" s="1156"/>
      <c r="KLO47" s="1156" t="s">
        <v>814</v>
      </c>
      <c r="KLP47" s="1156"/>
      <c r="KLQ47" s="1156" t="s">
        <v>814</v>
      </c>
      <c r="KLR47" s="1156"/>
      <c r="KLS47" s="1156" t="s">
        <v>814</v>
      </c>
      <c r="KLT47" s="1156"/>
      <c r="KLU47" s="1156" t="s">
        <v>814</v>
      </c>
      <c r="KLV47" s="1156"/>
      <c r="KLW47" s="1156" t="s">
        <v>814</v>
      </c>
      <c r="KLX47" s="1156"/>
      <c r="KLY47" s="1156" t="s">
        <v>814</v>
      </c>
      <c r="KLZ47" s="1156"/>
      <c r="KMA47" s="1156" t="s">
        <v>814</v>
      </c>
      <c r="KMB47" s="1156"/>
      <c r="KMC47" s="1156" t="s">
        <v>814</v>
      </c>
      <c r="KMD47" s="1156"/>
      <c r="KME47" s="1156" t="s">
        <v>814</v>
      </c>
      <c r="KMF47" s="1156"/>
      <c r="KMG47" s="1156" t="s">
        <v>814</v>
      </c>
      <c r="KMH47" s="1156"/>
      <c r="KMI47" s="1156" t="s">
        <v>814</v>
      </c>
      <c r="KMJ47" s="1156"/>
      <c r="KMK47" s="1156" t="s">
        <v>814</v>
      </c>
      <c r="KML47" s="1156"/>
      <c r="KMM47" s="1156" t="s">
        <v>814</v>
      </c>
      <c r="KMN47" s="1156"/>
      <c r="KMO47" s="1156" t="s">
        <v>814</v>
      </c>
      <c r="KMP47" s="1156"/>
      <c r="KMQ47" s="1156" t="s">
        <v>814</v>
      </c>
      <c r="KMR47" s="1156"/>
      <c r="KMS47" s="1156" t="s">
        <v>814</v>
      </c>
      <c r="KMT47" s="1156"/>
      <c r="KMU47" s="1156" t="s">
        <v>814</v>
      </c>
      <c r="KMV47" s="1156"/>
      <c r="KMW47" s="1156" t="s">
        <v>814</v>
      </c>
      <c r="KMX47" s="1156"/>
      <c r="KMY47" s="1156" t="s">
        <v>814</v>
      </c>
      <c r="KMZ47" s="1156"/>
      <c r="KNA47" s="1156" t="s">
        <v>814</v>
      </c>
      <c r="KNB47" s="1156"/>
      <c r="KNC47" s="1156" t="s">
        <v>814</v>
      </c>
      <c r="KND47" s="1156"/>
      <c r="KNE47" s="1156" t="s">
        <v>814</v>
      </c>
      <c r="KNF47" s="1156"/>
      <c r="KNG47" s="1156" t="s">
        <v>814</v>
      </c>
      <c r="KNH47" s="1156"/>
      <c r="KNI47" s="1156" t="s">
        <v>814</v>
      </c>
      <c r="KNJ47" s="1156"/>
      <c r="KNK47" s="1156" t="s">
        <v>814</v>
      </c>
      <c r="KNL47" s="1156"/>
      <c r="KNM47" s="1156" t="s">
        <v>814</v>
      </c>
      <c r="KNN47" s="1156"/>
      <c r="KNO47" s="1156" t="s">
        <v>814</v>
      </c>
      <c r="KNP47" s="1156"/>
      <c r="KNQ47" s="1156" t="s">
        <v>814</v>
      </c>
      <c r="KNR47" s="1156"/>
      <c r="KNS47" s="1156" t="s">
        <v>814</v>
      </c>
      <c r="KNT47" s="1156"/>
      <c r="KNU47" s="1156" t="s">
        <v>814</v>
      </c>
      <c r="KNV47" s="1156"/>
      <c r="KNW47" s="1156" t="s">
        <v>814</v>
      </c>
      <c r="KNX47" s="1156"/>
      <c r="KNY47" s="1156" t="s">
        <v>814</v>
      </c>
      <c r="KNZ47" s="1156"/>
      <c r="KOA47" s="1156" t="s">
        <v>814</v>
      </c>
      <c r="KOB47" s="1156"/>
      <c r="KOC47" s="1156" t="s">
        <v>814</v>
      </c>
      <c r="KOD47" s="1156"/>
      <c r="KOE47" s="1156" t="s">
        <v>814</v>
      </c>
      <c r="KOF47" s="1156"/>
      <c r="KOG47" s="1156" t="s">
        <v>814</v>
      </c>
      <c r="KOH47" s="1156"/>
      <c r="KOI47" s="1156" t="s">
        <v>814</v>
      </c>
      <c r="KOJ47" s="1156"/>
      <c r="KOK47" s="1156" t="s">
        <v>814</v>
      </c>
      <c r="KOL47" s="1156"/>
      <c r="KOM47" s="1156" t="s">
        <v>814</v>
      </c>
      <c r="KON47" s="1156"/>
      <c r="KOO47" s="1156" t="s">
        <v>814</v>
      </c>
      <c r="KOP47" s="1156"/>
      <c r="KOQ47" s="1156" t="s">
        <v>814</v>
      </c>
      <c r="KOR47" s="1156"/>
      <c r="KOS47" s="1156" t="s">
        <v>814</v>
      </c>
      <c r="KOT47" s="1156"/>
      <c r="KOU47" s="1156" t="s">
        <v>814</v>
      </c>
      <c r="KOV47" s="1156"/>
      <c r="KOW47" s="1156" t="s">
        <v>814</v>
      </c>
      <c r="KOX47" s="1156"/>
      <c r="KOY47" s="1156" t="s">
        <v>814</v>
      </c>
      <c r="KOZ47" s="1156"/>
      <c r="KPA47" s="1156" t="s">
        <v>814</v>
      </c>
      <c r="KPB47" s="1156"/>
      <c r="KPC47" s="1156" t="s">
        <v>814</v>
      </c>
      <c r="KPD47" s="1156"/>
      <c r="KPE47" s="1156" t="s">
        <v>814</v>
      </c>
      <c r="KPF47" s="1156"/>
      <c r="KPG47" s="1156" t="s">
        <v>814</v>
      </c>
      <c r="KPH47" s="1156"/>
      <c r="KPI47" s="1156" t="s">
        <v>814</v>
      </c>
      <c r="KPJ47" s="1156"/>
      <c r="KPK47" s="1156" t="s">
        <v>814</v>
      </c>
      <c r="KPL47" s="1156"/>
      <c r="KPM47" s="1156" t="s">
        <v>814</v>
      </c>
      <c r="KPN47" s="1156"/>
      <c r="KPO47" s="1156" t="s">
        <v>814</v>
      </c>
      <c r="KPP47" s="1156"/>
      <c r="KPQ47" s="1156" t="s">
        <v>814</v>
      </c>
      <c r="KPR47" s="1156"/>
      <c r="KPS47" s="1156" t="s">
        <v>814</v>
      </c>
      <c r="KPT47" s="1156"/>
      <c r="KPU47" s="1156" t="s">
        <v>814</v>
      </c>
      <c r="KPV47" s="1156"/>
      <c r="KPW47" s="1156" t="s">
        <v>814</v>
      </c>
      <c r="KPX47" s="1156"/>
      <c r="KPY47" s="1156" t="s">
        <v>814</v>
      </c>
      <c r="KPZ47" s="1156"/>
      <c r="KQA47" s="1156" t="s">
        <v>814</v>
      </c>
      <c r="KQB47" s="1156"/>
      <c r="KQC47" s="1156" t="s">
        <v>814</v>
      </c>
      <c r="KQD47" s="1156"/>
      <c r="KQE47" s="1156" t="s">
        <v>814</v>
      </c>
      <c r="KQF47" s="1156"/>
      <c r="KQG47" s="1156" t="s">
        <v>814</v>
      </c>
      <c r="KQH47" s="1156"/>
      <c r="KQI47" s="1156" t="s">
        <v>814</v>
      </c>
      <c r="KQJ47" s="1156"/>
      <c r="KQK47" s="1156" t="s">
        <v>814</v>
      </c>
      <c r="KQL47" s="1156"/>
      <c r="KQM47" s="1156" t="s">
        <v>814</v>
      </c>
      <c r="KQN47" s="1156"/>
      <c r="KQO47" s="1156" t="s">
        <v>814</v>
      </c>
      <c r="KQP47" s="1156"/>
      <c r="KQQ47" s="1156" t="s">
        <v>814</v>
      </c>
      <c r="KQR47" s="1156"/>
      <c r="KQS47" s="1156" t="s">
        <v>814</v>
      </c>
      <c r="KQT47" s="1156"/>
      <c r="KQU47" s="1156" t="s">
        <v>814</v>
      </c>
      <c r="KQV47" s="1156"/>
      <c r="KQW47" s="1156" t="s">
        <v>814</v>
      </c>
      <c r="KQX47" s="1156"/>
      <c r="KQY47" s="1156" t="s">
        <v>814</v>
      </c>
      <c r="KQZ47" s="1156"/>
      <c r="KRA47" s="1156" t="s">
        <v>814</v>
      </c>
      <c r="KRB47" s="1156"/>
      <c r="KRC47" s="1156" t="s">
        <v>814</v>
      </c>
      <c r="KRD47" s="1156"/>
      <c r="KRE47" s="1156" t="s">
        <v>814</v>
      </c>
      <c r="KRF47" s="1156"/>
      <c r="KRG47" s="1156" t="s">
        <v>814</v>
      </c>
      <c r="KRH47" s="1156"/>
      <c r="KRI47" s="1156" t="s">
        <v>814</v>
      </c>
      <c r="KRJ47" s="1156"/>
      <c r="KRK47" s="1156" t="s">
        <v>814</v>
      </c>
      <c r="KRL47" s="1156"/>
      <c r="KRM47" s="1156" t="s">
        <v>814</v>
      </c>
      <c r="KRN47" s="1156"/>
      <c r="KRO47" s="1156" t="s">
        <v>814</v>
      </c>
      <c r="KRP47" s="1156"/>
      <c r="KRQ47" s="1156" t="s">
        <v>814</v>
      </c>
      <c r="KRR47" s="1156"/>
      <c r="KRS47" s="1156" t="s">
        <v>814</v>
      </c>
      <c r="KRT47" s="1156"/>
      <c r="KRU47" s="1156" t="s">
        <v>814</v>
      </c>
      <c r="KRV47" s="1156"/>
      <c r="KRW47" s="1156" t="s">
        <v>814</v>
      </c>
      <c r="KRX47" s="1156"/>
      <c r="KRY47" s="1156" t="s">
        <v>814</v>
      </c>
      <c r="KRZ47" s="1156"/>
      <c r="KSA47" s="1156" t="s">
        <v>814</v>
      </c>
      <c r="KSB47" s="1156"/>
      <c r="KSC47" s="1156" t="s">
        <v>814</v>
      </c>
      <c r="KSD47" s="1156"/>
      <c r="KSE47" s="1156" t="s">
        <v>814</v>
      </c>
      <c r="KSF47" s="1156"/>
      <c r="KSG47" s="1156" t="s">
        <v>814</v>
      </c>
      <c r="KSH47" s="1156"/>
      <c r="KSI47" s="1156" t="s">
        <v>814</v>
      </c>
      <c r="KSJ47" s="1156"/>
      <c r="KSK47" s="1156" t="s">
        <v>814</v>
      </c>
      <c r="KSL47" s="1156"/>
      <c r="KSM47" s="1156" t="s">
        <v>814</v>
      </c>
      <c r="KSN47" s="1156"/>
      <c r="KSO47" s="1156" t="s">
        <v>814</v>
      </c>
      <c r="KSP47" s="1156"/>
      <c r="KSQ47" s="1156" t="s">
        <v>814</v>
      </c>
      <c r="KSR47" s="1156"/>
      <c r="KSS47" s="1156" t="s">
        <v>814</v>
      </c>
      <c r="KST47" s="1156"/>
      <c r="KSU47" s="1156" t="s">
        <v>814</v>
      </c>
      <c r="KSV47" s="1156"/>
      <c r="KSW47" s="1156" t="s">
        <v>814</v>
      </c>
      <c r="KSX47" s="1156"/>
      <c r="KSY47" s="1156" t="s">
        <v>814</v>
      </c>
      <c r="KSZ47" s="1156"/>
      <c r="KTA47" s="1156" t="s">
        <v>814</v>
      </c>
      <c r="KTB47" s="1156"/>
      <c r="KTC47" s="1156" t="s">
        <v>814</v>
      </c>
      <c r="KTD47" s="1156"/>
      <c r="KTE47" s="1156" t="s">
        <v>814</v>
      </c>
      <c r="KTF47" s="1156"/>
      <c r="KTG47" s="1156" t="s">
        <v>814</v>
      </c>
      <c r="KTH47" s="1156"/>
      <c r="KTI47" s="1156" t="s">
        <v>814</v>
      </c>
      <c r="KTJ47" s="1156"/>
      <c r="KTK47" s="1156" t="s">
        <v>814</v>
      </c>
      <c r="KTL47" s="1156"/>
      <c r="KTM47" s="1156" t="s">
        <v>814</v>
      </c>
      <c r="KTN47" s="1156"/>
      <c r="KTO47" s="1156" t="s">
        <v>814</v>
      </c>
      <c r="KTP47" s="1156"/>
      <c r="KTQ47" s="1156" t="s">
        <v>814</v>
      </c>
      <c r="KTR47" s="1156"/>
      <c r="KTS47" s="1156" t="s">
        <v>814</v>
      </c>
      <c r="KTT47" s="1156"/>
      <c r="KTU47" s="1156" t="s">
        <v>814</v>
      </c>
      <c r="KTV47" s="1156"/>
      <c r="KTW47" s="1156" t="s">
        <v>814</v>
      </c>
      <c r="KTX47" s="1156"/>
      <c r="KTY47" s="1156" t="s">
        <v>814</v>
      </c>
      <c r="KTZ47" s="1156"/>
      <c r="KUA47" s="1156" t="s">
        <v>814</v>
      </c>
      <c r="KUB47" s="1156"/>
      <c r="KUC47" s="1156" t="s">
        <v>814</v>
      </c>
      <c r="KUD47" s="1156"/>
      <c r="KUE47" s="1156" t="s">
        <v>814</v>
      </c>
      <c r="KUF47" s="1156"/>
      <c r="KUG47" s="1156" t="s">
        <v>814</v>
      </c>
      <c r="KUH47" s="1156"/>
      <c r="KUI47" s="1156" t="s">
        <v>814</v>
      </c>
      <c r="KUJ47" s="1156"/>
      <c r="KUK47" s="1156" t="s">
        <v>814</v>
      </c>
      <c r="KUL47" s="1156"/>
      <c r="KUM47" s="1156" t="s">
        <v>814</v>
      </c>
      <c r="KUN47" s="1156"/>
      <c r="KUO47" s="1156" t="s">
        <v>814</v>
      </c>
      <c r="KUP47" s="1156"/>
      <c r="KUQ47" s="1156" t="s">
        <v>814</v>
      </c>
      <c r="KUR47" s="1156"/>
      <c r="KUS47" s="1156" t="s">
        <v>814</v>
      </c>
      <c r="KUT47" s="1156"/>
      <c r="KUU47" s="1156" t="s">
        <v>814</v>
      </c>
      <c r="KUV47" s="1156"/>
      <c r="KUW47" s="1156" t="s">
        <v>814</v>
      </c>
      <c r="KUX47" s="1156"/>
      <c r="KUY47" s="1156" t="s">
        <v>814</v>
      </c>
      <c r="KUZ47" s="1156"/>
      <c r="KVA47" s="1156" t="s">
        <v>814</v>
      </c>
      <c r="KVB47" s="1156"/>
      <c r="KVC47" s="1156" t="s">
        <v>814</v>
      </c>
      <c r="KVD47" s="1156"/>
      <c r="KVE47" s="1156" t="s">
        <v>814</v>
      </c>
      <c r="KVF47" s="1156"/>
      <c r="KVG47" s="1156" t="s">
        <v>814</v>
      </c>
      <c r="KVH47" s="1156"/>
      <c r="KVI47" s="1156" t="s">
        <v>814</v>
      </c>
      <c r="KVJ47" s="1156"/>
      <c r="KVK47" s="1156" t="s">
        <v>814</v>
      </c>
      <c r="KVL47" s="1156"/>
      <c r="KVM47" s="1156" t="s">
        <v>814</v>
      </c>
      <c r="KVN47" s="1156"/>
      <c r="KVO47" s="1156" t="s">
        <v>814</v>
      </c>
      <c r="KVP47" s="1156"/>
      <c r="KVQ47" s="1156" t="s">
        <v>814</v>
      </c>
      <c r="KVR47" s="1156"/>
      <c r="KVS47" s="1156" t="s">
        <v>814</v>
      </c>
      <c r="KVT47" s="1156"/>
      <c r="KVU47" s="1156" t="s">
        <v>814</v>
      </c>
      <c r="KVV47" s="1156"/>
      <c r="KVW47" s="1156" t="s">
        <v>814</v>
      </c>
      <c r="KVX47" s="1156"/>
      <c r="KVY47" s="1156" t="s">
        <v>814</v>
      </c>
      <c r="KVZ47" s="1156"/>
      <c r="KWA47" s="1156" t="s">
        <v>814</v>
      </c>
      <c r="KWB47" s="1156"/>
      <c r="KWC47" s="1156" t="s">
        <v>814</v>
      </c>
      <c r="KWD47" s="1156"/>
      <c r="KWE47" s="1156" t="s">
        <v>814</v>
      </c>
      <c r="KWF47" s="1156"/>
      <c r="KWG47" s="1156" t="s">
        <v>814</v>
      </c>
      <c r="KWH47" s="1156"/>
      <c r="KWI47" s="1156" t="s">
        <v>814</v>
      </c>
      <c r="KWJ47" s="1156"/>
      <c r="KWK47" s="1156" t="s">
        <v>814</v>
      </c>
      <c r="KWL47" s="1156"/>
      <c r="KWM47" s="1156" t="s">
        <v>814</v>
      </c>
      <c r="KWN47" s="1156"/>
      <c r="KWO47" s="1156" t="s">
        <v>814</v>
      </c>
      <c r="KWP47" s="1156"/>
      <c r="KWQ47" s="1156" t="s">
        <v>814</v>
      </c>
      <c r="KWR47" s="1156"/>
      <c r="KWS47" s="1156" t="s">
        <v>814</v>
      </c>
      <c r="KWT47" s="1156"/>
      <c r="KWU47" s="1156" t="s">
        <v>814</v>
      </c>
      <c r="KWV47" s="1156"/>
      <c r="KWW47" s="1156" t="s">
        <v>814</v>
      </c>
      <c r="KWX47" s="1156"/>
      <c r="KWY47" s="1156" t="s">
        <v>814</v>
      </c>
      <c r="KWZ47" s="1156"/>
      <c r="KXA47" s="1156" t="s">
        <v>814</v>
      </c>
      <c r="KXB47" s="1156"/>
      <c r="KXC47" s="1156" t="s">
        <v>814</v>
      </c>
      <c r="KXD47" s="1156"/>
      <c r="KXE47" s="1156" t="s">
        <v>814</v>
      </c>
      <c r="KXF47" s="1156"/>
      <c r="KXG47" s="1156" t="s">
        <v>814</v>
      </c>
      <c r="KXH47" s="1156"/>
      <c r="KXI47" s="1156" t="s">
        <v>814</v>
      </c>
      <c r="KXJ47" s="1156"/>
      <c r="KXK47" s="1156" t="s">
        <v>814</v>
      </c>
      <c r="KXL47" s="1156"/>
      <c r="KXM47" s="1156" t="s">
        <v>814</v>
      </c>
      <c r="KXN47" s="1156"/>
      <c r="KXO47" s="1156" t="s">
        <v>814</v>
      </c>
      <c r="KXP47" s="1156"/>
      <c r="KXQ47" s="1156" t="s">
        <v>814</v>
      </c>
      <c r="KXR47" s="1156"/>
      <c r="KXS47" s="1156" t="s">
        <v>814</v>
      </c>
      <c r="KXT47" s="1156"/>
      <c r="KXU47" s="1156" t="s">
        <v>814</v>
      </c>
      <c r="KXV47" s="1156"/>
      <c r="KXW47" s="1156" t="s">
        <v>814</v>
      </c>
      <c r="KXX47" s="1156"/>
      <c r="KXY47" s="1156" t="s">
        <v>814</v>
      </c>
      <c r="KXZ47" s="1156"/>
      <c r="KYA47" s="1156" t="s">
        <v>814</v>
      </c>
      <c r="KYB47" s="1156"/>
      <c r="KYC47" s="1156" t="s">
        <v>814</v>
      </c>
      <c r="KYD47" s="1156"/>
      <c r="KYE47" s="1156" t="s">
        <v>814</v>
      </c>
      <c r="KYF47" s="1156"/>
      <c r="KYG47" s="1156" t="s">
        <v>814</v>
      </c>
      <c r="KYH47" s="1156"/>
      <c r="KYI47" s="1156" t="s">
        <v>814</v>
      </c>
      <c r="KYJ47" s="1156"/>
      <c r="KYK47" s="1156" t="s">
        <v>814</v>
      </c>
      <c r="KYL47" s="1156"/>
      <c r="KYM47" s="1156" t="s">
        <v>814</v>
      </c>
      <c r="KYN47" s="1156"/>
      <c r="KYO47" s="1156" t="s">
        <v>814</v>
      </c>
      <c r="KYP47" s="1156"/>
      <c r="KYQ47" s="1156" t="s">
        <v>814</v>
      </c>
      <c r="KYR47" s="1156"/>
      <c r="KYS47" s="1156" t="s">
        <v>814</v>
      </c>
      <c r="KYT47" s="1156"/>
      <c r="KYU47" s="1156" t="s">
        <v>814</v>
      </c>
      <c r="KYV47" s="1156"/>
      <c r="KYW47" s="1156" t="s">
        <v>814</v>
      </c>
      <c r="KYX47" s="1156"/>
      <c r="KYY47" s="1156" t="s">
        <v>814</v>
      </c>
      <c r="KYZ47" s="1156"/>
      <c r="KZA47" s="1156" t="s">
        <v>814</v>
      </c>
      <c r="KZB47" s="1156"/>
      <c r="KZC47" s="1156" t="s">
        <v>814</v>
      </c>
      <c r="KZD47" s="1156"/>
      <c r="KZE47" s="1156" t="s">
        <v>814</v>
      </c>
      <c r="KZF47" s="1156"/>
      <c r="KZG47" s="1156" t="s">
        <v>814</v>
      </c>
      <c r="KZH47" s="1156"/>
      <c r="KZI47" s="1156" t="s">
        <v>814</v>
      </c>
      <c r="KZJ47" s="1156"/>
      <c r="KZK47" s="1156" t="s">
        <v>814</v>
      </c>
      <c r="KZL47" s="1156"/>
      <c r="KZM47" s="1156" t="s">
        <v>814</v>
      </c>
      <c r="KZN47" s="1156"/>
      <c r="KZO47" s="1156" t="s">
        <v>814</v>
      </c>
      <c r="KZP47" s="1156"/>
      <c r="KZQ47" s="1156" t="s">
        <v>814</v>
      </c>
      <c r="KZR47" s="1156"/>
      <c r="KZS47" s="1156" t="s">
        <v>814</v>
      </c>
      <c r="KZT47" s="1156"/>
      <c r="KZU47" s="1156" t="s">
        <v>814</v>
      </c>
      <c r="KZV47" s="1156"/>
      <c r="KZW47" s="1156" t="s">
        <v>814</v>
      </c>
      <c r="KZX47" s="1156"/>
      <c r="KZY47" s="1156" t="s">
        <v>814</v>
      </c>
      <c r="KZZ47" s="1156"/>
      <c r="LAA47" s="1156" t="s">
        <v>814</v>
      </c>
      <c r="LAB47" s="1156"/>
      <c r="LAC47" s="1156" t="s">
        <v>814</v>
      </c>
      <c r="LAD47" s="1156"/>
      <c r="LAE47" s="1156" t="s">
        <v>814</v>
      </c>
      <c r="LAF47" s="1156"/>
      <c r="LAG47" s="1156" t="s">
        <v>814</v>
      </c>
      <c r="LAH47" s="1156"/>
      <c r="LAI47" s="1156" t="s">
        <v>814</v>
      </c>
      <c r="LAJ47" s="1156"/>
      <c r="LAK47" s="1156" t="s">
        <v>814</v>
      </c>
      <c r="LAL47" s="1156"/>
      <c r="LAM47" s="1156" t="s">
        <v>814</v>
      </c>
      <c r="LAN47" s="1156"/>
      <c r="LAO47" s="1156" t="s">
        <v>814</v>
      </c>
      <c r="LAP47" s="1156"/>
      <c r="LAQ47" s="1156" t="s">
        <v>814</v>
      </c>
      <c r="LAR47" s="1156"/>
      <c r="LAS47" s="1156" t="s">
        <v>814</v>
      </c>
      <c r="LAT47" s="1156"/>
      <c r="LAU47" s="1156" t="s">
        <v>814</v>
      </c>
      <c r="LAV47" s="1156"/>
      <c r="LAW47" s="1156" t="s">
        <v>814</v>
      </c>
      <c r="LAX47" s="1156"/>
      <c r="LAY47" s="1156" t="s">
        <v>814</v>
      </c>
      <c r="LAZ47" s="1156"/>
      <c r="LBA47" s="1156" t="s">
        <v>814</v>
      </c>
      <c r="LBB47" s="1156"/>
      <c r="LBC47" s="1156" t="s">
        <v>814</v>
      </c>
      <c r="LBD47" s="1156"/>
      <c r="LBE47" s="1156" t="s">
        <v>814</v>
      </c>
      <c r="LBF47" s="1156"/>
      <c r="LBG47" s="1156" t="s">
        <v>814</v>
      </c>
      <c r="LBH47" s="1156"/>
      <c r="LBI47" s="1156" t="s">
        <v>814</v>
      </c>
      <c r="LBJ47" s="1156"/>
      <c r="LBK47" s="1156" t="s">
        <v>814</v>
      </c>
      <c r="LBL47" s="1156"/>
      <c r="LBM47" s="1156" t="s">
        <v>814</v>
      </c>
      <c r="LBN47" s="1156"/>
      <c r="LBO47" s="1156" t="s">
        <v>814</v>
      </c>
      <c r="LBP47" s="1156"/>
      <c r="LBQ47" s="1156" t="s">
        <v>814</v>
      </c>
      <c r="LBR47" s="1156"/>
      <c r="LBS47" s="1156" t="s">
        <v>814</v>
      </c>
      <c r="LBT47" s="1156"/>
      <c r="LBU47" s="1156" t="s">
        <v>814</v>
      </c>
      <c r="LBV47" s="1156"/>
      <c r="LBW47" s="1156" t="s">
        <v>814</v>
      </c>
      <c r="LBX47" s="1156"/>
      <c r="LBY47" s="1156" t="s">
        <v>814</v>
      </c>
      <c r="LBZ47" s="1156"/>
      <c r="LCA47" s="1156" t="s">
        <v>814</v>
      </c>
      <c r="LCB47" s="1156"/>
      <c r="LCC47" s="1156" t="s">
        <v>814</v>
      </c>
      <c r="LCD47" s="1156"/>
      <c r="LCE47" s="1156" t="s">
        <v>814</v>
      </c>
      <c r="LCF47" s="1156"/>
      <c r="LCG47" s="1156" t="s">
        <v>814</v>
      </c>
      <c r="LCH47" s="1156"/>
      <c r="LCI47" s="1156" t="s">
        <v>814</v>
      </c>
      <c r="LCJ47" s="1156"/>
      <c r="LCK47" s="1156" t="s">
        <v>814</v>
      </c>
      <c r="LCL47" s="1156"/>
      <c r="LCM47" s="1156" t="s">
        <v>814</v>
      </c>
      <c r="LCN47" s="1156"/>
      <c r="LCO47" s="1156" t="s">
        <v>814</v>
      </c>
      <c r="LCP47" s="1156"/>
      <c r="LCQ47" s="1156" t="s">
        <v>814</v>
      </c>
      <c r="LCR47" s="1156"/>
      <c r="LCS47" s="1156" t="s">
        <v>814</v>
      </c>
      <c r="LCT47" s="1156"/>
      <c r="LCU47" s="1156" t="s">
        <v>814</v>
      </c>
      <c r="LCV47" s="1156"/>
      <c r="LCW47" s="1156" t="s">
        <v>814</v>
      </c>
      <c r="LCX47" s="1156"/>
      <c r="LCY47" s="1156" t="s">
        <v>814</v>
      </c>
      <c r="LCZ47" s="1156"/>
      <c r="LDA47" s="1156" t="s">
        <v>814</v>
      </c>
      <c r="LDB47" s="1156"/>
      <c r="LDC47" s="1156" t="s">
        <v>814</v>
      </c>
      <c r="LDD47" s="1156"/>
      <c r="LDE47" s="1156" t="s">
        <v>814</v>
      </c>
      <c r="LDF47" s="1156"/>
      <c r="LDG47" s="1156" t="s">
        <v>814</v>
      </c>
      <c r="LDH47" s="1156"/>
      <c r="LDI47" s="1156" t="s">
        <v>814</v>
      </c>
      <c r="LDJ47" s="1156"/>
      <c r="LDK47" s="1156" t="s">
        <v>814</v>
      </c>
      <c r="LDL47" s="1156"/>
      <c r="LDM47" s="1156" t="s">
        <v>814</v>
      </c>
      <c r="LDN47" s="1156"/>
      <c r="LDO47" s="1156" t="s">
        <v>814</v>
      </c>
      <c r="LDP47" s="1156"/>
      <c r="LDQ47" s="1156" t="s">
        <v>814</v>
      </c>
      <c r="LDR47" s="1156"/>
      <c r="LDS47" s="1156" t="s">
        <v>814</v>
      </c>
      <c r="LDT47" s="1156"/>
      <c r="LDU47" s="1156" t="s">
        <v>814</v>
      </c>
      <c r="LDV47" s="1156"/>
      <c r="LDW47" s="1156" t="s">
        <v>814</v>
      </c>
      <c r="LDX47" s="1156"/>
      <c r="LDY47" s="1156" t="s">
        <v>814</v>
      </c>
      <c r="LDZ47" s="1156"/>
      <c r="LEA47" s="1156" t="s">
        <v>814</v>
      </c>
      <c r="LEB47" s="1156"/>
      <c r="LEC47" s="1156" t="s">
        <v>814</v>
      </c>
      <c r="LED47" s="1156"/>
      <c r="LEE47" s="1156" t="s">
        <v>814</v>
      </c>
      <c r="LEF47" s="1156"/>
      <c r="LEG47" s="1156" t="s">
        <v>814</v>
      </c>
      <c r="LEH47" s="1156"/>
      <c r="LEI47" s="1156" t="s">
        <v>814</v>
      </c>
      <c r="LEJ47" s="1156"/>
      <c r="LEK47" s="1156" t="s">
        <v>814</v>
      </c>
      <c r="LEL47" s="1156"/>
      <c r="LEM47" s="1156" t="s">
        <v>814</v>
      </c>
      <c r="LEN47" s="1156"/>
      <c r="LEO47" s="1156" t="s">
        <v>814</v>
      </c>
      <c r="LEP47" s="1156"/>
      <c r="LEQ47" s="1156" t="s">
        <v>814</v>
      </c>
      <c r="LER47" s="1156"/>
      <c r="LES47" s="1156" t="s">
        <v>814</v>
      </c>
      <c r="LET47" s="1156"/>
      <c r="LEU47" s="1156" t="s">
        <v>814</v>
      </c>
      <c r="LEV47" s="1156"/>
      <c r="LEW47" s="1156" t="s">
        <v>814</v>
      </c>
      <c r="LEX47" s="1156"/>
      <c r="LEY47" s="1156" t="s">
        <v>814</v>
      </c>
      <c r="LEZ47" s="1156"/>
      <c r="LFA47" s="1156" t="s">
        <v>814</v>
      </c>
      <c r="LFB47" s="1156"/>
      <c r="LFC47" s="1156" t="s">
        <v>814</v>
      </c>
      <c r="LFD47" s="1156"/>
      <c r="LFE47" s="1156" t="s">
        <v>814</v>
      </c>
      <c r="LFF47" s="1156"/>
      <c r="LFG47" s="1156" t="s">
        <v>814</v>
      </c>
      <c r="LFH47" s="1156"/>
      <c r="LFI47" s="1156" t="s">
        <v>814</v>
      </c>
      <c r="LFJ47" s="1156"/>
      <c r="LFK47" s="1156" t="s">
        <v>814</v>
      </c>
      <c r="LFL47" s="1156"/>
      <c r="LFM47" s="1156" t="s">
        <v>814</v>
      </c>
      <c r="LFN47" s="1156"/>
      <c r="LFO47" s="1156" t="s">
        <v>814</v>
      </c>
      <c r="LFP47" s="1156"/>
      <c r="LFQ47" s="1156" t="s">
        <v>814</v>
      </c>
      <c r="LFR47" s="1156"/>
      <c r="LFS47" s="1156" t="s">
        <v>814</v>
      </c>
      <c r="LFT47" s="1156"/>
      <c r="LFU47" s="1156" t="s">
        <v>814</v>
      </c>
      <c r="LFV47" s="1156"/>
      <c r="LFW47" s="1156" t="s">
        <v>814</v>
      </c>
      <c r="LFX47" s="1156"/>
      <c r="LFY47" s="1156" t="s">
        <v>814</v>
      </c>
      <c r="LFZ47" s="1156"/>
      <c r="LGA47" s="1156" t="s">
        <v>814</v>
      </c>
      <c r="LGB47" s="1156"/>
      <c r="LGC47" s="1156" t="s">
        <v>814</v>
      </c>
      <c r="LGD47" s="1156"/>
      <c r="LGE47" s="1156" t="s">
        <v>814</v>
      </c>
      <c r="LGF47" s="1156"/>
      <c r="LGG47" s="1156" t="s">
        <v>814</v>
      </c>
      <c r="LGH47" s="1156"/>
      <c r="LGI47" s="1156" t="s">
        <v>814</v>
      </c>
      <c r="LGJ47" s="1156"/>
      <c r="LGK47" s="1156" t="s">
        <v>814</v>
      </c>
      <c r="LGL47" s="1156"/>
      <c r="LGM47" s="1156" t="s">
        <v>814</v>
      </c>
      <c r="LGN47" s="1156"/>
      <c r="LGO47" s="1156" t="s">
        <v>814</v>
      </c>
      <c r="LGP47" s="1156"/>
      <c r="LGQ47" s="1156" t="s">
        <v>814</v>
      </c>
      <c r="LGR47" s="1156"/>
      <c r="LGS47" s="1156" t="s">
        <v>814</v>
      </c>
      <c r="LGT47" s="1156"/>
      <c r="LGU47" s="1156" t="s">
        <v>814</v>
      </c>
      <c r="LGV47" s="1156"/>
      <c r="LGW47" s="1156" t="s">
        <v>814</v>
      </c>
      <c r="LGX47" s="1156"/>
      <c r="LGY47" s="1156" t="s">
        <v>814</v>
      </c>
      <c r="LGZ47" s="1156"/>
      <c r="LHA47" s="1156" t="s">
        <v>814</v>
      </c>
      <c r="LHB47" s="1156"/>
      <c r="LHC47" s="1156" t="s">
        <v>814</v>
      </c>
      <c r="LHD47" s="1156"/>
      <c r="LHE47" s="1156" t="s">
        <v>814</v>
      </c>
      <c r="LHF47" s="1156"/>
      <c r="LHG47" s="1156" t="s">
        <v>814</v>
      </c>
      <c r="LHH47" s="1156"/>
      <c r="LHI47" s="1156" t="s">
        <v>814</v>
      </c>
      <c r="LHJ47" s="1156"/>
      <c r="LHK47" s="1156" t="s">
        <v>814</v>
      </c>
      <c r="LHL47" s="1156"/>
      <c r="LHM47" s="1156" t="s">
        <v>814</v>
      </c>
      <c r="LHN47" s="1156"/>
      <c r="LHO47" s="1156" t="s">
        <v>814</v>
      </c>
      <c r="LHP47" s="1156"/>
      <c r="LHQ47" s="1156" t="s">
        <v>814</v>
      </c>
      <c r="LHR47" s="1156"/>
      <c r="LHS47" s="1156" t="s">
        <v>814</v>
      </c>
      <c r="LHT47" s="1156"/>
      <c r="LHU47" s="1156" t="s">
        <v>814</v>
      </c>
      <c r="LHV47" s="1156"/>
      <c r="LHW47" s="1156" t="s">
        <v>814</v>
      </c>
      <c r="LHX47" s="1156"/>
      <c r="LHY47" s="1156" t="s">
        <v>814</v>
      </c>
      <c r="LHZ47" s="1156"/>
      <c r="LIA47" s="1156" t="s">
        <v>814</v>
      </c>
      <c r="LIB47" s="1156"/>
      <c r="LIC47" s="1156" t="s">
        <v>814</v>
      </c>
      <c r="LID47" s="1156"/>
      <c r="LIE47" s="1156" t="s">
        <v>814</v>
      </c>
      <c r="LIF47" s="1156"/>
      <c r="LIG47" s="1156" t="s">
        <v>814</v>
      </c>
      <c r="LIH47" s="1156"/>
      <c r="LII47" s="1156" t="s">
        <v>814</v>
      </c>
      <c r="LIJ47" s="1156"/>
      <c r="LIK47" s="1156" t="s">
        <v>814</v>
      </c>
      <c r="LIL47" s="1156"/>
      <c r="LIM47" s="1156" t="s">
        <v>814</v>
      </c>
      <c r="LIN47" s="1156"/>
      <c r="LIO47" s="1156" t="s">
        <v>814</v>
      </c>
      <c r="LIP47" s="1156"/>
      <c r="LIQ47" s="1156" t="s">
        <v>814</v>
      </c>
      <c r="LIR47" s="1156"/>
      <c r="LIS47" s="1156" t="s">
        <v>814</v>
      </c>
      <c r="LIT47" s="1156"/>
      <c r="LIU47" s="1156" t="s">
        <v>814</v>
      </c>
      <c r="LIV47" s="1156"/>
      <c r="LIW47" s="1156" t="s">
        <v>814</v>
      </c>
      <c r="LIX47" s="1156"/>
      <c r="LIY47" s="1156" t="s">
        <v>814</v>
      </c>
      <c r="LIZ47" s="1156"/>
      <c r="LJA47" s="1156" t="s">
        <v>814</v>
      </c>
      <c r="LJB47" s="1156"/>
      <c r="LJC47" s="1156" t="s">
        <v>814</v>
      </c>
      <c r="LJD47" s="1156"/>
      <c r="LJE47" s="1156" t="s">
        <v>814</v>
      </c>
      <c r="LJF47" s="1156"/>
      <c r="LJG47" s="1156" t="s">
        <v>814</v>
      </c>
      <c r="LJH47" s="1156"/>
      <c r="LJI47" s="1156" t="s">
        <v>814</v>
      </c>
      <c r="LJJ47" s="1156"/>
      <c r="LJK47" s="1156" t="s">
        <v>814</v>
      </c>
      <c r="LJL47" s="1156"/>
      <c r="LJM47" s="1156" t="s">
        <v>814</v>
      </c>
      <c r="LJN47" s="1156"/>
      <c r="LJO47" s="1156" t="s">
        <v>814</v>
      </c>
      <c r="LJP47" s="1156"/>
      <c r="LJQ47" s="1156" t="s">
        <v>814</v>
      </c>
      <c r="LJR47" s="1156"/>
      <c r="LJS47" s="1156" t="s">
        <v>814</v>
      </c>
      <c r="LJT47" s="1156"/>
      <c r="LJU47" s="1156" t="s">
        <v>814</v>
      </c>
      <c r="LJV47" s="1156"/>
      <c r="LJW47" s="1156" t="s">
        <v>814</v>
      </c>
      <c r="LJX47" s="1156"/>
      <c r="LJY47" s="1156" t="s">
        <v>814</v>
      </c>
      <c r="LJZ47" s="1156"/>
      <c r="LKA47" s="1156" t="s">
        <v>814</v>
      </c>
      <c r="LKB47" s="1156"/>
      <c r="LKC47" s="1156" t="s">
        <v>814</v>
      </c>
      <c r="LKD47" s="1156"/>
      <c r="LKE47" s="1156" t="s">
        <v>814</v>
      </c>
      <c r="LKF47" s="1156"/>
      <c r="LKG47" s="1156" t="s">
        <v>814</v>
      </c>
      <c r="LKH47" s="1156"/>
      <c r="LKI47" s="1156" t="s">
        <v>814</v>
      </c>
      <c r="LKJ47" s="1156"/>
      <c r="LKK47" s="1156" t="s">
        <v>814</v>
      </c>
      <c r="LKL47" s="1156"/>
      <c r="LKM47" s="1156" t="s">
        <v>814</v>
      </c>
      <c r="LKN47" s="1156"/>
      <c r="LKO47" s="1156" t="s">
        <v>814</v>
      </c>
      <c r="LKP47" s="1156"/>
      <c r="LKQ47" s="1156" t="s">
        <v>814</v>
      </c>
      <c r="LKR47" s="1156"/>
      <c r="LKS47" s="1156" t="s">
        <v>814</v>
      </c>
      <c r="LKT47" s="1156"/>
      <c r="LKU47" s="1156" t="s">
        <v>814</v>
      </c>
      <c r="LKV47" s="1156"/>
      <c r="LKW47" s="1156" t="s">
        <v>814</v>
      </c>
      <c r="LKX47" s="1156"/>
      <c r="LKY47" s="1156" t="s">
        <v>814</v>
      </c>
      <c r="LKZ47" s="1156"/>
      <c r="LLA47" s="1156" t="s">
        <v>814</v>
      </c>
      <c r="LLB47" s="1156"/>
      <c r="LLC47" s="1156" t="s">
        <v>814</v>
      </c>
      <c r="LLD47" s="1156"/>
      <c r="LLE47" s="1156" t="s">
        <v>814</v>
      </c>
      <c r="LLF47" s="1156"/>
      <c r="LLG47" s="1156" t="s">
        <v>814</v>
      </c>
      <c r="LLH47" s="1156"/>
      <c r="LLI47" s="1156" t="s">
        <v>814</v>
      </c>
      <c r="LLJ47" s="1156"/>
      <c r="LLK47" s="1156" t="s">
        <v>814</v>
      </c>
      <c r="LLL47" s="1156"/>
      <c r="LLM47" s="1156" t="s">
        <v>814</v>
      </c>
      <c r="LLN47" s="1156"/>
      <c r="LLO47" s="1156" t="s">
        <v>814</v>
      </c>
      <c r="LLP47" s="1156"/>
      <c r="LLQ47" s="1156" t="s">
        <v>814</v>
      </c>
      <c r="LLR47" s="1156"/>
      <c r="LLS47" s="1156" t="s">
        <v>814</v>
      </c>
      <c r="LLT47" s="1156"/>
      <c r="LLU47" s="1156" t="s">
        <v>814</v>
      </c>
      <c r="LLV47" s="1156"/>
      <c r="LLW47" s="1156" t="s">
        <v>814</v>
      </c>
      <c r="LLX47" s="1156"/>
      <c r="LLY47" s="1156" t="s">
        <v>814</v>
      </c>
      <c r="LLZ47" s="1156"/>
      <c r="LMA47" s="1156" t="s">
        <v>814</v>
      </c>
      <c r="LMB47" s="1156"/>
      <c r="LMC47" s="1156" t="s">
        <v>814</v>
      </c>
      <c r="LMD47" s="1156"/>
      <c r="LME47" s="1156" t="s">
        <v>814</v>
      </c>
      <c r="LMF47" s="1156"/>
      <c r="LMG47" s="1156" t="s">
        <v>814</v>
      </c>
      <c r="LMH47" s="1156"/>
      <c r="LMI47" s="1156" t="s">
        <v>814</v>
      </c>
      <c r="LMJ47" s="1156"/>
      <c r="LMK47" s="1156" t="s">
        <v>814</v>
      </c>
      <c r="LML47" s="1156"/>
      <c r="LMM47" s="1156" t="s">
        <v>814</v>
      </c>
      <c r="LMN47" s="1156"/>
      <c r="LMO47" s="1156" t="s">
        <v>814</v>
      </c>
      <c r="LMP47" s="1156"/>
      <c r="LMQ47" s="1156" t="s">
        <v>814</v>
      </c>
      <c r="LMR47" s="1156"/>
      <c r="LMS47" s="1156" t="s">
        <v>814</v>
      </c>
      <c r="LMT47" s="1156"/>
      <c r="LMU47" s="1156" t="s">
        <v>814</v>
      </c>
      <c r="LMV47" s="1156"/>
      <c r="LMW47" s="1156" t="s">
        <v>814</v>
      </c>
      <c r="LMX47" s="1156"/>
      <c r="LMY47" s="1156" t="s">
        <v>814</v>
      </c>
      <c r="LMZ47" s="1156"/>
      <c r="LNA47" s="1156" t="s">
        <v>814</v>
      </c>
      <c r="LNB47" s="1156"/>
      <c r="LNC47" s="1156" t="s">
        <v>814</v>
      </c>
      <c r="LND47" s="1156"/>
      <c r="LNE47" s="1156" t="s">
        <v>814</v>
      </c>
      <c r="LNF47" s="1156"/>
      <c r="LNG47" s="1156" t="s">
        <v>814</v>
      </c>
      <c r="LNH47" s="1156"/>
      <c r="LNI47" s="1156" t="s">
        <v>814</v>
      </c>
      <c r="LNJ47" s="1156"/>
      <c r="LNK47" s="1156" t="s">
        <v>814</v>
      </c>
      <c r="LNL47" s="1156"/>
      <c r="LNM47" s="1156" t="s">
        <v>814</v>
      </c>
      <c r="LNN47" s="1156"/>
      <c r="LNO47" s="1156" t="s">
        <v>814</v>
      </c>
      <c r="LNP47" s="1156"/>
      <c r="LNQ47" s="1156" t="s">
        <v>814</v>
      </c>
      <c r="LNR47" s="1156"/>
      <c r="LNS47" s="1156" t="s">
        <v>814</v>
      </c>
      <c r="LNT47" s="1156"/>
      <c r="LNU47" s="1156" t="s">
        <v>814</v>
      </c>
      <c r="LNV47" s="1156"/>
      <c r="LNW47" s="1156" t="s">
        <v>814</v>
      </c>
      <c r="LNX47" s="1156"/>
      <c r="LNY47" s="1156" t="s">
        <v>814</v>
      </c>
      <c r="LNZ47" s="1156"/>
      <c r="LOA47" s="1156" t="s">
        <v>814</v>
      </c>
      <c r="LOB47" s="1156"/>
      <c r="LOC47" s="1156" t="s">
        <v>814</v>
      </c>
      <c r="LOD47" s="1156"/>
      <c r="LOE47" s="1156" t="s">
        <v>814</v>
      </c>
      <c r="LOF47" s="1156"/>
      <c r="LOG47" s="1156" t="s">
        <v>814</v>
      </c>
      <c r="LOH47" s="1156"/>
      <c r="LOI47" s="1156" t="s">
        <v>814</v>
      </c>
      <c r="LOJ47" s="1156"/>
      <c r="LOK47" s="1156" t="s">
        <v>814</v>
      </c>
      <c r="LOL47" s="1156"/>
      <c r="LOM47" s="1156" t="s">
        <v>814</v>
      </c>
      <c r="LON47" s="1156"/>
      <c r="LOO47" s="1156" t="s">
        <v>814</v>
      </c>
      <c r="LOP47" s="1156"/>
      <c r="LOQ47" s="1156" t="s">
        <v>814</v>
      </c>
      <c r="LOR47" s="1156"/>
      <c r="LOS47" s="1156" t="s">
        <v>814</v>
      </c>
      <c r="LOT47" s="1156"/>
      <c r="LOU47" s="1156" t="s">
        <v>814</v>
      </c>
      <c r="LOV47" s="1156"/>
      <c r="LOW47" s="1156" t="s">
        <v>814</v>
      </c>
      <c r="LOX47" s="1156"/>
      <c r="LOY47" s="1156" t="s">
        <v>814</v>
      </c>
      <c r="LOZ47" s="1156"/>
      <c r="LPA47" s="1156" t="s">
        <v>814</v>
      </c>
      <c r="LPB47" s="1156"/>
      <c r="LPC47" s="1156" t="s">
        <v>814</v>
      </c>
      <c r="LPD47" s="1156"/>
      <c r="LPE47" s="1156" t="s">
        <v>814</v>
      </c>
      <c r="LPF47" s="1156"/>
      <c r="LPG47" s="1156" t="s">
        <v>814</v>
      </c>
      <c r="LPH47" s="1156"/>
      <c r="LPI47" s="1156" t="s">
        <v>814</v>
      </c>
      <c r="LPJ47" s="1156"/>
      <c r="LPK47" s="1156" t="s">
        <v>814</v>
      </c>
      <c r="LPL47" s="1156"/>
      <c r="LPM47" s="1156" t="s">
        <v>814</v>
      </c>
      <c r="LPN47" s="1156"/>
      <c r="LPO47" s="1156" t="s">
        <v>814</v>
      </c>
      <c r="LPP47" s="1156"/>
      <c r="LPQ47" s="1156" t="s">
        <v>814</v>
      </c>
      <c r="LPR47" s="1156"/>
      <c r="LPS47" s="1156" t="s">
        <v>814</v>
      </c>
      <c r="LPT47" s="1156"/>
      <c r="LPU47" s="1156" t="s">
        <v>814</v>
      </c>
      <c r="LPV47" s="1156"/>
      <c r="LPW47" s="1156" t="s">
        <v>814</v>
      </c>
      <c r="LPX47" s="1156"/>
      <c r="LPY47" s="1156" t="s">
        <v>814</v>
      </c>
      <c r="LPZ47" s="1156"/>
      <c r="LQA47" s="1156" t="s">
        <v>814</v>
      </c>
      <c r="LQB47" s="1156"/>
      <c r="LQC47" s="1156" t="s">
        <v>814</v>
      </c>
      <c r="LQD47" s="1156"/>
      <c r="LQE47" s="1156" t="s">
        <v>814</v>
      </c>
      <c r="LQF47" s="1156"/>
      <c r="LQG47" s="1156" t="s">
        <v>814</v>
      </c>
      <c r="LQH47" s="1156"/>
      <c r="LQI47" s="1156" t="s">
        <v>814</v>
      </c>
      <c r="LQJ47" s="1156"/>
      <c r="LQK47" s="1156" t="s">
        <v>814</v>
      </c>
      <c r="LQL47" s="1156"/>
      <c r="LQM47" s="1156" t="s">
        <v>814</v>
      </c>
      <c r="LQN47" s="1156"/>
      <c r="LQO47" s="1156" t="s">
        <v>814</v>
      </c>
      <c r="LQP47" s="1156"/>
      <c r="LQQ47" s="1156" t="s">
        <v>814</v>
      </c>
      <c r="LQR47" s="1156"/>
      <c r="LQS47" s="1156" t="s">
        <v>814</v>
      </c>
      <c r="LQT47" s="1156"/>
      <c r="LQU47" s="1156" t="s">
        <v>814</v>
      </c>
      <c r="LQV47" s="1156"/>
      <c r="LQW47" s="1156" t="s">
        <v>814</v>
      </c>
      <c r="LQX47" s="1156"/>
      <c r="LQY47" s="1156" t="s">
        <v>814</v>
      </c>
      <c r="LQZ47" s="1156"/>
      <c r="LRA47" s="1156" t="s">
        <v>814</v>
      </c>
      <c r="LRB47" s="1156"/>
      <c r="LRC47" s="1156" t="s">
        <v>814</v>
      </c>
      <c r="LRD47" s="1156"/>
      <c r="LRE47" s="1156" t="s">
        <v>814</v>
      </c>
      <c r="LRF47" s="1156"/>
      <c r="LRG47" s="1156" t="s">
        <v>814</v>
      </c>
      <c r="LRH47" s="1156"/>
      <c r="LRI47" s="1156" t="s">
        <v>814</v>
      </c>
      <c r="LRJ47" s="1156"/>
      <c r="LRK47" s="1156" t="s">
        <v>814</v>
      </c>
      <c r="LRL47" s="1156"/>
      <c r="LRM47" s="1156" t="s">
        <v>814</v>
      </c>
      <c r="LRN47" s="1156"/>
      <c r="LRO47" s="1156" t="s">
        <v>814</v>
      </c>
      <c r="LRP47" s="1156"/>
      <c r="LRQ47" s="1156" t="s">
        <v>814</v>
      </c>
      <c r="LRR47" s="1156"/>
      <c r="LRS47" s="1156" t="s">
        <v>814</v>
      </c>
      <c r="LRT47" s="1156"/>
      <c r="LRU47" s="1156" t="s">
        <v>814</v>
      </c>
      <c r="LRV47" s="1156"/>
      <c r="LRW47" s="1156" t="s">
        <v>814</v>
      </c>
      <c r="LRX47" s="1156"/>
      <c r="LRY47" s="1156" t="s">
        <v>814</v>
      </c>
      <c r="LRZ47" s="1156"/>
      <c r="LSA47" s="1156" t="s">
        <v>814</v>
      </c>
      <c r="LSB47" s="1156"/>
      <c r="LSC47" s="1156" t="s">
        <v>814</v>
      </c>
      <c r="LSD47" s="1156"/>
      <c r="LSE47" s="1156" t="s">
        <v>814</v>
      </c>
      <c r="LSF47" s="1156"/>
      <c r="LSG47" s="1156" t="s">
        <v>814</v>
      </c>
      <c r="LSH47" s="1156"/>
      <c r="LSI47" s="1156" t="s">
        <v>814</v>
      </c>
      <c r="LSJ47" s="1156"/>
      <c r="LSK47" s="1156" t="s">
        <v>814</v>
      </c>
      <c r="LSL47" s="1156"/>
      <c r="LSM47" s="1156" t="s">
        <v>814</v>
      </c>
      <c r="LSN47" s="1156"/>
      <c r="LSO47" s="1156" t="s">
        <v>814</v>
      </c>
      <c r="LSP47" s="1156"/>
      <c r="LSQ47" s="1156" t="s">
        <v>814</v>
      </c>
      <c r="LSR47" s="1156"/>
      <c r="LSS47" s="1156" t="s">
        <v>814</v>
      </c>
      <c r="LST47" s="1156"/>
      <c r="LSU47" s="1156" t="s">
        <v>814</v>
      </c>
      <c r="LSV47" s="1156"/>
      <c r="LSW47" s="1156" t="s">
        <v>814</v>
      </c>
      <c r="LSX47" s="1156"/>
      <c r="LSY47" s="1156" t="s">
        <v>814</v>
      </c>
      <c r="LSZ47" s="1156"/>
      <c r="LTA47" s="1156" t="s">
        <v>814</v>
      </c>
      <c r="LTB47" s="1156"/>
      <c r="LTC47" s="1156" t="s">
        <v>814</v>
      </c>
      <c r="LTD47" s="1156"/>
      <c r="LTE47" s="1156" t="s">
        <v>814</v>
      </c>
      <c r="LTF47" s="1156"/>
      <c r="LTG47" s="1156" t="s">
        <v>814</v>
      </c>
      <c r="LTH47" s="1156"/>
      <c r="LTI47" s="1156" t="s">
        <v>814</v>
      </c>
      <c r="LTJ47" s="1156"/>
      <c r="LTK47" s="1156" t="s">
        <v>814</v>
      </c>
      <c r="LTL47" s="1156"/>
      <c r="LTM47" s="1156" t="s">
        <v>814</v>
      </c>
      <c r="LTN47" s="1156"/>
      <c r="LTO47" s="1156" t="s">
        <v>814</v>
      </c>
      <c r="LTP47" s="1156"/>
      <c r="LTQ47" s="1156" t="s">
        <v>814</v>
      </c>
      <c r="LTR47" s="1156"/>
      <c r="LTS47" s="1156" t="s">
        <v>814</v>
      </c>
      <c r="LTT47" s="1156"/>
      <c r="LTU47" s="1156" t="s">
        <v>814</v>
      </c>
      <c r="LTV47" s="1156"/>
      <c r="LTW47" s="1156" t="s">
        <v>814</v>
      </c>
      <c r="LTX47" s="1156"/>
      <c r="LTY47" s="1156" t="s">
        <v>814</v>
      </c>
      <c r="LTZ47" s="1156"/>
      <c r="LUA47" s="1156" t="s">
        <v>814</v>
      </c>
      <c r="LUB47" s="1156"/>
      <c r="LUC47" s="1156" t="s">
        <v>814</v>
      </c>
      <c r="LUD47" s="1156"/>
      <c r="LUE47" s="1156" t="s">
        <v>814</v>
      </c>
      <c r="LUF47" s="1156"/>
      <c r="LUG47" s="1156" t="s">
        <v>814</v>
      </c>
      <c r="LUH47" s="1156"/>
      <c r="LUI47" s="1156" t="s">
        <v>814</v>
      </c>
      <c r="LUJ47" s="1156"/>
      <c r="LUK47" s="1156" t="s">
        <v>814</v>
      </c>
      <c r="LUL47" s="1156"/>
      <c r="LUM47" s="1156" t="s">
        <v>814</v>
      </c>
      <c r="LUN47" s="1156"/>
      <c r="LUO47" s="1156" t="s">
        <v>814</v>
      </c>
      <c r="LUP47" s="1156"/>
      <c r="LUQ47" s="1156" t="s">
        <v>814</v>
      </c>
      <c r="LUR47" s="1156"/>
      <c r="LUS47" s="1156" t="s">
        <v>814</v>
      </c>
      <c r="LUT47" s="1156"/>
      <c r="LUU47" s="1156" t="s">
        <v>814</v>
      </c>
      <c r="LUV47" s="1156"/>
      <c r="LUW47" s="1156" t="s">
        <v>814</v>
      </c>
      <c r="LUX47" s="1156"/>
      <c r="LUY47" s="1156" t="s">
        <v>814</v>
      </c>
      <c r="LUZ47" s="1156"/>
      <c r="LVA47" s="1156" t="s">
        <v>814</v>
      </c>
      <c r="LVB47" s="1156"/>
      <c r="LVC47" s="1156" t="s">
        <v>814</v>
      </c>
      <c r="LVD47" s="1156"/>
      <c r="LVE47" s="1156" t="s">
        <v>814</v>
      </c>
      <c r="LVF47" s="1156"/>
      <c r="LVG47" s="1156" t="s">
        <v>814</v>
      </c>
      <c r="LVH47" s="1156"/>
      <c r="LVI47" s="1156" t="s">
        <v>814</v>
      </c>
      <c r="LVJ47" s="1156"/>
      <c r="LVK47" s="1156" t="s">
        <v>814</v>
      </c>
      <c r="LVL47" s="1156"/>
      <c r="LVM47" s="1156" t="s">
        <v>814</v>
      </c>
      <c r="LVN47" s="1156"/>
      <c r="LVO47" s="1156" t="s">
        <v>814</v>
      </c>
      <c r="LVP47" s="1156"/>
      <c r="LVQ47" s="1156" t="s">
        <v>814</v>
      </c>
      <c r="LVR47" s="1156"/>
      <c r="LVS47" s="1156" t="s">
        <v>814</v>
      </c>
      <c r="LVT47" s="1156"/>
      <c r="LVU47" s="1156" t="s">
        <v>814</v>
      </c>
      <c r="LVV47" s="1156"/>
      <c r="LVW47" s="1156" t="s">
        <v>814</v>
      </c>
      <c r="LVX47" s="1156"/>
      <c r="LVY47" s="1156" t="s">
        <v>814</v>
      </c>
      <c r="LVZ47" s="1156"/>
      <c r="LWA47" s="1156" t="s">
        <v>814</v>
      </c>
      <c r="LWB47" s="1156"/>
      <c r="LWC47" s="1156" t="s">
        <v>814</v>
      </c>
      <c r="LWD47" s="1156"/>
      <c r="LWE47" s="1156" t="s">
        <v>814</v>
      </c>
      <c r="LWF47" s="1156"/>
      <c r="LWG47" s="1156" t="s">
        <v>814</v>
      </c>
      <c r="LWH47" s="1156"/>
      <c r="LWI47" s="1156" t="s">
        <v>814</v>
      </c>
      <c r="LWJ47" s="1156"/>
      <c r="LWK47" s="1156" t="s">
        <v>814</v>
      </c>
      <c r="LWL47" s="1156"/>
      <c r="LWM47" s="1156" t="s">
        <v>814</v>
      </c>
      <c r="LWN47" s="1156"/>
      <c r="LWO47" s="1156" t="s">
        <v>814</v>
      </c>
      <c r="LWP47" s="1156"/>
      <c r="LWQ47" s="1156" t="s">
        <v>814</v>
      </c>
      <c r="LWR47" s="1156"/>
      <c r="LWS47" s="1156" t="s">
        <v>814</v>
      </c>
      <c r="LWT47" s="1156"/>
      <c r="LWU47" s="1156" t="s">
        <v>814</v>
      </c>
      <c r="LWV47" s="1156"/>
      <c r="LWW47" s="1156" t="s">
        <v>814</v>
      </c>
      <c r="LWX47" s="1156"/>
      <c r="LWY47" s="1156" t="s">
        <v>814</v>
      </c>
      <c r="LWZ47" s="1156"/>
      <c r="LXA47" s="1156" t="s">
        <v>814</v>
      </c>
      <c r="LXB47" s="1156"/>
      <c r="LXC47" s="1156" t="s">
        <v>814</v>
      </c>
      <c r="LXD47" s="1156"/>
      <c r="LXE47" s="1156" t="s">
        <v>814</v>
      </c>
      <c r="LXF47" s="1156"/>
      <c r="LXG47" s="1156" t="s">
        <v>814</v>
      </c>
      <c r="LXH47" s="1156"/>
      <c r="LXI47" s="1156" t="s">
        <v>814</v>
      </c>
      <c r="LXJ47" s="1156"/>
      <c r="LXK47" s="1156" t="s">
        <v>814</v>
      </c>
      <c r="LXL47" s="1156"/>
      <c r="LXM47" s="1156" t="s">
        <v>814</v>
      </c>
      <c r="LXN47" s="1156"/>
      <c r="LXO47" s="1156" t="s">
        <v>814</v>
      </c>
      <c r="LXP47" s="1156"/>
      <c r="LXQ47" s="1156" t="s">
        <v>814</v>
      </c>
      <c r="LXR47" s="1156"/>
      <c r="LXS47" s="1156" t="s">
        <v>814</v>
      </c>
      <c r="LXT47" s="1156"/>
      <c r="LXU47" s="1156" t="s">
        <v>814</v>
      </c>
      <c r="LXV47" s="1156"/>
      <c r="LXW47" s="1156" t="s">
        <v>814</v>
      </c>
      <c r="LXX47" s="1156"/>
      <c r="LXY47" s="1156" t="s">
        <v>814</v>
      </c>
      <c r="LXZ47" s="1156"/>
      <c r="LYA47" s="1156" t="s">
        <v>814</v>
      </c>
      <c r="LYB47" s="1156"/>
      <c r="LYC47" s="1156" t="s">
        <v>814</v>
      </c>
      <c r="LYD47" s="1156"/>
      <c r="LYE47" s="1156" t="s">
        <v>814</v>
      </c>
      <c r="LYF47" s="1156"/>
      <c r="LYG47" s="1156" t="s">
        <v>814</v>
      </c>
      <c r="LYH47" s="1156"/>
      <c r="LYI47" s="1156" t="s">
        <v>814</v>
      </c>
      <c r="LYJ47" s="1156"/>
      <c r="LYK47" s="1156" t="s">
        <v>814</v>
      </c>
      <c r="LYL47" s="1156"/>
      <c r="LYM47" s="1156" t="s">
        <v>814</v>
      </c>
      <c r="LYN47" s="1156"/>
      <c r="LYO47" s="1156" t="s">
        <v>814</v>
      </c>
      <c r="LYP47" s="1156"/>
      <c r="LYQ47" s="1156" t="s">
        <v>814</v>
      </c>
      <c r="LYR47" s="1156"/>
      <c r="LYS47" s="1156" t="s">
        <v>814</v>
      </c>
      <c r="LYT47" s="1156"/>
      <c r="LYU47" s="1156" t="s">
        <v>814</v>
      </c>
      <c r="LYV47" s="1156"/>
      <c r="LYW47" s="1156" t="s">
        <v>814</v>
      </c>
      <c r="LYX47" s="1156"/>
      <c r="LYY47" s="1156" t="s">
        <v>814</v>
      </c>
      <c r="LYZ47" s="1156"/>
      <c r="LZA47" s="1156" t="s">
        <v>814</v>
      </c>
      <c r="LZB47" s="1156"/>
      <c r="LZC47" s="1156" t="s">
        <v>814</v>
      </c>
      <c r="LZD47" s="1156"/>
      <c r="LZE47" s="1156" t="s">
        <v>814</v>
      </c>
      <c r="LZF47" s="1156"/>
      <c r="LZG47" s="1156" t="s">
        <v>814</v>
      </c>
      <c r="LZH47" s="1156"/>
      <c r="LZI47" s="1156" t="s">
        <v>814</v>
      </c>
      <c r="LZJ47" s="1156"/>
      <c r="LZK47" s="1156" t="s">
        <v>814</v>
      </c>
      <c r="LZL47" s="1156"/>
      <c r="LZM47" s="1156" t="s">
        <v>814</v>
      </c>
      <c r="LZN47" s="1156"/>
      <c r="LZO47" s="1156" t="s">
        <v>814</v>
      </c>
      <c r="LZP47" s="1156"/>
      <c r="LZQ47" s="1156" t="s">
        <v>814</v>
      </c>
      <c r="LZR47" s="1156"/>
      <c r="LZS47" s="1156" t="s">
        <v>814</v>
      </c>
      <c r="LZT47" s="1156"/>
      <c r="LZU47" s="1156" t="s">
        <v>814</v>
      </c>
      <c r="LZV47" s="1156"/>
      <c r="LZW47" s="1156" t="s">
        <v>814</v>
      </c>
      <c r="LZX47" s="1156"/>
      <c r="LZY47" s="1156" t="s">
        <v>814</v>
      </c>
      <c r="LZZ47" s="1156"/>
      <c r="MAA47" s="1156" t="s">
        <v>814</v>
      </c>
      <c r="MAB47" s="1156"/>
      <c r="MAC47" s="1156" t="s">
        <v>814</v>
      </c>
      <c r="MAD47" s="1156"/>
      <c r="MAE47" s="1156" t="s">
        <v>814</v>
      </c>
      <c r="MAF47" s="1156"/>
      <c r="MAG47" s="1156" t="s">
        <v>814</v>
      </c>
      <c r="MAH47" s="1156"/>
      <c r="MAI47" s="1156" t="s">
        <v>814</v>
      </c>
      <c r="MAJ47" s="1156"/>
      <c r="MAK47" s="1156" t="s">
        <v>814</v>
      </c>
      <c r="MAL47" s="1156"/>
      <c r="MAM47" s="1156" t="s">
        <v>814</v>
      </c>
      <c r="MAN47" s="1156"/>
      <c r="MAO47" s="1156" t="s">
        <v>814</v>
      </c>
      <c r="MAP47" s="1156"/>
      <c r="MAQ47" s="1156" t="s">
        <v>814</v>
      </c>
      <c r="MAR47" s="1156"/>
      <c r="MAS47" s="1156" t="s">
        <v>814</v>
      </c>
      <c r="MAT47" s="1156"/>
      <c r="MAU47" s="1156" t="s">
        <v>814</v>
      </c>
      <c r="MAV47" s="1156"/>
      <c r="MAW47" s="1156" t="s">
        <v>814</v>
      </c>
      <c r="MAX47" s="1156"/>
      <c r="MAY47" s="1156" t="s">
        <v>814</v>
      </c>
      <c r="MAZ47" s="1156"/>
      <c r="MBA47" s="1156" t="s">
        <v>814</v>
      </c>
      <c r="MBB47" s="1156"/>
      <c r="MBC47" s="1156" t="s">
        <v>814</v>
      </c>
      <c r="MBD47" s="1156"/>
      <c r="MBE47" s="1156" t="s">
        <v>814</v>
      </c>
      <c r="MBF47" s="1156"/>
      <c r="MBG47" s="1156" t="s">
        <v>814</v>
      </c>
      <c r="MBH47" s="1156"/>
      <c r="MBI47" s="1156" t="s">
        <v>814</v>
      </c>
      <c r="MBJ47" s="1156"/>
      <c r="MBK47" s="1156" t="s">
        <v>814</v>
      </c>
      <c r="MBL47" s="1156"/>
      <c r="MBM47" s="1156" t="s">
        <v>814</v>
      </c>
      <c r="MBN47" s="1156"/>
      <c r="MBO47" s="1156" t="s">
        <v>814</v>
      </c>
      <c r="MBP47" s="1156"/>
      <c r="MBQ47" s="1156" t="s">
        <v>814</v>
      </c>
      <c r="MBR47" s="1156"/>
      <c r="MBS47" s="1156" t="s">
        <v>814</v>
      </c>
      <c r="MBT47" s="1156"/>
      <c r="MBU47" s="1156" t="s">
        <v>814</v>
      </c>
      <c r="MBV47" s="1156"/>
      <c r="MBW47" s="1156" t="s">
        <v>814</v>
      </c>
      <c r="MBX47" s="1156"/>
      <c r="MBY47" s="1156" t="s">
        <v>814</v>
      </c>
      <c r="MBZ47" s="1156"/>
      <c r="MCA47" s="1156" t="s">
        <v>814</v>
      </c>
      <c r="MCB47" s="1156"/>
      <c r="MCC47" s="1156" t="s">
        <v>814</v>
      </c>
      <c r="MCD47" s="1156"/>
      <c r="MCE47" s="1156" t="s">
        <v>814</v>
      </c>
      <c r="MCF47" s="1156"/>
      <c r="MCG47" s="1156" t="s">
        <v>814</v>
      </c>
      <c r="MCH47" s="1156"/>
      <c r="MCI47" s="1156" t="s">
        <v>814</v>
      </c>
      <c r="MCJ47" s="1156"/>
      <c r="MCK47" s="1156" t="s">
        <v>814</v>
      </c>
      <c r="MCL47" s="1156"/>
      <c r="MCM47" s="1156" t="s">
        <v>814</v>
      </c>
      <c r="MCN47" s="1156"/>
      <c r="MCO47" s="1156" t="s">
        <v>814</v>
      </c>
      <c r="MCP47" s="1156"/>
      <c r="MCQ47" s="1156" t="s">
        <v>814</v>
      </c>
      <c r="MCR47" s="1156"/>
      <c r="MCS47" s="1156" t="s">
        <v>814</v>
      </c>
      <c r="MCT47" s="1156"/>
      <c r="MCU47" s="1156" t="s">
        <v>814</v>
      </c>
      <c r="MCV47" s="1156"/>
      <c r="MCW47" s="1156" t="s">
        <v>814</v>
      </c>
      <c r="MCX47" s="1156"/>
      <c r="MCY47" s="1156" t="s">
        <v>814</v>
      </c>
      <c r="MCZ47" s="1156"/>
      <c r="MDA47" s="1156" t="s">
        <v>814</v>
      </c>
      <c r="MDB47" s="1156"/>
      <c r="MDC47" s="1156" t="s">
        <v>814</v>
      </c>
      <c r="MDD47" s="1156"/>
      <c r="MDE47" s="1156" t="s">
        <v>814</v>
      </c>
      <c r="MDF47" s="1156"/>
      <c r="MDG47" s="1156" t="s">
        <v>814</v>
      </c>
      <c r="MDH47" s="1156"/>
      <c r="MDI47" s="1156" t="s">
        <v>814</v>
      </c>
      <c r="MDJ47" s="1156"/>
      <c r="MDK47" s="1156" t="s">
        <v>814</v>
      </c>
      <c r="MDL47" s="1156"/>
      <c r="MDM47" s="1156" t="s">
        <v>814</v>
      </c>
      <c r="MDN47" s="1156"/>
      <c r="MDO47" s="1156" t="s">
        <v>814</v>
      </c>
      <c r="MDP47" s="1156"/>
      <c r="MDQ47" s="1156" t="s">
        <v>814</v>
      </c>
      <c r="MDR47" s="1156"/>
      <c r="MDS47" s="1156" t="s">
        <v>814</v>
      </c>
      <c r="MDT47" s="1156"/>
      <c r="MDU47" s="1156" t="s">
        <v>814</v>
      </c>
      <c r="MDV47" s="1156"/>
      <c r="MDW47" s="1156" t="s">
        <v>814</v>
      </c>
      <c r="MDX47" s="1156"/>
      <c r="MDY47" s="1156" t="s">
        <v>814</v>
      </c>
      <c r="MDZ47" s="1156"/>
      <c r="MEA47" s="1156" t="s">
        <v>814</v>
      </c>
      <c r="MEB47" s="1156"/>
      <c r="MEC47" s="1156" t="s">
        <v>814</v>
      </c>
      <c r="MED47" s="1156"/>
      <c r="MEE47" s="1156" t="s">
        <v>814</v>
      </c>
      <c r="MEF47" s="1156"/>
      <c r="MEG47" s="1156" t="s">
        <v>814</v>
      </c>
      <c r="MEH47" s="1156"/>
      <c r="MEI47" s="1156" t="s">
        <v>814</v>
      </c>
      <c r="MEJ47" s="1156"/>
      <c r="MEK47" s="1156" t="s">
        <v>814</v>
      </c>
      <c r="MEL47" s="1156"/>
      <c r="MEM47" s="1156" t="s">
        <v>814</v>
      </c>
      <c r="MEN47" s="1156"/>
      <c r="MEO47" s="1156" t="s">
        <v>814</v>
      </c>
      <c r="MEP47" s="1156"/>
      <c r="MEQ47" s="1156" t="s">
        <v>814</v>
      </c>
      <c r="MER47" s="1156"/>
      <c r="MES47" s="1156" t="s">
        <v>814</v>
      </c>
      <c r="MET47" s="1156"/>
      <c r="MEU47" s="1156" t="s">
        <v>814</v>
      </c>
      <c r="MEV47" s="1156"/>
      <c r="MEW47" s="1156" t="s">
        <v>814</v>
      </c>
      <c r="MEX47" s="1156"/>
      <c r="MEY47" s="1156" t="s">
        <v>814</v>
      </c>
      <c r="MEZ47" s="1156"/>
      <c r="MFA47" s="1156" t="s">
        <v>814</v>
      </c>
      <c r="MFB47" s="1156"/>
      <c r="MFC47" s="1156" t="s">
        <v>814</v>
      </c>
      <c r="MFD47" s="1156"/>
      <c r="MFE47" s="1156" t="s">
        <v>814</v>
      </c>
      <c r="MFF47" s="1156"/>
      <c r="MFG47" s="1156" t="s">
        <v>814</v>
      </c>
      <c r="MFH47" s="1156"/>
      <c r="MFI47" s="1156" t="s">
        <v>814</v>
      </c>
      <c r="MFJ47" s="1156"/>
      <c r="MFK47" s="1156" t="s">
        <v>814</v>
      </c>
      <c r="MFL47" s="1156"/>
      <c r="MFM47" s="1156" t="s">
        <v>814</v>
      </c>
      <c r="MFN47" s="1156"/>
      <c r="MFO47" s="1156" t="s">
        <v>814</v>
      </c>
      <c r="MFP47" s="1156"/>
      <c r="MFQ47" s="1156" t="s">
        <v>814</v>
      </c>
      <c r="MFR47" s="1156"/>
      <c r="MFS47" s="1156" t="s">
        <v>814</v>
      </c>
      <c r="MFT47" s="1156"/>
      <c r="MFU47" s="1156" t="s">
        <v>814</v>
      </c>
      <c r="MFV47" s="1156"/>
      <c r="MFW47" s="1156" t="s">
        <v>814</v>
      </c>
      <c r="MFX47" s="1156"/>
      <c r="MFY47" s="1156" t="s">
        <v>814</v>
      </c>
      <c r="MFZ47" s="1156"/>
      <c r="MGA47" s="1156" t="s">
        <v>814</v>
      </c>
      <c r="MGB47" s="1156"/>
      <c r="MGC47" s="1156" t="s">
        <v>814</v>
      </c>
      <c r="MGD47" s="1156"/>
      <c r="MGE47" s="1156" t="s">
        <v>814</v>
      </c>
      <c r="MGF47" s="1156"/>
      <c r="MGG47" s="1156" t="s">
        <v>814</v>
      </c>
      <c r="MGH47" s="1156"/>
      <c r="MGI47" s="1156" t="s">
        <v>814</v>
      </c>
      <c r="MGJ47" s="1156"/>
      <c r="MGK47" s="1156" t="s">
        <v>814</v>
      </c>
      <c r="MGL47" s="1156"/>
      <c r="MGM47" s="1156" t="s">
        <v>814</v>
      </c>
      <c r="MGN47" s="1156"/>
      <c r="MGO47" s="1156" t="s">
        <v>814</v>
      </c>
      <c r="MGP47" s="1156"/>
      <c r="MGQ47" s="1156" t="s">
        <v>814</v>
      </c>
      <c r="MGR47" s="1156"/>
      <c r="MGS47" s="1156" t="s">
        <v>814</v>
      </c>
      <c r="MGT47" s="1156"/>
      <c r="MGU47" s="1156" t="s">
        <v>814</v>
      </c>
      <c r="MGV47" s="1156"/>
      <c r="MGW47" s="1156" t="s">
        <v>814</v>
      </c>
      <c r="MGX47" s="1156"/>
      <c r="MGY47" s="1156" t="s">
        <v>814</v>
      </c>
      <c r="MGZ47" s="1156"/>
      <c r="MHA47" s="1156" t="s">
        <v>814</v>
      </c>
      <c r="MHB47" s="1156"/>
      <c r="MHC47" s="1156" t="s">
        <v>814</v>
      </c>
      <c r="MHD47" s="1156"/>
      <c r="MHE47" s="1156" t="s">
        <v>814</v>
      </c>
      <c r="MHF47" s="1156"/>
      <c r="MHG47" s="1156" t="s">
        <v>814</v>
      </c>
      <c r="MHH47" s="1156"/>
      <c r="MHI47" s="1156" t="s">
        <v>814</v>
      </c>
      <c r="MHJ47" s="1156"/>
      <c r="MHK47" s="1156" t="s">
        <v>814</v>
      </c>
      <c r="MHL47" s="1156"/>
      <c r="MHM47" s="1156" t="s">
        <v>814</v>
      </c>
      <c r="MHN47" s="1156"/>
      <c r="MHO47" s="1156" t="s">
        <v>814</v>
      </c>
      <c r="MHP47" s="1156"/>
      <c r="MHQ47" s="1156" t="s">
        <v>814</v>
      </c>
      <c r="MHR47" s="1156"/>
      <c r="MHS47" s="1156" t="s">
        <v>814</v>
      </c>
      <c r="MHT47" s="1156"/>
      <c r="MHU47" s="1156" t="s">
        <v>814</v>
      </c>
      <c r="MHV47" s="1156"/>
      <c r="MHW47" s="1156" t="s">
        <v>814</v>
      </c>
      <c r="MHX47" s="1156"/>
      <c r="MHY47" s="1156" t="s">
        <v>814</v>
      </c>
      <c r="MHZ47" s="1156"/>
      <c r="MIA47" s="1156" t="s">
        <v>814</v>
      </c>
      <c r="MIB47" s="1156"/>
      <c r="MIC47" s="1156" t="s">
        <v>814</v>
      </c>
      <c r="MID47" s="1156"/>
      <c r="MIE47" s="1156" t="s">
        <v>814</v>
      </c>
      <c r="MIF47" s="1156"/>
      <c r="MIG47" s="1156" t="s">
        <v>814</v>
      </c>
      <c r="MIH47" s="1156"/>
      <c r="MII47" s="1156" t="s">
        <v>814</v>
      </c>
      <c r="MIJ47" s="1156"/>
      <c r="MIK47" s="1156" t="s">
        <v>814</v>
      </c>
      <c r="MIL47" s="1156"/>
      <c r="MIM47" s="1156" t="s">
        <v>814</v>
      </c>
      <c r="MIN47" s="1156"/>
      <c r="MIO47" s="1156" t="s">
        <v>814</v>
      </c>
      <c r="MIP47" s="1156"/>
      <c r="MIQ47" s="1156" t="s">
        <v>814</v>
      </c>
      <c r="MIR47" s="1156"/>
      <c r="MIS47" s="1156" t="s">
        <v>814</v>
      </c>
      <c r="MIT47" s="1156"/>
      <c r="MIU47" s="1156" t="s">
        <v>814</v>
      </c>
      <c r="MIV47" s="1156"/>
      <c r="MIW47" s="1156" t="s">
        <v>814</v>
      </c>
      <c r="MIX47" s="1156"/>
      <c r="MIY47" s="1156" t="s">
        <v>814</v>
      </c>
      <c r="MIZ47" s="1156"/>
      <c r="MJA47" s="1156" t="s">
        <v>814</v>
      </c>
      <c r="MJB47" s="1156"/>
      <c r="MJC47" s="1156" t="s">
        <v>814</v>
      </c>
      <c r="MJD47" s="1156"/>
      <c r="MJE47" s="1156" t="s">
        <v>814</v>
      </c>
      <c r="MJF47" s="1156"/>
      <c r="MJG47" s="1156" t="s">
        <v>814</v>
      </c>
      <c r="MJH47" s="1156"/>
      <c r="MJI47" s="1156" t="s">
        <v>814</v>
      </c>
      <c r="MJJ47" s="1156"/>
      <c r="MJK47" s="1156" t="s">
        <v>814</v>
      </c>
      <c r="MJL47" s="1156"/>
      <c r="MJM47" s="1156" t="s">
        <v>814</v>
      </c>
      <c r="MJN47" s="1156"/>
      <c r="MJO47" s="1156" t="s">
        <v>814</v>
      </c>
      <c r="MJP47" s="1156"/>
      <c r="MJQ47" s="1156" t="s">
        <v>814</v>
      </c>
      <c r="MJR47" s="1156"/>
      <c r="MJS47" s="1156" t="s">
        <v>814</v>
      </c>
      <c r="MJT47" s="1156"/>
      <c r="MJU47" s="1156" t="s">
        <v>814</v>
      </c>
      <c r="MJV47" s="1156"/>
      <c r="MJW47" s="1156" t="s">
        <v>814</v>
      </c>
      <c r="MJX47" s="1156"/>
      <c r="MJY47" s="1156" t="s">
        <v>814</v>
      </c>
      <c r="MJZ47" s="1156"/>
      <c r="MKA47" s="1156" t="s">
        <v>814</v>
      </c>
      <c r="MKB47" s="1156"/>
      <c r="MKC47" s="1156" t="s">
        <v>814</v>
      </c>
      <c r="MKD47" s="1156"/>
      <c r="MKE47" s="1156" t="s">
        <v>814</v>
      </c>
      <c r="MKF47" s="1156"/>
      <c r="MKG47" s="1156" t="s">
        <v>814</v>
      </c>
      <c r="MKH47" s="1156"/>
      <c r="MKI47" s="1156" t="s">
        <v>814</v>
      </c>
      <c r="MKJ47" s="1156"/>
      <c r="MKK47" s="1156" t="s">
        <v>814</v>
      </c>
      <c r="MKL47" s="1156"/>
      <c r="MKM47" s="1156" t="s">
        <v>814</v>
      </c>
      <c r="MKN47" s="1156"/>
      <c r="MKO47" s="1156" t="s">
        <v>814</v>
      </c>
      <c r="MKP47" s="1156"/>
      <c r="MKQ47" s="1156" t="s">
        <v>814</v>
      </c>
      <c r="MKR47" s="1156"/>
      <c r="MKS47" s="1156" t="s">
        <v>814</v>
      </c>
      <c r="MKT47" s="1156"/>
      <c r="MKU47" s="1156" t="s">
        <v>814</v>
      </c>
      <c r="MKV47" s="1156"/>
      <c r="MKW47" s="1156" t="s">
        <v>814</v>
      </c>
      <c r="MKX47" s="1156"/>
      <c r="MKY47" s="1156" t="s">
        <v>814</v>
      </c>
      <c r="MKZ47" s="1156"/>
      <c r="MLA47" s="1156" t="s">
        <v>814</v>
      </c>
      <c r="MLB47" s="1156"/>
      <c r="MLC47" s="1156" t="s">
        <v>814</v>
      </c>
      <c r="MLD47" s="1156"/>
      <c r="MLE47" s="1156" t="s">
        <v>814</v>
      </c>
      <c r="MLF47" s="1156"/>
      <c r="MLG47" s="1156" t="s">
        <v>814</v>
      </c>
      <c r="MLH47" s="1156"/>
      <c r="MLI47" s="1156" t="s">
        <v>814</v>
      </c>
      <c r="MLJ47" s="1156"/>
      <c r="MLK47" s="1156" t="s">
        <v>814</v>
      </c>
      <c r="MLL47" s="1156"/>
      <c r="MLM47" s="1156" t="s">
        <v>814</v>
      </c>
      <c r="MLN47" s="1156"/>
      <c r="MLO47" s="1156" t="s">
        <v>814</v>
      </c>
      <c r="MLP47" s="1156"/>
      <c r="MLQ47" s="1156" t="s">
        <v>814</v>
      </c>
      <c r="MLR47" s="1156"/>
      <c r="MLS47" s="1156" t="s">
        <v>814</v>
      </c>
      <c r="MLT47" s="1156"/>
      <c r="MLU47" s="1156" t="s">
        <v>814</v>
      </c>
      <c r="MLV47" s="1156"/>
      <c r="MLW47" s="1156" t="s">
        <v>814</v>
      </c>
      <c r="MLX47" s="1156"/>
      <c r="MLY47" s="1156" t="s">
        <v>814</v>
      </c>
      <c r="MLZ47" s="1156"/>
      <c r="MMA47" s="1156" t="s">
        <v>814</v>
      </c>
      <c r="MMB47" s="1156"/>
      <c r="MMC47" s="1156" t="s">
        <v>814</v>
      </c>
      <c r="MMD47" s="1156"/>
      <c r="MME47" s="1156" t="s">
        <v>814</v>
      </c>
      <c r="MMF47" s="1156"/>
      <c r="MMG47" s="1156" t="s">
        <v>814</v>
      </c>
      <c r="MMH47" s="1156"/>
      <c r="MMI47" s="1156" t="s">
        <v>814</v>
      </c>
      <c r="MMJ47" s="1156"/>
      <c r="MMK47" s="1156" t="s">
        <v>814</v>
      </c>
      <c r="MML47" s="1156"/>
      <c r="MMM47" s="1156" t="s">
        <v>814</v>
      </c>
      <c r="MMN47" s="1156"/>
      <c r="MMO47" s="1156" t="s">
        <v>814</v>
      </c>
      <c r="MMP47" s="1156"/>
      <c r="MMQ47" s="1156" t="s">
        <v>814</v>
      </c>
      <c r="MMR47" s="1156"/>
      <c r="MMS47" s="1156" t="s">
        <v>814</v>
      </c>
      <c r="MMT47" s="1156"/>
      <c r="MMU47" s="1156" t="s">
        <v>814</v>
      </c>
      <c r="MMV47" s="1156"/>
      <c r="MMW47" s="1156" t="s">
        <v>814</v>
      </c>
      <c r="MMX47" s="1156"/>
      <c r="MMY47" s="1156" t="s">
        <v>814</v>
      </c>
      <c r="MMZ47" s="1156"/>
      <c r="MNA47" s="1156" t="s">
        <v>814</v>
      </c>
      <c r="MNB47" s="1156"/>
      <c r="MNC47" s="1156" t="s">
        <v>814</v>
      </c>
      <c r="MND47" s="1156"/>
      <c r="MNE47" s="1156" t="s">
        <v>814</v>
      </c>
      <c r="MNF47" s="1156"/>
      <c r="MNG47" s="1156" t="s">
        <v>814</v>
      </c>
      <c r="MNH47" s="1156"/>
      <c r="MNI47" s="1156" t="s">
        <v>814</v>
      </c>
      <c r="MNJ47" s="1156"/>
      <c r="MNK47" s="1156" t="s">
        <v>814</v>
      </c>
      <c r="MNL47" s="1156"/>
      <c r="MNM47" s="1156" t="s">
        <v>814</v>
      </c>
      <c r="MNN47" s="1156"/>
      <c r="MNO47" s="1156" t="s">
        <v>814</v>
      </c>
      <c r="MNP47" s="1156"/>
      <c r="MNQ47" s="1156" t="s">
        <v>814</v>
      </c>
      <c r="MNR47" s="1156"/>
      <c r="MNS47" s="1156" t="s">
        <v>814</v>
      </c>
      <c r="MNT47" s="1156"/>
      <c r="MNU47" s="1156" t="s">
        <v>814</v>
      </c>
      <c r="MNV47" s="1156"/>
      <c r="MNW47" s="1156" t="s">
        <v>814</v>
      </c>
      <c r="MNX47" s="1156"/>
      <c r="MNY47" s="1156" t="s">
        <v>814</v>
      </c>
      <c r="MNZ47" s="1156"/>
      <c r="MOA47" s="1156" t="s">
        <v>814</v>
      </c>
      <c r="MOB47" s="1156"/>
      <c r="MOC47" s="1156" t="s">
        <v>814</v>
      </c>
      <c r="MOD47" s="1156"/>
      <c r="MOE47" s="1156" t="s">
        <v>814</v>
      </c>
      <c r="MOF47" s="1156"/>
      <c r="MOG47" s="1156" t="s">
        <v>814</v>
      </c>
      <c r="MOH47" s="1156"/>
      <c r="MOI47" s="1156" t="s">
        <v>814</v>
      </c>
      <c r="MOJ47" s="1156"/>
      <c r="MOK47" s="1156" t="s">
        <v>814</v>
      </c>
      <c r="MOL47" s="1156"/>
      <c r="MOM47" s="1156" t="s">
        <v>814</v>
      </c>
      <c r="MON47" s="1156"/>
      <c r="MOO47" s="1156" t="s">
        <v>814</v>
      </c>
      <c r="MOP47" s="1156"/>
      <c r="MOQ47" s="1156" t="s">
        <v>814</v>
      </c>
      <c r="MOR47" s="1156"/>
      <c r="MOS47" s="1156" t="s">
        <v>814</v>
      </c>
      <c r="MOT47" s="1156"/>
      <c r="MOU47" s="1156" t="s">
        <v>814</v>
      </c>
      <c r="MOV47" s="1156"/>
      <c r="MOW47" s="1156" t="s">
        <v>814</v>
      </c>
      <c r="MOX47" s="1156"/>
      <c r="MOY47" s="1156" t="s">
        <v>814</v>
      </c>
      <c r="MOZ47" s="1156"/>
      <c r="MPA47" s="1156" t="s">
        <v>814</v>
      </c>
      <c r="MPB47" s="1156"/>
      <c r="MPC47" s="1156" t="s">
        <v>814</v>
      </c>
      <c r="MPD47" s="1156"/>
      <c r="MPE47" s="1156" t="s">
        <v>814</v>
      </c>
      <c r="MPF47" s="1156"/>
      <c r="MPG47" s="1156" t="s">
        <v>814</v>
      </c>
      <c r="MPH47" s="1156"/>
      <c r="MPI47" s="1156" t="s">
        <v>814</v>
      </c>
      <c r="MPJ47" s="1156"/>
      <c r="MPK47" s="1156" t="s">
        <v>814</v>
      </c>
      <c r="MPL47" s="1156"/>
      <c r="MPM47" s="1156" t="s">
        <v>814</v>
      </c>
      <c r="MPN47" s="1156"/>
      <c r="MPO47" s="1156" t="s">
        <v>814</v>
      </c>
      <c r="MPP47" s="1156"/>
      <c r="MPQ47" s="1156" t="s">
        <v>814</v>
      </c>
      <c r="MPR47" s="1156"/>
      <c r="MPS47" s="1156" t="s">
        <v>814</v>
      </c>
      <c r="MPT47" s="1156"/>
      <c r="MPU47" s="1156" t="s">
        <v>814</v>
      </c>
      <c r="MPV47" s="1156"/>
      <c r="MPW47" s="1156" t="s">
        <v>814</v>
      </c>
      <c r="MPX47" s="1156"/>
      <c r="MPY47" s="1156" t="s">
        <v>814</v>
      </c>
      <c r="MPZ47" s="1156"/>
      <c r="MQA47" s="1156" t="s">
        <v>814</v>
      </c>
      <c r="MQB47" s="1156"/>
      <c r="MQC47" s="1156" t="s">
        <v>814</v>
      </c>
      <c r="MQD47" s="1156"/>
      <c r="MQE47" s="1156" t="s">
        <v>814</v>
      </c>
      <c r="MQF47" s="1156"/>
      <c r="MQG47" s="1156" t="s">
        <v>814</v>
      </c>
      <c r="MQH47" s="1156"/>
      <c r="MQI47" s="1156" t="s">
        <v>814</v>
      </c>
      <c r="MQJ47" s="1156"/>
      <c r="MQK47" s="1156" t="s">
        <v>814</v>
      </c>
      <c r="MQL47" s="1156"/>
      <c r="MQM47" s="1156" t="s">
        <v>814</v>
      </c>
      <c r="MQN47" s="1156"/>
      <c r="MQO47" s="1156" t="s">
        <v>814</v>
      </c>
      <c r="MQP47" s="1156"/>
      <c r="MQQ47" s="1156" t="s">
        <v>814</v>
      </c>
      <c r="MQR47" s="1156"/>
      <c r="MQS47" s="1156" t="s">
        <v>814</v>
      </c>
      <c r="MQT47" s="1156"/>
      <c r="MQU47" s="1156" t="s">
        <v>814</v>
      </c>
      <c r="MQV47" s="1156"/>
      <c r="MQW47" s="1156" t="s">
        <v>814</v>
      </c>
      <c r="MQX47" s="1156"/>
      <c r="MQY47" s="1156" t="s">
        <v>814</v>
      </c>
      <c r="MQZ47" s="1156"/>
      <c r="MRA47" s="1156" t="s">
        <v>814</v>
      </c>
      <c r="MRB47" s="1156"/>
      <c r="MRC47" s="1156" t="s">
        <v>814</v>
      </c>
      <c r="MRD47" s="1156"/>
      <c r="MRE47" s="1156" t="s">
        <v>814</v>
      </c>
      <c r="MRF47" s="1156"/>
      <c r="MRG47" s="1156" t="s">
        <v>814</v>
      </c>
      <c r="MRH47" s="1156"/>
      <c r="MRI47" s="1156" t="s">
        <v>814</v>
      </c>
      <c r="MRJ47" s="1156"/>
      <c r="MRK47" s="1156" t="s">
        <v>814</v>
      </c>
      <c r="MRL47" s="1156"/>
      <c r="MRM47" s="1156" t="s">
        <v>814</v>
      </c>
      <c r="MRN47" s="1156"/>
      <c r="MRO47" s="1156" t="s">
        <v>814</v>
      </c>
      <c r="MRP47" s="1156"/>
      <c r="MRQ47" s="1156" t="s">
        <v>814</v>
      </c>
      <c r="MRR47" s="1156"/>
      <c r="MRS47" s="1156" t="s">
        <v>814</v>
      </c>
      <c r="MRT47" s="1156"/>
      <c r="MRU47" s="1156" t="s">
        <v>814</v>
      </c>
      <c r="MRV47" s="1156"/>
      <c r="MRW47" s="1156" t="s">
        <v>814</v>
      </c>
      <c r="MRX47" s="1156"/>
      <c r="MRY47" s="1156" t="s">
        <v>814</v>
      </c>
      <c r="MRZ47" s="1156"/>
      <c r="MSA47" s="1156" t="s">
        <v>814</v>
      </c>
      <c r="MSB47" s="1156"/>
      <c r="MSC47" s="1156" t="s">
        <v>814</v>
      </c>
      <c r="MSD47" s="1156"/>
      <c r="MSE47" s="1156" t="s">
        <v>814</v>
      </c>
      <c r="MSF47" s="1156"/>
      <c r="MSG47" s="1156" t="s">
        <v>814</v>
      </c>
      <c r="MSH47" s="1156"/>
      <c r="MSI47" s="1156" t="s">
        <v>814</v>
      </c>
      <c r="MSJ47" s="1156"/>
      <c r="MSK47" s="1156" t="s">
        <v>814</v>
      </c>
      <c r="MSL47" s="1156"/>
      <c r="MSM47" s="1156" t="s">
        <v>814</v>
      </c>
      <c r="MSN47" s="1156"/>
      <c r="MSO47" s="1156" t="s">
        <v>814</v>
      </c>
      <c r="MSP47" s="1156"/>
      <c r="MSQ47" s="1156" t="s">
        <v>814</v>
      </c>
      <c r="MSR47" s="1156"/>
      <c r="MSS47" s="1156" t="s">
        <v>814</v>
      </c>
      <c r="MST47" s="1156"/>
      <c r="MSU47" s="1156" t="s">
        <v>814</v>
      </c>
      <c r="MSV47" s="1156"/>
      <c r="MSW47" s="1156" t="s">
        <v>814</v>
      </c>
      <c r="MSX47" s="1156"/>
      <c r="MSY47" s="1156" t="s">
        <v>814</v>
      </c>
      <c r="MSZ47" s="1156"/>
      <c r="MTA47" s="1156" t="s">
        <v>814</v>
      </c>
      <c r="MTB47" s="1156"/>
      <c r="MTC47" s="1156" t="s">
        <v>814</v>
      </c>
      <c r="MTD47" s="1156"/>
      <c r="MTE47" s="1156" t="s">
        <v>814</v>
      </c>
      <c r="MTF47" s="1156"/>
      <c r="MTG47" s="1156" t="s">
        <v>814</v>
      </c>
      <c r="MTH47" s="1156"/>
      <c r="MTI47" s="1156" t="s">
        <v>814</v>
      </c>
      <c r="MTJ47" s="1156"/>
      <c r="MTK47" s="1156" t="s">
        <v>814</v>
      </c>
      <c r="MTL47" s="1156"/>
      <c r="MTM47" s="1156" t="s">
        <v>814</v>
      </c>
      <c r="MTN47" s="1156"/>
      <c r="MTO47" s="1156" t="s">
        <v>814</v>
      </c>
      <c r="MTP47" s="1156"/>
      <c r="MTQ47" s="1156" t="s">
        <v>814</v>
      </c>
      <c r="MTR47" s="1156"/>
      <c r="MTS47" s="1156" t="s">
        <v>814</v>
      </c>
      <c r="MTT47" s="1156"/>
      <c r="MTU47" s="1156" t="s">
        <v>814</v>
      </c>
      <c r="MTV47" s="1156"/>
      <c r="MTW47" s="1156" t="s">
        <v>814</v>
      </c>
      <c r="MTX47" s="1156"/>
      <c r="MTY47" s="1156" t="s">
        <v>814</v>
      </c>
      <c r="MTZ47" s="1156"/>
      <c r="MUA47" s="1156" t="s">
        <v>814</v>
      </c>
      <c r="MUB47" s="1156"/>
      <c r="MUC47" s="1156" t="s">
        <v>814</v>
      </c>
      <c r="MUD47" s="1156"/>
      <c r="MUE47" s="1156" t="s">
        <v>814</v>
      </c>
      <c r="MUF47" s="1156"/>
      <c r="MUG47" s="1156" t="s">
        <v>814</v>
      </c>
      <c r="MUH47" s="1156"/>
      <c r="MUI47" s="1156" t="s">
        <v>814</v>
      </c>
      <c r="MUJ47" s="1156"/>
      <c r="MUK47" s="1156" t="s">
        <v>814</v>
      </c>
      <c r="MUL47" s="1156"/>
      <c r="MUM47" s="1156" t="s">
        <v>814</v>
      </c>
      <c r="MUN47" s="1156"/>
      <c r="MUO47" s="1156" t="s">
        <v>814</v>
      </c>
      <c r="MUP47" s="1156"/>
      <c r="MUQ47" s="1156" t="s">
        <v>814</v>
      </c>
      <c r="MUR47" s="1156"/>
      <c r="MUS47" s="1156" t="s">
        <v>814</v>
      </c>
      <c r="MUT47" s="1156"/>
      <c r="MUU47" s="1156" t="s">
        <v>814</v>
      </c>
      <c r="MUV47" s="1156"/>
      <c r="MUW47" s="1156" t="s">
        <v>814</v>
      </c>
      <c r="MUX47" s="1156"/>
      <c r="MUY47" s="1156" t="s">
        <v>814</v>
      </c>
      <c r="MUZ47" s="1156"/>
      <c r="MVA47" s="1156" t="s">
        <v>814</v>
      </c>
      <c r="MVB47" s="1156"/>
      <c r="MVC47" s="1156" t="s">
        <v>814</v>
      </c>
      <c r="MVD47" s="1156"/>
      <c r="MVE47" s="1156" t="s">
        <v>814</v>
      </c>
      <c r="MVF47" s="1156"/>
      <c r="MVG47" s="1156" t="s">
        <v>814</v>
      </c>
      <c r="MVH47" s="1156"/>
      <c r="MVI47" s="1156" t="s">
        <v>814</v>
      </c>
      <c r="MVJ47" s="1156"/>
      <c r="MVK47" s="1156" t="s">
        <v>814</v>
      </c>
      <c r="MVL47" s="1156"/>
      <c r="MVM47" s="1156" t="s">
        <v>814</v>
      </c>
      <c r="MVN47" s="1156"/>
      <c r="MVO47" s="1156" t="s">
        <v>814</v>
      </c>
      <c r="MVP47" s="1156"/>
      <c r="MVQ47" s="1156" t="s">
        <v>814</v>
      </c>
      <c r="MVR47" s="1156"/>
      <c r="MVS47" s="1156" t="s">
        <v>814</v>
      </c>
      <c r="MVT47" s="1156"/>
      <c r="MVU47" s="1156" t="s">
        <v>814</v>
      </c>
      <c r="MVV47" s="1156"/>
      <c r="MVW47" s="1156" t="s">
        <v>814</v>
      </c>
      <c r="MVX47" s="1156"/>
      <c r="MVY47" s="1156" t="s">
        <v>814</v>
      </c>
      <c r="MVZ47" s="1156"/>
      <c r="MWA47" s="1156" t="s">
        <v>814</v>
      </c>
      <c r="MWB47" s="1156"/>
      <c r="MWC47" s="1156" t="s">
        <v>814</v>
      </c>
      <c r="MWD47" s="1156"/>
      <c r="MWE47" s="1156" t="s">
        <v>814</v>
      </c>
      <c r="MWF47" s="1156"/>
      <c r="MWG47" s="1156" t="s">
        <v>814</v>
      </c>
      <c r="MWH47" s="1156"/>
      <c r="MWI47" s="1156" t="s">
        <v>814</v>
      </c>
      <c r="MWJ47" s="1156"/>
      <c r="MWK47" s="1156" t="s">
        <v>814</v>
      </c>
      <c r="MWL47" s="1156"/>
      <c r="MWM47" s="1156" t="s">
        <v>814</v>
      </c>
      <c r="MWN47" s="1156"/>
      <c r="MWO47" s="1156" t="s">
        <v>814</v>
      </c>
      <c r="MWP47" s="1156"/>
      <c r="MWQ47" s="1156" t="s">
        <v>814</v>
      </c>
      <c r="MWR47" s="1156"/>
      <c r="MWS47" s="1156" t="s">
        <v>814</v>
      </c>
      <c r="MWT47" s="1156"/>
      <c r="MWU47" s="1156" t="s">
        <v>814</v>
      </c>
      <c r="MWV47" s="1156"/>
      <c r="MWW47" s="1156" t="s">
        <v>814</v>
      </c>
      <c r="MWX47" s="1156"/>
      <c r="MWY47" s="1156" t="s">
        <v>814</v>
      </c>
      <c r="MWZ47" s="1156"/>
      <c r="MXA47" s="1156" t="s">
        <v>814</v>
      </c>
      <c r="MXB47" s="1156"/>
      <c r="MXC47" s="1156" t="s">
        <v>814</v>
      </c>
      <c r="MXD47" s="1156"/>
      <c r="MXE47" s="1156" t="s">
        <v>814</v>
      </c>
      <c r="MXF47" s="1156"/>
      <c r="MXG47" s="1156" t="s">
        <v>814</v>
      </c>
      <c r="MXH47" s="1156"/>
      <c r="MXI47" s="1156" t="s">
        <v>814</v>
      </c>
      <c r="MXJ47" s="1156"/>
      <c r="MXK47" s="1156" t="s">
        <v>814</v>
      </c>
      <c r="MXL47" s="1156"/>
      <c r="MXM47" s="1156" t="s">
        <v>814</v>
      </c>
      <c r="MXN47" s="1156"/>
      <c r="MXO47" s="1156" t="s">
        <v>814</v>
      </c>
      <c r="MXP47" s="1156"/>
      <c r="MXQ47" s="1156" t="s">
        <v>814</v>
      </c>
      <c r="MXR47" s="1156"/>
      <c r="MXS47" s="1156" t="s">
        <v>814</v>
      </c>
      <c r="MXT47" s="1156"/>
      <c r="MXU47" s="1156" t="s">
        <v>814</v>
      </c>
      <c r="MXV47" s="1156"/>
      <c r="MXW47" s="1156" t="s">
        <v>814</v>
      </c>
      <c r="MXX47" s="1156"/>
      <c r="MXY47" s="1156" t="s">
        <v>814</v>
      </c>
      <c r="MXZ47" s="1156"/>
      <c r="MYA47" s="1156" t="s">
        <v>814</v>
      </c>
      <c r="MYB47" s="1156"/>
      <c r="MYC47" s="1156" t="s">
        <v>814</v>
      </c>
      <c r="MYD47" s="1156"/>
      <c r="MYE47" s="1156" t="s">
        <v>814</v>
      </c>
      <c r="MYF47" s="1156"/>
      <c r="MYG47" s="1156" t="s">
        <v>814</v>
      </c>
      <c r="MYH47" s="1156"/>
      <c r="MYI47" s="1156" t="s">
        <v>814</v>
      </c>
      <c r="MYJ47" s="1156"/>
      <c r="MYK47" s="1156" t="s">
        <v>814</v>
      </c>
      <c r="MYL47" s="1156"/>
      <c r="MYM47" s="1156" t="s">
        <v>814</v>
      </c>
      <c r="MYN47" s="1156"/>
      <c r="MYO47" s="1156" t="s">
        <v>814</v>
      </c>
      <c r="MYP47" s="1156"/>
      <c r="MYQ47" s="1156" t="s">
        <v>814</v>
      </c>
      <c r="MYR47" s="1156"/>
      <c r="MYS47" s="1156" t="s">
        <v>814</v>
      </c>
      <c r="MYT47" s="1156"/>
      <c r="MYU47" s="1156" t="s">
        <v>814</v>
      </c>
      <c r="MYV47" s="1156"/>
      <c r="MYW47" s="1156" t="s">
        <v>814</v>
      </c>
      <c r="MYX47" s="1156"/>
      <c r="MYY47" s="1156" t="s">
        <v>814</v>
      </c>
      <c r="MYZ47" s="1156"/>
      <c r="MZA47" s="1156" t="s">
        <v>814</v>
      </c>
      <c r="MZB47" s="1156"/>
      <c r="MZC47" s="1156" t="s">
        <v>814</v>
      </c>
      <c r="MZD47" s="1156"/>
      <c r="MZE47" s="1156" t="s">
        <v>814</v>
      </c>
      <c r="MZF47" s="1156"/>
      <c r="MZG47" s="1156" t="s">
        <v>814</v>
      </c>
      <c r="MZH47" s="1156"/>
      <c r="MZI47" s="1156" t="s">
        <v>814</v>
      </c>
      <c r="MZJ47" s="1156"/>
      <c r="MZK47" s="1156" t="s">
        <v>814</v>
      </c>
      <c r="MZL47" s="1156"/>
      <c r="MZM47" s="1156" t="s">
        <v>814</v>
      </c>
      <c r="MZN47" s="1156"/>
      <c r="MZO47" s="1156" t="s">
        <v>814</v>
      </c>
      <c r="MZP47" s="1156"/>
      <c r="MZQ47" s="1156" t="s">
        <v>814</v>
      </c>
      <c r="MZR47" s="1156"/>
      <c r="MZS47" s="1156" t="s">
        <v>814</v>
      </c>
      <c r="MZT47" s="1156"/>
      <c r="MZU47" s="1156" t="s">
        <v>814</v>
      </c>
      <c r="MZV47" s="1156"/>
      <c r="MZW47" s="1156" t="s">
        <v>814</v>
      </c>
      <c r="MZX47" s="1156"/>
      <c r="MZY47" s="1156" t="s">
        <v>814</v>
      </c>
      <c r="MZZ47" s="1156"/>
      <c r="NAA47" s="1156" t="s">
        <v>814</v>
      </c>
      <c r="NAB47" s="1156"/>
      <c r="NAC47" s="1156" t="s">
        <v>814</v>
      </c>
      <c r="NAD47" s="1156"/>
      <c r="NAE47" s="1156" t="s">
        <v>814</v>
      </c>
      <c r="NAF47" s="1156"/>
      <c r="NAG47" s="1156" t="s">
        <v>814</v>
      </c>
      <c r="NAH47" s="1156"/>
      <c r="NAI47" s="1156" t="s">
        <v>814</v>
      </c>
      <c r="NAJ47" s="1156"/>
      <c r="NAK47" s="1156" t="s">
        <v>814</v>
      </c>
      <c r="NAL47" s="1156"/>
      <c r="NAM47" s="1156" t="s">
        <v>814</v>
      </c>
      <c r="NAN47" s="1156"/>
      <c r="NAO47" s="1156" t="s">
        <v>814</v>
      </c>
      <c r="NAP47" s="1156"/>
      <c r="NAQ47" s="1156" t="s">
        <v>814</v>
      </c>
      <c r="NAR47" s="1156"/>
      <c r="NAS47" s="1156" t="s">
        <v>814</v>
      </c>
      <c r="NAT47" s="1156"/>
      <c r="NAU47" s="1156" t="s">
        <v>814</v>
      </c>
      <c r="NAV47" s="1156"/>
      <c r="NAW47" s="1156" t="s">
        <v>814</v>
      </c>
      <c r="NAX47" s="1156"/>
      <c r="NAY47" s="1156" t="s">
        <v>814</v>
      </c>
      <c r="NAZ47" s="1156"/>
      <c r="NBA47" s="1156" t="s">
        <v>814</v>
      </c>
      <c r="NBB47" s="1156"/>
      <c r="NBC47" s="1156" t="s">
        <v>814</v>
      </c>
      <c r="NBD47" s="1156"/>
      <c r="NBE47" s="1156" t="s">
        <v>814</v>
      </c>
      <c r="NBF47" s="1156"/>
      <c r="NBG47" s="1156" t="s">
        <v>814</v>
      </c>
      <c r="NBH47" s="1156"/>
      <c r="NBI47" s="1156" t="s">
        <v>814</v>
      </c>
      <c r="NBJ47" s="1156"/>
      <c r="NBK47" s="1156" t="s">
        <v>814</v>
      </c>
      <c r="NBL47" s="1156"/>
      <c r="NBM47" s="1156" t="s">
        <v>814</v>
      </c>
      <c r="NBN47" s="1156"/>
      <c r="NBO47" s="1156" t="s">
        <v>814</v>
      </c>
      <c r="NBP47" s="1156"/>
      <c r="NBQ47" s="1156" t="s">
        <v>814</v>
      </c>
      <c r="NBR47" s="1156"/>
      <c r="NBS47" s="1156" t="s">
        <v>814</v>
      </c>
      <c r="NBT47" s="1156"/>
      <c r="NBU47" s="1156" t="s">
        <v>814</v>
      </c>
      <c r="NBV47" s="1156"/>
      <c r="NBW47" s="1156" t="s">
        <v>814</v>
      </c>
      <c r="NBX47" s="1156"/>
      <c r="NBY47" s="1156" t="s">
        <v>814</v>
      </c>
      <c r="NBZ47" s="1156"/>
      <c r="NCA47" s="1156" t="s">
        <v>814</v>
      </c>
      <c r="NCB47" s="1156"/>
      <c r="NCC47" s="1156" t="s">
        <v>814</v>
      </c>
      <c r="NCD47" s="1156"/>
      <c r="NCE47" s="1156" t="s">
        <v>814</v>
      </c>
      <c r="NCF47" s="1156"/>
      <c r="NCG47" s="1156" t="s">
        <v>814</v>
      </c>
      <c r="NCH47" s="1156"/>
      <c r="NCI47" s="1156" t="s">
        <v>814</v>
      </c>
      <c r="NCJ47" s="1156"/>
      <c r="NCK47" s="1156" t="s">
        <v>814</v>
      </c>
      <c r="NCL47" s="1156"/>
      <c r="NCM47" s="1156" t="s">
        <v>814</v>
      </c>
      <c r="NCN47" s="1156"/>
      <c r="NCO47" s="1156" t="s">
        <v>814</v>
      </c>
      <c r="NCP47" s="1156"/>
      <c r="NCQ47" s="1156" t="s">
        <v>814</v>
      </c>
      <c r="NCR47" s="1156"/>
      <c r="NCS47" s="1156" t="s">
        <v>814</v>
      </c>
      <c r="NCT47" s="1156"/>
      <c r="NCU47" s="1156" t="s">
        <v>814</v>
      </c>
      <c r="NCV47" s="1156"/>
      <c r="NCW47" s="1156" t="s">
        <v>814</v>
      </c>
      <c r="NCX47" s="1156"/>
      <c r="NCY47" s="1156" t="s">
        <v>814</v>
      </c>
      <c r="NCZ47" s="1156"/>
      <c r="NDA47" s="1156" t="s">
        <v>814</v>
      </c>
      <c r="NDB47" s="1156"/>
      <c r="NDC47" s="1156" t="s">
        <v>814</v>
      </c>
      <c r="NDD47" s="1156"/>
      <c r="NDE47" s="1156" t="s">
        <v>814</v>
      </c>
      <c r="NDF47" s="1156"/>
      <c r="NDG47" s="1156" t="s">
        <v>814</v>
      </c>
      <c r="NDH47" s="1156"/>
      <c r="NDI47" s="1156" t="s">
        <v>814</v>
      </c>
      <c r="NDJ47" s="1156"/>
      <c r="NDK47" s="1156" t="s">
        <v>814</v>
      </c>
      <c r="NDL47" s="1156"/>
      <c r="NDM47" s="1156" t="s">
        <v>814</v>
      </c>
      <c r="NDN47" s="1156"/>
      <c r="NDO47" s="1156" t="s">
        <v>814</v>
      </c>
      <c r="NDP47" s="1156"/>
      <c r="NDQ47" s="1156" t="s">
        <v>814</v>
      </c>
      <c r="NDR47" s="1156"/>
      <c r="NDS47" s="1156" t="s">
        <v>814</v>
      </c>
      <c r="NDT47" s="1156"/>
      <c r="NDU47" s="1156" t="s">
        <v>814</v>
      </c>
      <c r="NDV47" s="1156"/>
      <c r="NDW47" s="1156" t="s">
        <v>814</v>
      </c>
      <c r="NDX47" s="1156"/>
      <c r="NDY47" s="1156" t="s">
        <v>814</v>
      </c>
      <c r="NDZ47" s="1156"/>
      <c r="NEA47" s="1156" t="s">
        <v>814</v>
      </c>
      <c r="NEB47" s="1156"/>
      <c r="NEC47" s="1156" t="s">
        <v>814</v>
      </c>
      <c r="NED47" s="1156"/>
      <c r="NEE47" s="1156" t="s">
        <v>814</v>
      </c>
      <c r="NEF47" s="1156"/>
      <c r="NEG47" s="1156" t="s">
        <v>814</v>
      </c>
      <c r="NEH47" s="1156"/>
      <c r="NEI47" s="1156" t="s">
        <v>814</v>
      </c>
      <c r="NEJ47" s="1156"/>
      <c r="NEK47" s="1156" t="s">
        <v>814</v>
      </c>
      <c r="NEL47" s="1156"/>
      <c r="NEM47" s="1156" t="s">
        <v>814</v>
      </c>
      <c r="NEN47" s="1156"/>
      <c r="NEO47" s="1156" t="s">
        <v>814</v>
      </c>
      <c r="NEP47" s="1156"/>
      <c r="NEQ47" s="1156" t="s">
        <v>814</v>
      </c>
      <c r="NER47" s="1156"/>
      <c r="NES47" s="1156" t="s">
        <v>814</v>
      </c>
      <c r="NET47" s="1156"/>
      <c r="NEU47" s="1156" t="s">
        <v>814</v>
      </c>
      <c r="NEV47" s="1156"/>
      <c r="NEW47" s="1156" t="s">
        <v>814</v>
      </c>
      <c r="NEX47" s="1156"/>
      <c r="NEY47" s="1156" t="s">
        <v>814</v>
      </c>
      <c r="NEZ47" s="1156"/>
      <c r="NFA47" s="1156" t="s">
        <v>814</v>
      </c>
      <c r="NFB47" s="1156"/>
      <c r="NFC47" s="1156" t="s">
        <v>814</v>
      </c>
      <c r="NFD47" s="1156"/>
      <c r="NFE47" s="1156" t="s">
        <v>814</v>
      </c>
      <c r="NFF47" s="1156"/>
      <c r="NFG47" s="1156" t="s">
        <v>814</v>
      </c>
      <c r="NFH47" s="1156"/>
      <c r="NFI47" s="1156" t="s">
        <v>814</v>
      </c>
      <c r="NFJ47" s="1156"/>
      <c r="NFK47" s="1156" t="s">
        <v>814</v>
      </c>
      <c r="NFL47" s="1156"/>
      <c r="NFM47" s="1156" t="s">
        <v>814</v>
      </c>
      <c r="NFN47" s="1156"/>
      <c r="NFO47" s="1156" t="s">
        <v>814</v>
      </c>
      <c r="NFP47" s="1156"/>
      <c r="NFQ47" s="1156" t="s">
        <v>814</v>
      </c>
      <c r="NFR47" s="1156"/>
      <c r="NFS47" s="1156" t="s">
        <v>814</v>
      </c>
      <c r="NFT47" s="1156"/>
      <c r="NFU47" s="1156" t="s">
        <v>814</v>
      </c>
      <c r="NFV47" s="1156"/>
      <c r="NFW47" s="1156" t="s">
        <v>814</v>
      </c>
      <c r="NFX47" s="1156"/>
      <c r="NFY47" s="1156" t="s">
        <v>814</v>
      </c>
      <c r="NFZ47" s="1156"/>
      <c r="NGA47" s="1156" t="s">
        <v>814</v>
      </c>
      <c r="NGB47" s="1156"/>
      <c r="NGC47" s="1156" t="s">
        <v>814</v>
      </c>
      <c r="NGD47" s="1156"/>
      <c r="NGE47" s="1156" t="s">
        <v>814</v>
      </c>
      <c r="NGF47" s="1156"/>
      <c r="NGG47" s="1156" t="s">
        <v>814</v>
      </c>
      <c r="NGH47" s="1156"/>
      <c r="NGI47" s="1156" t="s">
        <v>814</v>
      </c>
      <c r="NGJ47" s="1156"/>
      <c r="NGK47" s="1156" t="s">
        <v>814</v>
      </c>
      <c r="NGL47" s="1156"/>
      <c r="NGM47" s="1156" t="s">
        <v>814</v>
      </c>
      <c r="NGN47" s="1156"/>
      <c r="NGO47" s="1156" t="s">
        <v>814</v>
      </c>
      <c r="NGP47" s="1156"/>
      <c r="NGQ47" s="1156" t="s">
        <v>814</v>
      </c>
      <c r="NGR47" s="1156"/>
      <c r="NGS47" s="1156" t="s">
        <v>814</v>
      </c>
      <c r="NGT47" s="1156"/>
      <c r="NGU47" s="1156" t="s">
        <v>814</v>
      </c>
      <c r="NGV47" s="1156"/>
      <c r="NGW47" s="1156" t="s">
        <v>814</v>
      </c>
      <c r="NGX47" s="1156"/>
      <c r="NGY47" s="1156" t="s">
        <v>814</v>
      </c>
      <c r="NGZ47" s="1156"/>
      <c r="NHA47" s="1156" t="s">
        <v>814</v>
      </c>
      <c r="NHB47" s="1156"/>
      <c r="NHC47" s="1156" t="s">
        <v>814</v>
      </c>
      <c r="NHD47" s="1156"/>
      <c r="NHE47" s="1156" t="s">
        <v>814</v>
      </c>
      <c r="NHF47" s="1156"/>
      <c r="NHG47" s="1156" t="s">
        <v>814</v>
      </c>
      <c r="NHH47" s="1156"/>
      <c r="NHI47" s="1156" t="s">
        <v>814</v>
      </c>
      <c r="NHJ47" s="1156"/>
      <c r="NHK47" s="1156" t="s">
        <v>814</v>
      </c>
      <c r="NHL47" s="1156"/>
      <c r="NHM47" s="1156" t="s">
        <v>814</v>
      </c>
      <c r="NHN47" s="1156"/>
      <c r="NHO47" s="1156" t="s">
        <v>814</v>
      </c>
      <c r="NHP47" s="1156"/>
      <c r="NHQ47" s="1156" t="s">
        <v>814</v>
      </c>
      <c r="NHR47" s="1156"/>
      <c r="NHS47" s="1156" t="s">
        <v>814</v>
      </c>
      <c r="NHT47" s="1156"/>
      <c r="NHU47" s="1156" t="s">
        <v>814</v>
      </c>
      <c r="NHV47" s="1156"/>
      <c r="NHW47" s="1156" t="s">
        <v>814</v>
      </c>
      <c r="NHX47" s="1156"/>
      <c r="NHY47" s="1156" t="s">
        <v>814</v>
      </c>
      <c r="NHZ47" s="1156"/>
      <c r="NIA47" s="1156" t="s">
        <v>814</v>
      </c>
      <c r="NIB47" s="1156"/>
      <c r="NIC47" s="1156" t="s">
        <v>814</v>
      </c>
      <c r="NID47" s="1156"/>
      <c r="NIE47" s="1156" t="s">
        <v>814</v>
      </c>
      <c r="NIF47" s="1156"/>
      <c r="NIG47" s="1156" t="s">
        <v>814</v>
      </c>
      <c r="NIH47" s="1156"/>
      <c r="NII47" s="1156" t="s">
        <v>814</v>
      </c>
      <c r="NIJ47" s="1156"/>
      <c r="NIK47" s="1156" t="s">
        <v>814</v>
      </c>
      <c r="NIL47" s="1156"/>
      <c r="NIM47" s="1156" t="s">
        <v>814</v>
      </c>
      <c r="NIN47" s="1156"/>
      <c r="NIO47" s="1156" t="s">
        <v>814</v>
      </c>
      <c r="NIP47" s="1156"/>
      <c r="NIQ47" s="1156" t="s">
        <v>814</v>
      </c>
      <c r="NIR47" s="1156"/>
      <c r="NIS47" s="1156" t="s">
        <v>814</v>
      </c>
      <c r="NIT47" s="1156"/>
      <c r="NIU47" s="1156" t="s">
        <v>814</v>
      </c>
      <c r="NIV47" s="1156"/>
      <c r="NIW47" s="1156" t="s">
        <v>814</v>
      </c>
      <c r="NIX47" s="1156"/>
      <c r="NIY47" s="1156" t="s">
        <v>814</v>
      </c>
      <c r="NIZ47" s="1156"/>
      <c r="NJA47" s="1156" t="s">
        <v>814</v>
      </c>
      <c r="NJB47" s="1156"/>
      <c r="NJC47" s="1156" t="s">
        <v>814</v>
      </c>
      <c r="NJD47" s="1156"/>
      <c r="NJE47" s="1156" t="s">
        <v>814</v>
      </c>
      <c r="NJF47" s="1156"/>
      <c r="NJG47" s="1156" t="s">
        <v>814</v>
      </c>
      <c r="NJH47" s="1156"/>
      <c r="NJI47" s="1156" t="s">
        <v>814</v>
      </c>
      <c r="NJJ47" s="1156"/>
      <c r="NJK47" s="1156" t="s">
        <v>814</v>
      </c>
      <c r="NJL47" s="1156"/>
      <c r="NJM47" s="1156" t="s">
        <v>814</v>
      </c>
      <c r="NJN47" s="1156"/>
      <c r="NJO47" s="1156" t="s">
        <v>814</v>
      </c>
      <c r="NJP47" s="1156"/>
      <c r="NJQ47" s="1156" t="s">
        <v>814</v>
      </c>
      <c r="NJR47" s="1156"/>
      <c r="NJS47" s="1156" t="s">
        <v>814</v>
      </c>
      <c r="NJT47" s="1156"/>
      <c r="NJU47" s="1156" t="s">
        <v>814</v>
      </c>
      <c r="NJV47" s="1156"/>
      <c r="NJW47" s="1156" t="s">
        <v>814</v>
      </c>
      <c r="NJX47" s="1156"/>
      <c r="NJY47" s="1156" t="s">
        <v>814</v>
      </c>
      <c r="NJZ47" s="1156"/>
      <c r="NKA47" s="1156" t="s">
        <v>814</v>
      </c>
      <c r="NKB47" s="1156"/>
      <c r="NKC47" s="1156" t="s">
        <v>814</v>
      </c>
      <c r="NKD47" s="1156"/>
      <c r="NKE47" s="1156" t="s">
        <v>814</v>
      </c>
      <c r="NKF47" s="1156"/>
      <c r="NKG47" s="1156" t="s">
        <v>814</v>
      </c>
      <c r="NKH47" s="1156"/>
      <c r="NKI47" s="1156" t="s">
        <v>814</v>
      </c>
      <c r="NKJ47" s="1156"/>
      <c r="NKK47" s="1156" t="s">
        <v>814</v>
      </c>
      <c r="NKL47" s="1156"/>
      <c r="NKM47" s="1156" t="s">
        <v>814</v>
      </c>
      <c r="NKN47" s="1156"/>
      <c r="NKO47" s="1156" t="s">
        <v>814</v>
      </c>
      <c r="NKP47" s="1156"/>
      <c r="NKQ47" s="1156" t="s">
        <v>814</v>
      </c>
      <c r="NKR47" s="1156"/>
      <c r="NKS47" s="1156" t="s">
        <v>814</v>
      </c>
      <c r="NKT47" s="1156"/>
      <c r="NKU47" s="1156" t="s">
        <v>814</v>
      </c>
      <c r="NKV47" s="1156"/>
      <c r="NKW47" s="1156" t="s">
        <v>814</v>
      </c>
      <c r="NKX47" s="1156"/>
      <c r="NKY47" s="1156" t="s">
        <v>814</v>
      </c>
      <c r="NKZ47" s="1156"/>
      <c r="NLA47" s="1156" t="s">
        <v>814</v>
      </c>
      <c r="NLB47" s="1156"/>
      <c r="NLC47" s="1156" t="s">
        <v>814</v>
      </c>
      <c r="NLD47" s="1156"/>
      <c r="NLE47" s="1156" t="s">
        <v>814</v>
      </c>
      <c r="NLF47" s="1156"/>
      <c r="NLG47" s="1156" t="s">
        <v>814</v>
      </c>
      <c r="NLH47" s="1156"/>
      <c r="NLI47" s="1156" t="s">
        <v>814</v>
      </c>
      <c r="NLJ47" s="1156"/>
      <c r="NLK47" s="1156" t="s">
        <v>814</v>
      </c>
      <c r="NLL47" s="1156"/>
      <c r="NLM47" s="1156" t="s">
        <v>814</v>
      </c>
      <c r="NLN47" s="1156"/>
      <c r="NLO47" s="1156" t="s">
        <v>814</v>
      </c>
      <c r="NLP47" s="1156"/>
      <c r="NLQ47" s="1156" t="s">
        <v>814</v>
      </c>
      <c r="NLR47" s="1156"/>
      <c r="NLS47" s="1156" t="s">
        <v>814</v>
      </c>
      <c r="NLT47" s="1156"/>
      <c r="NLU47" s="1156" t="s">
        <v>814</v>
      </c>
      <c r="NLV47" s="1156"/>
      <c r="NLW47" s="1156" t="s">
        <v>814</v>
      </c>
      <c r="NLX47" s="1156"/>
      <c r="NLY47" s="1156" t="s">
        <v>814</v>
      </c>
      <c r="NLZ47" s="1156"/>
      <c r="NMA47" s="1156" t="s">
        <v>814</v>
      </c>
      <c r="NMB47" s="1156"/>
      <c r="NMC47" s="1156" t="s">
        <v>814</v>
      </c>
      <c r="NMD47" s="1156"/>
      <c r="NME47" s="1156" t="s">
        <v>814</v>
      </c>
      <c r="NMF47" s="1156"/>
      <c r="NMG47" s="1156" t="s">
        <v>814</v>
      </c>
      <c r="NMH47" s="1156"/>
      <c r="NMI47" s="1156" t="s">
        <v>814</v>
      </c>
      <c r="NMJ47" s="1156"/>
      <c r="NMK47" s="1156" t="s">
        <v>814</v>
      </c>
      <c r="NML47" s="1156"/>
      <c r="NMM47" s="1156" t="s">
        <v>814</v>
      </c>
      <c r="NMN47" s="1156"/>
      <c r="NMO47" s="1156" t="s">
        <v>814</v>
      </c>
      <c r="NMP47" s="1156"/>
      <c r="NMQ47" s="1156" t="s">
        <v>814</v>
      </c>
      <c r="NMR47" s="1156"/>
      <c r="NMS47" s="1156" t="s">
        <v>814</v>
      </c>
      <c r="NMT47" s="1156"/>
      <c r="NMU47" s="1156" t="s">
        <v>814</v>
      </c>
      <c r="NMV47" s="1156"/>
      <c r="NMW47" s="1156" t="s">
        <v>814</v>
      </c>
      <c r="NMX47" s="1156"/>
      <c r="NMY47" s="1156" t="s">
        <v>814</v>
      </c>
      <c r="NMZ47" s="1156"/>
      <c r="NNA47" s="1156" t="s">
        <v>814</v>
      </c>
      <c r="NNB47" s="1156"/>
      <c r="NNC47" s="1156" t="s">
        <v>814</v>
      </c>
      <c r="NND47" s="1156"/>
      <c r="NNE47" s="1156" t="s">
        <v>814</v>
      </c>
      <c r="NNF47" s="1156"/>
      <c r="NNG47" s="1156" t="s">
        <v>814</v>
      </c>
      <c r="NNH47" s="1156"/>
      <c r="NNI47" s="1156" t="s">
        <v>814</v>
      </c>
      <c r="NNJ47" s="1156"/>
      <c r="NNK47" s="1156" t="s">
        <v>814</v>
      </c>
      <c r="NNL47" s="1156"/>
      <c r="NNM47" s="1156" t="s">
        <v>814</v>
      </c>
      <c r="NNN47" s="1156"/>
      <c r="NNO47" s="1156" t="s">
        <v>814</v>
      </c>
      <c r="NNP47" s="1156"/>
      <c r="NNQ47" s="1156" t="s">
        <v>814</v>
      </c>
      <c r="NNR47" s="1156"/>
      <c r="NNS47" s="1156" t="s">
        <v>814</v>
      </c>
      <c r="NNT47" s="1156"/>
      <c r="NNU47" s="1156" t="s">
        <v>814</v>
      </c>
      <c r="NNV47" s="1156"/>
      <c r="NNW47" s="1156" t="s">
        <v>814</v>
      </c>
      <c r="NNX47" s="1156"/>
      <c r="NNY47" s="1156" t="s">
        <v>814</v>
      </c>
      <c r="NNZ47" s="1156"/>
      <c r="NOA47" s="1156" t="s">
        <v>814</v>
      </c>
      <c r="NOB47" s="1156"/>
      <c r="NOC47" s="1156" t="s">
        <v>814</v>
      </c>
      <c r="NOD47" s="1156"/>
      <c r="NOE47" s="1156" t="s">
        <v>814</v>
      </c>
      <c r="NOF47" s="1156"/>
      <c r="NOG47" s="1156" t="s">
        <v>814</v>
      </c>
      <c r="NOH47" s="1156"/>
      <c r="NOI47" s="1156" t="s">
        <v>814</v>
      </c>
      <c r="NOJ47" s="1156"/>
      <c r="NOK47" s="1156" t="s">
        <v>814</v>
      </c>
      <c r="NOL47" s="1156"/>
      <c r="NOM47" s="1156" t="s">
        <v>814</v>
      </c>
      <c r="NON47" s="1156"/>
      <c r="NOO47" s="1156" t="s">
        <v>814</v>
      </c>
      <c r="NOP47" s="1156"/>
      <c r="NOQ47" s="1156" t="s">
        <v>814</v>
      </c>
      <c r="NOR47" s="1156"/>
      <c r="NOS47" s="1156" t="s">
        <v>814</v>
      </c>
      <c r="NOT47" s="1156"/>
      <c r="NOU47" s="1156" t="s">
        <v>814</v>
      </c>
      <c r="NOV47" s="1156"/>
      <c r="NOW47" s="1156" t="s">
        <v>814</v>
      </c>
      <c r="NOX47" s="1156"/>
      <c r="NOY47" s="1156" t="s">
        <v>814</v>
      </c>
      <c r="NOZ47" s="1156"/>
      <c r="NPA47" s="1156" t="s">
        <v>814</v>
      </c>
      <c r="NPB47" s="1156"/>
      <c r="NPC47" s="1156" t="s">
        <v>814</v>
      </c>
      <c r="NPD47" s="1156"/>
      <c r="NPE47" s="1156" t="s">
        <v>814</v>
      </c>
      <c r="NPF47" s="1156"/>
      <c r="NPG47" s="1156" t="s">
        <v>814</v>
      </c>
      <c r="NPH47" s="1156"/>
      <c r="NPI47" s="1156" t="s">
        <v>814</v>
      </c>
      <c r="NPJ47" s="1156"/>
      <c r="NPK47" s="1156" t="s">
        <v>814</v>
      </c>
      <c r="NPL47" s="1156"/>
      <c r="NPM47" s="1156" t="s">
        <v>814</v>
      </c>
      <c r="NPN47" s="1156"/>
      <c r="NPO47" s="1156" t="s">
        <v>814</v>
      </c>
      <c r="NPP47" s="1156"/>
      <c r="NPQ47" s="1156" t="s">
        <v>814</v>
      </c>
      <c r="NPR47" s="1156"/>
      <c r="NPS47" s="1156" t="s">
        <v>814</v>
      </c>
      <c r="NPT47" s="1156"/>
      <c r="NPU47" s="1156" t="s">
        <v>814</v>
      </c>
      <c r="NPV47" s="1156"/>
      <c r="NPW47" s="1156" t="s">
        <v>814</v>
      </c>
      <c r="NPX47" s="1156"/>
      <c r="NPY47" s="1156" t="s">
        <v>814</v>
      </c>
      <c r="NPZ47" s="1156"/>
      <c r="NQA47" s="1156" t="s">
        <v>814</v>
      </c>
      <c r="NQB47" s="1156"/>
      <c r="NQC47" s="1156" t="s">
        <v>814</v>
      </c>
      <c r="NQD47" s="1156"/>
      <c r="NQE47" s="1156" t="s">
        <v>814</v>
      </c>
      <c r="NQF47" s="1156"/>
      <c r="NQG47" s="1156" t="s">
        <v>814</v>
      </c>
      <c r="NQH47" s="1156"/>
      <c r="NQI47" s="1156" t="s">
        <v>814</v>
      </c>
      <c r="NQJ47" s="1156"/>
      <c r="NQK47" s="1156" t="s">
        <v>814</v>
      </c>
      <c r="NQL47" s="1156"/>
      <c r="NQM47" s="1156" t="s">
        <v>814</v>
      </c>
      <c r="NQN47" s="1156"/>
      <c r="NQO47" s="1156" t="s">
        <v>814</v>
      </c>
      <c r="NQP47" s="1156"/>
      <c r="NQQ47" s="1156" t="s">
        <v>814</v>
      </c>
      <c r="NQR47" s="1156"/>
      <c r="NQS47" s="1156" t="s">
        <v>814</v>
      </c>
      <c r="NQT47" s="1156"/>
      <c r="NQU47" s="1156" t="s">
        <v>814</v>
      </c>
      <c r="NQV47" s="1156"/>
      <c r="NQW47" s="1156" t="s">
        <v>814</v>
      </c>
      <c r="NQX47" s="1156"/>
      <c r="NQY47" s="1156" t="s">
        <v>814</v>
      </c>
      <c r="NQZ47" s="1156"/>
      <c r="NRA47" s="1156" t="s">
        <v>814</v>
      </c>
      <c r="NRB47" s="1156"/>
      <c r="NRC47" s="1156" t="s">
        <v>814</v>
      </c>
      <c r="NRD47" s="1156"/>
      <c r="NRE47" s="1156" t="s">
        <v>814</v>
      </c>
      <c r="NRF47" s="1156"/>
      <c r="NRG47" s="1156" t="s">
        <v>814</v>
      </c>
      <c r="NRH47" s="1156"/>
      <c r="NRI47" s="1156" t="s">
        <v>814</v>
      </c>
      <c r="NRJ47" s="1156"/>
      <c r="NRK47" s="1156" t="s">
        <v>814</v>
      </c>
      <c r="NRL47" s="1156"/>
      <c r="NRM47" s="1156" t="s">
        <v>814</v>
      </c>
      <c r="NRN47" s="1156"/>
      <c r="NRO47" s="1156" t="s">
        <v>814</v>
      </c>
      <c r="NRP47" s="1156"/>
      <c r="NRQ47" s="1156" t="s">
        <v>814</v>
      </c>
      <c r="NRR47" s="1156"/>
      <c r="NRS47" s="1156" t="s">
        <v>814</v>
      </c>
      <c r="NRT47" s="1156"/>
      <c r="NRU47" s="1156" t="s">
        <v>814</v>
      </c>
      <c r="NRV47" s="1156"/>
      <c r="NRW47" s="1156" t="s">
        <v>814</v>
      </c>
      <c r="NRX47" s="1156"/>
      <c r="NRY47" s="1156" t="s">
        <v>814</v>
      </c>
      <c r="NRZ47" s="1156"/>
      <c r="NSA47" s="1156" t="s">
        <v>814</v>
      </c>
      <c r="NSB47" s="1156"/>
      <c r="NSC47" s="1156" t="s">
        <v>814</v>
      </c>
      <c r="NSD47" s="1156"/>
      <c r="NSE47" s="1156" t="s">
        <v>814</v>
      </c>
      <c r="NSF47" s="1156"/>
      <c r="NSG47" s="1156" t="s">
        <v>814</v>
      </c>
      <c r="NSH47" s="1156"/>
      <c r="NSI47" s="1156" t="s">
        <v>814</v>
      </c>
      <c r="NSJ47" s="1156"/>
      <c r="NSK47" s="1156" t="s">
        <v>814</v>
      </c>
      <c r="NSL47" s="1156"/>
      <c r="NSM47" s="1156" t="s">
        <v>814</v>
      </c>
      <c r="NSN47" s="1156"/>
      <c r="NSO47" s="1156" t="s">
        <v>814</v>
      </c>
      <c r="NSP47" s="1156"/>
      <c r="NSQ47" s="1156" t="s">
        <v>814</v>
      </c>
      <c r="NSR47" s="1156"/>
      <c r="NSS47" s="1156" t="s">
        <v>814</v>
      </c>
      <c r="NST47" s="1156"/>
      <c r="NSU47" s="1156" t="s">
        <v>814</v>
      </c>
      <c r="NSV47" s="1156"/>
      <c r="NSW47" s="1156" t="s">
        <v>814</v>
      </c>
      <c r="NSX47" s="1156"/>
      <c r="NSY47" s="1156" t="s">
        <v>814</v>
      </c>
      <c r="NSZ47" s="1156"/>
      <c r="NTA47" s="1156" t="s">
        <v>814</v>
      </c>
      <c r="NTB47" s="1156"/>
      <c r="NTC47" s="1156" t="s">
        <v>814</v>
      </c>
      <c r="NTD47" s="1156"/>
      <c r="NTE47" s="1156" t="s">
        <v>814</v>
      </c>
      <c r="NTF47" s="1156"/>
      <c r="NTG47" s="1156" t="s">
        <v>814</v>
      </c>
      <c r="NTH47" s="1156"/>
      <c r="NTI47" s="1156" t="s">
        <v>814</v>
      </c>
      <c r="NTJ47" s="1156"/>
      <c r="NTK47" s="1156" t="s">
        <v>814</v>
      </c>
      <c r="NTL47" s="1156"/>
      <c r="NTM47" s="1156" t="s">
        <v>814</v>
      </c>
      <c r="NTN47" s="1156"/>
      <c r="NTO47" s="1156" t="s">
        <v>814</v>
      </c>
      <c r="NTP47" s="1156"/>
      <c r="NTQ47" s="1156" t="s">
        <v>814</v>
      </c>
      <c r="NTR47" s="1156"/>
      <c r="NTS47" s="1156" t="s">
        <v>814</v>
      </c>
      <c r="NTT47" s="1156"/>
      <c r="NTU47" s="1156" t="s">
        <v>814</v>
      </c>
      <c r="NTV47" s="1156"/>
      <c r="NTW47" s="1156" t="s">
        <v>814</v>
      </c>
      <c r="NTX47" s="1156"/>
      <c r="NTY47" s="1156" t="s">
        <v>814</v>
      </c>
      <c r="NTZ47" s="1156"/>
      <c r="NUA47" s="1156" t="s">
        <v>814</v>
      </c>
      <c r="NUB47" s="1156"/>
      <c r="NUC47" s="1156" t="s">
        <v>814</v>
      </c>
      <c r="NUD47" s="1156"/>
      <c r="NUE47" s="1156" t="s">
        <v>814</v>
      </c>
      <c r="NUF47" s="1156"/>
      <c r="NUG47" s="1156" t="s">
        <v>814</v>
      </c>
      <c r="NUH47" s="1156"/>
      <c r="NUI47" s="1156" t="s">
        <v>814</v>
      </c>
      <c r="NUJ47" s="1156"/>
      <c r="NUK47" s="1156" t="s">
        <v>814</v>
      </c>
      <c r="NUL47" s="1156"/>
      <c r="NUM47" s="1156" t="s">
        <v>814</v>
      </c>
      <c r="NUN47" s="1156"/>
      <c r="NUO47" s="1156" t="s">
        <v>814</v>
      </c>
      <c r="NUP47" s="1156"/>
      <c r="NUQ47" s="1156" t="s">
        <v>814</v>
      </c>
      <c r="NUR47" s="1156"/>
      <c r="NUS47" s="1156" t="s">
        <v>814</v>
      </c>
      <c r="NUT47" s="1156"/>
      <c r="NUU47" s="1156" t="s">
        <v>814</v>
      </c>
      <c r="NUV47" s="1156"/>
      <c r="NUW47" s="1156" t="s">
        <v>814</v>
      </c>
      <c r="NUX47" s="1156"/>
      <c r="NUY47" s="1156" t="s">
        <v>814</v>
      </c>
      <c r="NUZ47" s="1156"/>
      <c r="NVA47" s="1156" t="s">
        <v>814</v>
      </c>
      <c r="NVB47" s="1156"/>
      <c r="NVC47" s="1156" t="s">
        <v>814</v>
      </c>
      <c r="NVD47" s="1156"/>
      <c r="NVE47" s="1156" t="s">
        <v>814</v>
      </c>
      <c r="NVF47" s="1156"/>
      <c r="NVG47" s="1156" t="s">
        <v>814</v>
      </c>
      <c r="NVH47" s="1156"/>
      <c r="NVI47" s="1156" t="s">
        <v>814</v>
      </c>
      <c r="NVJ47" s="1156"/>
      <c r="NVK47" s="1156" t="s">
        <v>814</v>
      </c>
      <c r="NVL47" s="1156"/>
      <c r="NVM47" s="1156" t="s">
        <v>814</v>
      </c>
      <c r="NVN47" s="1156"/>
      <c r="NVO47" s="1156" t="s">
        <v>814</v>
      </c>
      <c r="NVP47" s="1156"/>
      <c r="NVQ47" s="1156" t="s">
        <v>814</v>
      </c>
      <c r="NVR47" s="1156"/>
      <c r="NVS47" s="1156" t="s">
        <v>814</v>
      </c>
      <c r="NVT47" s="1156"/>
      <c r="NVU47" s="1156" t="s">
        <v>814</v>
      </c>
      <c r="NVV47" s="1156"/>
      <c r="NVW47" s="1156" t="s">
        <v>814</v>
      </c>
      <c r="NVX47" s="1156"/>
      <c r="NVY47" s="1156" t="s">
        <v>814</v>
      </c>
      <c r="NVZ47" s="1156"/>
      <c r="NWA47" s="1156" t="s">
        <v>814</v>
      </c>
      <c r="NWB47" s="1156"/>
      <c r="NWC47" s="1156" t="s">
        <v>814</v>
      </c>
      <c r="NWD47" s="1156"/>
      <c r="NWE47" s="1156" t="s">
        <v>814</v>
      </c>
      <c r="NWF47" s="1156"/>
      <c r="NWG47" s="1156" t="s">
        <v>814</v>
      </c>
      <c r="NWH47" s="1156"/>
      <c r="NWI47" s="1156" t="s">
        <v>814</v>
      </c>
      <c r="NWJ47" s="1156"/>
      <c r="NWK47" s="1156" t="s">
        <v>814</v>
      </c>
      <c r="NWL47" s="1156"/>
      <c r="NWM47" s="1156" t="s">
        <v>814</v>
      </c>
      <c r="NWN47" s="1156"/>
      <c r="NWO47" s="1156" t="s">
        <v>814</v>
      </c>
      <c r="NWP47" s="1156"/>
      <c r="NWQ47" s="1156" t="s">
        <v>814</v>
      </c>
      <c r="NWR47" s="1156"/>
      <c r="NWS47" s="1156" t="s">
        <v>814</v>
      </c>
      <c r="NWT47" s="1156"/>
      <c r="NWU47" s="1156" t="s">
        <v>814</v>
      </c>
      <c r="NWV47" s="1156"/>
      <c r="NWW47" s="1156" t="s">
        <v>814</v>
      </c>
      <c r="NWX47" s="1156"/>
      <c r="NWY47" s="1156" t="s">
        <v>814</v>
      </c>
      <c r="NWZ47" s="1156"/>
      <c r="NXA47" s="1156" t="s">
        <v>814</v>
      </c>
      <c r="NXB47" s="1156"/>
      <c r="NXC47" s="1156" t="s">
        <v>814</v>
      </c>
      <c r="NXD47" s="1156"/>
      <c r="NXE47" s="1156" t="s">
        <v>814</v>
      </c>
      <c r="NXF47" s="1156"/>
      <c r="NXG47" s="1156" t="s">
        <v>814</v>
      </c>
      <c r="NXH47" s="1156"/>
      <c r="NXI47" s="1156" t="s">
        <v>814</v>
      </c>
      <c r="NXJ47" s="1156"/>
      <c r="NXK47" s="1156" t="s">
        <v>814</v>
      </c>
      <c r="NXL47" s="1156"/>
      <c r="NXM47" s="1156" t="s">
        <v>814</v>
      </c>
      <c r="NXN47" s="1156"/>
      <c r="NXO47" s="1156" t="s">
        <v>814</v>
      </c>
      <c r="NXP47" s="1156"/>
      <c r="NXQ47" s="1156" t="s">
        <v>814</v>
      </c>
      <c r="NXR47" s="1156"/>
      <c r="NXS47" s="1156" t="s">
        <v>814</v>
      </c>
      <c r="NXT47" s="1156"/>
      <c r="NXU47" s="1156" t="s">
        <v>814</v>
      </c>
      <c r="NXV47" s="1156"/>
      <c r="NXW47" s="1156" t="s">
        <v>814</v>
      </c>
      <c r="NXX47" s="1156"/>
      <c r="NXY47" s="1156" t="s">
        <v>814</v>
      </c>
      <c r="NXZ47" s="1156"/>
      <c r="NYA47" s="1156" t="s">
        <v>814</v>
      </c>
      <c r="NYB47" s="1156"/>
      <c r="NYC47" s="1156" t="s">
        <v>814</v>
      </c>
      <c r="NYD47" s="1156"/>
      <c r="NYE47" s="1156" t="s">
        <v>814</v>
      </c>
      <c r="NYF47" s="1156"/>
      <c r="NYG47" s="1156" t="s">
        <v>814</v>
      </c>
      <c r="NYH47" s="1156"/>
      <c r="NYI47" s="1156" t="s">
        <v>814</v>
      </c>
      <c r="NYJ47" s="1156"/>
      <c r="NYK47" s="1156" t="s">
        <v>814</v>
      </c>
      <c r="NYL47" s="1156"/>
      <c r="NYM47" s="1156" t="s">
        <v>814</v>
      </c>
      <c r="NYN47" s="1156"/>
      <c r="NYO47" s="1156" t="s">
        <v>814</v>
      </c>
      <c r="NYP47" s="1156"/>
      <c r="NYQ47" s="1156" t="s">
        <v>814</v>
      </c>
      <c r="NYR47" s="1156"/>
      <c r="NYS47" s="1156" t="s">
        <v>814</v>
      </c>
      <c r="NYT47" s="1156"/>
      <c r="NYU47" s="1156" t="s">
        <v>814</v>
      </c>
      <c r="NYV47" s="1156"/>
      <c r="NYW47" s="1156" t="s">
        <v>814</v>
      </c>
      <c r="NYX47" s="1156"/>
      <c r="NYY47" s="1156" t="s">
        <v>814</v>
      </c>
      <c r="NYZ47" s="1156"/>
      <c r="NZA47" s="1156" t="s">
        <v>814</v>
      </c>
      <c r="NZB47" s="1156"/>
      <c r="NZC47" s="1156" t="s">
        <v>814</v>
      </c>
      <c r="NZD47" s="1156"/>
      <c r="NZE47" s="1156" t="s">
        <v>814</v>
      </c>
      <c r="NZF47" s="1156"/>
      <c r="NZG47" s="1156" t="s">
        <v>814</v>
      </c>
      <c r="NZH47" s="1156"/>
      <c r="NZI47" s="1156" t="s">
        <v>814</v>
      </c>
      <c r="NZJ47" s="1156"/>
      <c r="NZK47" s="1156" t="s">
        <v>814</v>
      </c>
      <c r="NZL47" s="1156"/>
      <c r="NZM47" s="1156" t="s">
        <v>814</v>
      </c>
      <c r="NZN47" s="1156"/>
      <c r="NZO47" s="1156" t="s">
        <v>814</v>
      </c>
      <c r="NZP47" s="1156"/>
      <c r="NZQ47" s="1156" t="s">
        <v>814</v>
      </c>
      <c r="NZR47" s="1156"/>
      <c r="NZS47" s="1156" t="s">
        <v>814</v>
      </c>
      <c r="NZT47" s="1156"/>
      <c r="NZU47" s="1156" t="s">
        <v>814</v>
      </c>
      <c r="NZV47" s="1156"/>
      <c r="NZW47" s="1156" t="s">
        <v>814</v>
      </c>
      <c r="NZX47" s="1156"/>
      <c r="NZY47" s="1156" t="s">
        <v>814</v>
      </c>
      <c r="NZZ47" s="1156"/>
      <c r="OAA47" s="1156" t="s">
        <v>814</v>
      </c>
      <c r="OAB47" s="1156"/>
      <c r="OAC47" s="1156" t="s">
        <v>814</v>
      </c>
      <c r="OAD47" s="1156"/>
      <c r="OAE47" s="1156" t="s">
        <v>814</v>
      </c>
      <c r="OAF47" s="1156"/>
      <c r="OAG47" s="1156" t="s">
        <v>814</v>
      </c>
      <c r="OAH47" s="1156"/>
      <c r="OAI47" s="1156" t="s">
        <v>814</v>
      </c>
      <c r="OAJ47" s="1156"/>
      <c r="OAK47" s="1156" t="s">
        <v>814</v>
      </c>
      <c r="OAL47" s="1156"/>
      <c r="OAM47" s="1156" t="s">
        <v>814</v>
      </c>
      <c r="OAN47" s="1156"/>
      <c r="OAO47" s="1156" t="s">
        <v>814</v>
      </c>
      <c r="OAP47" s="1156"/>
      <c r="OAQ47" s="1156" t="s">
        <v>814</v>
      </c>
      <c r="OAR47" s="1156"/>
      <c r="OAS47" s="1156" t="s">
        <v>814</v>
      </c>
      <c r="OAT47" s="1156"/>
      <c r="OAU47" s="1156" t="s">
        <v>814</v>
      </c>
      <c r="OAV47" s="1156"/>
      <c r="OAW47" s="1156" t="s">
        <v>814</v>
      </c>
      <c r="OAX47" s="1156"/>
      <c r="OAY47" s="1156" t="s">
        <v>814</v>
      </c>
      <c r="OAZ47" s="1156"/>
      <c r="OBA47" s="1156" t="s">
        <v>814</v>
      </c>
      <c r="OBB47" s="1156"/>
      <c r="OBC47" s="1156" t="s">
        <v>814</v>
      </c>
      <c r="OBD47" s="1156"/>
      <c r="OBE47" s="1156" t="s">
        <v>814</v>
      </c>
      <c r="OBF47" s="1156"/>
      <c r="OBG47" s="1156" t="s">
        <v>814</v>
      </c>
      <c r="OBH47" s="1156"/>
      <c r="OBI47" s="1156" t="s">
        <v>814</v>
      </c>
      <c r="OBJ47" s="1156"/>
      <c r="OBK47" s="1156" t="s">
        <v>814</v>
      </c>
      <c r="OBL47" s="1156"/>
      <c r="OBM47" s="1156" t="s">
        <v>814</v>
      </c>
      <c r="OBN47" s="1156"/>
      <c r="OBO47" s="1156" t="s">
        <v>814</v>
      </c>
      <c r="OBP47" s="1156"/>
      <c r="OBQ47" s="1156" t="s">
        <v>814</v>
      </c>
      <c r="OBR47" s="1156"/>
      <c r="OBS47" s="1156" t="s">
        <v>814</v>
      </c>
      <c r="OBT47" s="1156"/>
      <c r="OBU47" s="1156" t="s">
        <v>814</v>
      </c>
      <c r="OBV47" s="1156"/>
      <c r="OBW47" s="1156" t="s">
        <v>814</v>
      </c>
      <c r="OBX47" s="1156"/>
      <c r="OBY47" s="1156" t="s">
        <v>814</v>
      </c>
      <c r="OBZ47" s="1156"/>
      <c r="OCA47" s="1156" t="s">
        <v>814</v>
      </c>
      <c r="OCB47" s="1156"/>
      <c r="OCC47" s="1156" t="s">
        <v>814</v>
      </c>
      <c r="OCD47" s="1156"/>
      <c r="OCE47" s="1156" t="s">
        <v>814</v>
      </c>
      <c r="OCF47" s="1156"/>
      <c r="OCG47" s="1156" t="s">
        <v>814</v>
      </c>
      <c r="OCH47" s="1156"/>
      <c r="OCI47" s="1156" t="s">
        <v>814</v>
      </c>
      <c r="OCJ47" s="1156"/>
      <c r="OCK47" s="1156" t="s">
        <v>814</v>
      </c>
      <c r="OCL47" s="1156"/>
      <c r="OCM47" s="1156" t="s">
        <v>814</v>
      </c>
      <c r="OCN47" s="1156"/>
      <c r="OCO47" s="1156" t="s">
        <v>814</v>
      </c>
      <c r="OCP47" s="1156"/>
      <c r="OCQ47" s="1156" t="s">
        <v>814</v>
      </c>
      <c r="OCR47" s="1156"/>
      <c r="OCS47" s="1156" t="s">
        <v>814</v>
      </c>
      <c r="OCT47" s="1156"/>
      <c r="OCU47" s="1156" t="s">
        <v>814</v>
      </c>
      <c r="OCV47" s="1156"/>
      <c r="OCW47" s="1156" t="s">
        <v>814</v>
      </c>
      <c r="OCX47" s="1156"/>
      <c r="OCY47" s="1156" t="s">
        <v>814</v>
      </c>
      <c r="OCZ47" s="1156"/>
      <c r="ODA47" s="1156" t="s">
        <v>814</v>
      </c>
      <c r="ODB47" s="1156"/>
      <c r="ODC47" s="1156" t="s">
        <v>814</v>
      </c>
      <c r="ODD47" s="1156"/>
      <c r="ODE47" s="1156" t="s">
        <v>814</v>
      </c>
      <c r="ODF47" s="1156"/>
      <c r="ODG47" s="1156" t="s">
        <v>814</v>
      </c>
      <c r="ODH47" s="1156"/>
      <c r="ODI47" s="1156" t="s">
        <v>814</v>
      </c>
      <c r="ODJ47" s="1156"/>
      <c r="ODK47" s="1156" t="s">
        <v>814</v>
      </c>
      <c r="ODL47" s="1156"/>
      <c r="ODM47" s="1156" t="s">
        <v>814</v>
      </c>
      <c r="ODN47" s="1156"/>
      <c r="ODO47" s="1156" t="s">
        <v>814</v>
      </c>
      <c r="ODP47" s="1156"/>
      <c r="ODQ47" s="1156" t="s">
        <v>814</v>
      </c>
      <c r="ODR47" s="1156"/>
      <c r="ODS47" s="1156" t="s">
        <v>814</v>
      </c>
      <c r="ODT47" s="1156"/>
      <c r="ODU47" s="1156" t="s">
        <v>814</v>
      </c>
      <c r="ODV47" s="1156"/>
      <c r="ODW47" s="1156" t="s">
        <v>814</v>
      </c>
      <c r="ODX47" s="1156"/>
      <c r="ODY47" s="1156" t="s">
        <v>814</v>
      </c>
      <c r="ODZ47" s="1156"/>
      <c r="OEA47" s="1156" t="s">
        <v>814</v>
      </c>
      <c r="OEB47" s="1156"/>
      <c r="OEC47" s="1156" t="s">
        <v>814</v>
      </c>
      <c r="OED47" s="1156"/>
      <c r="OEE47" s="1156" t="s">
        <v>814</v>
      </c>
      <c r="OEF47" s="1156"/>
      <c r="OEG47" s="1156" t="s">
        <v>814</v>
      </c>
      <c r="OEH47" s="1156"/>
      <c r="OEI47" s="1156" t="s">
        <v>814</v>
      </c>
      <c r="OEJ47" s="1156"/>
      <c r="OEK47" s="1156" t="s">
        <v>814</v>
      </c>
      <c r="OEL47" s="1156"/>
      <c r="OEM47" s="1156" t="s">
        <v>814</v>
      </c>
      <c r="OEN47" s="1156"/>
      <c r="OEO47" s="1156" t="s">
        <v>814</v>
      </c>
      <c r="OEP47" s="1156"/>
      <c r="OEQ47" s="1156" t="s">
        <v>814</v>
      </c>
      <c r="OER47" s="1156"/>
      <c r="OES47" s="1156" t="s">
        <v>814</v>
      </c>
      <c r="OET47" s="1156"/>
      <c r="OEU47" s="1156" t="s">
        <v>814</v>
      </c>
      <c r="OEV47" s="1156"/>
      <c r="OEW47" s="1156" t="s">
        <v>814</v>
      </c>
      <c r="OEX47" s="1156"/>
      <c r="OEY47" s="1156" t="s">
        <v>814</v>
      </c>
      <c r="OEZ47" s="1156"/>
      <c r="OFA47" s="1156" t="s">
        <v>814</v>
      </c>
      <c r="OFB47" s="1156"/>
      <c r="OFC47" s="1156" t="s">
        <v>814</v>
      </c>
      <c r="OFD47" s="1156"/>
      <c r="OFE47" s="1156" t="s">
        <v>814</v>
      </c>
      <c r="OFF47" s="1156"/>
      <c r="OFG47" s="1156" t="s">
        <v>814</v>
      </c>
      <c r="OFH47" s="1156"/>
      <c r="OFI47" s="1156" t="s">
        <v>814</v>
      </c>
      <c r="OFJ47" s="1156"/>
      <c r="OFK47" s="1156" t="s">
        <v>814</v>
      </c>
      <c r="OFL47" s="1156"/>
      <c r="OFM47" s="1156" t="s">
        <v>814</v>
      </c>
      <c r="OFN47" s="1156"/>
      <c r="OFO47" s="1156" t="s">
        <v>814</v>
      </c>
      <c r="OFP47" s="1156"/>
      <c r="OFQ47" s="1156" t="s">
        <v>814</v>
      </c>
      <c r="OFR47" s="1156"/>
      <c r="OFS47" s="1156" t="s">
        <v>814</v>
      </c>
      <c r="OFT47" s="1156"/>
      <c r="OFU47" s="1156" t="s">
        <v>814</v>
      </c>
      <c r="OFV47" s="1156"/>
      <c r="OFW47" s="1156" t="s">
        <v>814</v>
      </c>
      <c r="OFX47" s="1156"/>
      <c r="OFY47" s="1156" t="s">
        <v>814</v>
      </c>
      <c r="OFZ47" s="1156"/>
      <c r="OGA47" s="1156" t="s">
        <v>814</v>
      </c>
      <c r="OGB47" s="1156"/>
      <c r="OGC47" s="1156" t="s">
        <v>814</v>
      </c>
      <c r="OGD47" s="1156"/>
      <c r="OGE47" s="1156" t="s">
        <v>814</v>
      </c>
      <c r="OGF47" s="1156"/>
      <c r="OGG47" s="1156" t="s">
        <v>814</v>
      </c>
      <c r="OGH47" s="1156"/>
      <c r="OGI47" s="1156" t="s">
        <v>814</v>
      </c>
      <c r="OGJ47" s="1156"/>
      <c r="OGK47" s="1156" t="s">
        <v>814</v>
      </c>
      <c r="OGL47" s="1156"/>
      <c r="OGM47" s="1156" t="s">
        <v>814</v>
      </c>
      <c r="OGN47" s="1156"/>
      <c r="OGO47" s="1156" t="s">
        <v>814</v>
      </c>
      <c r="OGP47" s="1156"/>
      <c r="OGQ47" s="1156" t="s">
        <v>814</v>
      </c>
      <c r="OGR47" s="1156"/>
      <c r="OGS47" s="1156" t="s">
        <v>814</v>
      </c>
      <c r="OGT47" s="1156"/>
      <c r="OGU47" s="1156" t="s">
        <v>814</v>
      </c>
      <c r="OGV47" s="1156"/>
      <c r="OGW47" s="1156" t="s">
        <v>814</v>
      </c>
      <c r="OGX47" s="1156"/>
      <c r="OGY47" s="1156" t="s">
        <v>814</v>
      </c>
      <c r="OGZ47" s="1156"/>
      <c r="OHA47" s="1156" t="s">
        <v>814</v>
      </c>
      <c r="OHB47" s="1156"/>
      <c r="OHC47" s="1156" t="s">
        <v>814</v>
      </c>
      <c r="OHD47" s="1156"/>
      <c r="OHE47" s="1156" t="s">
        <v>814</v>
      </c>
      <c r="OHF47" s="1156"/>
      <c r="OHG47" s="1156" t="s">
        <v>814</v>
      </c>
      <c r="OHH47" s="1156"/>
      <c r="OHI47" s="1156" t="s">
        <v>814</v>
      </c>
      <c r="OHJ47" s="1156"/>
      <c r="OHK47" s="1156" t="s">
        <v>814</v>
      </c>
      <c r="OHL47" s="1156"/>
      <c r="OHM47" s="1156" t="s">
        <v>814</v>
      </c>
      <c r="OHN47" s="1156"/>
      <c r="OHO47" s="1156" t="s">
        <v>814</v>
      </c>
      <c r="OHP47" s="1156"/>
      <c r="OHQ47" s="1156" t="s">
        <v>814</v>
      </c>
      <c r="OHR47" s="1156"/>
      <c r="OHS47" s="1156" t="s">
        <v>814</v>
      </c>
      <c r="OHT47" s="1156"/>
      <c r="OHU47" s="1156" t="s">
        <v>814</v>
      </c>
      <c r="OHV47" s="1156"/>
      <c r="OHW47" s="1156" t="s">
        <v>814</v>
      </c>
      <c r="OHX47" s="1156"/>
      <c r="OHY47" s="1156" t="s">
        <v>814</v>
      </c>
      <c r="OHZ47" s="1156"/>
      <c r="OIA47" s="1156" t="s">
        <v>814</v>
      </c>
      <c r="OIB47" s="1156"/>
      <c r="OIC47" s="1156" t="s">
        <v>814</v>
      </c>
      <c r="OID47" s="1156"/>
      <c r="OIE47" s="1156" t="s">
        <v>814</v>
      </c>
      <c r="OIF47" s="1156"/>
      <c r="OIG47" s="1156" t="s">
        <v>814</v>
      </c>
      <c r="OIH47" s="1156"/>
      <c r="OII47" s="1156" t="s">
        <v>814</v>
      </c>
      <c r="OIJ47" s="1156"/>
      <c r="OIK47" s="1156" t="s">
        <v>814</v>
      </c>
      <c r="OIL47" s="1156"/>
      <c r="OIM47" s="1156" t="s">
        <v>814</v>
      </c>
      <c r="OIN47" s="1156"/>
      <c r="OIO47" s="1156" t="s">
        <v>814</v>
      </c>
      <c r="OIP47" s="1156"/>
      <c r="OIQ47" s="1156" t="s">
        <v>814</v>
      </c>
      <c r="OIR47" s="1156"/>
      <c r="OIS47" s="1156" t="s">
        <v>814</v>
      </c>
      <c r="OIT47" s="1156"/>
      <c r="OIU47" s="1156" t="s">
        <v>814</v>
      </c>
      <c r="OIV47" s="1156"/>
      <c r="OIW47" s="1156" t="s">
        <v>814</v>
      </c>
      <c r="OIX47" s="1156"/>
      <c r="OIY47" s="1156" t="s">
        <v>814</v>
      </c>
      <c r="OIZ47" s="1156"/>
      <c r="OJA47" s="1156" t="s">
        <v>814</v>
      </c>
      <c r="OJB47" s="1156"/>
      <c r="OJC47" s="1156" t="s">
        <v>814</v>
      </c>
      <c r="OJD47" s="1156"/>
      <c r="OJE47" s="1156" t="s">
        <v>814</v>
      </c>
      <c r="OJF47" s="1156"/>
      <c r="OJG47" s="1156" t="s">
        <v>814</v>
      </c>
      <c r="OJH47" s="1156"/>
      <c r="OJI47" s="1156" t="s">
        <v>814</v>
      </c>
      <c r="OJJ47" s="1156"/>
      <c r="OJK47" s="1156" t="s">
        <v>814</v>
      </c>
      <c r="OJL47" s="1156"/>
      <c r="OJM47" s="1156" t="s">
        <v>814</v>
      </c>
      <c r="OJN47" s="1156"/>
      <c r="OJO47" s="1156" t="s">
        <v>814</v>
      </c>
      <c r="OJP47" s="1156"/>
      <c r="OJQ47" s="1156" t="s">
        <v>814</v>
      </c>
      <c r="OJR47" s="1156"/>
      <c r="OJS47" s="1156" t="s">
        <v>814</v>
      </c>
      <c r="OJT47" s="1156"/>
      <c r="OJU47" s="1156" t="s">
        <v>814</v>
      </c>
      <c r="OJV47" s="1156"/>
      <c r="OJW47" s="1156" t="s">
        <v>814</v>
      </c>
      <c r="OJX47" s="1156"/>
      <c r="OJY47" s="1156" t="s">
        <v>814</v>
      </c>
      <c r="OJZ47" s="1156"/>
      <c r="OKA47" s="1156" t="s">
        <v>814</v>
      </c>
      <c r="OKB47" s="1156"/>
      <c r="OKC47" s="1156" t="s">
        <v>814</v>
      </c>
      <c r="OKD47" s="1156"/>
      <c r="OKE47" s="1156" t="s">
        <v>814</v>
      </c>
      <c r="OKF47" s="1156"/>
      <c r="OKG47" s="1156" t="s">
        <v>814</v>
      </c>
      <c r="OKH47" s="1156"/>
      <c r="OKI47" s="1156" t="s">
        <v>814</v>
      </c>
      <c r="OKJ47" s="1156"/>
      <c r="OKK47" s="1156" t="s">
        <v>814</v>
      </c>
      <c r="OKL47" s="1156"/>
      <c r="OKM47" s="1156" t="s">
        <v>814</v>
      </c>
      <c r="OKN47" s="1156"/>
      <c r="OKO47" s="1156" t="s">
        <v>814</v>
      </c>
      <c r="OKP47" s="1156"/>
      <c r="OKQ47" s="1156" t="s">
        <v>814</v>
      </c>
      <c r="OKR47" s="1156"/>
      <c r="OKS47" s="1156" t="s">
        <v>814</v>
      </c>
      <c r="OKT47" s="1156"/>
      <c r="OKU47" s="1156" t="s">
        <v>814</v>
      </c>
      <c r="OKV47" s="1156"/>
      <c r="OKW47" s="1156" t="s">
        <v>814</v>
      </c>
      <c r="OKX47" s="1156"/>
      <c r="OKY47" s="1156" t="s">
        <v>814</v>
      </c>
      <c r="OKZ47" s="1156"/>
      <c r="OLA47" s="1156" t="s">
        <v>814</v>
      </c>
      <c r="OLB47" s="1156"/>
      <c r="OLC47" s="1156" t="s">
        <v>814</v>
      </c>
      <c r="OLD47" s="1156"/>
      <c r="OLE47" s="1156" t="s">
        <v>814</v>
      </c>
      <c r="OLF47" s="1156"/>
      <c r="OLG47" s="1156" t="s">
        <v>814</v>
      </c>
      <c r="OLH47" s="1156"/>
      <c r="OLI47" s="1156" t="s">
        <v>814</v>
      </c>
      <c r="OLJ47" s="1156"/>
      <c r="OLK47" s="1156" t="s">
        <v>814</v>
      </c>
      <c r="OLL47" s="1156"/>
      <c r="OLM47" s="1156" t="s">
        <v>814</v>
      </c>
      <c r="OLN47" s="1156"/>
      <c r="OLO47" s="1156" t="s">
        <v>814</v>
      </c>
      <c r="OLP47" s="1156"/>
      <c r="OLQ47" s="1156" t="s">
        <v>814</v>
      </c>
      <c r="OLR47" s="1156"/>
      <c r="OLS47" s="1156" t="s">
        <v>814</v>
      </c>
      <c r="OLT47" s="1156"/>
      <c r="OLU47" s="1156" t="s">
        <v>814</v>
      </c>
      <c r="OLV47" s="1156"/>
      <c r="OLW47" s="1156" t="s">
        <v>814</v>
      </c>
      <c r="OLX47" s="1156"/>
      <c r="OLY47" s="1156" t="s">
        <v>814</v>
      </c>
      <c r="OLZ47" s="1156"/>
      <c r="OMA47" s="1156" t="s">
        <v>814</v>
      </c>
      <c r="OMB47" s="1156"/>
      <c r="OMC47" s="1156" t="s">
        <v>814</v>
      </c>
      <c r="OMD47" s="1156"/>
      <c r="OME47" s="1156" t="s">
        <v>814</v>
      </c>
      <c r="OMF47" s="1156"/>
      <c r="OMG47" s="1156" t="s">
        <v>814</v>
      </c>
      <c r="OMH47" s="1156"/>
      <c r="OMI47" s="1156" t="s">
        <v>814</v>
      </c>
      <c r="OMJ47" s="1156"/>
      <c r="OMK47" s="1156" t="s">
        <v>814</v>
      </c>
      <c r="OML47" s="1156"/>
      <c r="OMM47" s="1156" t="s">
        <v>814</v>
      </c>
      <c r="OMN47" s="1156"/>
      <c r="OMO47" s="1156" t="s">
        <v>814</v>
      </c>
      <c r="OMP47" s="1156"/>
      <c r="OMQ47" s="1156" t="s">
        <v>814</v>
      </c>
      <c r="OMR47" s="1156"/>
      <c r="OMS47" s="1156" t="s">
        <v>814</v>
      </c>
      <c r="OMT47" s="1156"/>
      <c r="OMU47" s="1156" t="s">
        <v>814</v>
      </c>
      <c r="OMV47" s="1156"/>
      <c r="OMW47" s="1156" t="s">
        <v>814</v>
      </c>
      <c r="OMX47" s="1156"/>
      <c r="OMY47" s="1156" t="s">
        <v>814</v>
      </c>
      <c r="OMZ47" s="1156"/>
      <c r="ONA47" s="1156" t="s">
        <v>814</v>
      </c>
      <c r="ONB47" s="1156"/>
      <c r="ONC47" s="1156" t="s">
        <v>814</v>
      </c>
      <c r="OND47" s="1156"/>
      <c r="ONE47" s="1156" t="s">
        <v>814</v>
      </c>
      <c r="ONF47" s="1156"/>
      <c r="ONG47" s="1156" t="s">
        <v>814</v>
      </c>
      <c r="ONH47" s="1156"/>
      <c r="ONI47" s="1156" t="s">
        <v>814</v>
      </c>
      <c r="ONJ47" s="1156"/>
      <c r="ONK47" s="1156" t="s">
        <v>814</v>
      </c>
      <c r="ONL47" s="1156"/>
      <c r="ONM47" s="1156" t="s">
        <v>814</v>
      </c>
      <c r="ONN47" s="1156"/>
      <c r="ONO47" s="1156" t="s">
        <v>814</v>
      </c>
      <c r="ONP47" s="1156"/>
      <c r="ONQ47" s="1156" t="s">
        <v>814</v>
      </c>
      <c r="ONR47" s="1156"/>
      <c r="ONS47" s="1156" t="s">
        <v>814</v>
      </c>
      <c r="ONT47" s="1156"/>
      <c r="ONU47" s="1156" t="s">
        <v>814</v>
      </c>
      <c r="ONV47" s="1156"/>
      <c r="ONW47" s="1156" t="s">
        <v>814</v>
      </c>
      <c r="ONX47" s="1156"/>
      <c r="ONY47" s="1156" t="s">
        <v>814</v>
      </c>
      <c r="ONZ47" s="1156"/>
      <c r="OOA47" s="1156" t="s">
        <v>814</v>
      </c>
      <c r="OOB47" s="1156"/>
      <c r="OOC47" s="1156" t="s">
        <v>814</v>
      </c>
      <c r="OOD47" s="1156"/>
      <c r="OOE47" s="1156" t="s">
        <v>814</v>
      </c>
      <c r="OOF47" s="1156"/>
      <c r="OOG47" s="1156" t="s">
        <v>814</v>
      </c>
      <c r="OOH47" s="1156"/>
      <c r="OOI47" s="1156" t="s">
        <v>814</v>
      </c>
      <c r="OOJ47" s="1156"/>
      <c r="OOK47" s="1156" t="s">
        <v>814</v>
      </c>
      <c r="OOL47" s="1156"/>
      <c r="OOM47" s="1156" t="s">
        <v>814</v>
      </c>
      <c r="OON47" s="1156"/>
      <c r="OOO47" s="1156" t="s">
        <v>814</v>
      </c>
      <c r="OOP47" s="1156"/>
      <c r="OOQ47" s="1156" t="s">
        <v>814</v>
      </c>
      <c r="OOR47" s="1156"/>
      <c r="OOS47" s="1156" t="s">
        <v>814</v>
      </c>
      <c r="OOT47" s="1156"/>
      <c r="OOU47" s="1156" t="s">
        <v>814</v>
      </c>
      <c r="OOV47" s="1156"/>
      <c r="OOW47" s="1156" t="s">
        <v>814</v>
      </c>
      <c r="OOX47" s="1156"/>
      <c r="OOY47" s="1156" t="s">
        <v>814</v>
      </c>
      <c r="OOZ47" s="1156"/>
      <c r="OPA47" s="1156" t="s">
        <v>814</v>
      </c>
      <c r="OPB47" s="1156"/>
      <c r="OPC47" s="1156" t="s">
        <v>814</v>
      </c>
      <c r="OPD47" s="1156"/>
      <c r="OPE47" s="1156" t="s">
        <v>814</v>
      </c>
      <c r="OPF47" s="1156"/>
      <c r="OPG47" s="1156" t="s">
        <v>814</v>
      </c>
      <c r="OPH47" s="1156"/>
      <c r="OPI47" s="1156" t="s">
        <v>814</v>
      </c>
      <c r="OPJ47" s="1156"/>
      <c r="OPK47" s="1156" t="s">
        <v>814</v>
      </c>
      <c r="OPL47" s="1156"/>
      <c r="OPM47" s="1156" t="s">
        <v>814</v>
      </c>
      <c r="OPN47" s="1156"/>
      <c r="OPO47" s="1156" t="s">
        <v>814</v>
      </c>
      <c r="OPP47" s="1156"/>
      <c r="OPQ47" s="1156" t="s">
        <v>814</v>
      </c>
      <c r="OPR47" s="1156"/>
      <c r="OPS47" s="1156" t="s">
        <v>814</v>
      </c>
      <c r="OPT47" s="1156"/>
      <c r="OPU47" s="1156" t="s">
        <v>814</v>
      </c>
      <c r="OPV47" s="1156"/>
      <c r="OPW47" s="1156" t="s">
        <v>814</v>
      </c>
      <c r="OPX47" s="1156"/>
      <c r="OPY47" s="1156" t="s">
        <v>814</v>
      </c>
      <c r="OPZ47" s="1156"/>
      <c r="OQA47" s="1156" t="s">
        <v>814</v>
      </c>
      <c r="OQB47" s="1156"/>
      <c r="OQC47" s="1156" t="s">
        <v>814</v>
      </c>
      <c r="OQD47" s="1156"/>
      <c r="OQE47" s="1156" t="s">
        <v>814</v>
      </c>
      <c r="OQF47" s="1156"/>
      <c r="OQG47" s="1156" t="s">
        <v>814</v>
      </c>
      <c r="OQH47" s="1156"/>
      <c r="OQI47" s="1156" t="s">
        <v>814</v>
      </c>
      <c r="OQJ47" s="1156"/>
      <c r="OQK47" s="1156" t="s">
        <v>814</v>
      </c>
      <c r="OQL47" s="1156"/>
      <c r="OQM47" s="1156" t="s">
        <v>814</v>
      </c>
      <c r="OQN47" s="1156"/>
      <c r="OQO47" s="1156" t="s">
        <v>814</v>
      </c>
      <c r="OQP47" s="1156"/>
      <c r="OQQ47" s="1156" t="s">
        <v>814</v>
      </c>
      <c r="OQR47" s="1156"/>
      <c r="OQS47" s="1156" t="s">
        <v>814</v>
      </c>
      <c r="OQT47" s="1156"/>
      <c r="OQU47" s="1156" t="s">
        <v>814</v>
      </c>
      <c r="OQV47" s="1156"/>
      <c r="OQW47" s="1156" t="s">
        <v>814</v>
      </c>
      <c r="OQX47" s="1156"/>
      <c r="OQY47" s="1156" t="s">
        <v>814</v>
      </c>
      <c r="OQZ47" s="1156"/>
      <c r="ORA47" s="1156" t="s">
        <v>814</v>
      </c>
      <c r="ORB47" s="1156"/>
      <c r="ORC47" s="1156" t="s">
        <v>814</v>
      </c>
      <c r="ORD47" s="1156"/>
      <c r="ORE47" s="1156" t="s">
        <v>814</v>
      </c>
      <c r="ORF47" s="1156"/>
      <c r="ORG47" s="1156" t="s">
        <v>814</v>
      </c>
      <c r="ORH47" s="1156"/>
      <c r="ORI47" s="1156" t="s">
        <v>814</v>
      </c>
      <c r="ORJ47" s="1156"/>
      <c r="ORK47" s="1156" t="s">
        <v>814</v>
      </c>
      <c r="ORL47" s="1156"/>
      <c r="ORM47" s="1156" t="s">
        <v>814</v>
      </c>
      <c r="ORN47" s="1156"/>
      <c r="ORO47" s="1156" t="s">
        <v>814</v>
      </c>
      <c r="ORP47" s="1156"/>
      <c r="ORQ47" s="1156" t="s">
        <v>814</v>
      </c>
      <c r="ORR47" s="1156"/>
      <c r="ORS47" s="1156" t="s">
        <v>814</v>
      </c>
      <c r="ORT47" s="1156"/>
      <c r="ORU47" s="1156" t="s">
        <v>814</v>
      </c>
      <c r="ORV47" s="1156"/>
      <c r="ORW47" s="1156" t="s">
        <v>814</v>
      </c>
      <c r="ORX47" s="1156"/>
      <c r="ORY47" s="1156" t="s">
        <v>814</v>
      </c>
      <c r="ORZ47" s="1156"/>
      <c r="OSA47" s="1156" t="s">
        <v>814</v>
      </c>
      <c r="OSB47" s="1156"/>
      <c r="OSC47" s="1156" t="s">
        <v>814</v>
      </c>
      <c r="OSD47" s="1156"/>
      <c r="OSE47" s="1156" t="s">
        <v>814</v>
      </c>
      <c r="OSF47" s="1156"/>
      <c r="OSG47" s="1156" t="s">
        <v>814</v>
      </c>
      <c r="OSH47" s="1156"/>
      <c r="OSI47" s="1156" t="s">
        <v>814</v>
      </c>
      <c r="OSJ47" s="1156"/>
      <c r="OSK47" s="1156" t="s">
        <v>814</v>
      </c>
      <c r="OSL47" s="1156"/>
      <c r="OSM47" s="1156" t="s">
        <v>814</v>
      </c>
      <c r="OSN47" s="1156"/>
      <c r="OSO47" s="1156" t="s">
        <v>814</v>
      </c>
      <c r="OSP47" s="1156"/>
      <c r="OSQ47" s="1156" t="s">
        <v>814</v>
      </c>
      <c r="OSR47" s="1156"/>
      <c r="OSS47" s="1156" t="s">
        <v>814</v>
      </c>
      <c r="OST47" s="1156"/>
      <c r="OSU47" s="1156" t="s">
        <v>814</v>
      </c>
      <c r="OSV47" s="1156"/>
      <c r="OSW47" s="1156" t="s">
        <v>814</v>
      </c>
      <c r="OSX47" s="1156"/>
      <c r="OSY47" s="1156" t="s">
        <v>814</v>
      </c>
      <c r="OSZ47" s="1156"/>
      <c r="OTA47" s="1156" t="s">
        <v>814</v>
      </c>
      <c r="OTB47" s="1156"/>
      <c r="OTC47" s="1156" t="s">
        <v>814</v>
      </c>
      <c r="OTD47" s="1156"/>
      <c r="OTE47" s="1156" t="s">
        <v>814</v>
      </c>
      <c r="OTF47" s="1156"/>
      <c r="OTG47" s="1156" t="s">
        <v>814</v>
      </c>
      <c r="OTH47" s="1156"/>
      <c r="OTI47" s="1156" t="s">
        <v>814</v>
      </c>
      <c r="OTJ47" s="1156"/>
      <c r="OTK47" s="1156" t="s">
        <v>814</v>
      </c>
      <c r="OTL47" s="1156"/>
      <c r="OTM47" s="1156" t="s">
        <v>814</v>
      </c>
      <c r="OTN47" s="1156"/>
      <c r="OTO47" s="1156" t="s">
        <v>814</v>
      </c>
      <c r="OTP47" s="1156"/>
      <c r="OTQ47" s="1156" t="s">
        <v>814</v>
      </c>
      <c r="OTR47" s="1156"/>
      <c r="OTS47" s="1156" t="s">
        <v>814</v>
      </c>
      <c r="OTT47" s="1156"/>
      <c r="OTU47" s="1156" t="s">
        <v>814</v>
      </c>
      <c r="OTV47" s="1156"/>
      <c r="OTW47" s="1156" t="s">
        <v>814</v>
      </c>
      <c r="OTX47" s="1156"/>
      <c r="OTY47" s="1156" t="s">
        <v>814</v>
      </c>
      <c r="OTZ47" s="1156"/>
      <c r="OUA47" s="1156" t="s">
        <v>814</v>
      </c>
      <c r="OUB47" s="1156"/>
      <c r="OUC47" s="1156" t="s">
        <v>814</v>
      </c>
      <c r="OUD47" s="1156"/>
      <c r="OUE47" s="1156" t="s">
        <v>814</v>
      </c>
      <c r="OUF47" s="1156"/>
      <c r="OUG47" s="1156" t="s">
        <v>814</v>
      </c>
      <c r="OUH47" s="1156"/>
      <c r="OUI47" s="1156" t="s">
        <v>814</v>
      </c>
      <c r="OUJ47" s="1156"/>
      <c r="OUK47" s="1156" t="s">
        <v>814</v>
      </c>
      <c r="OUL47" s="1156"/>
      <c r="OUM47" s="1156" t="s">
        <v>814</v>
      </c>
      <c r="OUN47" s="1156"/>
      <c r="OUO47" s="1156" t="s">
        <v>814</v>
      </c>
      <c r="OUP47" s="1156"/>
      <c r="OUQ47" s="1156" t="s">
        <v>814</v>
      </c>
      <c r="OUR47" s="1156"/>
      <c r="OUS47" s="1156" t="s">
        <v>814</v>
      </c>
      <c r="OUT47" s="1156"/>
      <c r="OUU47" s="1156" t="s">
        <v>814</v>
      </c>
      <c r="OUV47" s="1156"/>
      <c r="OUW47" s="1156" t="s">
        <v>814</v>
      </c>
      <c r="OUX47" s="1156"/>
      <c r="OUY47" s="1156" t="s">
        <v>814</v>
      </c>
      <c r="OUZ47" s="1156"/>
      <c r="OVA47" s="1156" t="s">
        <v>814</v>
      </c>
      <c r="OVB47" s="1156"/>
      <c r="OVC47" s="1156" t="s">
        <v>814</v>
      </c>
      <c r="OVD47" s="1156"/>
      <c r="OVE47" s="1156" t="s">
        <v>814</v>
      </c>
      <c r="OVF47" s="1156"/>
      <c r="OVG47" s="1156" t="s">
        <v>814</v>
      </c>
      <c r="OVH47" s="1156"/>
      <c r="OVI47" s="1156" t="s">
        <v>814</v>
      </c>
      <c r="OVJ47" s="1156"/>
      <c r="OVK47" s="1156" t="s">
        <v>814</v>
      </c>
      <c r="OVL47" s="1156"/>
      <c r="OVM47" s="1156" t="s">
        <v>814</v>
      </c>
      <c r="OVN47" s="1156"/>
      <c r="OVO47" s="1156" t="s">
        <v>814</v>
      </c>
      <c r="OVP47" s="1156"/>
      <c r="OVQ47" s="1156" t="s">
        <v>814</v>
      </c>
      <c r="OVR47" s="1156"/>
      <c r="OVS47" s="1156" t="s">
        <v>814</v>
      </c>
      <c r="OVT47" s="1156"/>
      <c r="OVU47" s="1156" t="s">
        <v>814</v>
      </c>
      <c r="OVV47" s="1156"/>
      <c r="OVW47" s="1156" t="s">
        <v>814</v>
      </c>
      <c r="OVX47" s="1156"/>
      <c r="OVY47" s="1156" t="s">
        <v>814</v>
      </c>
      <c r="OVZ47" s="1156"/>
      <c r="OWA47" s="1156" t="s">
        <v>814</v>
      </c>
      <c r="OWB47" s="1156"/>
      <c r="OWC47" s="1156" t="s">
        <v>814</v>
      </c>
      <c r="OWD47" s="1156"/>
      <c r="OWE47" s="1156" t="s">
        <v>814</v>
      </c>
      <c r="OWF47" s="1156"/>
      <c r="OWG47" s="1156" t="s">
        <v>814</v>
      </c>
      <c r="OWH47" s="1156"/>
      <c r="OWI47" s="1156" t="s">
        <v>814</v>
      </c>
      <c r="OWJ47" s="1156"/>
      <c r="OWK47" s="1156" t="s">
        <v>814</v>
      </c>
      <c r="OWL47" s="1156"/>
      <c r="OWM47" s="1156" t="s">
        <v>814</v>
      </c>
      <c r="OWN47" s="1156"/>
      <c r="OWO47" s="1156" t="s">
        <v>814</v>
      </c>
      <c r="OWP47" s="1156"/>
      <c r="OWQ47" s="1156" t="s">
        <v>814</v>
      </c>
      <c r="OWR47" s="1156"/>
      <c r="OWS47" s="1156" t="s">
        <v>814</v>
      </c>
      <c r="OWT47" s="1156"/>
      <c r="OWU47" s="1156" t="s">
        <v>814</v>
      </c>
      <c r="OWV47" s="1156"/>
      <c r="OWW47" s="1156" t="s">
        <v>814</v>
      </c>
      <c r="OWX47" s="1156"/>
      <c r="OWY47" s="1156" t="s">
        <v>814</v>
      </c>
      <c r="OWZ47" s="1156"/>
      <c r="OXA47" s="1156" t="s">
        <v>814</v>
      </c>
      <c r="OXB47" s="1156"/>
      <c r="OXC47" s="1156" t="s">
        <v>814</v>
      </c>
      <c r="OXD47" s="1156"/>
      <c r="OXE47" s="1156" t="s">
        <v>814</v>
      </c>
      <c r="OXF47" s="1156"/>
      <c r="OXG47" s="1156" t="s">
        <v>814</v>
      </c>
      <c r="OXH47" s="1156"/>
      <c r="OXI47" s="1156" t="s">
        <v>814</v>
      </c>
      <c r="OXJ47" s="1156"/>
      <c r="OXK47" s="1156" t="s">
        <v>814</v>
      </c>
      <c r="OXL47" s="1156"/>
      <c r="OXM47" s="1156" t="s">
        <v>814</v>
      </c>
      <c r="OXN47" s="1156"/>
      <c r="OXO47" s="1156" t="s">
        <v>814</v>
      </c>
      <c r="OXP47" s="1156"/>
      <c r="OXQ47" s="1156" t="s">
        <v>814</v>
      </c>
      <c r="OXR47" s="1156"/>
      <c r="OXS47" s="1156" t="s">
        <v>814</v>
      </c>
      <c r="OXT47" s="1156"/>
      <c r="OXU47" s="1156" t="s">
        <v>814</v>
      </c>
      <c r="OXV47" s="1156"/>
      <c r="OXW47" s="1156" t="s">
        <v>814</v>
      </c>
      <c r="OXX47" s="1156"/>
      <c r="OXY47" s="1156" t="s">
        <v>814</v>
      </c>
      <c r="OXZ47" s="1156"/>
      <c r="OYA47" s="1156" t="s">
        <v>814</v>
      </c>
      <c r="OYB47" s="1156"/>
      <c r="OYC47" s="1156" t="s">
        <v>814</v>
      </c>
      <c r="OYD47" s="1156"/>
      <c r="OYE47" s="1156" t="s">
        <v>814</v>
      </c>
      <c r="OYF47" s="1156"/>
      <c r="OYG47" s="1156" t="s">
        <v>814</v>
      </c>
      <c r="OYH47" s="1156"/>
      <c r="OYI47" s="1156" t="s">
        <v>814</v>
      </c>
      <c r="OYJ47" s="1156"/>
      <c r="OYK47" s="1156" t="s">
        <v>814</v>
      </c>
      <c r="OYL47" s="1156"/>
      <c r="OYM47" s="1156" t="s">
        <v>814</v>
      </c>
      <c r="OYN47" s="1156"/>
      <c r="OYO47" s="1156" t="s">
        <v>814</v>
      </c>
      <c r="OYP47" s="1156"/>
      <c r="OYQ47" s="1156" t="s">
        <v>814</v>
      </c>
      <c r="OYR47" s="1156"/>
      <c r="OYS47" s="1156" t="s">
        <v>814</v>
      </c>
      <c r="OYT47" s="1156"/>
      <c r="OYU47" s="1156" t="s">
        <v>814</v>
      </c>
      <c r="OYV47" s="1156"/>
      <c r="OYW47" s="1156" t="s">
        <v>814</v>
      </c>
      <c r="OYX47" s="1156"/>
      <c r="OYY47" s="1156" t="s">
        <v>814</v>
      </c>
      <c r="OYZ47" s="1156"/>
      <c r="OZA47" s="1156" t="s">
        <v>814</v>
      </c>
      <c r="OZB47" s="1156"/>
      <c r="OZC47" s="1156" t="s">
        <v>814</v>
      </c>
      <c r="OZD47" s="1156"/>
      <c r="OZE47" s="1156" t="s">
        <v>814</v>
      </c>
      <c r="OZF47" s="1156"/>
      <c r="OZG47" s="1156" t="s">
        <v>814</v>
      </c>
      <c r="OZH47" s="1156"/>
      <c r="OZI47" s="1156" t="s">
        <v>814</v>
      </c>
      <c r="OZJ47" s="1156"/>
      <c r="OZK47" s="1156" t="s">
        <v>814</v>
      </c>
      <c r="OZL47" s="1156"/>
      <c r="OZM47" s="1156" t="s">
        <v>814</v>
      </c>
      <c r="OZN47" s="1156"/>
      <c r="OZO47" s="1156" t="s">
        <v>814</v>
      </c>
      <c r="OZP47" s="1156"/>
      <c r="OZQ47" s="1156" t="s">
        <v>814</v>
      </c>
      <c r="OZR47" s="1156"/>
      <c r="OZS47" s="1156" t="s">
        <v>814</v>
      </c>
      <c r="OZT47" s="1156"/>
      <c r="OZU47" s="1156" t="s">
        <v>814</v>
      </c>
      <c r="OZV47" s="1156"/>
      <c r="OZW47" s="1156" t="s">
        <v>814</v>
      </c>
      <c r="OZX47" s="1156"/>
      <c r="OZY47" s="1156" t="s">
        <v>814</v>
      </c>
      <c r="OZZ47" s="1156"/>
      <c r="PAA47" s="1156" t="s">
        <v>814</v>
      </c>
      <c r="PAB47" s="1156"/>
      <c r="PAC47" s="1156" t="s">
        <v>814</v>
      </c>
      <c r="PAD47" s="1156"/>
      <c r="PAE47" s="1156" t="s">
        <v>814</v>
      </c>
      <c r="PAF47" s="1156"/>
      <c r="PAG47" s="1156" t="s">
        <v>814</v>
      </c>
      <c r="PAH47" s="1156"/>
      <c r="PAI47" s="1156" t="s">
        <v>814</v>
      </c>
      <c r="PAJ47" s="1156"/>
      <c r="PAK47" s="1156" t="s">
        <v>814</v>
      </c>
      <c r="PAL47" s="1156"/>
      <c r="PAM47" s="1156" t="s">
        <v>814</v>
      </c>
      <c r="PAN47" s="1156"/>
      <c r="PAO47" s="1156" t="s">
        <v>814</v>
      </c>
      <c r="PAP47" s="1156"/>
      <c r="PAQ47" s="1156" t="s">
        <v>814</v>
      </c>
      <c r="PAR47" s="1156"/>
      <c r="PAS47" s="1156" t="s">
        <v>814</v>
      </c>
      <c r="PAT47" s="1156"/>
      <c r="PAU47" s="1156" t="s">
        <v>814</v>
      </c>
      <c r="PAV47" s="1156"/>
      <c r="PAW47" s="1156" t="s">
        <v>814</v>
      </c>
      <c r="PAX47" s="1156"/>
      <c r="PAY47" s="1156" t="s">
        <v>814</v>
      </c>
      <c r="PAZ47" s="1156"/>
      <c r="PBA47" s="1156" t="s">
        <v>814</v>
      </c>
      <c r="PBB47" s="1156"/>
      <c r="PBC47" s="1156" t="s">
        <v>814</v>
      </c>
      <c r="PBD47" s="1156"/>
      <c r="PBE47" s="1156" t="s">
        <v>814</v>
      </c>
      <c r="PBF47" s="1156"/>
      <c r="PBG47" s="1156" t="s">
        <v>814</v>
      </c>
      <c r="PBH47" s="1156"/>
      <c r="PBI47" s="1156" t="s">
        <v>814</v>
      </c>
      <c r="PBJ47" s="1156"/>
      <c r="PBK47" s="1156" t="s">
        <v>814</v>
      </c>
      <c r="PBL47" s="1156"/>
      <c r="PBM47" s="1156" t="s">
        <v>814</v>
      </c>
      <c r="PBN47" s="1156"/>
      <c r="PBO47" s="1156" t="s">
        <v>814</v>
      </c>
      <c r="PBP47" s="1156"/>
      <c r="PBQ47" s="1156" t="s">
        <v>814</v>
      </c>
      <c r="PBR47" s="1156"/>
      <c r="PBS47" s="1156" t="s">
        <v>814</v>
      </c>
      <c r="PBT47" s="1156"/>
      <c r="PBU47" s="1156" t="s">
        <v>814</v>
      </c>
      <c r="PBV47" s="1156"/>
      <c r="PBW47" s="1156" t="s">
        <v>814</v>
      </c>
      <c r="PBX47" s="1156"/>
      <c r="PBY47" s="1156" t="s">
        <v>814</v>
      </c>
      <c r="PBZ47" s="1156"/>
      <c r="PCA47" s="1156" t="s">
        <v>814</v>
      </c>
      <c r="PCB47" s="1156"/>
      <c r="PCC47" s="1156" t="s">
        <v>814</v>
      </c>
      <c r="PCD47" s="1156"/>
      <c r="PCE47" s="1156" t="s">
        <v>814</v>
      </c>
      <c r="PCF47" s="1156"/>
      <c r="PCG47" s="1156" t="s">
        <v>814</v>
      </c>
      <c r="PCH47" s="1156"/>
      <c r="PCI47" s="1156" t="s">
        <v>814</v>
      </c>
      <c r="PCJ47" s="1156"/>
      <c r="PCK47" s="1156" t="s">
        <v>814</v>
      </c>
      <c r="PCL47" s="1156"/>
      <c r="PCM47" s="1156" t="s">
        <v>814</v>
      </c>
      <c r="PCN47" s="1156"/>
      <c r="PCO47" s="1156" t="s">
        <v>814</v>
      </c>
      <c r="PCP47" s="1156"/>
      <c r="PCQ47" s="1156" t="s">
        <v>814</v>
      </c>
      <c r="PCR47" s="1156"/>
      <c r="PCS47" s="1156" t="s">
        <v>814</v>
      </c>
      <c r="PCT47" s="1156"/>
      <c r="PCU47" s="1156" t="s">
        <v>814</v>
      </c>
      <c r="PCV47" s="1156"/>
      <c r="PCW47" s="1156" t="s">
        <v>814</v>
      </c>
      <c r="PCX47" s="1156"/>
      <c r="PCY47" s="1156" t="s">
        <v>814</v>
      </c>
      <c r="PCZ47" s="1156"/>
      <c r="PDA47" s="1156" t="s">
        <v>814</v>
      </c>
      <c r="PDB47" s="1156"/>
      <c r="PDC47" s="1156" t="s">
        <v>814</v>
      </c>
      <c r="PDD47" s="1156"/>
      <c r="PDE47" s="1156" t="s">
        <v>814</v>
      </c>
      <c r="PDF47" s="1156"/>
      <c r="PDG47" s="1156" t="s">
        <v>814</v>
      </c>
      <c r="PDH47" s="1156"/>
      <c r="PDI47" s="1156" t="s">
        <v>814</v>
      </c>
      <c r="PDJ47" s="1156"/>
      <c r="PDK47" s="1156" t="s">
        <v>814</v>
      </c>
      <c r="PDL47" s="1156"/>
      <c r="PDM47" s="1156" t="s">
        <v>814</v>
      </c>
      <c r="PDN47" s="1156"/>
      <c r="PDO47" s="1156" t="s">
        <v>814</v>
      </c>
      <c r="PDP47" s="1156"/>
      <c r="PDQ47" s="1156" t="s">
        <v>814</v>
      </c>
      <c r="PDR47" s="1156"/>
      <c r="PDS47" s="1156" t="s">
        <v>814</v>
      </c>
      <c r="PDT47" s="1156"/>
      <c r="PDU47" s="1156" t="s">
        <v>814</v>
      </c>
      <c r="PDV47" s="1156"/>
      <c r="PDW47" s="1156" t="s">
        <v>814</v>
      </c>
      <c r="PDX47" s="1156"/>
      <c r="PDY47" s="1156" t="s">
        <v>814</v>
      </c>
      <c r="PDZ47" s="1156"/>
      <c r="PEA47" s="1156" t="s">
        <v>814</v>
      </c>
      <c r="PEB47" s="1156"/>
      <c r="PEC47" s="1156" t="s">
        <v>814</v>
      </c>
      <c r="PED47" s="1156"/>
      <c r="PEE47" s="1156" t="s">
        <v>814</v>
      </c>
      <c r="PEF47" s="1156"/>
      <c r="PEG47" s="1156" t="s">
        <v>814</v>
      </c>
      <c r="PEH47" s="1156"/>
      <c r="PEI47" s="1156" t="s">
        <v>814</v>
      </c>
      <c r="PEJ47" s="1156"/>
      <c r="PEK47" s="1156" t="s">
        <v>814</v>
      </c>
      <c r="PEL47" s="1156"/>
      <c r="PEM47" s="1156" t="s">
        <v>814</v>
      </c>
      <c r="PEN47" s="1156"/>
      <c r="PEO47" s="1156" t="s">
        <v>814</v>
      </c>
      <c r="PEP47" s="1156"/>
      <c r="PEQ47" s="1156" t="s">
        <v>814</v>
      </c>
      <c r="PER47" s="1156"/>
      <c r="PES47" s="1156" t="s">
        <v>814</v>
      </c>
      <c r="PET47" s="1156"/>
      <c r="PEU47" s="1156" t="s">
        <v>814</v>
      </c>
      <c r="PEV47" s="1156"/>
      <c r="PEW47" s="1156" t="s">
        <v>814</v>
      </c>
      <c r="PEX47" s="1156"/>
      <c r="PEY47" s="1156" t="s">
        <v>814</v>
      </c>
      <c r="PEZ47" s="1156"/>
      <c r="PFA47" s="1156" t="s">
        <v>814</v>
      </c>
      <c r="PFB47" s="1156"/>
      <c r="PFC47" s="1156" t="s">
        <v>814</v>
      </c>
      <c r="PFD47" s="1156"/>
      <c r="PFE47" s="1156" t="s">
        <v>814</v>
      </c>
      <c r="PFF47" s="1156"/>
      <c r="PFG47" s="1156" t="s">
        <v>814</v>
      </c>
      <c r="PFH47" s="1156"/>
      <c r="PFI47" s="1156" t="s">
        <v>814</v>
      </c>
      <c r="PFJ47" s="1156"/>
      <c r="PFK47" s="1156" t="s">
        <v>814</v>
      </c>
      <c r="PFL47" s="1156"/>
      <c r="PFM47" s="1156" t="s">
        <v>814</v>
      </c>
      <c r="PFN47" s="1156"/>
      <c r="PFO47" s="1156" t="s">
        <v>814</v>
      </c>
      <c r="PFP47" s="1156"/>
      <c r="PFQ47" s="1156" t="s">
        <v>814</v>
      </c>
      <c r="PFR47" s="1156"/>
      <c r="PFS47" s="1156" t="s">
        <v>814</v>
      </c>
      <c r="PFT47" s="1156"/>
      <c r="PFU47" s="1156" t="s">
        <v>814</v>
      </c>
      <c r="PFV47" s="1156"/>
      <c r="PFW47" s="1156" t="s">
        <v>814</v>
      </c>
      <c r="PFX47" s="1156"/>
      <c r="PFY47" s="1156" t="s">
        <v>814</v>
      </c>
      <c r="PFZ47" s="1156"/>
      <c r="PGA47" s="1156" t="s">
        <v>814</v>
      </c>
      <c r="PGB47" s="1156"/>
      <c r="PGC47" s="1156" t="s">
        <v>814</v>
      </c>
      <c r="PGD47" s="1156"/>
      <c r="PGE47" s="1156" t="s">
        <v>814</v>
      </c>
      <c r="PGF47" s="1156"/>
      <c r="PGG47" s="1156" t="s">
        <v>814</v>
      </c>
      <c r="PGH47" s="1156"/>
      <c r="PGI47" s="1156" t="s">
        <v>814</v>
      </c>
      <c r="PGJ47" s="1156"/>
      <c r="PGK47" s="1156" t="s">
        <v>814</v>
      </c>
      <c r="PGL47" s="1156"/>
      <c r="PGM47" s="1156" t="s">
        <v>814</v>
      </c>
      <c r="PGN47" s="1156"/>
      <c r="PGO47" s="1156" t="s">
        <v>814</v>
      </c>
      <c r="PGP47" s="1156"/>
      <c r="PGQ47" s="1156" t="s">
        <v>814</v>
      </c>
      <c r="PGR47" s="1156"/>
      <c r="PGS47" s="1156" t="s">
        <v>814</v>
      </c>
      <c r="PGT47" s="1156"/>
      <c r="PGU47" s="1156" t="s">
        <v>814</v>
      </c>
      <c r="PGV47" s="1156"/>
      <c r="PGW47" s="1156" t="s">
        <v>814</v>
      </c>
      <c r="PGX47" s="1156"/>
      <c r="PGY47" s="1156" t="s">
        <v>814</v>
      </c>
      <c r="PGZ47" s="1156"/>
      <c r="PHA47" s="1156" t="s">
        <v>814</v>
      </c>
      <c r="PHB47" s="1156"/>
      <c r="PHC47" s="1156" t="s">
        <v>814</v>
      </c>
      <c r="PHD47" s="1156"/>
      <c r="PHE47" s="1156" t="s">
        <v>814</v>
      </c>
      <c r="PHF47" s="1156"/>
      <c r="PHG47" s="1156" t="s">
        <v>814</v>
      </c>
      <c r="PHH47" s="1156"/>
      <c r="PHI47" s="1156" t="s">
        <v>814</v>
      </c>
      <c r="PHJ47" s="1156"/>
      <c r="PHK47" s="1156" t="s">
        <v>814</v>
      </c>
      <c r="PHL47" s="1156"/>
      <c r="PHM47" s="1156" t="s">
        <v>814</v>
      </c>
      <c r="PHN47" s="1156"/>
      <c r="PHO47" s="1156" t="s">
        <v>814</v>
      </c>
      <c r="PHP47" s="1156"/>
      <c r="PHQ47" s="1156" t="s">
        <v>814</v>
      </c>
      <c r="PHR47" s="1156"/>
      <c r="PHS47" s="1156" t="s">
        <v>814</v>
      </c>
      <c r="PHT47" s="1156"/>
      <c r="PHU47" s="1156" t="s">
        <v>814</v>
      </c>
      <c r="PHV47" s="1156"/>
      <c r="PHW47" s="1156" t="s">
        <v>814</v>
      </c>
      <c r="PHX47" s="1156"/>
      <c r="PHY47" s="1156" t="s">
        <v>814</v>
      </c>
      <c r="PHZ47" s="1156"/>
      <c r="PIA47" s="1156" t="s">
        <v>814</v>
      </c>
      <c r="PIB47" s="1156"/>
      <c r="PIC47" s="1156" t="s">
        <v>814</v>
      </c>
      <c r="PID47" s="1156"/>
      <c r="PIE47" s="1156" t="s">
        <v>814</v>
      </c>
      <c r="PIF47" s="1156"/>
      <c r="PIG47" s="1156" t="s">
        <v>814</v>
      </c>
      <c r="PIH47" s="1156"/>
      <c r="PII47" s="1156" t="s">
        <v>814</v>
      </c>
      <c r="PIJ47" s="1156"/>
      <c r="PIK47" s="1156" t="s">
        <v>814</v>
      </c>
      <c r="PIL47" s="1156"/>
      <c r="PIM47" s="1156" t="s">
        <v>814</v>
      </c>
      <c r="PIN47" s="1156"/>
      <c r="PIO47" s="1156" t="s">
        <v>814</v>
      </c>
      <c r="PIP47" s="1156"/>
      <c r="PIQ47" s="1156" t="s">
        <v>814</v>
      </c>
      <c r="PIR47" s="1156"/>
      <c r="PIS47" s="1156" t="s">
        <v>814</v>
      </c>
      <c r="PIT47" s="1156"/>
      <c r="PIU47" s="1156" t="s">
        <v>814</v>
      </c>
      <c r="PIV47" s="1156"/>
      <c r="PIW47" s="1156" t="s">
        <v>814</v>
      </c>
      <c r="PIX47" s="1156"/>
      <c r="PIY47" s="1156" t="s">
        <v>814</v>
      </c>
      <c r="PIZ47" s="1156"/>
      <c r="PJA47" s="1156" t="s">
        <v>814</v>
      </c>
      <c r="PJB47" s="1156"/>
      <c r="PJC47" s="1156" t="s">
        <v>814</v>
      </c>
      <c r="PJD47" s="1156"/>
      <c r="PJE47" s="1156" t="s">
        <v>814</v>
      </c>
      <c r="PJF47" s="1156"/>
      <c r="PJG47" s="1156" t="s">
        <v>814</v>
      </c>
      <c r="PJH47" s="1156"/>
      <c r="PJI47" s="1156" t="s">
        <v>814</v>
      </c>
      <c r="PJJ47" s="1156"/>
      <c r="PJK47" s="1156" t="s">
        <v>814</v>
      </c>
      <c r="PJL47" s="1156"/>
      <c r="PJM47" s="1156" t="s">
        <v>814</v>
      </c>
      <c r="PJN47" s="1156"/>
      <c r="PJO47" s="1156" t="s">
        <v>814</v>
      </c>
      <c r="PJP47" s="1156"/>
      <c r="PJQ47" s="1156" t="s">
        <v>814</v>
      </c>
      <c r="PJR47" s="1156"/>
      <c r="PJS47" s="1156" t="s">
        <v>814</v>
      </c>
      <c r="PJT47" s="1156"/>
      <c r="PJU47" s="1156" t="s">
        <v>814</v>
      </c>
      <c r="PJV47" s="1156"/>
      <c r="PJW47" s="1156" t="s">
        <v>814</v>
      </c>
      <c r="PJX47" s="1156"/>
      <c r="PJY47" s="1156" t="s">
        <v>814</v>
      </c>
      <c r="PJZ47" s="1156"/>
      <c r="PKA47" s="1156" t="s">
        <v>814</v>
      </c>
      <c r="PKB47" s="1156"/>
      <c r="PKC47" s="1156" t="s">
        <v>814</v>
      </c>
      <c r="PKD47" s="1156"/>
      <c r="PKE47" s="1156" t="s">
        <v>814</v>
      </c>
      <c r="PKF47" s="1156"/>
      <c r="PKG47" s="1156" t="s">
        <v>814</v>
      </c>
      <c r="PKH47" s="1156"/>
      <c r="PKI47" s="1156" t="s">
        <v>814</v>
      </c>
      <c r="PKJ47" s="1156"/>
      <c r="PKK47" s="1156" t="s">
        <v>814</v>
      </c>
      <c r="PKL47" s="1156"/>
      <c r="PKM47" s="1156" t="s">
        <v>814</v>
      </c>
      <c r="PKN47" s="1156"/>
      <c r="PKO47" s="1156" t="s">
        <v>814</v>
      </c>
      <c r="PKP47" s="1156"/>
      <c r="PKQ47" s="1156" t="s">
        <v>814</v>
      </c>
      <c r="PKR47" s="1156"/>
      <c r="PKS47" s="1156" t="s">
        <v>814</v>
      </c>
      <c r="PKT47" s="1156"/>
      <c r="PKU47" s="1156" t="s">
        <v>814</v>
      </c>
      <c r="PKV47" s="1156"/>
      <c r="PKW47" s="1156" t="s">
        <v>814</v>
      </c>
      <c r="PKX47" s="1156"/>
      <c r="PKY47" s="1156" t="s">
        <v>814</v>
      </c>
      <c r="PKZ47" s="1156"/>
      <c r="PLA47" s="1156" t="s">
        <v>814</v>
      </c>
      <c r="PLB47" s="1156"/>
      <c r="PLC47" s="1156" t="s">
        <v>814</v>
      </c>
      <c r="PLD47" s="1156"/>
      <c r="PLE47" s="1156" t="s">
        <v>814</v>
      </c>
      <c r="PLF47" s="1156"/>
      <c r="PLG47" s="1156" t="s">
        <v>814</v>
      </c>
      <c r="PLH47" s="1156"/>
      <c r="PLI47" s="1156" t="s">
        <v>814</v>
      </c>
      <c r="PLJ47" s="1156"/>
      <c r="PLK47" s="1156" t="s">
        <v>814</v>
      </c>
      <c r="PLL47" s="1156"/>
      <c r="PLM47" s="1156" t="s">
        <v>814</v>
      </c>
      <c r="PLN47" s="1156"/>
      <c r="PLO47" s="1156" t="s">
        <v>814</v>
      </c>
      <c r="PLP47" s="1156"/>
      <c r="PLQ47" s="1156" t="s">
        <v>814</v>
      </c>
      <c r="PLR47" s="1156"/>
      <c r="PLS47" s="1156" t="s">
        <v>814</v>
      </c>
      <c r="PLT47" s="1156"/>
      <c r="PLU47" s="1156" t="s">
        <v>814</v>
      </c>
      <c r="PLV47" s="1156"/>
      <c r="PLW47" s="1156" t="s">
        <v>814</v>
      </c>
      <c r="PLX47" s="1156"/>
      <c r="PLY47" s="1156" t="s">
        <v>814</v>
      </c>
      <c r="PLZ47" s="1156"/>
      <c r="PMA47" s="1156" t="s">
        <v>814</v>
      </c>
      <c r="PMB47" s="1156"/>
      <c r="PMC47" s="1156" t="s">
        <v>814</v>
      </c>
      <c r="PMD47" s="1156"/>
      <c r="PME47" s="1156" t="s">
        <v>814</v>
      </c>
      <c r="PMF47" s="1156"/>
      <c r="PMG47" s="1156" t="s">
        <v>814</v>
      </c>
      <c r="PMH47" s="1156"/>
      <c r="PMI47" s="1156" t="s">
        <v>814</v>
      </c>
      <c r="PMJ47" s="1156"/>
      <c r="PMK47" s="1156" t="s">
        <v>814</v>
      </c>
      <c r="PML47" s="1156"/>
      <c r="PMM47" s="1156" t="s">
        <v>814</v>
      </c>
      <c r="PMN47" s="1156"/>
      <c r="PMO47" s="1156" t="s">
        <v>814</v>
      </c>
      <c r="PMP47" s="1156"/>
      <c r="PMQ47" s="1156" t="s">
        <v>814</v>
      </c>
      <c r="PMR47" s="1156"/>
      <c r="PMS47" s="1156" t="s">
        <v>814</v>
      </c>
      <c r="PMT47" s="1156"/>
      <c r="PMU47" s="1156" t="s">
        <v>814</v>
      </c>
      <c r="PMV47" s="1156"/>
      <c r="PMW47" s="1156" t="s">
        <v>814</v>
      </c>
      <c r="PMX47" s="1156"/>
      <c r="PMY47" s="1156" t="s">
        <v>814</v>
      </c>
      <c r="PMZ47" s="1156"/>
      <c r="PNA47" s="1156" t="s">
        <v>814</v>
      </c>
      <c r="PNB47" s="1156"/>
      <c r="PNC47" s="1156" t="s">
        <v>814</v>
      </c>
      <c r="PND47" s="1156"/>
      <c r="PNE47" s="1156" t="s">
        <v>814</v>
      </c>
      <c r="PNF47" s="1156"/>
      <c r="PNG47" s="1156" t="s">
        <v>814</v>
      </c>
      <c r="PNH47" s="1156"/>
      <c r="PNI47" s="1156" t="s">
        <v>814</v>
      </c>
      <c r="PNJ47" s="1156"/>
      <c r="PNK47" s="1156" t="s">
        <v>814</v>
      </c>
      <c r="PNL47" s="1156"/>
      <c r="PNM47" s="1156" t="s">
        <v>814</v>
      </c>
      <c r="PNN47" s="1156"/>
      <c r="PNO47" s="1156" t="s">
        <v>814</v>
      </c>
      <c r="PNP47" s="1156"/>
      <c r="PNQ47" s="1156" t="s">
        <v>814</v>
      </c>
      <c r="PNR47" s="1156"/>
      <c r="PNS47" s="1156" t="s">
        <v>814</v>
      </c>
      <c r="PNT47" s="1156"/>
      <c r="PNU47" s="1156" t="s">
        <v>814</v>
      </c>
      <c r="PNV47" s="1156"/>
      <c r="PNW47" s="1156" t="s">
        <v>814</v>
      </c>
      <c r="PNX47" s="1156"/>
      <c r="PNY47" s="1156" t="s">
        <v>814</v>
      </c>
      <c r="PNZ47" s="1156"/>
      <c r="POA47" s="1156" t="s">
        <v>814</v>
      </c>
      <c r="POB47" s="1156"/>
      <c r="POC47" s="1156" t="s">
        <v>814</v>
      </c>
      <c r="POD47" s="1156"/>
      <c r="POE47" s="1156" t="s">
        <v>814</v>
      </c>
      <c r="POF47" s="1156"/>
      <c r="POG47" s="1156" t="s">
        <v>814</v>
      </c>
      <c r="POH47" s="1156"/>
      <c r="POI47" s="1156" t="s">
        <v>814</v>
      </c>
      <c r="POJ47" s="1156"/>
      <c r="POK47" s="1156" t="s">
        <v>814</v>
      </c>
      <c r="POL47" s="1156"/>
      <c r="POM47" s="1156" t="s">
        <v>814</v>
      </c>
      <c r="PON47" s="1156"/>
      <c r="POO47" s="1156" t="s">
        <v>814</v>
      </c>
      <c r="POP47" s="1156"/>
      <c r="POQ47" s="1156" t="s">
        <v>814</v>
      </c>
      <c r="POR47" s="1156"/>
      <c r="POS47" s="1156" t="s">
        <v>814</v>
      </c>
      <c r="POT47" s="1156"/>
      <c r="POU47" s="1156" t="s">
        <v>814</v>
      </c>
      <c r="POV47" s="1156"/>
      <c r="POW47" s="1156" t="s">
        <v>814</v>
      </c>
      <c r="POX47" s="1156"/>
      <c r="POY47" s="1156" t="s">
        <v>814</v>
      </c>
      <c r="POZ47" s="1156"/>
      <c r="PPA47" s="1156" t="s">
        <v>814</v>
      </c>
      <c r="PPB47" s="1156"/>
      <c r="PPC47" s="1156" t="s">
        <v>814</v>
      </c>
      <c r="PPD47" s="1156"/>
      <c r="PPE47" s="1156" t="s">
        <v>814</v>
      </c>
      <c r="PPF47" s="1156"/>
      <c r="PPG47" s="1156" t="s">
        <v>814</v>
      </c>
      <c r="PPH47" s="1156"/>
      <c r="PPI47" s="1156" t="s">
        <v>814</v>
      </c>
      <c r="PPJ47" s="1156"/>
      <c r="PPK47" s="1156" t="s">
        <v>814</v>
      </c>
      <c r="PPL47" s="1156"/>
      <c r="PPM47" s="1156" t="s">
        <v>814</v>
      </c>
      <c r="PPN47" s="1156"/>
      <c r="PPO47" s="1156" t="s">
        <v>814</v>
      </c>
      <c r="PPP47" s="1156"/>
      <c r="PPQ47" s="1156" t="s">
        <v>814</v>
      </c>
      <c r="PPR47" s="1156"/>
      <c r="PPS47" s="1156" t="s">
        <v>814</v>
      </c>
      <c r="PPT47" s="1156"/>
      <c r="PPU47" s="1156" t="s">
        <v>814</v>
      </c>
      <c r="PPV47" s="1156"/>
      <c r="PPW47" s="1156" t="s">
        <v>814</v>
      </c>
      <c r="PPX47" s="1156"/>
      <c r="PPY47" s="1156" t="s">
        <v>814</v>
      </c>
      <c r="PPZ47" s="1156"/>
      <c r="PQA47" s="1156" t="s">
        <v>814</v>
      </c>
      <c r="PQB47" s="1156"/>
      <c r="PQC47" s="1156" t="s">
        <v>814</v>
      </c>
      <c r="PQD47" s="1156"/>
      <c r="PQE47" s="1156" t="s">
        <v>814</v>
      </c>
      <c r="PQF47" s="1156"/>
      <c r="PQG47" s="1156" t="s">
        <v>814</v>
      </c>
      <c r="PQH47" s="1156"/>
      <c r="PQI47" s="1156" t="s">
        <v>814</v>
      </c>
      <c r="PQJ47" s="1156"/>
      <c r="PQK47" s="1156" t="s">
        <v>814</v>
      </c>
      <c r="PQL47" s="1156"/>
      <c r="PQM47" s="1156" t="s">
        <v>814</v>
      </c>
      <c r="PQN47" s="1156"/>
      <c r="PQO47" s="1156" t="s">
        <v>814</v>
      </c>
      <c r="PQP47" s="1156"/>
      <c r="PQQ47" s="1156" t="s">
        <v>814</v>
      </c>
      <c r="PQR47" s="1156"/>
      <c r="PQS47" s="1156" t="s">
        <v>814</v>
      </c>
      <c r="PQT47" s="1156"/>
      <c r="PQU47" s="1156" t="s">
        <v>814</v>
      </c>
      <c r="PQV47" s="1156"/>
      <c r="PQW47" s="1156" t="s">
        <v>814</v>
      </c>
      <c r="PQX47" s="1156"/>
      <c r="PQY47" s="1156" t="s">
        <v>814</v>
      </c>
      <c r="PQZ47" s="1156"/>
      <c r="PRA47" s="1156" t="s">
        <v>814</v>
      </c>
      <c r="PRB47" s="1156"/>
      <c r="PRC47" s="1156" t="s">
        <v>814</v>
      </c>
      <c r="PRD47" s="1156"/>
      <c r="PRE47" s="1156" t="s">
        <v>814</v>
      </c>
      <c r="PRF47" s="1156"/>
      <c r="PRG47" s="1156" t="s">
        <v>814</v>
      </c>
      <c r="PRH47" s="1156"/>
      <c r="PRI47" s="1156" t="s">
        <v>814</v>
      </c>
      <c r="PRJ47" s="1156"/>
      <c r="PRK47" s="1156" t="s">
        <v>814</v>
      </c>
      <c r="PRL47" s="1156"/>
      <c r="PRM47" s="1156" t="s">
        <v>814</v>
      </c>
      <c r="PRN47" s="1156"/>
      <c r="PRO47" s="1156" t="s">
        <v>814</v>
      </c>
      <c r="PRP47" s="1156"/>
      <c r="PRQ47" s="1156" t="s">
        <v>814</v>
      </c>
      <c r="PRR47" s="1156"/>
      <c r="PRS47" s="1156" t="s">
        <v>814</v>
      </c>
      <c r="PRT47" s="1156"/>
      <c r="PRU47" s="1156" t="s">
        <v>814</v>
      </c>
      <c r="PRV47" s="1156"/>
      <c r="PRW47" s="1156" t="s">
        <v>814</v>
      </c>
      <c r="PRX47" s="1156"/>
      <c r="PRY47" s="1156" t="s">
        <v>814</v>
      </c>
      <c r="PRZ47" s="1156"/>
      <c r="PSA47" s="1156" t="s">
        <v>814</v>
      </c>
      <c r="PSB47" s="1156"/>
      <c r="PSC47" s="1156" t="s">
        <v>814</v>
      </c>
      <c r="PSD47" s="1156"/>
      <c r="PSE47" s="1156" t="s">
        <v>814</v>
      </c>
      <c r="PSF47" s="1156"/>
      <c r="PSG47" s="1156" t="s">
        <v>814</v>
      </c>
      <c r="PSH47" s="1156"/>
      <c r="PSI47" s="1156" t="s">
        <v>814</v>
      </c>
      <c r="PSJ47" s="1156"/>
      <c r="PSK47" s="1156" t="s">
        <v>814</v>
      </c>
      <c r="PSL47" s="1156"/>
      <c r="PSM47" s="1156" t="s">
        <v>814</v>
      </c>
      <c r="PSN47" s="1156"/>
      <c r="PSO47" s="1156" t="s">
        <v>814</v>
      </c>
      <c r="PSP47" s="1156"/>
      <c r="PSQ47" s="1156" t="s">
        <v>814</v>
      </c>
      <c r="PSR47" s="1156"/>
      <c r="PSS47" s="1156" t="s">
        <v>814</v>
      </c>
      <c r="PST47" s="1156"/>
      <c r="PSU47" s="1156" t="s">
        <v>814</v>
      </c>
      <c r="PSV47" s="1156"/>
      <c r="PSW47" s="1156" t="s">
        <v>814</v>
      </c>
      <c r="PSX47" s="1156"/>
      <c r="PSY47" s="1156" t="s">
        <v>814</v>
      </c>
      <c r="PSZ47" s="1156"/>
      <c r="PTA47" s="1156" t="s">
        <v>814</v>
      </c>
      <c r="PTB47" s="1156"/>
      <c r="PTC47" s="1156" t="s">
        <v>814</v>
      </c>
      <c r="PTD47" s="1156"/>
      <c r="PTE47" s="1156" t="s">
        <v>814</v>
      </c>
      <c r="PTF47" s="1156"/>
      <c r="PTG47" s="1156" t="s">
        <v>814</v>
      </c>
      <c r="PTH47" s="1156"/>
      <c r="PTI47" s="1156" t="s">
        <v>814</v>
      </c>
      <c r="PTJ47" s="1156"/>
      <c r="PTK47" s="1156" t="s">
        <v>814</v>
      </c>
      <c r="PTL47" s="1156"/>
      <c r="PTM47" s="1156" t="s">
        <v>814</v>
      </c>
      <c r="PTN47" s="1156"/>
      <c r="PTO47" s="1156" t="s">
        <v>814</v>
      </c>
      <c r="PTP47" s="1156"/>
      <c r="PTQ47" s="1156" t="s">
        <v>814</v>
      </c>
      <c r="PTR47" s="1156"/>
      <c r="PTS47" s="1156" t="s">
        <v>814</v>
      </c>
      <c r="PTT47" s="1156"/>
      <c r="PTU47" s="1156" t="s">
        <v>814</v>
      </c>
      <c r="PTV47" s="1156"/>
      <c r="PTW47" s="1156" t="s">
        <v>814</v>
      </c>
      <c r="PTX47" s="1156"/>
      <c r="PTY47" s="1156" t="s">
        <v>814</v>
      </c>
      <c r="PTZ47" s="1156"/>
      <c r="PUA47" s="1156" t="s">
        <v>814</v>
      </c>
      <c r="PUB47" s="1156"/>
      <c r="PUC47" s="1156" t="s">
        <v>814</v>
      </c>
      <c r="PUD47" s="1156"/>
      <c r="PUE47" s="1156" t="s">
        <v>814</v>
      </c>
      <c r="PUF47" s="1156"/>
      <c r="PUG47" s="1156" t="s">
        <v>814</v>
      </c>
      <c r="PUH47" s="1156"/>
      <c r="PUI47" s="1156" t="s">
        <v>814</v>
      </c>
      <c r="PUJ47" s="1156"/>
      <c r="PUK47" s="1156" t="s">
        <v>814</v>
      </c>
      <c r="PUL47" s="1156"/>
      <c r="PUM47" s="1156" t="s">
        <v>814</v>
      </c>
      <c r="PUN47" s="1156"/>
      <c r="PUO47" s="1156" t="s">
        <v>814</v>
      </c>
      <c r="PUP47" s="1156"/>
      <c r="PUQ47" s="1156" t="s">
        <v>814</v>
      </c>
      <c r="PUR47" s="1156"/>
      <c r="PUS47" s="1156" t="s">
        <v>814</v>
      </c>
      <c r="PUT47" s="1156"/>
      <c r="PUU47" s="1156" t="s">
        <v>814</v>
      </c>
      <c r="PUV47" s="1156"/>
      <c r="PUW47" s="1156" t="s">
        <v>814</v>
      </c>
      <c r="PUX47" s="1156"/>
      <c r="PUY47" s="1156" t="s">
        <v>814</v>
      </c>
      <c r="PUZ47" s="1156"/>
      <c r="PVA47" s="1156" t="s">
        <v>814</v>
      </c>
      <c r="PVB47" s="1156"/>
      <c r="PVC47" s="1156" t="s">
        <v>814</v>
      </c>
      <c r="PVD47" s="1156"/>
      <c r="PVE47" s="1156" t="s">
        <v>814</v>
      </c>
      <c r="PVF47" s="1156"/>
      <c r="PVG47" s="1156" t="s">
        <v>814</v>
      </c>
      <c r="PVH47" s="1156"/>
      <c r="PVI47" s="1156" t="s">
        <v>814</v>
      </c>
      <c r="PVJ47" s="1156"/>
      <c r="PVK47" s="1156" t="s">
        <v>814</v>
      </c>
      <c r="PVL47" s="1156"/>
      <c r="PVM47" s="1156" t="s">
        <v>814</v>
      </c>
      <c r="PVN47" s="1156"/>
      <c r="PVO47" s="1156" t="s">
        <v>814</v>
      </c>
      <c r="PVP47" s="1156"/>
      <c r="PVQ47" s="1156" t="s">
        <v>814</v>
      </c>
      <c r="PVR47" s="1156"/>
      <c r="PVS47" s="1156" t="s">
        <v>814</v>
      </c>
      <c r="PVT47" s="1156"/>
      <c r="PVU47" s="1156" t="s">
        <v>814</v>
      </c>
      <c r="PVV47" s="1156"/>
      <c r="PVW47" s="1156" t="s">
        <v>814</v>
      </c>
      <c r="PVX47" s="1156"/>
      <c r="PVY47" s="1156" t="s">
        <v>814</v>
      </c>
      <c r="PVZ47" s="1156"/>
      <c r="PWA47" s="1156" t="s">
        <v>814</v>
      </c>
      <c r="PWB47" s="1156"/>
      <c r="PWC47" s="1156" t="s">
        <v>814</v>
      </c>
      <c r="PWD47" s="1156"/>
      <c r="PWE47" s="1156" t="s">
        <v>814</v>
      </c>
      <c r="PWF47" s="1156"/>
      <c r="PWG47" s="1156" t="s">
        <v>814</v>
      </c>
      <c r="PWH47" s="1156"/>
      <c r="PWI47" s="1156" t="s">
        <v>814</v>
      </c>
      <c r="PWJ47" s="1156"/>
      <c r="PWK47" s="1156" t="s">
        <v>814</v>
      </c>
      <c r="PWL47" s="1156"/>
      <c r="PWM47" s="1156" t="s">
        <v>814</v>
      </c>
      <c r="PWN47" s="1156"/>
      <c r="PWO47" s="1156" t="s">
        <v>814</v>
      </c>
      <c r="PWP47" s="1156"/>
      <c r="PWQ47" s="1156" t="s">
        <v>814</v>
      </c>
      <c r="PWR47" s="1156"/>
      <c r="PWS47" s="1156" t="s">
        <v>814</v>
      </c>
      <c r="PWT47" s="1156"/>
      <c r="PWU47" s="1156" t="s">
        <v>814</v>
      </c>
      <c r="PWV47" s="1156"/>
      <c r="PWW47" s="1156" t="s">
        <v>814</v>
      </c>
      <c r="PWX47" s="1156"/>
      <c r="PWY47" s="1156" t="s">
        <v>814</v>
      </c>
      <c r="PWZ47" s="1156"/>
      <c r="PXA47" s="1156" t="s">
        <v>814</v>
      </c>
      <c r="PXB47" s="1156"/>
      <c r="PXC47" s="1156" t="s">
        <v>814</v>
      </c>
      <c r="PXD47" s="1156"/>
      <c r="PXE47" s="1156" t="s">
        <v>814</v>
      </c>
      <c r="PXF47" s="1156"/>
      <c r="PXG47" s="1156" t="s">
        <v>814</v>
      </c>
      <c r="PXH47" s="1156"/>
      <c r="PXI47" s="1156" t="s">
        <v>814</v>
      </c>
      <c r="PXJ47" s="1156"/>
      <c r="PXK47" s="1156" t="s">
        <v>814</v>
      </c>
      <c r="PXL47" s="1156"/>
      <c r="PXM47" s="1156" t="s">
        <v>814</v>
      </c>
      <c r="PXN47" s="1156"/>
      <c r="PXO47" s="1156" t="s">
        <v>814</v>
      </c>
      <c r="PXP47" s="1156"/>
      <c r="PXQ47" s="1156" t="s">
        <v>814</v>
      </c>
      <c r="PXR47" s="1156"/>
      <c r="PXS47" s="1156" t="s">
        <v>814</v>
      </c>
      <c r="PXT47" s="1156"/>
      <c r="PXU47" s="1156" t="s">
        <v>814</v>
      </c>
      <c r="PXV47" s="1156"/>
      <c r="PXW47" s="1156" t="s">
        <v>814</v>
      </c>
      <c r="PXX47" s="1156"/>
      <c r="PXY47" s="1156" t="s">
        <v>814</v>
      </c>
      <c r="PXZ47" s="1156"/>
      <c r="PYA47" s="1156" t="s">
        <v>814</v>
      </c>
      <c r="PYB47" s="1156"/>
      <c r="PYC47" s="1156" t="s">
        <v>814</v>
      </c>
      <c r="PYD47" s="1156"/>
      <c r="PYE47" s="1156" t="s">
        <v>814</v>
      </c>
      <c r="PYF47" s="1156"/>
      <c r="PYG47" s="1156" t="s">
        <v>814</v>
      </c>
      <c r="PYH47" s="1156"/>
      <c r="PYI47" s="1156" t="s">
        <v>814</v>
      </c>
      <c r="PYJ47" s="1156"/>
      <c r="PYK47" s="1156" t="s">
        <v>814</v>
      </c>
      <c r="PYL47" s="1156"/>
      <c r="PYM47" s="1156" t="s">
        <v>814</v>
      </c>
      <c r="PYN47" s="1156"/>
      <c r="PYO47" s="1156" t="s">
        <v>814</v>
      </c>
      <c r="PYP47" s="1156"/>
      <c r="PYQ47" s="1156" t="s">
        <v>814</v>
      </c>
      <c r="PYR47" s="1156"/>
      <c r="PYS47" s="1156" t="s">
        <v>814</v>
      </c>
      <c r="PYT47" s="1156"/>
      <c r="PYU47" s="1156" t="s">
        <v>814</v>
      </c>
      <c r="PYV47" s="1156"/>
      <c r="PYW47" s="1156" t="s">
        <v>814</v>
      </c>
      <c r="PYX47" s="1156"/>
      <c r="PYY47" s="1156" t="s">
        <v>814</v>
      </c>
      <c r="PYZ47" s="1156"/>
      <c r="PZA47" s="1156" t="s">
        <v>814</v>
      </c>
      <c r="PZB47" s="1156"/>
      <c r="PZC47" s="1156" t="s">
        <v>814</v>
      </c>
      <c r="PZD47" s="1156"/>
      <c r="PZE47" s="1156" t="s">
        <v>814</v>
      </c>
      <c r="PZF47" s="1156"/>
      <c r="PZG47" s="1156" t="s">
        <v>814</v>
      </c>
      <c r="PZH47" s="1156"/>
      <c r="PZI47" s="1156" t="s">
        <v>814</v>
      </c>
      <c r="PZJ47" s="1156"/>
      <c r="PZK47" s="1156" t="s">
        <v>814</v>
      </c>
      <c r="PZL47" s="1156"/>
      <c r="PZM47" s="1156" t="s">
        <v>814</v>
      </c>
      <c r="PZN47" s="1156"/>
      <c r="PZO47" s="1156" t="s">
        <v>814</v>
      </c>
      <c r="PZP47" s="1156"/>
      <c r="PZQ47" s="1156" t="s">
        <v>814</v>
      </c>
      <c r="PZR47" s="1156"/>
      <c r="PZS47" s="1156" t="s">
        <v>814</v>
      </c>
      <c r="PZT47" s="1156"/>
      <c r="PZU47" s="1156" t="s">
        <v>814</v>
      </c>
      <c r="PZV47" s="1156"/>
      <c r="PZW47" s="1156" t="s">
        <v>814</v>
      </c>
      <c r="PZX47" s="1156"/>
      <c r="PZY47" s="1156" t="s">
        <v>814</v>
      </c>
      <c r="PZZ47" s="1156"/>
      <c r="QAA47" s="1156" t="s">
        <v>814</v>
      </c>
      <c r="QAB47" s="1156"/>
      <c r="QAC47" s="1156" t="s">
        <v>814</v>
      </c>
      <c r="QAD47" s="1156"/>
      <c r="QAE47" s="1156" t="s">
        <v>814</v>
      </c>
      <c r="QAF47" s="1156"/>
      <c r="QAG47" s="1156" t="s">
        <v>814</v>
      </c>
      <c r="QAH47" s="1156"/>
      <c r="QAI47" s="1156" t="s">
        <v>814</v>
      </c>
      <c r="QAJ47" s="1156"/>
      <c r="QAK47" s="1156" t="s">
        <v>814</v>
      </c>
      <c r="QAL47" s="1156"/>
      <c r="QAM47" s="1156" t="s">
        <v>814</v>
      </c>
      <c r="QAN47" s="1156"/>
      <c r="QAO47" s="1156" t="s">
        <v>814</v>
      </c>
      <c r="QAP47" s="1156"/>
      <c r="QAQ47" s="1156" t="s">
        <v>814</v>
      </c>
      <c r="QAR47" s="1156"/>
      <c r="QAS47" s="1156" t="s">
        <v>814</v>
      </c>
      <c r="QAT47" s="1156"/>
      <c r="QAU47" s="1156" t="s">
        <v>814</v>
      </c>
      <c r="QAV47" s="1156"/>
      <c r="QAW47" s="1156" t="s">
        <v>814</v>
      </c>
      <c r="QAX47" s="1156"/>
      <c r="QAY47" s="1156" t="s">
        <v>814</v>
      </c>
      <c r="QAZ47" s="1156"/>
      <c r="QBA47" s="1156" t="s">
        <v>814</v>
      </c>
      <c r="QBB47" s="1156"/>
      <c r="QBC47" s="1156" t="s">
        <v>814</v>
      </c>
      <c r="QBD47" s="1156"/>
      <c r="QBE47" s="1156" t="s">
        <v>814</v>
      </c>
      <c r="QBF47" s="1156"/>
      <c r="QBG47" s="1156" t="s">
        <v>814</v>
      </c>
      <c r="QBH47" s="1156"/>
      <c r="QBI47" s="1156" t="s">
        <v>814</v>
      </c>
      <c r="QBJ47" s="1156"/>
      <c r="QBK47" s="1156" t="s">
        <v>814</v>
      </c>
      <c r="QBL47" s="1156"/>
      <c r="QBM47" s="1156" t="s">
        <v>814</v>
      </c>
      <c r="QBN47" s="1156"/>
      <c r="QBO47" s="1156" t="s">
        <v>814</v>
      </c>
      <c r="QBP47" s="1156"/>
      <c r="QBQ47" s="1156" t="s">
        <v>814</v>
      </c>
      <c r="QBR47" s="1156"/>
      <c r="QBS47" s="1156" t="s">
        <v>814</v>
      </c>
      <c r="QBT47" s="1156"/>
      <c r="QBU47" s="1156" t="s">
        <v>814</v>
      </c>
      <c r="QBV47" s="1156"/>
      <c r="QBW47" s="1156" t="s">
        <v>814</v>
      </c>
      <c r="QBX47" s="1156"/>
      <c r="QBY47" s="1156" t="s">
        <v>814</v>
      </c>
      <c r="QBZ47" s="1156"/>
      <c r="QCA47" s="1156" t="s">
        <v>814</v>
      </c>
      <c r="QCB47" s="1156"/>
      <c r="QCC47" s="1156" t="s">
        <v>814</v>
      </c>
      <c r="QCD47" s="1156"/>
      <c r="QCE47" s="1156" t="s">
        <v>814</v>
      </c>
      <c r="QCF47" s="1156"/>
      <c r="QCG47" s="1156" t="s">
        <v>814</v>
      </c>
      <c r="QCH47" s="1156"/>
      <c r="QCI47" s="1156" t="s">
        <v>814</v>
      </c>
      <c r="QCJ47" s="1156"/>
      <c r="QCK47" s="1156" t="s">
        <v>814</v>
      </c>
      <c r="QCL47" s="1156"/>
      <c r="QCM47" s="1156" t="s">
        <v>814</v>
      </c>
      <c r="QCN47" s="1156"/>
      <c r="QCO47" s="1156" t="s">
        <v>814</v>
      </c>
      <c r="QCP47" s="1156"/>
      <c r="QCQ47" s="1156" t="s">
        <v>814</v>
      </c>
      <c r="QCR47" s="1156"/>
      <c r="QCS47" s="1156" t="s">
        <v>814</v>
      </c>
      <c r="QCT47" s="1156"/>
      <c r="QCU47" s="1156" t="s">
        <v>814</v>
      </c>
      <c r="QCV47" s="1156"/>
      <c r="QCW47" s="1156" t="s">
        <v>814</v>
      </c>
      <c r="QCX47" s="1156"/>
      <c r="QCY47" s="1156" t="s">
        <v>814</v>
      </c>
      <c r="QCZ47" s="1156"/>
      <c r="QDA47" s="1156" t="s">
        <v>814</v>
      </c>
      <c r="QDB47" s="1156"/>
      <c r="QDC47" s="1156" t="s">
        <v>814</v>
      </c>
      <c r="QDD47" s="1156"/>
      <c r="QDE47" s="1156" t="s">
        <v>814</v>
      </c>
      <c r="QDF47" s="1156"/>
      <c r="QDG47" s="1156" t="s">
        <v>814</v>
      </c>
      <c r="QDH47" s="1156"/>
      <c r="QDI47" s="1156" t="s">
        <v>814</v>
      </c>
      <c r="QDJ47" s="1156"/>
      <c r="QDK47" s="1156" t="s">
        <v>814</v>
      </c>
      <c r="QDL47" s="1156"/>
      <c r="QDM47" s="1156" t="s">
        <v>814</v>
      </c>
      <c r="QDN47" s="1156"/>
      <c r="QDO47" s="1156" t="s">
        <v>814</v>
      </c>
      <c r="QDP47" s="1156"/>
      <c r="QDQ47" s="1156" t="s">
        <v>814</v>
      </c>
      <c r="QDR47" s="1156"/>
      <c r="QDS47" s="1156" t="s">
        <v>814</v>
      </c>
      <c r="QDT47" s="1156"/>
      <c r="QDU47" s="1156" t="s">
        <v>814</v>
      </c>
      <c r="QDV47" s="1156"/>
      <c r="QDW47" s="1156" t="s">
        <v>814</v>
      </c>
      <c r="QDX47" s="1156"/>
      <c r="QDY47" s="1156" t="s">
        <v>814</v>
      </c>
      <c r="QDZ47" s="1156"/>
      <c r="QEA47" s="1156" t="s">
        <v>814</v>
      </c>
      <c r="QEB47" s="1156"/>
      <c r="QEC47" s="1156" t="s">
        <v>814</v>
      </c>
      <c r="QED47" s="1156"/>
      <c r="QEE47" s="1156" t="s">
        <v>814</v>
      </c>
      <c r="QEF47" s="1156"/>
      <c r="QEG47" s="1156" t="s">
        <v>814</v>
      </c>
      <c r="QEH47" s="1156"/>
      <c r="QEI47" s="1156" t="s">
        <v>814</v>
      </c>
      <c r="QEJ47" s="1156"/>
      <c r="QEK47" s="1156" t="s">
        <v>814</v>
      </c>
      <c r="QEL47" s="1156"/>
      <c r="QEM47" s="1156" t="s">
        <v>814</v>
      </c>
      <c r="QEN47" s="1156"/>
      <c r="QEO47" s="1156" t="s">
        <v>814</v>
      </c>
      <c r="QEP47" s="1156"/>
      <c r="QEQ47" s="1156" t="s">
        <v>814</v>
      </c>
      <c r="QER47" s="1156"/>
      <c r="QES47" s="1156" t="s">
        <v>814</v>
      </c>
      <c r="QET47" s="1156"/>
      <c r="QEU47" s="1156" t="s">
        <v>814</v>
      </c>
      <c r="QEV47" s="1156"/>
      <c r="QEW47" s="1156" t="s">
        <v>814</v>
      </c>
      <c r="QEX47" s="1156"/>
      <c r="QEY47" s="1156" t="s">
        <v>814</v>
      </c>
      <c r="QEZ47" s="1156"/>
      <c r="QFA47" s="1156" t="s">
        <v>814</v>
      </c>
      <c r="QFB47" s="1156"/>
      <c r="QFC47" s="1156" t="s">
        <v>814</v>
      </c>
      <c r="QFD47" s="1156"/>
      <c r="QFE47" s="1156" t="s">
        <v>814</v>
      </c>
      <c r="QFF47" s="1156"/>
      <c r="QFG47" s="1156" t="s">
        <v>814</v>
      </c>
      <c r="QFH47" s="1156"/>
      <c r="QFI47" s="1156" t="s">
        <v>814</v>
      </c>
      <c r="QFJ47" s="1156"/>
      <c r="QFK47" s="1156" t="s">
        <v>814</v>
      </c>
      <c r="QFL47" s="1156"/>
      <c r="QFM47" s="1156" t="s">
        <v>814</v>
      </c>
      <c r="QFN47" s="1156"/>
      <c r="QFO47" s="1156" t="s">
        <v>814</v>
      </c>
      <c r="QFP47" s="1156"/>
      <c r="QFQ47" s="1156" t="s">
        <v>814</v>
      </c>
      <c r="QFR47" s="1156"/>
      <c r="QFS47" s="1156" t="s">
        <v>814</v>
      </c>
      <c r="QFT47" s="1156"/>
      <c r="QFU47" s="1156" t="s">
        <v>814</v>
      </c>
      <c r="QFV47" s="1156"/>
      <c r="QFW47" s="1156" t="s">
        <v>814</v>
      </c>
      <c r="QFX47" s="1156"/>
      <c r="QFY47" s="1156" t="s">
        <v>814</v>
      </c>
      <c r="QFZ47" s="1156"/>
      <c r="QGA47" s="1156" t="s">
        <v>814</v>
      </c>
      <c r="QGB47" s="1156"/>
      <c r="QGC47" s="1156" t="s">
        <v>814</v>
      </c>
      <c r="QGD47" s="1156"/>
      <c r="QGE47" s="1156" t="s">
        <v>814</v>
      </c>
      <c r="QGF47" s="1156"/>
      <c r="QGG47" s="1156" t="s">
        <v>814</v>
      </c>
      <c r="QGH47" s="1156"/>
      <c r="QGI47" s="1156" t="s">
        <v>814</v>
      </c>
      <c r="QGJ47" s="1156"/>
      <c r="QGK47" s="1156" t="s">
        <v>814</v>
      </c>
      <c r="QGL47" s="1156"/>
      <c r="QGM47" s="1156" t="s">
        <v>814</v>
      </c>
      <c r="QGN47" s="1156"/>
      <c r="QGO47" s="1156" t="s">
        <v>814</v>
      </c>
      <c r="QGP47" s="1156"/>
      <c r="QGQ47" s="1156" t="s">
        <v>814</v>
      </c>
      <c r="QGR47" s="1156"/>
      <c r="QGS47" s="1156" t="s">
        <v>814</v>
      </c>
      <c r="QGT47" s="1156"/>
      <c r="QGU47" s="1156" t="s">
        <v>814</v>
      </c>
      <c r="QGV47" s="1156"/>
      <c r="QGW47" s="1156" t="s">
        <v>814</v>
      </c>
      <c r="QGX47" s="1156"/>
      <c r="QGY47" s="1156" t="s">
        <v>814</v>
      </c>
      <c r="QGZ47" s="1156"/>
      <c r="QHA47" s="1156" t="s">
        <v>814</v>
      </c>
      <c r="QHB47" s="1156"/>
      <c r="QHC47" s="1156" t="s">
        <v>814</v>
      </c>
      <c r="QHD47" s="1156"/>
      <c r="QHE47" s="1156" t="s">
        <v>814</v>
      </c>
      <c r="QHF47" s="1156"/>
      <c r="QHG47" s="1156" t="s">
        <v>814</v>
      </c>
      <c r="QHH47" s="1156"/>
      <c r="QHI47" s="1156" t="s">
        <v>814</v>
      </c>
      <c r="QHJ47" s="1156"/>
      <c r="QHK47" s="1156" t="s">
        <v>814</v>
      </c>
      <c r="QHL47" s="1156"/>
      <c r="QHM47" s="1156" t="s">
        <v>814</v>
      </c>
      <c r="QHN47" s="1156"/>
      <c r="QHO47" s="1156" t="s">
        <v>814</v>
      </c>
      <c r="QHP47" s="1156"/>
      <c r="QHQ47" s="1156" t="s">
        <v>814</v>
      </c>
      <c r="QHR47" s="1156"/>
      <c r="QHS47" s="1156" t="s">
        <v>814</v>
      </c>
      <c r="QHT47" s="1156"/>
      <c r="QHU47" s="1156" t="s">
        <v>814</v>
      </c>
      <c r="QHV47" s="1156"/>
      <c r="QHW47" s="1156" t="s">
        <v>814</v>
      </c>
      <c r="QHX47" s="1156"/>
      <c r="QHY47" s="1156" t="s">
        <v>814</v>
      </c>
      <c r="QHZ47" s="1156"/>
      <c r="QIA47" s="1156" t="s">
        <v>814</v>
      </c>
      <c r="QIB47" s="1156"/>
      <c r="QIC47" s="1156" t="s">
        <v>814</v>
      </c>
      <c r="QID47" s="1156"/>
      <c r="QIE47" s="1156" t="s">
        <v>814</v>
      </c>
      <c r="QIF47" s="1156"/>
      <c r="QIG47" s="1156" t="s">
        <v>814</v>
      </c>
      <c r="QIH47" s="1156"/>
      <c r="QII47" s="1156" t="s">
        <v>814</v>
      </c>
      <c r="QIJ47" s="1156"/>
      <c r="QIK47" s="1156" t="s">
        <v>814</v>
      </c>
      <c r="QIL47" s="1156"/>
      <c r="QIM47" s="1156" t="s">
        <v>814</v>
      </c>
      <c r="QIN47" s="1156"/>
      <c r="QIO47" s="1156" t="s">
        <v>814</v>
      </c>
      <c r="QIP47" s="1156"/>
      <c r="QIQ47" s="1156" t="s">
        <v>814</v>
      </c>
      <c r="QIR47" s="1156"/>
      <c r="QIS47" s="1156" t="s">
        <v>814</v>
      </c>
      <c r="QIT47" s="1156"/>
      <c r="QIU47" s="1156" t="s">
        <v>814</v>
      </c>
      <c r="QIV47" s="1156"/>
      <c r="QIW47" s="1156" t="s">
        <v>814</v>
      </c>
      <c r="QIX47" s="1156"/>
      <c r="QIY47" s="1156" t="s">
        <v>814</v>
      </c>
      <c r="QIZ47" s="1156"/>
      <c r="QJA47" s="1156" t="s">
        <v>814</v>
      </c>
      <c r="QJB47" s="1156"/>
      <c r="QJC47" s="1156" t="s">
        <v>814</v>
      </c>
      <c r="QJD47" s="1156"/>
      <c r="QJE47" s="1156" t="s">
        <v>814</v>
      </c>
      <c r="QJF47" s="1156"/>
      <c r="QJG47" s="1156" t="s">
        <v>814</v>
      </c>
      <c r="QJH47" s="1156"/>
      <c r="QJI47" s="1156" t="s">
        <v>814</v>
      </c>
      <c r="QJJ47" s="1156"/>
      <c r="QJK47" s="1156" t="s">
        <v>814</v>
      </c>
      <c r="QJL47" s="1156"/>
      <c r="QJM47" s="1156" t="s">
        <v>814</v>
      </c>
      <c r="QJN47" s="1156"/>
      <c r="QJO47" s="1156" t="s">
        <v>814</v>
      </c>
      <c r="QJP47" s="1156"/>
      <c r="QJQ47" s="1156" t="s">
        <v>814</v>
      </c>
      <c r="QJR47" s="1156"/>
      <c r="QJS47" s="1156" t="s">
        <v>814</v>
      </c>
      <c r="QJT47" s="1156"/>
      <c r="QJU47" s="1156" t="s">
        <v>814</v>
      </c>
      <c r="QJV47" s="1156"/>
      <c r="QJW47" s="1156" t="s">
        <v>814</v>
      </c>
      <c r="QJX47" s="1156"/>
      <c r="QJY47" s="1156" t="s">
        <v>814</v>
      </c>
      <c r="QJZ47" s="1156"/>
      <c r="QKA47" s="1156" t="s">
        <v>814</v>
      </c>
      <c r="QKB47" s="1156"/>
      <c r="QKC47" s="1156" t="s">
        <v>814</v>
      </c>
      <c r="QKD47" s="1156"/>
      <c r="QKE47" s="1156" t="s">
        <v>814</v>
      </c>
      <c r="QKF47" s="1156"/>
      <c r="QKG47" s="1156" t="s">
        <v>814</v>
      </c>
      <c r="QKH47" s="1156"/>
      <c r="QKI47" s="1156" t="s">
        <v>814</v>
      </c>
      <c r="QKJ47" s="1156"/>
      <c r="QKK47" s="1156" t="s">
        <v>814</v>
      </c>
      <c r="QKL47" s="1156"/>
      <c r="QKM47" s="1156" t="s">
        <v>814</v>
      </c>
      <c r="QKN47" s="1156"/>
      <c r="QKO47" s="1156" t="s">
        <v>814</v>
      </c>
      <c r="QKP47" s="1156"/>
      <c r="QKQ47" s="1156" t="s">
        <v>814</v>
      </c>
      <c r="QKR47" s="1156"/>
      <c r="QKS47" s="1156" t="s">
        <v>814</v>
      </c>
      <c r="QKT47" s="1156"/>
      <c r="QKU47" s="1156" t="s">
        <v>814</v>
      </c>
      <c r="QKV47" s="1156"/>
      <c r="QKW47" s="1156" t="s">
        <v>814</v>
      </c>
      <c r="QKX47" s="1156"/>
      <c r="QKY47" s="1156" t="s">
        <v>814</v>
      </c>
      <c r="QKZ47" s="1156"/>
      <c r="QLA47" s="1156" t="s">
        <v>814</v>
      </c>
      <c r="QLB47" s="1156"/>
      <c r="QLC47" s="1156" t="s">
        <v>814</v>
      </c>
      <c r="QLD47" s="1156"/>
      <c r="QLE47" s="1156" t="s">
        <v>814</v>
      </c>
      <c r="QLF47" s="1156"/>
      <c r="QLG47" s="1156" t="s">
        <v>814</v>
      </c>
      <c r="QLH47" s="1156"/>
      <c r="QLI47" s="1156" t="s">
        <v>814</v>
      </c>
      <c r="QLJ47" s="1156"/>
      <c r="QLK47" s="1156" t="s">
        <v>814</v>
      </c>
      <c r="QLL47" s="1156"/>
      <c r="QLM47" s="1156" t="s">
        <v>814</v>
      </c>
      <c r="QLN47" s="1156"/>
      <c r="QLO47" s="1156" t="s">
        <v>814</v>
      </c>
      <c r="QLP47" s="1156"/>
      <c r="QLQ47" s="1156" t="s">
        <v>814</v>
      </c>
      <c r="QLR47" s="1156"/>
      <c r="QLS47" s="1156" t="s">
        <v>814</v>
      </c>
      <c r="QLT47" s="1156"/>
      <c r="QLU47" s="1156" t="s">
        <v>814</v>
      </c>
      <c r="QLV47" s="1156"/>
      <c r="QLW47" s="1156" t="s">
        <v>814</v>
      </c>
      <c r="QLX47" s="1156"/>
      <c r="QLY47" s="1156" t="s">
        <v>814</v>
      </c>
      <c r="QLZ47" s="1156"/>
      <c r="QMA47" s="1156" t="s">
        <v>814</v>
      </c>
      <c r="QMB47" s="1156"/>
      <c r="QMC47" s="1156" t="s">
        <v>814</v>
      </c>
      <c r="QMD47" s="1156"/>
      <c r="QME47" s="1156" t="s">
        <v>814</v>
      </c>
      <c r="QMF47" s="1156"/>
      <c r="QMG47" s="1156" t="s">
        <v>814</v>
      </c>
      <c r="QMH47" s="1156"/>
      <c r="QMI47" s="1156" t="s">
        <v>814</v>
      </c>
      <c r="QMJ47" s="1156"/>
      <c r="QMK47" s="1156" t="s">
        <v>814</v>
      </c>
      <c r="QML47" s="1156"/>
      <c r="QMM47" s="1156" t="s">
        <v>814</v>
      </c>
      <c r="QMN47" s="1156"/>
      <c r="QMO47" s="1156" t="s">
        <v>814</v>
      </c>
      <c r="QMP47" s="1156"/>
      <c r="QMQ47" s="1156" t="s">
        <v>814</v>
      </c>
      <c r="QMR47" s="1156"/>
      <c r="QMS47" s="1156" t="s">
        <v>814</v>
      </c>
      <c r="QMT47" s="1156"/>
      <c r="QMU47" s="1156" t="s">
        <v>814</v>
      </c>
      <c r="QMV47" s="1156"/>
      <c r="QMW47" s="1156" t="s">
        <v>814</v>
      </c>
      <c r="QMX47" s="1156"/>
      <c r="QMY47" s="1156" t="s">
        <v>814</v>
      </c>
      <c r="QMZ47" s="1156"/>
      <c r="QNA47" s="1156" t="s">
        <v>814</v>
      </c>
      <c r="QNB47" s="1156"/>
      <c r="QNC47" s="1156" t="s">
        <v>814</v>
      </c>
      <c r="QND47" s="1156"/>
      <c r="QNE47" s="1156" t="s">
        <v>814</v>
      </c>
      <c r="QNF47" s="1156"/>
      <c r="QNG47" s="1156" t="s">
        <v>814</v>
      </c>
      <c r="QNH47" s="1156"/>
      <c r="QNI47" s="1156" t="s">
        <v>814</v>
      </c>
      <c r="QNJ47" s="1156"/>
      <c r="QNK47" s="1156" t="s">
        <v>814</v>
      </c>
      <c r="QNL47" s="1156"/>
      <c r="QNM47" s="1156" t="s">
        <v>814</v>
      </c>
      <c r="QNN47" s="1156"/>
      <c r="QNO47" s="1156" t="s">
        <v>814</v>
      </c>
      <c r="QNP47" s="1156"/>
      <c r="QNQ47" s="1156" t="s">
        <v>814</v>
      </c>
      <c r="QNR47" s="1156"/>
      <c r="QNS47" s="1156" t="s">
        <v>814</v>
      </c>
      <c r="QNT47" s="1156"/>
      <c r="QNU47" s="1156" t="s">
        <v>814</v>
      </c>
      <c r="QNV47" s="1156"/>
      <c r="QNW47" s="1156" t="s">
        <v>814</v>
      </c>
      <c r="QNX47" s="1156"/>
      <c r="QNY47" s="1156" t="s">
        <v>814</v>
      </c>
      <c r="QNZ47" s="1156"/>
      <c r="QOA47" s="1156" t="s">
        <v>814</v>
      </c>
      <c r="QOB47" s="1156"/>
      <c r="QOC47" s="1156" t="s">
        <v>814</v>
      </c>
      <c r="QOD47" s="1156"/>
      <c r="QOE47" s="1156" t="s">
        <v>814</v>
      </c>
      <c r="QOF47" s="1156"/>
      <c r="QOG47" s="1156" t="s">
        <v>814</v>
      </c>
      <c r="QOH47" s="1156"/>
      <c r="QOI47" s="1156" t="s">
        <v>814</v>
      </c>
      <c r="QOJ47" s="1156"/>
      <c r="QOK47" s="1156" t="s">
        <v>814</v>
      </c>
      <c r="QOL47" s="1156"/>
      <c r="QOM47" s="1156" t="s">
        <v>814</v>
      </c>
      <c r="QON47" s="1156"/>
      <c r="QOO47" s="1156" t="s">
        <v>814</v>
      </c>
      <c r="QOP47" s="1156"/>
      <c r="QOQ47" s="1156" t="s">
        <v>814</v>
      </c>
      <c r="QOR47" s="1156"/>
      <c r="QOS47" s="1156" t="s">
        <v>814</v>
      </c>
      <c r="QOT47" s="1156"/>
      <c r="QOU47" s="1156" t="s">
        <v>814</v>
      </c>
      <c r="QOV47" s="1156"/>
      <c r="QOW47" s="1156" t="s">
        <v>814</v>
      </c>
      <c r="QOX47" s="1156"/>
      <c r="QOY47" s="1156" t="s">
        <v>814</v>
      </c>
      <c r="QOZ47" s="1156"/>
      <c r="QPA47" s="1156" t="s">
        <v>814</v>
      </c>
      <c r="QPB47" s="1156"/>
      <c r="QPC47" s="1156" t="s">
        <v>814</v>
      </c>
      <c r="QPD47" s="1156"/>
      <c r="QPE47" s="1156" t="s">
        <v>814</v>
      </c>
      <c r="QPF47" s="1156"/>
      <c r="QPG47" s="1156" t="s">
        <v>814</v>
      </c>
      <c r="QPH47" s="1156"/>
      <c r="QPI47" s="1156" t="s">
        <v>814</v>
      </c>
      <c r="QPJ47" s="1156"/>
      <c r="QPK47" s="1156" t="s">
        <v>814</v>
      </c>
      <c r="QPL47" s="1156"/>
      <c r="QPM47" s="1156" t="s">
        <v>814</v>
      </c>
      <c r="QPN47" s="1156"/>
      <c r="QPO47" s="1156" t="s">
        <v>814</v>
      </c>
      <c r="QPP47" s="1156"/>
      <c r="QPQ47" s="1156" t="s">
        <v>814</v>
      </c>
      <c r="QPR47" s="1156"/>
      <c r="QPS47" s="1156" t="s">
        <v>814</v>
      </c>
      <c r="QPT47" s="1156"/>
      <c r="QPU47" s="1156" t="s">
        <v>814</v>
      </c>
      <c r="QPV47" s="1156"/>
      <c r="QPW47" s="1156" t="s">
        <v>814</v>
      </c>
      <c r="QPX47" s="1156"/>
      <c r="QPY47" s="1156" t="s">
        <v>814</v>
      </c>
      <c r="QPZ47" s="1156"/>
      <c r="QQA47" s="1156" t="s">
        <v>814</v>
      </c>
      <c r="QQB47" s="1156"/>
      <c r="QQC47" s="1156" t="s">
        <v>814</v>
      </c>
      <c r="QQD47" s="1156"/>
      <c r="QQE47" s="1156" t="s">
        <v>814</v>
      </c>
      <c r="QQF47" s="1156"/>
      <c r="QQG47" s="1156" t="s">
        <v>814</v>
      </c>
      <c r="QQH47" s="1156"/>
      <c r="QQI47" s="1156" t="s">
        <v>814</v>
      </c>
      <c r="QQJ47" s="1156"/>
      <c r="QQK47" s="1156" t="s">
        <v>814</v>
      </c>
      <c r="QQL47" s="1156"/>
      <c r="QQM47" s="1156" t="s">
        <v>814</v>
      </c>
      <c r="QQN47" s="1156"/>
      <c r="QQO47" s="1156" t="s">
        <v>814</v>
      </c>
      <c r="QQP47" s="1156"/>
      <c r="QQQ47" s="1156" t="s">
        <v>814</v>
      </c>
      <c r="QQR47" s="1156"/>
      <c r="QQS47" s="1156" t="s">
        <v>814</v>
      </c>
      <c r="QQT47" s="1156"/>
      <c r="QQU47" s="1156" t="s">
        <v>814</v>
      </c>
      <c r="QQV47" s="1156"/>
      <c r="QQW47" s="1156" t="s">
        <v>814</v>
      </c>
      <c r="QQX47" s="1156"/>
      <c r="QQY47" s="1156" t="s">
        <v>814</v>
      </c>
      <c r="QQZ47" s="1156"/>
      <c r="QRA47" s="1156" t="s">
        <v>814</v>
      </c>
      <c r="QRB47" s="1156"/>
      <c r="QRC47" s="1156" t="s">
        <v>814</v>
      </c>
      <c r="QRD47" s="1156"/>
      <c r="QRE47" s="1156" t="s">
        <v>814</v>
      </c>
      <c r="QRF47" s="1156"/>
      <c r="QRG47" s="1156" t="s">
        <v>814</v>
      </c>
      <c r="QRH47" s="1156"/>
      <c r="QRI47" s="1156" t="s">
        <v>814</v>
      </c>
      <c r="QRJ47" s="1156"/>
      <c r="QRK47" s="1156" t="s">
        <v>814</v>
      </c>
      <c r="QRL47" s="1156"/>
      <c r="QRM47" s="1156" t="s">
        <v>814</v>
      </c>
      <c r="QRN47" s="1156"/>
      <c r="QRO47" s="1156" t="s">
        <v>814</v>
      </c>
      <c r="QRP47" s="1156"/>
      <c r="QRQ47" s="1156" t="s">
        <v>814</v>
      </c>
      <c r="QRR47" s="1156"/>
      <c r="QRS47" s="1156" t="s">
        <v>814</v>
      </c>
      <c r="QRT47" s="1156"/>
      <c r="QRU47" s="1156" t="s">
        <v>814</v>
      </c>
      <c r="QRV47" s="1156"/>
      <c r="QRW47" s="1156" t="s">
        <v>814</v>
      </c>
      <c r="QRX47" s="1156"/>
      <c r="QRY47" s="1156" t="s">
        <v>814</v>
      </c>
      <c r="QRZ47" s="1156"/>
      <c r="QSA47" s="1156" t="s">
        <v>814</v>
      </c>
      <c r="QSB47" s="1156"/>
      <c r="QSC47" s="1156" t="s">
        <v>814</v>
      </c>
      <c r="QSD47" s="1156"/>
      <c r="QSE47" s="1156" t="s">
        <v>814</v>
      </c>
      <c r="QSF47" s="1156"/>
      <c r="QSG47" s="1156" t="s">
        <v>814</v>
      </c>
      <c r="QSH47" s="1156"/>
      <c r="QSI47" s="1156" t="s">
        <v>814</v>
      </c>
      <c r="QSJ47" s="1156"/>
      <c r="QSK47" s="1156" t="s">
        <v>814</v>
      </c>
      <c r="QSL47" s="1156"/>
      <c r="QSM47" s="1156" t="s">
        <v>814</v>
      </c>
      <c r="QSN47" s="1156"/>
      <c r="QSO47" s="1156" t="s">
        <v>814</v>
      </c>
      <c r="QSP47" s="1156"/>
      <c r="QSQ47" s="1156" t="s">
        <v>814</v>
      </c>
      <c r="QSR47" s="1156"/>
      <c r="QSS47" s="1156" t="s">
        <v>814</v>
      </c>
      <c r="QST47" s="1156"/>
      <c r="QSU47" s="1156" t="s">
        <v>814</v>
      </c>
      <c r="QSV47" s="1156"/>
      <c r="QSW47" s="1156" t="s">
        <v>814</v>
      </c>
      <c r="QSX47" s="1156"/>
      <c r="QSY47" s="1156" t="s">
        <v>814</v>
      </c>
      <c r="QSZ47" s="1156"/>
      <c r="QTA47" s="1156" t="s">
        <v>814</v>
      </c>
      <c r="QTB47" s="1156"/>
      <c r="QTC47" s="1156" t="s">
        <v>814</v>
      </c>
      <c r="QTD47" s="1156"/>
      <c r="QTE47" s="1156" t="s">
        <v>814</v>
      </c>
      <c r="QTF47" s="1156"/>
      <c r="QTG47" s="1156" t="s">
        <v>814</v>
      </c>
      <c r="QTH47" s="1156"/>
      <c r="QTI47" s="1156" t="s">
        <v>814</v>
      </c>
      <c r="QTJ47" s="1156"/>
      <c r="QTK47" s="1156" t="s">
        <v>814</v>
      </c>
      <c r="QTL47" s="1156"/>
      <c r="QTM47" s="1156" t="s">
        <v>814</v>
      </c>
      <c r="QTN47" s="1156"/>
      <c r="QTO47" s="1156" t="s">
        <v>814</v>
      </c>
      <c r="QTP47" s="1156"/>
      <c r="QTQ47" s="1156" t="s">
        <v>814</v>
      </c>
      <c r="QTR47" s="1156"/>
      <c r="QTS47" s="1156" t="s">
        <v>814</v>
      </c>
      <c r="QTT47" s="1156"/>
      <c r="QTU47" s="1156" t="s">
        <v>814</v>
      </c>
      <c r="QTV47" s="1156"/>
      <c r="QTW47" s="1156" t="s">
        <v>814</v>
      </c>
      <c r="QTX47" s="1156"/>
      <c r="QTY47" s="1156" t="s">
        <v>814</v>
      </c>
      <c r="QTZ47" s="1156"/>
      <c r="QUA47" s="1156" t="s">
        <v>814</v>
      </c>
      <c r="QUB47" s="1156"/>
      <c r="QUC47" s="1156" t="s">
        <v>814</v>
      </c>
      <c r="QUD47" s="1156"/>
      <c r="QUE47" s="1156" t="s">
        <v>814</v>
      </c>
      <c r="QUF47" s="1156"/>
      <c r="QUG47" s="1156" t="s">
        <v>814</v>
      </c>
      <c r="QUH47" s="1156"/>
      <c r="QUI47" s="1156" t="s">
        <v>814</v>
      </c>
      <c r="QUJ47" s="1156"/>
      <c r="QUK47" s="1156" t="s">
        <v>814</v>
      </c>
      <c r="QUL47" s="1156"/>
      <c r="QUM47" s="1156" t="s">
        <v>814</v>
      </c>
      <c r="QUN47" s="1156"/>
      <c r="QUO47" s="1156" t="s">
        <v>814</v>
      </c>
      <c r="QUP47" s="1156"/>
      <c r="QUQ47" s="1156" t="s">
        <v>814</v>
      </c>
      <c r="QUR47" s="1156"/>
      <c r="QUS47" s="1156" t="s">
        <v>814</v>
      </c>
      <c r="QUT47" s="1156"/>
      <c r="QUU47" s="1156" t="s">
        <v>814</v>
      </c>
      <c r="QUV47" s="1156"/>
      <c r="QUW47" s="1156" t="s">
        <v>814</v>
      </c>
      <c r="QUX47" s="1156"/>
      <c r="QUY47" s="1156" t="s">
        <v>814</v>
      </c>
      <c r="QUZ47" s="1156"/>
      <c r="QVA47" s="1156" t="s">
        <v>814</v>
      </c>
      <c r="QVB47" s="1156"/>
      <c r="QVC47" s="1156" t="s">
        <v>814</v>
      </c>
      <c r="QVD47" s="1156"/>
      <c r="QVE47" s="1156" t="s">
        <v>814</v>
      </c>
      <c r="QVF47" s="1156"/>
      <c r="QVG47" s="1156" t="s">
        <v>814</v>
      </c>
      <c r="QVH47" s="1156"/>
      <c r="QVI47" s="1156" t="s">
        <v>814</v>
      </c>
      <c r="QVJ47" s="1156"/>
      <c r="QVK47" s="1156" t="s">
        <v>814</v>
      </c>
      <c r="QVL47" s="1156"/>
      <c r="QVM47" s="1156" t="s">
        <v>814</v>
      </c>
      <c r="QVN47" s="1156"/>
      <c r="QVO47" s="1156" t="s">
        <v>814</v>
      </c>
      <c r="QVP47" s="1156"/>
      <c r="QVQ47" s="1156" t="s">
        <v>814</v>
      </c>
      <c r="QVR47" s="1156"/>
      <c r="QVS47" s="1156" t="s">
        <v>814</v>
      </c>
      <c r="QVT47" s="1156"/>
      <c r="QVU47" s="1156" t="s">
        <v>814</v>
      </c>
      <c r="QVV47" s="1156"/>
      <c r="QVW47" s="1156" t="s">
        <v>814</v>
      </c>
      <c r="QVX47" s="1156"/>
      <c r="QVY47" s="1156" t="s">
        <v>814</v>
      </c>
      <c r="QVZ47" s="1156"/>
      <c r="QWA47" s="1156" t="s">
        <v>814</v>
      </c>
      <c r="QWB47" s="1156"/>
      <c r="QWC47" s="1156" t="s">
        <v>814</v>
      </c>
      <c r="QWD47" s="1156"/>
      <c r="QWE47" s="1156" t="s">
        <v>814</v>
      </c>
      <c r="QWF47" s="1156"/>
      <c r="QWG47" s="1156" t="s">
        <v>814</v>
      </c>
      <c r="QWH47" s="1156"/>
      <c r="QWI47" s="1156" t="s">
        <v>814</v>
      </c>
      <c r="QWJ47" s="1156"/>
      <c r="QWK47" s="1156" t="s">
        <v>814</v>
      </c>
      <c r="QWL47" s="1156"/>
      <c r="QWM47" s="1156" t="s">
        <v>814</v>
      </c>
      <c r="QWN47" s="1156"/>
      <c r="QWO47" s="1156" t="s">
        <v>814</v>
      </c>
      <c r="QWP47" s="1156"/>
      <c r="QWQ47" s="1156" t="s">
        <v>814</v>
      </c>
      <c r="QWR47" s="1156"/>
      <c r="QWS47" s="1156" t="s">
        <v>814</v>
      </c>
      <c r="QWT47" s="1156"/>
      <c r="QWU47" s="1156" t="s">
        <v>814</v>
      </c>
      <c r="QWV47" s="1156"/>
      <c r="QWW47" s="1156" t="s">
        <v>814</v>
      </c>
      <c r="QWX47" s="1156"/>
      <c r="QWY47" s="1156" t="s">
        <v>814</v>
      </c>
      <c r="QWZ47" s="1156"/>
      <c r="QXA47" s="1156" t="s">
        <v>814</v>
      </c>
      <c r="QXB47" s="1156"/>
      <c r="QXC47" s="1156" t="s">
        <v>814</v>
      </c>
      <c r="QXD47" s="1156"/>
      <c r="QXE47" s="1156" t="s">
        <v>814</v>
      </c>
      <c r="QXF47" s="1156"/>
      <c r="QXG47" s="1156" t="s">
        <v>814</v>
      </c>
      <c r="QXH47" s="1156"/>
      <c r="QXI47" s="1156" t="s">
        <v>814</v>
      </c>
      <c r="QXJ47" s="1156"/>
      <c r="QXK47" s="1156" t="s">
        <v>814</v>
      </c>
      <c r="QXL47" s="1156"/>
      <c r="QXM47" s="1156" t="s">
        <v>814</v>
      </c>
      <c r="QXN47" s="1156"/>
      <c r="QXO47" s="1156" t="s">
        <v>814</v>
      </c>
      <c r="QXP47" s="1156"/>
      <c r="QXQ47" s="1156" t="s">
        <v>814</v>
      </c>
      <c r="QXR47" s="1156"/>
      <c r="QXS47" s="1156" t="s">
        <v>814</v>
      </c>
      <c r="QXT47" s="1156"/>
      <c r="QXU47" s="1156" t="s">
        <v>814</v>
      </c>
      <c r="QXV47" s="1156"/>
      <c r="QXW47" s="1156" t="s">
        <v>814</v>
      </c>
      <c r="QXX47" s="1156"/>
      <c r="QXY47" s="1156" t="s">
        <v>814</v>
      </c>
      <c r="QXZ47" s="1156"/>
      <c r="QYA47" s="1156" t="s">
        <v>814</v>
      </c>
      <c r="QYB47" s="1156"/>
      <c r="QYC47" s="1156" t="s">
        <v>814</v>
      </c>
      <c r="QYD47" s="1156"/>
      <c r="QYE47" s="1156" t="s">
        <v>814</v>
      </c>
      <c r="QYF47" s="1156"/>
      <c r="QYG47" s="1156" t="s">
        <v>814</v>
      </c>
      <c r="QYH47" s="1156"/>
      <c r="QYI47" s="1156" t="s">
        <v>814</v>
      </c>
      <c r="QYJ47" s="1156"/>
      <c r="QYK47" s="1156" t="s">
        <v>814</v>
      </c>
      <c r="QYL47" s="1156"/>
      <c r="QYM47" s="1156" t="s">
        <v>814</v>
      </c>
      <c r="QYN47" s="1156"/>
      <c r="QYO47" s="1156" t="s">
        <v>814</v>
      </c>
      <c r="QYP47" s="1156"/>
      <c r="QYQ47" s="1156" t="s">
        <v>814</v>
      </c>
      <c r="QYR47" s="1156"/>
      <c r="QYS47" s="1156" t="s">
        <v>814</v>
      </c>
      <c r="QYT47" s="1156"/>
      <c r="QYU47" s="1156" t="s">
        <v>814</v>
      </c>
      <c r="QYV47" s="1156"/>
      <c r="QYW47" s="1156" t="s">
        <v>814</v>
      </c>
      <c r="QYX47" s="1156"/>
      <c r="QYY47" s="1156" t="s">
        <v>814</v>
      </c>
      <c r="QYZ47" s="1156"/>
      <c r="QZA47" s="1156" t="s">
        <v>814</v>
      </c>
      <c r="QZB47" s="1156"/>
      <c r="QZC47" s="1156" t="s">
        <v>814</v>
      </c>
      <c r="QZD47" s="1156"/>
      <c r="QZE47" s="1156" t="s">
        <v>814</v>
      </c>
      <c r="QZF47" s="1156"/>
      <c r="QZG47" s="1156" t="s">
        <v>814</v>
      </c>
      <c r="QZH47" s="1156"/>
      <c r="QZI47" s="1156" t="s">
        <v>814</v>
      </c>
      <c r="QZJ47" s="1156"/>
      <c r="QZK47" s="1156" t="s">
        <v>814</v>
      </c>
      <c r="QZL47" s="1156"/>
      <c r="QZM47" s="1156" t="s">
        <v>814</v>
      </c>
      <c r="QZN47" s="1156"/>
      <c r="QZO47" s="1156" t="s">
        <v>814</v>
      </c>
      <c r="QZP47" s="1156"/>
      <c r="QZQ47" s="1156" t="s">
        <v>814</v>
      </c>
      <c r="QZR47" s="1156"/>
      <c r="QZS47" s="1156" t="s">
        <v>814</v>
      </c>
      <c r="QZT47" s="1156"/>
      <c r="QZU47" s="1156" t="s">
        <v>814</v>
      </c>
      <c r="QZV47" s="1156"/>
      <c r="QZW47" s="1156" t="s">
        <v>814</v>
      </c>
      <c r="QZX47" s="1156"/>
      <c r="QZY47" s="1156" t="s">
        <v>814</v>
      </c>
      <c r="QZZ47" s="1156"/>
      <c r="RAA47" s="1156" t="s">
        <v>814</v>
      </c>
      <c r="RAB47" s="1156"/>
      <c r="RAC47" s="1156" t="s">
        <v>814</v>
      </c>
      <c r="RAD47" s="1156"/>
      <c r="RAE47" s="1156" t="s">
        <v>814</v>
      </c>
      <c r="RAF47" s="1156"/>
      <c r="RAG47" s="1156" t="s">
        <v>814</v>
      </c>
      <c r="RAH47" s="1156"/>
      <c r="RAI47" s="1156" t="s">
        <v>814</v>
      </c>
      <c r="RAJ47" s="1156"/>
      <c r="RAK47" s="1156" t="s">
        <v>814</v>
      </c>
      <c r="RAL47" s="1156"/>
      <c r="RAM47" s="1156" t="s">
        <v>814</v>
      </c>
      <c r="RAN47" s="1156"/>
      <c r="RAO47" s="1156" t="s">
        <v>814</v>
      </c>
      <c r="RAP47" s="1156"/>
      <c r="RAQ47" s="1156" t="s">
        <v>814</v>
      </c>
      <c r="RAR47" s="1156"/>
      <c r="RAS47" s="1156" t="s">
        <v>814</v>
      </c>
      <c r="RAT47" s="1156"/>
      <c r="RAU47" s="1156" t="s">
        <v>814</v>
      </c>
      <c r="RAV47" s="1156"/>
      <c r="RAW47" s="1156" t="s">
        <v>814</v>
      </c>
      <c r="RAX47" s="1156"/>
      <c r="RAY47" s="1156" t="s">
        <v>814</v>
      </c>
      <c r="RAZ47" s="1156"/>
      <c r="RBA47" s="1156" t="s">
        <v>814</v>
      </c>
      <c r="RBB47" s="1156"/>
      <c r="RBC47" s="1156" t="s">
        <v>814</v>
      </c>
      <c r="RBD47" s="1156"/>
      <c r="RBE47" s="1156" t="s">
        <v>814</v>
      </c>
      <c r="RBF47" s="1156"/>
      <c r="RBG47" s="1156" t="s">
        <v>814</v>
      </c>
      <c r="RBH47" s="1156"/>
      <c r="RBI47" s="1156" t="s">
        <v>814</v>
      </c>
      <c r="RBJ47" s="1156"/>
      <c r="RBK47" s="1156" t="s">
        <v>814</v>
      </c>
      <c r="RBL47" s="1156"/>
      <c r="RBM47" s="1156" t="s">
        <v>814</v>
      </c>
      <c r="RBN47" s="1156"/>
      <c r="RBO47" s="1156" t="s">
        <v>814</v>
      </c>
      <c r="RBP47" s="1156"/>
      <c r="RBQ47" s="1156" t="s">
        <v>814</v>
      </c>
      <c r="RBR47" s="1156"/>
      <c r="RBS47" s="1156" t="s">
        <v>814</v>
      </c>
      <c r="RBT47" s="1156"/>
      <c r="RBU47" s="1156" t="s">
        <v>814</v>
      </c>
      <c r="RBV47" s="1156"/>
      <c r="RBW47" s="1156" t="s">
        <v>814</v>
      </c>
      <c r="RBX47" s="1156"/>
      <c r="RBY47" s="1156" t="s">
        <v>814</v>
      </c>
      <c r="RBZ47" s="1156"/>
      <c r="RCA47" s="1156" t="s">
        <v>814</v>
      </c>
      <c r="RCB47" s="1156"/>
      <c r="RCC47" s="1156" t="s">
        <v>814</v>
      </c>
      <c r="RCD47" s="1156"/>
      <c r="RCE47" s="1156" t="s">
        <v>814</v>
      </c>
      <c r="RCF47" s="1156"/>
      <c r="RCG47" s="1156" t="s">
        <v>814</v>
      </c>
      <c r="RCH47" s="1156"/>
      <c r="RCI47" s="1156" t="s">
        <v>814</v>
      </c>
      <c r="RCJ47" s="1156"/>
      <c r="RCK47" s="1156" t="s">
        <v>814</v>
      </c>
      <c r="RCL47" s="1156"/>
      <c r="RCM47" s="1156" t="s">
        <v>814</v>
      </c>
      <c r="RCN47" s="1156"/>
      <c r="RCO47" s="1156" t="s">
        <v>814</v>
      </c>
      <c r="RCP47" s="1156"/>
      <c r="RCQ47" s="1156" t="s">
        <v>814</v>
      </c>
      <c r="RCR47" s="1156"/>
      <c r="RCS47" s="1156" t="s">
        <v>814</v>
      </c>
      <c r="RCT47" s="1156"/>
      <c r="RCU47" s="1156" t="s">
        <v>814</v>
      </c>
      <c r="RCV47" s="1156"/>
      <c r="RCW47" s="1156" t="s">
        <v>814</v>
      </c>
      <c r="RCX47" s="1156"/>
      <c r="RCY47" s="1156" t="s">
        <v>814</v>
      </c>
      <c r="RCZ47" s="1156"/>
      <c r="RDA47" s="1156" t="s">
        <v>814</v>
      </c>
      <c r="RDB47" s="1156"/>
      <c r="RDC47" s="1156" t="s">
        <v>814</v>
      </c>
      <c r="RDD47" s="1156"/>
      <c r="RDE47" s="1156" t="s">
        <v>814</v>
      </c>
      <c r="RDF47" s="1156"/>
      <c r="RDG47" s="1156" t="s">
        <v>814</v>
      </c>
      <c r="RDH47" s="1156"/>
      <c r="RDI47" s="1156" t="s">
        <v>814</v>
      </c>
      <c r="RDJ47" s="1156"/>
      <c r="RDK47" s="1156" t="s">
        <v>814</v>
      </c>
      <c r="RDL47" s="1156"/>
      <c r="RDM47" s="1156" t="s">
        <v>814</v>
      </c>
      <c r="RDN47" s="1156"/>
      <c r="RDO47" s="1156" t="s">
        <v>814</v>
      </c>
      <c r="RDP47" s="1156"/>
      <c r="RDQ47" s="1156" t="s">
        <v>814</v>
      </c>
      <c r="RDR47" s="1156"/>
      <c r="RDS47" s="1156" t="s">
        <v>814</v>
      </c>
      <c r="RDT47" s="1156"/>
      <c r="RDU47" s="1156" t="s">
        <v>814</v>
      </c>
      <c r="RDV47" s="1156"/>
      <c r="RDW47" s="1156" t="s">
        <v>814</v>
      </c>
      <c r="RDX47" s="1156"/>
      <c r="RDY47" s="1156" t="s">
        <v>814</v>
      </c>
      <c r="RDZ47" s="1156"/>
      <c r="REA47" s="1156" t="s">
        <v>814</v>
      </c>
      <c r="REB47" s="1156"/>
      <c r="REC47" s="1156" t="s">
        <v>814</v>
      </c>
      <c r="RED47" s="1156"/>
      <c r="REE47" s="1156" t="s">
        <v>814</v>
      </c>
      <c r="REF47" s="1156"/>
      <c r="REG47" s="1156" t="s">
        <v>814</v>
      </c>
      <c r="REH47" s="1156"/>
      <c r="REI47" s="1156" t="s">
        <v>814</v>
      </c>
      <c r="REJ47" s="1156"/>
      <c r="REK47" s="1156" t="s">
        <v>814</v>
      </c>
      <c r="REL47" s="1156"/>
      <c r="REM47" s="1156" t="s">
        <v>814</v>
      </c>
      <c r="REN47" s="1156"/>
      <c r="REO47" s="1156" t="s">
        <v>814</v>
      </c>
      <c r="REP47" s="1156"/>
      <c r="REQ47" s="1156" t="s">
        <v>814</v>
      </c>
      <c r="RER47" s="1156"/>
      <c r="RES47" s="1156" t="s">
        <v>814</v>
      </c>
      <c r="RET47" s="1156"/>
      <c r="REU47" s="1156" t="s">
        <v>814</v>
      </c>
      <c r="REV47" s="1156"/>
      <c r="REW47" s="1156" t="s">
        <v>814</v>
      </c>
      <c r="REX47" s="1156"/>
      <c r="REY47" s="1156" t="s">
        <v>814</v>
      </c>
      <c r="REZ47" s="1156"/>
      <c r="RFA47" s="1156" t="s">
        <v>814</v>
      </c>
      <c r="RFB47" s="1156"/>
      <c r="RFC47" s="1156" t="s">
        <v>814</v>
      </c>
      <c r="RFD47" s="1156"/>
      <c r="RFE47" s="1156" t="s">
        <v>814</v>
      </c>
      <c r="RFF47" s="1156"/>
      <c r="RFG47" s="1156" t="s">
        <v>814</v>
      </c>
      <c r="RFH47" s="1156"/>
      <c r="RFI47" s="1156" t="s">
        <v>814</v>
      </c>
      <c r="RFJ47" s="1156"/>
      <c r="RFK47" s="1156" t="s">
        <v>814</v>
      </c>
      <c r="RFL47" s="1156"/>
      <c r="RFM47" s="1156" t="s">
        <v>814</v>
      </c>
      <c r="RFN47" s="1156"/>
      <c r="RFO47" s="1156" t="s">
        <v>814</v>
      </c>
      <c r="RFP47" s="1156"/>
      <c r="RFQ47" s="1156" t="s">
        <v>814</v>
      </c>
      <c r="RFR47" s="1156"/>
      <c r="RFS47" s="1156" t="s">
        <v>814</v>
      </c>
      <c r="RFT47" s="1156"/>
      <c r="RFU47" s="1156" t="s">
        <v>814</v>
      </c>
      <c r="RFV47" s="1156"/>
      <c r="RFW47" s="1156" t="s">
        <v>814</v>
      </c>
      <c r="RFX47" s="1156"/>
      <c r="RFY47" s="1156" t="s">
        <v>814</v>
      </c>
      <c r="RFZ47" s="1156"/>
      <c r="RGA47" s="1156" t="s">
        <v>814</v>
      </c>
      <c r="RGB47" s="1156"/>
      <c r="RGC47" s="1156" t="s">
        <v>814</v>
      </c>
      <c r="RGD47" s="1156"/>
      <c r="RGE47" s="1156" t="s">
        <v>814</v>
      </c>
      <c r="RGF47" s="1156"/>
      <c r="RGG47" s="1156" t="s">
        <v>814</v>
      </c>
      <c r="RGH47" s="1156"/>
      <c r="RGI47" s="1156" t="s">
        <v>814</v>
      </c>
      <c r="RGJ47" s="1156"/>
      <c r="RGK47" s="1156" t="s">
        <v>814</v>
      </c>
      <c r="RGL47" s="1156"/>
      <c r="RGM47" s="1156" t="s">
        <v>814</v>
      </c>
      <c r="RGN47" s="1156"/>
      <c r="RGO47" s="1156" t="s">
        <v>814</v>
      </c>
      <c r="RGP47" s="1156"/>
      <c r="RGQ47" s="1156" t="s">
        <v>814</v>
      </c>
      <c r="RGR47" s="1156"/>
      <c r="RGS47" s="1156" t="s">
        <v>814</v>
      </c>
      <c r="RGT47" s="1156"/>
      <c r="RGU47" s="1156" t="s">
        <v>814</v>
      </c>
      <c r="RGV47" s="1156"/>
      <c r="RGW47" s="1156" t="s">
        <v>814</v>
      </c>
      <c r="RGX47" s="1156"/>
      <c r="RGY47" s="1156" t="s">
        <v>814</v>
      </c>
      <c r="RGZ47" s="1156"/>
      <c r="RHA47" s="1156" t="s">
        <v>814</v>
      </c>
      <c r="RHB47" s="1156"/>
      <c r="RHC47" s="1156" t="s">
        <v>814</v>
      </c>
      <c r="RHD47" s="1156"/>
      <c r="RHE47" s="1156" t="s">
        <v>814</v>
      </c>
      <c r="RHF47" s="1156"/>
      <c r="RHG47" s="1156" t="s">
        <v>814</v>
      </c>
      <c r="RHH47" s="1156"/>
      <c r="RHI47" s="1156" t="s">
        <v>814</v>
      </c>
      <c r="RHJ47" s="1156"/>
      <c r="RHK47" s="1156" t="s">
        <v>814</v>
      </c>
      <c r="RHL47" s="1156"/>
      <c r="RHM47" s="1156" t="s">
        <v>814</v>
      </c>
      <c r="RHN47" s="1156"/>
      <c r="RHO47" s="1156" t="s">
        <v>814</v>
      </c>
      <c r="RHP47" s="1156"/>
      <c r="RHQ47" s="1156" t="s">
        <v>814</v>
      </c>
      <c r="RHR47" s="1156"/>
      <c r="RHS47" s="1156" t="s">
        <v>814</v>
      </c>
      <c r="RHT47" s="1156"/>
      <c r="RHU47" s="1156" t="s">
        <v>814</v>
      </c>
      <c r="RHV47" s="1156"/>
      <c r="RHW47" s="1156" t="s">
        <v>814</v>
      </c>
      <c r="RHX47" s="1156"/>
      <c r="RHY47" s="1156" t="s">
        <v>814</v>
      </c>
      <c r="RHZ47" s="1156"/>
      <c r="RIA47" s="1156" t="s">
        <v>814</v>
      </c>
      <c r="RIB47" s="1156"/>
      <c r="RIC47" s="1156" t="s">
        <v>814</v>
      </c>
      <c r="RID47" s="1156"/>
      <c r="RIE47" s="1156" t="s">
        <v>814</v>
      </c>
      <c r="RIF47" s="1156"/>
      <c r="RIG47" s="1156" t="s">
        <v>814</v>
      </c>
      <c r="RIH47" s="1156"/>
      <c r="RII47" s="1156" t="s">
        <v>814</v>
      </c>
      <c r="RIJ47" s="1156"/>
      <c r="RIK47" s="1156" t="s">
        <v>814</v>
      </c>
      <c r="RIL47" s="1156"/>
      <c r="RIM47" s="1156" t="s">
        <v>814</v>
      </c>
      <c r="RIN47" s="1156"/>
      <c r="RIO47" s="1156" t="s">
        <v>814</v>
      </c>
      <c r="RIP47" s="1156"/>
      <c r="RIQ47" s="1156" t="s">
        <v>814</v>
      </c>
      <c r="RIR47" s="1156"/>
      <c r="RIS47" s="1156" t="s">
        <v>814</v>
      </c>
      <c r="RIT47" s="1156"/>
      <c r="RIU47" s="1156" t="s">
        <v>814</v>
      </c>
      <c r="RIV47" s="1156"/>
      <c r="RIW47" s="1156" t="s">
        <v>814</v>
      </c>
      <c r="RIX47" s="1156"/>
      <c r="RIY47" s="1156" t="s">
        <v>814</v>
      </c>
      <c r="RIZ47" s="1156"/>
      <c r="RJA47" s="1156" t="s">
        <v>814</v>
      </c>
      <c r="RJB47" s="1156"/>
      <c r="RJC47" s="1156" t="s">
        <v>814</v>
      </c>
      <c r="RJD47" s="1156"/>
      <c r="RJE47" s="1156" t="s">
        <v>814</v>
      </c>
      <c r="RJF47" s="1156"/>
      <c r="RJG47" s="1156" t="s">
        <v>814</v>
      </c>
      <c r="RJH47" s="1156"/>
      <c r="RJI47" s="1156" t="s">
        <v>814</v>
      </c>
      <c r="RJJ47" s="1156"/>
      <c r="RJK47" s="1156" t="s">
        <v>814</v>
      </c>
      <c r="RJL47" s="1156"/>
      <c r="RJM47" s="1156" t="s">
        <v>814</v>
      </c>
      <c r="RJN47" s="1156"/>
      <c r="RJO47" s="1156" t="s">
        <v>814</v>
      </c>
      <c r="RJP47" s="1156"/>
      <c r="RJQ47" s="1156" t="s">
        <v>814</v>
      </c>
      <c r="RJR47" s="1156"/>
      <c r="RJS47" s="1156" t="s">
        <v>814</v>
      </c>
      <c r="RJT47" s="1156"/>
      <c r="RJU47" s="1156" t="s">
        <v>814</v>
      </c>
      <c r="RJV47" s="1156"/>
      <c r="RJW47" s="1156" t="s">
        <v>814</v>
      </c>
      <c r="RJX47" s="1156"/>
      <c r="RJY47" s="1156" t="s">
        <v>814</v>
      </c>
      <c r="RJZ47" s="1156"/>
      <c r="RKA47" s="1156" t="s">
        <v>814</v>
      </c>
      <c r="RKB47" s="1156"/>
      <c r="RKC47" s="1156" t="s">
        <v>814</v>
      </c>
      <c r="RKD47" s="1156"/>
      <c r="RKE47" s="1156" t="s">
        <v>814</v>
      </c>
      <c r="RKF47" s="1156"/>
      <c r="RKG47" s="1156" t="s">
        <v>814</v>
      </c>
      <c r="RKH47" s="1156"/>
      <c r="RKI47" s="1156" t="s">
        <v>814</v>
      </c>
      <c r="RKJ47" s="1156"/>
      <c r="RKK47" s="1156" t="s">
        <v>814</v>
      </c>
      <c r="RKL47" s="1156"/>
      <c r="RKM47" s="1156" t="s">
        <v>814</v>
      </c>
      <c r="RKN47" s="1156"/>
      <c r="RKO47" s="1156" t="s">
        <v>814</v>
      </c>
      <c r="RKP47" s="1156"/>
      <c r="RKQ47" s="1156" t="s">
        <v>814</v>
      </c>
      <c r="RKR47" s="1156"/>
      <c r="RKS47" s="1156" t="s">
        <v>814</v>
      </c>
      <c r="RKT47" s="1156"/>
      <c r="RKU47" s="1156" t="s">
        <v>814</v>
      </c>
      <c r="RKV47" s="1156"/>
      <c r="RKW47" s="1156" t="s">
        <v>814</v>
      </c>
      <c r="RKX47" s="1156"/>
      <c r="RKY47" s="1156" t="s">
        <v>814</v>
      </c>
      <c r="RKZ47" s="1156"/>
      <c r="RLA47" s="1156" t="s">
        <v>814</v>
      </c>
      <c r="RLB47" s="1156"/>
      <c r="RLC47" s="1156" t="s">
        <v>814</v>
      </c>
      <c r="RLD47" s="1156"/>
      <c r="RLE47" s="1156" t="s">
        <v>814</v>
      </c>
      <c r="RLF47" s="1156"/>
      <c r="RLG47" s="1156" t="s">
        <v>814</v>
      </c>
      <c r="RLH47" s="1156"/>
      <c r="RLI47" s="1156" t="s">
        <v>814</v>
      </c>
      <c r="RLJ47" s="1156"/>
      <c r="RLK47" s="1156" t="s">
        <v>814</v>
      </c>
      <c r="RLL47" s="1156"/>
      <c r="RLM47" s="1156" t="s">
        <v>814</v>
      </c>
      <c r="RLN47" s="1156"/>
      <c r="RLO47" s="1156" t="s">
        <v>814</v>
      </c>
      <c r="RLP47" s="1156"/>
      <c r="RLQ47" s="1156" t="s">
        <v>814</v>
      </c>
      <c r="RLR47" s="1156"/>
      <c r="RLS47" s="1156" t="s">
        <v>814</v>
      </c>
      <c r="RLT47" s="1156"/>
      <c r="RLU47" s="1156" t="s">
        <v>814</v>
      </c>
      <c r="RLV47" s="1156"/>
      <c r="RLW47" s="1156" t="s">
        <v>814</v>
      </c>
      <c r="RLX47" s="1156"/>
      <c r="RLY47" s="1156" t="s">
        <v>814</v>
      </c>
      <c r="RLZ47" s="1156"/>
      <c r="RMA47" s="1156" t="s">
        <v>814</v>
      </c>
      <c r="RMB47" s="1156"/>
      <c r="RMC47" s="1156" t="s">
        <v>814</v>
      </c>
      <c r="RMD47" s="1156"/>
      <c r="RME47" s="1156" t="s">
        <v>814</v>
      </c>
      <c r="RMF47" s="1156"/>
      <c r="RMG47" s="1156" t="s">
        <v>814</v>
      </c>
      <c r="RMH47" s="1156"/>
      <c r="RMI47" s="1156" t="s">
        <v>814</v>
      </c>
      <c r="RMJ47" s="1156"/>
      <c r="RMK47" s="1156" t="s">
        <v>814</v>
      </c>
      <c r="RML47" s="1156"/>
      <c r="RMM47" s="1156" t="s">
        <v>814</v>
      </c>
      <c r="RMN47" s="1156"/>
      <c r="RMO47" s="1156" t="s">
        <v>814</v>
      </c>
      <c r="RMP47" s="1156"/>
      <c r="RMQ47" s="1156" t="s">
        <v>814</v>
      </c>
      <c r="RMR47" s="1156"/>
      <c r="RMS47" s="1156" t="s">
        <v>814</v>
      </c>
      <c r="RMT47" s="1156"/>
      <c r="RMU47" s="1156" t="s">
        <v>814</v>
      </c>
      <c r="RMV47" s="1156"/>
      <c r="RMW47" s="1156" t="s">
        <v>814</v>
      </c>
      <c r="RMX47" s="1156"/>
      <c r="RMY47" s="1156" t="s">
        <v>814</v>
      </c>
      <c r="RMZ47" s="1156"/>
      <c r="RNA47" s="1156" t="s">
        <v>814</v>
      </c>
      <c r="RNB47" s="1156"/>
      <c r="RNC47" s="1156" t="s">
        <v>814</v>
      </c>
      <c r="RND47" s="1156"/>
      <c r="RNE47" s="1156" t="s">
        <v>814</v>
      </c>
      <c r="RNF47" s="1156"/>
      <c r="RNG47" s="1156" t="s">
        <v>814</v>
      </c>
      <c r="RNH47" s="1156"/>
      <c r="RNI47" s="1156" t="s">
        <v>814</v>
      </c>
      <c r="RNJ47" s="1156"/>
      <c r="RNK47" s="1156" t="s">
        <v>814</v>
      </c>
      <c r="RNL47" s="1156"/>
      <c r="RNM47" s="1156" t="s">
        <v>814</v>
      </c>
      <c r="RNN47" s="1156"/>
      <c r="RNO47" s="1156" t="s">
        <v>814</v>
      </c>
      <c r="RNP47" s="1156"/>
      <c r="RNQ47" s="1156" t="s">
        <v>814</v>
      </c>
      <c r="RNR47" s="1156"/>
      <c r="RNS47" s="1156" t="s">
        <v>814</v>
      </c>
      <c r="RNT47" s="1156"/>
      <c r="RNU47" s="1156" t="s">
        <v>814</v>
      </c>
      <c r="RNV47" s="1156"/>
      <c r="RNW47" s="1156" t="s">
        <v>814</v>
      </c>
      <c r="RNX47" s="1156"/>
      <c r="RNY47" s="1156" t="s">
        <v>814</v>
      </c>
      <c r="RNZ47" s="1156"/>
      <c r="ROA47" s="1156" t="s">
        <v>814</v>
      </c>
      <c r="ROB47" s="1156"/>
      <c r="ROC47" s="1156" t="s">
        <v>814</v>
      </c>
      <c r="ROD47" s="1156"/>
      <c r="ROE47" s="1156" t="s">
        <v>814</v>
      </c>
      <c r="ROF47" s="1156"/>
      <c r="ROG47" s="1156" t="s">
        <v>814</v>
      </c>
      <c r="ROH47" s="1156"/>
      <c r="ROI47" s="1156" t="s">
        <v>814</v>
      </c>
      <c r="ROJ47" s="1156"/>
      <c r="ROK47" s="1156" t="s">
        <v>814</v>
      </c>
      <c r="ROL47" s="1156"/>
      <c r="ROM47" s="1156" t="s">
        <v>814</v>
      </c>
      <c r="RON47" s="1156"/>
      <c r="ROO47" s="1156" t="s">
        <v>814</v>
      </c>
      <c r="ROP47" s="1156"/>
      <c r="ROQ47" s="1156" t="s">
        <v>814</v>
      </c>
      <c r="ROR47" s="1156"/>
      <c r="ROS47" s="1156" t="s">
        <v>814</v>
      </c>
      <c r="ROT47" s="1156"/>
      <c r="ROU47" s="1156" t="s">
        <v>814</v>
      </c>
      <c r="ROV47" s="1156"/>
      <c r="ROW47" s="1156" t="s">
        <v>814</v>
      </c>
      <c r="ROX47" s="1156"/>
      <c r="ROY47" s="1156" t="s">
        <v>814</v>
      </c>
      <c r="ROZ47" s="1156"/>
      <c r="RPA47" s="1156" t="s">
        <v>814</v>
      </c>
      <c r="RPB47" s="1156"/>
      <c r="RPC47" s="1156" t="s">
        <v>814</v>
      </c>
      <c r="RPD47" s="1156"/>
      <c r="RPE47" s="1156" t="s">
        <v>814</v>
      </c>
      <c r="RPF47" s="1156"/>
      <c r="RPG47" s="1156" t="s">
        <v>814</v>
      </c>
      <c r="RPH47" s="1156"/>
      <c r="RPI47" s="1156" t="s">
        <v>814</v>
      </c>
      <c r="RPJ47" s="1156"/>
      <c r="RPK47" s="1156" t="s">
        <v>814</v>
      </c>
      <c r="RPL47" s="1156"/>
      <c r="RPM47" s="1156" t="s">
        <v>814</v>
      </c>
      <c r="RPN47" s="1156"/>
      <c r="RPO47" s="1156" t="s">
        <v>814</v>
      </c>
      <c r="RPP47" s="1156"/>
      <c r="RPQ47" s="1156" t="s">
        <v>814</v>
      </c>
      <c r="RPR47" s="1156"/>
      <c r="RPS47" s="1156" t="s">
        <v>814</v>
      </c>
      <c r="RPT47" s="1156"/>
      <c r="RPU47" s="1156" t="s">
        <v>814</v>
      </c>
      <c r="RPV47" s="1156"/>
      <c r="RPW47" s="1156" t="s">
        <v>814</v>
      </c>
      <c r="RPX47" s="1156"/>
      <c r="RPY47" s="1156" t="s">
        <v>814</v>
      </c>
      <c r="RPZ47" s="1156"/>
      <c r="RQA47" s="1156" t="s">
        <v>814</v>
      </c>
      <c r="RQB47" s="1156"/>
      <c r="RQC47" s="1156" t="s">
        <v>814</v>
      </c>
      <c r="RQD47" s="1156"/>
      <c r="RQE47" s="1156" t="s">
        <v>814</v>
      </c>
      <c r="RQF47" s="1156"/>
      <c r="RQG47" s="1156" t="s">
        <v>814</v>
      </c>
      <c r="RQH47" s="1156"/>
      <c r="RQI47" s="1156" t="s">
        <v>814</v>
      </c>
      <c r="RQJ47" s="1156"/>
      <c r="RQK47" s="1156" t="s">
        <v>814</v>
      </c>
      <c r="RQL47" s="1156"/>
      <c r="RQM47" s="1156" t="s">
        <v>814</v>
      </c>
      <c r="RQN47" s="1156"/>
      <c r="RQO47" s="1156" t="s">
        <v>814</v>
      </c>
      <c r="RQP47" s="1156"/>
      <c r="RQQ47" s="1156" t="s">
        <v>814</v>
      </c>
      <c r="RQR47" s="1156"/>
      <c r="RQS47" s="1156" t="s">
        <v>814</v>
      </c>
      <c r="RQT47" s="1156"/>
      <c r="RQU47" s="1156" t="s">
        <v>814</v>
      </c>
      <c r="RQV47" s="1156"/>
      <c r="RQW47" s="1156" t="s">
        <v>814</v>
      </c>
      <c r="RQX47" s="1156"/>
      <c r="RQY47" s="1156" t="s">
        <v>814</v>
      </c>
      <c r="RQZ47" s="1156"/>
      <c r="RRA47" s="1156" t="s">
        <v>814</v>
      </c>
      <c r="RRB47" s="1156"/>
      <c r="RRC47" s="1156" t="s">
        <v>814</v>
      </c>
      <c r="RRD47" s="1156"/>
      <c r="RRE47" s="1156" t="s">
        <v>814</v>
      </c>
      <c r="RRF47" s="1156"/>
      <c r="RRG47" s="1156" t="s">
        <v>814</v>
      </c>
      <c r="RRH47" s="1156"/>
      <c r="RRI47" s="1156" t="s">
        <v>814</v>
      </c>
      <c r="RRJ47" s="1156"/>
      <c r="RRK47" s="1156" t="s">
        <v>814</v>
      </c>
      <c r="RRL47" s="1156"/>
      <c r="RRM47" s="1156" t="s">
        <v>814</v>
      </c>
      <c r="RRN47" s="1156"/>
      <c r="RRO47" s="1156" t="s">
        <v>814</v>
      </c>
      <c r="RRP47" s="1156"/>
      <c r="RRQ47" s="1156" t="s">
        <v>814</v>
      </c>
      <c r="RRR47" s="1156"/>
      <c r="RRS47" s="1156" t="s">
        <v>814</v>
      </c>
      <c r="RRT47" s="1156"/>
      <c r="RRU47" s="1156" t="s">
        <v>814</v>
      </c>
      <c r="RRV47" s="1156"/>
      <c r="RRW47" s="1156" t="s">
        <v>814</v>
      </c>
      <c r="RRX47" s="1156"/>
      <c r="RRY47" s="1156" t="s">
        <v>814</v>
      </c>
      <c r="RRZ47" s="1156"/>
      <c r="RSA47" s="1156" t="s">
        <v>814</v>
      </c>
      <c r="RSB47" s="1156"/>
      <c r="RSC47" s="1156" t="s">
        <v>814</v>
      </c>
      <c r="RSD47" s="1156"/>
      <c r="RSE47" s="1156" t="s">
        <v>814</v>
      </c>
      <c r="RSF47" s="1156"/>
      <c r="RSG47" s="1156" t="s">
        <v>814</v>
      </c>
      <c r="RSH47" s="1156"/>
      <c r="RSI47" s="1156" t="s">
        <v>814</v>
      </c>
      <c r="RSJ47" s="1156"/>
      <c r="RSK47" s="1156" t="s">
        <v>814</v>
      </c>
      <c r="RSL47" s="1156"/>
      <c r="RSM47" s="1156" t="s">
        <v>814</v>
      </c>
      <c r="RSN47" s="1156"/>
      <c r="RSO47" s="1156" t="s">
        <v>814</v>
      </c>
      <c r="RSP47" s="1156"/>
      <c r="RSQ47" s="1156" t="s">
        <v>814</v>
      </c>
      <c r="RSR47" s="1156"/>
      <c r="RSS47" s="1156" t="s">
        <v>814</v>
      </c>
      <c r="RST47" s="1156"/>
      <c r="RSU47" s="1156" t="s">
        <v>814</v>
      </c>
      <c r="RSV47" s="1156"/>
      <c r="RSW47" s="1156" t="s">
        <v>814</v>
      </c>
      <c r="RSX47" s="1156"/>
      <c r="RSY47" s="1156" t="s">
        <v>814</v>
      </c>
      <c r="RSZ47" s="1156"/>
      <c r="RTA47" s="1156" t="s">
        <v>814</v>
      </c>
      <c r="RTB47" s="1156"/>
      <c r="RTC47" s="1156" t="s">
        <v>814</v>
      </c>
      <c r="RTD47" s="1156"/>
      <c r="RTE47" s="1156" t="s">
        <v>814</v>
      </c>
      <c r="RTF47" s="1156"/>
      <c r="RTG47" s="1156" t="s">
        <v>814</v>
      </c>
      <c r="RTH47" s="1156"/>
      <c r="RTI47" s="1156" t="s">
        <v>814</v>
      </c>
      <c r="RTJ47" s="1156"/>
      <c r="RTK47" s="1156" t="s">
        <v>814</v>
      </c>
      <c r="RTL47" s="1156"/>
      <c r="RTM47" s="1156" t="s">
        <v>814</v>
      </c>
      <c r="RTN47" s="1156"/>
      <c r="RTO47" s="1156" t="s">
        <v>814</v>
      </c>
      <c r="RTP47" s="1156"/>
      <c r="RTQ47" s="1156" t="s">
        <v>814</v>
      </c>
      <c r="RTR47" s="1156"/>
      <c r="RTS47" s="1156" t="s">
        <v>814</v>
      </c>
      <c r="RTT47" s="1156"/>
      <c r="RTU47" s="1156" t="s">
        <v>814</v>
      </c>
      <c r="RTV47" s="1156"/>
      <c r="RTW47" s="1156" t="s">
        <v>814</v>
      </c>
      <c r="RTX47" s="1156"/>
      <c r="RTY47" s="1156" t="s">
        <v>814</v>
      </c>
      <c r="RTZ47" s="1156"/>
      <c r="RUA47" s="1156" t="s">
        <v>814</v>
      </c>
      <c r="RUB47" s="1156"/>
      <c r="RUC47" s="1156" t="s">
        <v>814</v>
      </c>
      <c r="RUD47" s="1156"/>
      <c r="RUE47" s="1156" t="s">
        <v>814</v>
      </c>
      <c r="RUF47" s="1156"/>
      <c r="RUG47" s="1156" t="s">
        <v>814</v>
      </c>
      <c r="RUH47" s="1156"/>
      <c r="RUI47" s="1156" t="s">
        <v>814</v>
      </c>
      <c r="RUJ47" s="1156"/>
      <c r="RUK47" s="1156" t="s">
        <v>814</v>
      </c>
      <c r="RUL47" s="1156"/>
      <c r="RUM47" s="1156" t="s">
        <v>814</v>
      </c>
      <c r="RUN47" s="1156"/>
      <c r="RUO47" s="1156" t="s">
        <v>814</v>
      </c>
      <c r="RUP47" s="1156"/>
      <c r="RUQ47" s="1156" t="s">
        <v>814</v>
      </c>
      <c r="RUR47" s="1156"/>
      <c r="RUS47" s="1156" t="s">
        <v>814</v>
      </c>
      <c r="RUT47" s="1156"/>
      <c r="RUU47" s="1156" t="s">
        <v>814</v>
      </c>
      <c r="RUV47" s="1156"/>
      <c r="RUW47" s="1156" t="s">
        <v>814</v>
      </c>
      <c r="RUX47" s="1156"/>
      <c r="RUY47" s="1156" t="s">
        <v>814</v>
      </c>
      <c r="RUZ47" s="1156"/>
      <c r="RVA47" s="1156" t="s">
        <v>814</v>
      </c>
      <c r="RVB47" s="1156"/>
      <c r="RVC47" s="1156" t="s">
        <v>814</v>
      </c>
      <c r="RVD47" s="1156"/>
      <c r="RVE47" s="1156" t="s">
        <v>814</v>
      </c>
      <c r="RVF47" s="1156"/>
      <c r="RVG47" s="1156" t="s">
        <v>814</v>
      </c>
      <c r="RVH47" s="1156"/>
      <c r="RVI47" s="1156" t="s">
        <v>814</v>
      </c>
      <c r="RVJ47" s="1156"/>
      <c r="RVK47" s="1156" t="s">
        <v>814</v>
      </c>
      <c r="RVL47" s="1156"/>
      <c r="RVM47" s="1156" t="s">
        <v>814</v>
      </c>
      <c r="RVN47" s="1156"/>
      <c r="RVO47" s="1156" t="s">
        <v>814</v>
      </c>
      <c r="RVP47" s="1156"/>
      <c r="RVQ47" s="1156" t="s">
        <v>814</v>
      </c>
      <c r="RVR47" s="1156"/>
      <c r="RVS47" s="1156" t="s">
        <v>814</v>
      </c>
      <c r="RVT47" s="1156"/>
      <c r="RVU47" s="1156" t="s">
        <v>814</v>
      </c>
      <c r="RVV47" s="1156"/>
      <c r="RVW47" s="1156" t="s">
        <v>814</v>
      </c>
      <c r="RVX47" s="1156"/>
      <c r="RVY47" s="1156" t="s">
        <v>814</v>
      </c>
      <c r="RVZ47" s="1156"/>
      <c r="RWA47" s="1156" t="s">
        <v>814</v>
      </c>
      <c r="RWB47" s="1156"/>
      <c r="RWC47" s="1156" t="s">
        <v>814</v>
      </c>
      <c r="RWD47" s="1156"/>
      <c r="RWE47" s="1156" t="s">
        <v>814</v>
      </c>
      <c r="RWF47" s="1156"/>
      <c r="RWG47" s="1156" t="s">
        <v>814</v>
      </c>
      <c r="RWH47" s="1156"/>
      <c r="RWI47" s="1156" t="s">
        <v>814</v>
      </c>
      <c r="RWJ47" s="1156"/>
      <c r="RWK47" s="1156" t="s">
        <v>814</v>
      </c>
      <c r="RWL47" s="1156"/>
      <c r="RWM47" s="1156" t="s">
        <v>814</v>
      </c>
      <c r="RWN47" s="1156"/>
      <c r="RWO47" s="1156" t="s">
        <v>814</v>
      </c>
      <c r="RWP47" s="1156"/>
      <c r="RWQ47" s="1156" t="s">
        <v>814</v>
      </c>
      <c r="RWR47" s="1156"/>
      <c r="RWS47" s="1156" t="s">
        <v>814</v>
      </c>
      <c r="RWT47" s="1156"/>
      <c r="RWU47" s="1156" t="s">
        <v>814</v>
      </c>
      <c r="RWV47" s="1156"/>
      <c r="RWW47" s="1156" t="s">
        <v>814</v>
      </c>
      <c r="RWX47" s="1156"/>
      <c r="RWY47" s="1156" t="s">
        <v>814</v>
      </c>
      <c r="RWZ47" s="1156"/>
      <c r="RXA47" s="1156" t="s">
        <v>814</v>
      </c>
      <c r="RXB47" s="1156"/>
      <c r="RXC47" s="1156" t="s">
        <v>814</v>
      </c>
      <c r="RXD47" s="1156"/>
      <c r="RXE47" s="1156" t="s">
        <v>814</v>
      </c>
      <c r="RXF47" s="1156"/>
      <c r="RXG47" s="1156" t="s">
        <v>814</v>
      </c>
      <c r="RXH47" s="1156"/>
      <c r="RXI47" s="1156" t="s">
        <v>814</v>
      </c>
      <c r="RXJ47" s="1156"/>
      <c r="RXK47" s="1156" t="s">
        <v>814</v>
      </c>
      <c r="RXL47" s="1156"/>
      <c r="RXM47" s="1156" t="s">
        <v>814</v>
      </c>
      <c r="RXN47" s="1156"/>
      <c r="RXO47" s="1156" t="s">
        <v>814</v>
      </c>
      <c r="RXP47" s="1156"/>
      <c r="RXQ47" s="1156" t="s">
        <v>814</v>
      </c>
      <c r="RXR47" s="1156"/>
      <c r="RXS47" s="1156" t="s">
        <v>814</v>
      </c>
      <c r="RXT47" s="1156"/>
      <c r="RXU47" s="1156" t="s">
        <v>814</v>
      </c>
      <c r="RXV47" s="1156"/>
      <c r="RXW47" s="1156" t="s">
        <v>814</v>
      </c>
      <c r="RXX47" s="1156"/>
      <c r="RXY47" s="1156" t="s">
        <v>814</v>
      </c>
      <c r="RXZ47" s="1156"/>
      <c r="RYA47" s="1156" t="s">
        <v>814</v>
      </c>
      <c r="RYB47" s="1156"/>
      <c r="RYC47" s="1156" t="s">
        <v>814</v>
      </c>
      <c r="RYD47" s="1156"/>
      <c r="RYE47" s="1156" t="s">
        <v>814</v>
      </c>
      <c r="RYF47" s="1156"/>
      <c r="RYG47" s="1156" t="s">
        <v>814</v>
      </c>
      <c r="RYH47" s="1156"/>
      <c r="RYI47" s="1156" t="s">
        <v>814</v>
      </c>
      <c r="RYJ47" s="1156"/>
      <c r="RYK47" s="1156" t="s">
        <v>814</v>
      </c>
      <c r="RYL47" s="1156"/>
      <c r="RYM47" s="1156" t="s">
        <v>814</v>
      </c>
      <c r="RYN47" s="1156"/>
      <c r="RYO47" s="1156" t="s">
        <v>814</v>
      </c>
      <c r="RYP47" s="1156"/>
      <c r="RYQ47" s="1156" t="s">
        <v>814</v>
      </c>
      <c r="RYR47" s="1156"/>
      <c r="RYS47" s="1156" t="s">
        <v>814</v>
      </c>
      <c r="RYT47" s="1156"/>
      <c r="RYU47" s="1156" t="s">
        <v>814</v>
      </c>
      <c r="RYV47" s="1156"/>
      <c r="RYW47" s="1156" t="s">
        <v>814</v>
      </c>
      <c r="RYX47" s="1156"/>
      <c r="RYY47" s="1156" t="s">
        <v>814</v>
      </c>
      <c r="RYZ47" s="1156"/>
      <c r="RZA47" s="1156" t="s">
        <v>814</v>
      </c>
      <c r="RZB47" s="1156"/>
      <c r="RZC47" s="1156" t="s">
        <v>814</v>
      </c>
      <c r="RZD47" s="1156"/>
      <c r="RZE47" s="1156" t="s">
        <v>814</v>
      </c>
      <c r="RZF47" s="1156"/>
      <c r="RZG47" s="1156" t="s">
        <v>814</v>
      </c>
      <c r="RZH47" s="1156"/>
      <c r="RZI47" s="1156" t="s">
        <v>814</v>
      </c>
      <c r="RZJ47" s="1156"/>
      <c r="RZK47" s="1156" t="s">
        <v>814</v>
      </c>
      <c r="RZL47" s="1156"/>
      <c r="RZM47" s="1156" t="s">
        <v>814</v>
      </c>
      <c r="RZN47" s="1156"/>
      <c r="RZO47" s="1156" t="s">
        <v>814</v>
      </c>
      <c r="RZP47" s="1156"/>
      <c r="RZQ47" s="1156" t="s">
        <v>814</v>
      </c>
      <c r="RZR47" s="1156"/>
      <c r="RZS47" s="1156" t="s">
        <v>814</v>
      </c>
      <c r="RZT47" s="1156"/>
      <c r="RZU47" s="1156" t="s">
        <v>814</v>
      </c>
      <c r="RZV47" s="1156"/>
      <c r="RZW47" s="1156" t="s">
        <v>814</v>
      </c>
      <c r="RZX47" s="1156"/>
      <c r="RZY47" s="1156" t="s">
        <v>814</v>
      </c>
      <c r="RZZ47" s="1156"/>
      <c r="SAA47" s="1156" t="s">
        <v>814</v>
      </c>
      <c r="SAB47" s="1156"/>
      <c r="SAC47" s="1156" t="s">
        <v>814</v>
      </c>
      <c r="SAD47" s="1156"/>
      <c r="SAE47" s="1156" t="s">
        <v>814</v>
      </c>
      <c r="SAF47" s="1156"/>
      <c r="SAG47" s="1156" t="s">
        <v>814</v>
      </c>
      <c r="SAH47" s="1156"/>
      <c r="SAI47" s="1156" t="s">
        <v>814</v>
      </c>
      <c r="SAJ47" s="1156"/>
      <c r="SAK47" s="1156" t="s">
        <v>814</v>
      </c>
      <c r="SAL47" s="1156"/>
      <c r="SAM47" s="1156" t="s">
        <v>814</v>
      </c>
      <c r="SAN47" s="1156"/>
      <c r="SAO47" s="1156" t="s">
        <v>814</v>
      </c>
      <c r="SAP47" s="1156"/>
      <c r="SAQ47" s="1156" t="s">
        <v>814</v>
      </c>
      <c r="SAR47" s="1156"/>
      <c r="SAS47" s="1156" t="s">
        <v>814</v>
      </c>
      <c r="SAT47" s="1156"/>
      <c r="SAU47" s="1156" t="s">
        <v>814</v>
      </c>
      <c r="SAV47" s="1156"/>
      <c r="SAW47" s="1156" t="s">
        <v>814</v>
      </c>
      <c r="SAX47" s="1156"/>
      <c r="SAY47" s="1156" t="s">
        <v>814</v>
      </c>
      <c r="SAZ47" s="1156"/>
      <c r="SBA47" s="1156" t="s">
        <v>814</v>
      </c>
      <c r="SBB47" s="1156"/>
      <c r="SBC47" s="1156" t="s">
        <v>814</v>
      </c>
      <c r="SBD47" s="1156"/>
      <c r="SBE47" s="1156" t="s">
        <v>814</v>
      </c>
      <c r="SBF47" s="1156"/>
      <c r="SBG47" s="1156" t="s">
        <v>814</v>
      </c>
      <c r="SBH47" s="1156"/>
      <c r="SBI47" s="1156" t="s">
        <v>814</v>
      </c>
      <c r="SBJ47" s="1156"/>
      <c r="SBK47" s="1156" t="s">
        <v>814</v>
      </c>
      <c r="SBL47" s="1156"/>
      <c r="SBM47" s="1156" t="s">
        <v>814</v>
      </c>
      <c r="SBN47" s="1156"/>
      <c r="SBO47" s="1156" t="s">
        <v>814</v>
      </c>
      <c r="SBP47" s="1156"/>
      <c r="SBQ47" s="1156" t="s">
        <v>814</v>
      </c>
      <c r="SBR47" s="1156"/>
      <c r="SBS47" s="1156" t="s">
        <v>814</v>
      </c>
      <c r="SBT47" s="1156"/>
      <c r="SBU47" s="1156" t="s">
        <v>814</v>
      </c>
      <c r="SBV47" s="1156"/>
      <c r="SBW47" s="1156" t="s">
        <v>814</v>
      </c>
      <c r="SBX47" s="1156"/>
      <c r="SBY47" s="1156" t="s">
        <v>814</v>
      </c>
      <c r="SBZ47" s="1156"/>
      <c r="SCA47" s="1156" t="s">
        <v>814</v>
      </c>
      <c r="SCB47" s="1156"/>
      <c r="SCC47" s="1156" t="s">
        <v>814</v>
      </c>
      <c r="SCD47" s="1156"/>
      <c r="SCE47" s="1156" t="s">
        <v>814</v>
      </c>
      <c r="SCF47" s="1156"/>
      <c r="SCG47" s="1156" t="s">
        <v>814</v>
      </c>
      <c r="SCH47" s="1156"/>
      <c r="SCI47" s="1156" t="s">
        <v>814</v>
      </c>
      <c r="SCJ47" s="1156"/>
      <c r="SCK47" s="1156" t="s">
        <v>814</v>
      </c>
      <c r="SCL47" s="1156"/>
      <c r="SCM47" s="1156" t="s">
        <v>814</v>
      </c>
      <c r="SCN47" s="1156"/>
      <c r="SCO47" s="1156" t="s">
        <v>814</v>
      </c>
      <c r="SCP47" s="1156"/>
      <c r="SCQ47" s="1156" t="s">
        <v>814</v>
      </c>
      <c r="SCR47" s="1156"/>
      <c r="SCS47" s="1156" t="s">
        <v>814</v>
      </c>
      <c r="SCT47" s="1156"/>
      <c r="SCU47" s="1156" t="s">
        <v>814</v>
      </c>
      <c r="SCV47" s="1156"/>
      <c r="SCW47" s="1156" t="s">
        <v>814</v>
      </c>
      <c r="SCX47" s="1156"/>
      <c r="SCY47" s="1156" t="s">
        <v>814</v>
      </c>
      <c r="SCZ47" s="1156"/>
      <c r="SDA47" s="1156" t="s">
        <v>814</v>
      </c>
      <c r="SDB47" s="1156"/>
      <c r="SDC47" s="1156" t="s">
        <v>814</v>
      </c>
      <c r="SDD47" s="1156"/>
      <c r="SDE47" s="1156" t="s">
        <v>814</v>
      </c>
      <c r="SDF47" s="1156"/>
      <c r="SDG47" s="1156" t="s">
        <v>814</v>
      </c>
      <c r="SDH47" s="1156"/>
      <c r="SDI47" s="1156" t="s">
        <v>814</v>
      </c>
      <c r="SDJ47" s="1156"/>
      <c r="SDK47" s="1156" t="s">
        <v>814</v>
      </c>
      <c r="SDL47" s="1156"/>
      <c r="SDM47" s="1156" t="s">
        <v>814</v>
      </c>
      <c r="SDN47" s="1156"/>
      <c r="SDO47" s="1156" t="s">
        <v>814</v>
      </c>
      <c r="SDP47" s="1156"/>
      <c r="SDQ47" s="1156" t="s">
        <v>814</v>
      </c>
      <c r="SDR47" s="1156"/>
      <c r="SDS47" s="1156" t="s">
        <v>814</v>
      </c>
      <c r="SDT47" s="1156"/>
      <c r="SDU47" s="1156" t="s">
        <v>814</v>
      </c>
      <c r="SDV47" s="1156"/>
      <c r="SDW47" s="1156" t="s">
        <v>814</v>
      </c>
      <c r="SDX47" s="1156"/>
      <c r="SDY47" s="1156" t="s">
        <v>814</v>
      </c>
      <c r="SDZ47" s="1156"/>
      <c r="SEA47" s="1156" t="s">
        <v>814</v>
      </c>
      <c r="SEB47" s="1156"/>
      <c r="SEC47" s="1156" t="s">
        <v>814</v>
      </c>
      <c r="SED47" s="1156"/>
      <c r="SEE47" s="1156" t="s">
        <v>814</v>
      </c>
      <c r="SEF47" s="1156"/>
      <c r="SEG47" s="1156" t="s">
        <v>814</v>
      </c>
      <c r="SEH47" s="1156"/>
      <c r="SEI47" s="1156" t="s">
        <v>814</v>
      </c>
      <c r="SEJ47" s="1156"/>
      <c r="SEK47" s="1156" t="s">
        <v>814</v>
      </c>
      <c r="SEL47" s="1156"/>
      <c r="SEM47" s="1156" t="s">
        <v>814</v>
      </c>
      <c r="SEN47" s="1156"/>
      <c r="SEO47" s="1156" t="s">
        <v>814</v>
      </c>
      <c r="SEP47" s="1156"/>
      <c r="SEQ47" s="1156" t="s">
        <v>814</v>
      </c>
      <c r="SER47" s="1156"/>
      <c r="SES47" s="1156" t="s">
        <v>814</v>
      </c>
      <c r="SET47" s="1156"/>
      <c r="SEU47" s="1156" t="s">
        <v>814</v>
      </c>
      <c r="SEV47" s="1156"/>
      <c r="SEW47" s="1156" t="s">
        <v>814</v>
      </c>
      <c r="SEX47" s="1156"/>
      <c r="SEY47" s="1156" t="s">
        <v>814</v>
      </c>
      <c r="SEZ47" s="1156"/>
      <c r="SFA47" s="1156" t="s">
        <v>814</v>
      </c>
      <c r="SFB47" s="1156"/>
      <c r="SFC47" s="1156" t="s">
        <v>814</v>
      </c>
      <c r="SFD47" s="1156"/>
      <c r="SFE47" s="1156" t="s">
        <v>814</v>
      </c>
      <c r="SFF47" s="1156"/>
      <c r="SFG47" s="1156" t="s">
        <v>814</v>
      </c>
      <c r="SFH47" s="1156"/>
      <c r="SFI47" s="1156" t="s">
        <v>814</v>
      </c>
      <c r="SFJ47" s="1156"/>
      <c r="SFK47" s="1156" t="s">
        <v>814</v>
      </c>
      <c r="SFL47" s="1156"/>
      <c r="SFM47" s="1156" t="s">
        <v>814</v>
      </c>
      <c r="SFN47" s="1156"/>
      <c r="SFO47" s="1156" t="s">
        <v>814</v>
      </c>
      <c r="SFP47" s="1156"/>
      <c r="SFQ47" s="1156" t="s">
        <v>814</v>
      </c>
      <c r="SFR47" s="1156"/>
      <c r="SFS47" s="1156" t="s">
        <v>814</v>
      </c>
      <c r="SFT47" s="1156"/>
      <c r="SFU47" s="1156" t="s">
        <v>814</v>
      </c>
      <c r="SFV47" s="1156"/>
      <c r="SFW47" s="1156" t="s">
        <v>814</v>
      </c>
      <c r="SFX47" s="1156"/>
      <c r="SFY47" s="1156" t="s">
        <v>814</v>
      </c>
      <c r="SFZ47" s="1156"/>
      <c r="SGA47" s="1156" t="s">
        <v>814</v>
      </c>
      <c r="SGB47" s="1156"/>
      <c r="SGC47" s="1156" t="s">
        <v>814</v>
      </c>
      <c r="SGD47" s="1156"/>
      <c r="SGE47" s="1156" t="s">
        <v>814</v>
      </c>
      <c r="SGF47" s="1156"/>
      <c r="SGG47" s="1156" t="s">
        <v>814</v>
      </c>
      <c r="SGH47" s="1156"/>
      <c r="SGI47" s="1156" t="s">
        <v>814</v>
      </c>
      <c r="SGJ47" s="1156"/>
      <c r="SGK47" s="1156" t="s">
        <v>814</v>
      </c>
      <c r="SGL47" s="1156"/>
      <c r="SGM47" s="1156" t="s">
        <v>814</v>
      </c>
      <c r="SGN47" s="1156"/>
      <c r="SGO47" s="1156" t="s">
        <v>814</v>
      </c>
      <c r="SGP47" s="1156"/>
      <c r="SGQ47" s="1156" t="s">
        <v>814</v>
      </c>
      <c r="SGR47" s="1156"/>
      <c r="SGS47" s="1156" t="s">
        <v>814</v>
      </c>
      <c r="SGT47" s="1156"/>
      <c r="SGU47" s="1156" t="s">
        <v>814</v>
      </c>
      <c r="SGV47" s="1156"/>
      <c r="SGW47" s="1156" t="s">
        <v>814</v>
      </c>
      <c r="SGX47" s="1156"/>
      <c r="SGY47" s="1156" t="s">
        <v>814</v>
      </c>
      <c r="SGZ47" s="1156"/>
      <c r="SHA47" s="1156" t="s">
        <v>814</v>
      </c>
      <c r="SHB47" s="1156"/>
      <c r="SHC47" s="1156" t="s">
        <v>814</v>
      </c>
      <c r="SHD47" s="1156"/>
      <c r="SHE47" s="1156" t="s">
        <v>814</v>
      </c>
      <c r="SHF47" s="1156"/>
      <c r="SHG47" s="1156" t="s">
        <v>814</v>
      </c>
      <c r="SHH47" s="1156"/>
      <c r="SHI47" s="1156" t="s">
        <v>814</v>
      </c>
      <c r="SHJ47" s="1156"/>
      <c r="SHK47" s="1156" t="s">
        <v>814</v>
      </c>
      <c r="SHL47" s="1156"/>
      <c r="SHM47" s="1156" t="s">
        <v>814</v>
      </c>
      <c r="SHN47" s="1156"/>
      <c r="SHO47" s="1156" t="s">
        <v>814</v>
      </c>
      <c r="SHP47" s="1156"/>
      <c r="SHQ47" s="1156" t="s">
        <v>814</v>
      </c>
      <c r="SHR47" s="1156"/>
      <c r="SHS47" s="1156" t="s">
        <v>814</v>
      </c>
      <c r="SHT47" s="1156"/>
      <c r="SHU47" s="1156" t="s">
        <v>814</v>
      </c>
      <c r="SHV47" s="1156"/>
      <c r="SHW47" s="1156" t="s">
        <v>814</v>
      </c>
      <c r="SHX47" s="1156"/>
      <c r="SHY47" s="1156" t="s">
        <v>814</v>
      </c>
      <c r="SHZ47" s="1156"/>
      <c r="SIA47" s="1156" t="s">
        <v>814</v>
      </c>
      <c r="SIB47" s="1156"/>
      <c r="SIC47" s="1156" t="s">
        <v>814</v>
      </c>
      <c r="SID47" s="1156"/>
      <c r="SIE47" s="1156" t="s">
        <v>814</v>
      </c>
      <c r="SIF47" s="1156"/>
      <c r="SIG47" s="1156" t="s">
        <v>814</v>
      </c>
      <c r="SIH47" s="1156"/>
      <c r="SII47" s="1156" t="s">
        <v>814</v>
      </c>
      <c r="SIJ47" s="1156"/>
      <c r="SIK47" s="1156" t="s">
        <v>814</v>
      </c>
      <c r="SIL47" s="1156"/>
      <c r="SIM47" s="1156" t="s">
        <v>814</v>
      </c>
      <c r="SIN47" s="1156"/>
      <c r="SIO47" s="1156" t="s">
        <v>814</v>
      </c>
      <c r="SIP47" s="1156"/>
      <c r="SIQ47" s="1156" t="s">
        <v>814</v>
      </c>
      <c r="SIR47" s="1156"/>
      <c r="SIS47" s="1156" t="s">
        <v>814</v>
      </c>
      <c r="SIT47" s="1156"/>
      <c r="SIU47" s="1156" t="s">
        <v>814</v>
      </c>
      <c r="SIV47" s="1156"/>
      <c r="SIW47" s="1156" t="s">
        <v>814</v>
      </c>
      <c r="SIX47" s="1156"/>
      <c r="SIY47" s="1156" t="s">
        <v>814</v>
      </c>
      <c r="SIZ47" s="1156"/>
      <c r="SJA47" s="1156" t="s">
        <v>814</v>
      </c>
      <c r="SJB47" s="1156"/>
      <c r="SJC47" s="1156" t="s">
        <v>814</v>
      </c>
      <c r="SJD47" s="1156"/>
      <c r="SJE47" s="1156" t="s">
        <v>814</v>
      </c>
      <c r="SJF47" s="1156"/>
      <c r="SJG47" s="1156" t="s">
        <v>814</v>
      </c>
      <c r="SJH47" s="1156"/>
      <c r="SJI47" s="1156" t="s">
        <v>814</v>
      </c>
      <c r="SJJ47" s="1156"/>
      <c r="SJK47" s="1156" t="s">
        <v>814</v>
      </c>
      <c r="SJL47" s="1156"/>
      <c r="SJM47" s="1156" t="s">
        <v>814</v>
      </c>
      <c r="SJN47" s="1156"/>
      <c r="SJO47" s="1156" t="s">
        <v>814</v>
      </c>
      <c r="SJP47" s="1156"/>
      <c r="SJQ47" s="1156" t="s">
        <v>814</v>
      </c>
      <c r="SJR47" s="1156"/>
      <c r="SJS47" s="1156" t="s">
        <v>814</v>
      </c>
      <c r="SJT47" s="1156"/>
      <c r="SJU47" s="1156" t="s">
        <v>814</v>
      </c>
      <c r="SJV47" s="1156"/>
      <c r="SJW47" s="1156" t="s">
        <v>814</v>
      </c>
      <c r="SJX47" s="1156"/>
      <c r="SJY47" s="1156" t="s">
        <v>814</v>
      </c>
      <c r="SJZ47" s="1156"/>
      <c r="SKA47" s="1156" t="s">
        <v>814</v>
      </c>
      <c r="SKB47" s="1156"/>
      <c r="SKC47" s="1156" t="s">
        <v>814</v>
      </c>
      <c r="SKD47" s="1156"/>
      <c r="SKE47" s="1156" t="s">
        <v>814</v>
      </c>
      <c r="SKF47" s="1156"/>
      <c r="SKG47" s="1156" t="s">
        <v>814</v>
      </c>
      <c r="SKH47" s="1156"/>
      <c r="SKI47" s="1156" t="s">
        <v>814</v>
      </c>
      <c r="SKJ47" s="1156"/>
      <c r="SKK47" s="1156" t="s">
        <v>814</v>
      </c>
      <c r="SKL47" s="1156"/>
      <c r="SKM47" s="1156" t="s">
        <v>814</v>
      </c>
      <c r="SKN47" s="1156"/>
      <c r="SKO47" s="1156" t="s">
        <v>814</v>
      </c>
      <c r="SKP47" s="1156"/>
      <c r="SKQ47" s="1156" t="s">
        <v>814</v>
      </c>
      <c r="SKR47" s="1156"/>
      <c r="SKS47" s="1156" t="s">
        <v>814</v>
      </c>
      <c r="SKT47" s="1156"/>
      <c r="SKU47" s="1156" t="s">
        <v>814</v>
      </c>
      <c r="SKV47" s="1156"/>
      <c r="SKW47" s="1156" t="s">
        <v>814</v>
      </c>
      <c r="SKX47" s="1156"/>
      <c r="SKY47" s="1156" t="s">
        <v>814</v>
      </c>
      <c r="SKZ47" s="1156"/>
      <c r="SLA47" s="1156" t="s">
        <v>814</v>
      </c>
      <c r="SLB47" s="1156"/>
      <c r="SLC47" s="1156" t="s">
        <v>814</v>
      </c>
      <c r="SLD47" s="1156"/>
      <c r="SLE47" s="1156" t="s">
        <v>814</v>
      </c>
      <c r="SLF47" s="1156"/>
      <c r="SLG47" s="1156" t="s">
        <v>814</v>
      </c>
      <c r="SLH47" s="1156"/>
      <c r="SLI47" s="1156" t="s">
        <v>814</v>
      </c>
      <c r="SLJ47" s="1156"/>
      <c r="SLK47" s="1156" t="s">
        <v>814</v>
      </c>
      <c r="SLL47" s="1156"/>
      <c r="SLM47" s="1156" t="s">
        <v>814</v>
      </c>
      <c r="SLN47" s="1156"/>
      <c r="SLO47" s="1156" t="s">
        <v>814</v>
      </c>
      <c r="SLP47" s="1156"/>
      <c r="SLQ47" s="1156" t="s">
        <v>814</v>
      </c>
      <c r="SLR47" s="1156"/>
      <c r="SLS47" s="1156" t="s">
        <v>814</v>
      </c>
      <c r="SLT47" s="1156"/>
      <c r="SLU47" s="1156" t="s">
        <v>814</v>
      </c>
      <c r="SLV47" s="1156"/>
      <c r="SLW47" s="1156" t="s">
        <v>814</v>
      </c>
      <c r="SLX47" s="1156"/>
      <c r="SLY47" s="1156" t="s">
        <v>814</v>
      </c>
      <c r="SLZ47" s="1156"/>
      <c r="SMA47" s="1156" t="s">
        <v>814</v>
      </c>
      <c r="SMB47" s="1156"/>
      <c r="SMC47" s="1156" t="s">
        <v>814</v>
      </c>
      <c r="SMD47" s="1156"/>
      <c r="SME47" s="1156" t="s">
        <v>814</v>
      </c>
      <c r="SMF47" s="1156"/>
      <c r="SMG47" s="1156" t="s">
        <v>814</v>
      </c>
      <c r="SMH47" s="1156"/>
      <c r="SMI47" s="1156" t="s">
        <v>814</v>
      </c>
      <c r="SMJ47" s="1156"/>
      <c r="SMK47" s="1156" t="s">
        <v>814</v>
      </c>
      <c r="SML47" s="1156"/>
      <c r="SMM47" s="1156" t="s">
        <v>814</v>
      </c>
      <c r="SMN47" s="1156"/>
      <c r="SMO47" s="1156" t="s">
        <v>814</v>
      </c>
      <c r="SMP47" s="1156"/>
      <c r="SMQ47" s="1156" t="s">
        <v>814</v>
      </c>
      <c r="SMR47" s="1156"/>
      <c r="SMS47" s="1156" t="s">
        <v>814</v>
      </c>
      <c r="SMT47" s="1156"/>
      <c r="SMU47" s="1156" t="s">
        <v>814</v>
      </c>
      <c r="SMV47" s="1156"/>
      <c r="SMW47" s="1156" t="s">
        <v>814</v>
      </c>
      <c r="SMX47" s="1156"/>
      <c r="SMY47" s="1156" t="s">
        <v>814</v>
      </c>
      <c r="SMZ47" s="1156"/>
      <c r="SNA47" s="1156" t="s">
        <v>814</v>
      </c>
      <c r="SNB47" s="1156"/>
      <c r="SNC47" s="1156" t="s">
        <v>814</v>
      </c>
      <c r="SND47" s="1156"/>
      <c r="SNE47" s="1156" t="s">
        <v>814</v>
      </c>
      <c r="SNF47" s="1156"/>
      <c r="SNG47" s="1156" t="s">
        <v>814</v>
      </c>
      <c r="SNH47" s="1156"/>
      <c r="SNI47" s="1156" t="s">
        <v>814</v>
      </c>
      <c r="SNJ47" s="1156"/>
      <c r="SNK47" s="1156" t="s">
        <v>814</v>
      </c>
      <c r="SNL47" s="1156"/>
      <c r="SNM47" s="1156" t="s">
        <v>814</v>
      </c>
      <c r="SNN47" s="1156"/>
      <c r="SNO47" s="1156" t="s">
        <v>814</v>
      </c>
      <c r="SNP47" s="1156"/>
      <c r="SNQ47" s="1156" t="s">
        <v>814</v>
      </c>
      <c r="SNR47" s="1156"/>
      <c r="SNS47" s="1156" t="s">
        <v>814</v>
      </c>
      <c r="SNT47" s="1156"/>
      <c r="SNU47" s="1156" t="s">
        <v>814</v>
      </c>
      <c r="SNV47" s="1156"/>
      <c r="SNW47" s="1156" t="s">
        <v>814</v>
      </c>
      <c r="SNX47" s="1156"/>
      <c r="SNY47" s="1156" t="s">
        <v>814</v>
      </c>
      <c r="SNZ47" s="1156"/>
      <c r="SOA47" s="1156" t="s">
        <v>814</v>
      </c>
      <c r="SOB47" s="1156"/>
      <c r="SOC47" s="1156" t="s">
        <v>814</v>
      </c>
      <c r="SOD47" s="1156"/>
      <c r="SOE47" s="1156" t="s">
        <v>814</v>
      </c>
      <c r="SOF47" s="1156"/>
      <c r="SOG47" s="1156" t="s">
        <v>814</v>
      </c>
      <c r="SOH47" s="1156"/>
      <c r="SOI47" s="1156" t="s">
        <v>814</v>
      </c>
      <c r="SOJ47" s="1156"/>
      <c r="SOK47" s="1156" t="s">
        <v>814</v>
      </c>
      <c r="SOL47" s="1156"/>
      <c r="SOM47" s="1156" t="s">
        <v>814</v>
      </c>
      <c r="SON47" s="1156"/>
      <c r="SOO47" s="1156" t="s">
        <v>814</v>
      </c>
      <c r="SOP47" s="1156"/>
      <c r="SOQ47" s="1156" t="s">
        <v>814</v>
      </c>
      <c r="SOR47" s="1156"/>
      <c r="SOS47" s="1156" t="s">
        <v>814</v>
      </c>
      <c r="SOT47" s="1156"/>
      <c r="SOU47" s="1156" t="s">
        <v>814</v>
      </c>
      <c r="SOV47" s="1156"/>
      <c r="SOW47" s="1156" t="s">
        <v>814</v>
      </c>
      <c r="SOX47" s="1156"/>
      <c r="SOY47" s="1156" t="s">
        <v>814</v>
      </c>
      <c r="SOZ47" s="1156"/>
      <c r="SPA47" s="1156" t="s">
        <v>814</v>
      </c>
      <c r="SPB47" s="1156"/>
      <c r="SPC47" s="1156" t="s">
        <v>814</v>
      </c>
      <c r="SPD47" s="1156"/>
      <c r="SPE47" s="1156" t="s">
        <v>814</v>
      </c>
      <c r="SPF47" s="1156"/>
      <c r="SPG47" s="1156" t="s">
        <v>814</v>
      </c>
      <c r="SPH47" s="1156"/>
      <c r="SPI47" s="1156" t="s">
        <v>814</v>
      </c>
      <c r="SPJ47" s="1156"/>
      <c r="SPK47" s="1156" t="s">
        <v>814</v>
      </c>
      <c r="SPL47" s="1156"/>
      <c r="SPM47" s="1156" t="s">
        <v>814</v>
      </c>
      <c r="SPN47" s="1156"/>
      <c r="SPO47" s="1156" t="s">
        <v>814</v>
      </c>
      <c r="SPP47" s="1156"/>
      <c r="SPQ47" s="1156" t="s">
        <v>814</v>
      </c>
      <c r="SPR47" s="1156"/>
      <c r="SPS47" s="1156" t="s">
        <v>814</v>
      </c>
      <c r="SPT47" s="1156"/>
      <c r="SPU47" s="1156" t="s">
        <v>814</v>
      </c>
      <c r="SPV47" s="1156"/>
      <c r="SPW47" s="1156" t="s">
        <v>814</v>
      </c>
      <c r="SPX47" s="1156"/>
      <c r="SPY47" s="1156" t="s">
        <v>814</v>
      </c>
      <c r="SPZ47" s="1156"/>
      <c r="SQA47" s="1156" t="s">
        <v>814</v>
      </c>
      <c r="SQB47" s="1156"/>
      <c r="SQC47" s="1156" t="s">
        <v>814</v>
      </c>
      <c r="SQD47" s="1156"/>
      <c r="SQE47" s="1156" t="s">
        <v>814</v>
      </c>
      <c r="SQF47" s="1156"/>
      <c r="SQG47" s="1156" t="s">
        <v>814</v>
      </c>
      <c r="SQH47" s="1156"/>
      <c r="SQI47" s="1156" t="s">
        <v>814</v>
      </c>
      <c r="SQJ47" s="1156"/>
      <c r="SQK47" s="1156" t="s">
        <v>814</v>
      </c>
      <c r="SQL47" s="1156"/>
      <c r="SQM47" s="1156" t="s">
        <v>814</v>
      </c>
      <c r="SQN47" s="1156"/>
      <c r="SQO47" s="1156" t="s">
        <v>814</v>
      </c>
      <c r="SQP47" s="1156"/>
      <c r="SQQ47" s="1156" t="s">
        <v>814</v>
      </c>
      <c r="SQR47" s="1156"/>
      <c r="SQS47" s="1156" t="s">
        <v>814</v>
      </c>
      <c r="SQT47" s="1156"/>
      <c r="SQU47" s="1156" t="s">
        <v>814</v>
      </c>
      <c r="SQV47" s="1156"/>
      <c r="SQW47" s="1156" t="s">
        <v>814</v>
      </c>
      <c r="SQX47" s="1156"/>
      <c r="SQY47" s="1156" t="s">
        <v>814</v>
      </c>
      <c r="SQZ47" s="1156"/>
      <c r="SRA47" s="1156" t="s">
        <v>814</v>
      </c>
      <c r="SRB47" s="1156"/>
      <c r="SRC47" s="1156" t="s">
        <v>814</v>
      </c>
      <c r="SRD47" s="1156"/>
      <c r="SRE47" s="1156" t="s">
        <v>814</v>
      </c>
      <c r="SRF47" s="1156"/>
      <c r="SRG47" s="1156" t="s">
        <v>814</v>
      </c>
      <c r="SRH47" s="1156"/>
      <c r="SRI47" s="1156" t="s">
        <v>814</v>
      </c>
      <c r="SRJ47" s="1156"/>
      <c r="SRK47" s="1156" t="s">
        <v>814</v>
      </c>
      <c r="SRL47" s="1156"/>
      <c r="SRM47" s="1156" t="s">
        <v>814</v>
      </c>
      <c r="SRN47" s="1156"/>
      <c r="SRO47" s="1156" t="s">
        <v>814</v>
      </c>
      <c r="SRP47" s="1156"/>
      <c r="SRQ47" s="1156" t="s">
        <v>814</v>
      </c>
      <c r="SRR47" s="1156"/>
      <c r="SRS47" s="1156" t="s">
        <v>814</v>
      </c>
      <c r="SRT47" s="1156"/>
      <c r="SRU47" s="1156" t="s">
        <v>814</v>
      </c>
      <c r="SRV47" s="1156"/>
      <c r="SRW47" s="1156" t="s">
        <v>814</v>
      </c>
      <c r="SRX47" s="1156"/>
      <c r="SRY47" s="1156" t="s">
        <v>814</v>
      </c>
      <c r="SRZ47" s="1156"/>
      <c r="SSA47" s="1156" t="s">
        <v>814</v>
      </c>
      <c r="SSB47" s="1156"/>
      <c r="SSC47" s="1156" t="s">
        <v>814</v>
      </c>
      <c r="SSD47" s="1156"/>
      <c r="SSE47" s="1156" t="s">
        <v>814</v>
      </c>
      <c r="SSF47" s="1156"/>
      <c r="SSG47" s="1156" t="s">
        <v>814</v>
      </c>
      <c r="SSH47" s="1156"/>
      <c r="SSI47" s="1156" t="s">
        <v>814</v>
      </c>
      <c r="SSJ47" s="1156"/>
      <c r="SSK47" s="1156" t="s">
        <v>814</v>
      </c>
      <c r="SSL47" s="1156"/>
      <c r="SSM47" s="1156" t="s">
        <v>814</v>
      </c>
      <c r="SSN47" s="1156"/>
      <c r="SSO47" s="1156" t="s">
        <v>814</v>
      </c>
      <c r="SSP47" s="1156"/>
      <c r="SSQ47" s="1156" t="s">
        <v>814</v>
      </c>
      <c r="SSR47" s="1156"/>
      <c r="SSS47" s="1156" t="s">
        <v>814</v>
      </c>
      <c r="SST47" s="1156"/>
      <c r="SSU47" s="1156" t="s">
        <v>814</v>
      </c>
      <c r="SSV47" s="1156"/>
      <c r="SSW47" s="1156" t="s">
        <v>814</v>
      </c>
      <c r="SSX47" s="1156"/>
      <c r="SSY47" s="1156" t="s">
        <v>814</v>
      </c>
      <c r="SSZ47" s="1156"/>
      <c r="STA47" s="1156" t="s">
        <v>814</v>
      </c>
      <c r="STB47" s="1156"/>
      <c r="STC47" s="1156" t="s">
        <v>814</v>
      </c>
      <c r="STD47" s="1156"/>
      <c r="STE47" s="1156" t="s">
        <v>814</v>
      </c>
      <c r="STF47" s="1156"/>
      <c r="STG47" s="1156" t="s">
        <v>814</v>
      </c>
      <c r="STH47" s="1156"/>
      <c r="STI47" s="1156" t="s">
        <v>814</v>
      </c>
      <c r="STJ47" s="1156"/>
      <c r="STK47" s="1156" t="s">
        <v>814</v>
      </c>
      <c r="STL47" s="1156"/>
      <c r="STM47" s="1156" t="s">
        <v>814</v>
      </c>
      <c r="STN47" s="1156"/>
      <c r="STO47" s="1156" t="s">
        <v>814</v>
      </c>
      <c r="STP47" s="1156"/>
      <c r="STQ47" s="1156" t="s">
        <v>814</v>
      </c>
      <c r="STR47" s="1156"/>
      <c r="STS47" s="1156" t="s">
        <v>814</v>
      </c>
      <c r="STT47" s="1156"/>
      <c r="STU47" s="1156" t="s">
        <v>814</v>
      </c>
      <c r="STV47" s="1156"/>
      <c r="STW47" s="1156" t="s">
        <v>814</v>
      </c>
      <c r="STX47" s="1156"/>
      <c r="STY47" s="1156" t="s">
        <v>814</v>
      </c>
      <c r="STZ47" s="1156"/>
      <c r="SUA47" s="1156" t="s">
        <v>814</v>
      </c>
      <c r="SUB47" s="1156"/>
      <c r="SUC47" s="1156" t="s">
        <v>814</v>
      </c>
      <c r="SUD47" s="1156"/>
      <c r="SUE47" s="1156" t="s">
        <v>814</v>
      </c>
      <c r="SUF47" s="1156"/>
      <c r="SUG47" s="1156" t="s">
        <v>814</v>
      </c>
      <c r="SUH47" s="1156"/>
      <c r="SUI47" s="1156" t="s">
        <v>814</v>
      </c>
      <c r="SUJ47" s="1156"/>
      <c r="SUK47" s="1156" t="s">
        <v>814</v>
      </c>
      <c r="SUL47" s="1156"/>
      <c r="SUM47" s="1156" t="s">
        <v>814</v>
      </c>
      <c r="SUN47" s="1156"/>
      <c r="SUO47" s="1156" t="s">
        <v>814</v>
      </c>
      <c r="SUP47" s="1156"/>
      <c r="SUQ47" s="1156" t="s">
        <v>814</v>
      </c>
      <c r="SUR47" s="1156"/>
      <c r="SUS47" s="1156" t="s">
        <v>814</v>
      </c>
      <c r="SUT47" s="1156"/>
      <c r="SUU47" s="1156" t="s">
        <v>814</v>
      </c>
      <c r="SUV47" s="1156"/>
      <c r="SUW47" s="1156" t="s">
        <v>814</v>
      </c>
      <c r="SUX47" s="1156"/>
      <c r="SUY47" s="1156" t="s">
        <v>814</v>
      </c>
      <c r="SUZ47" s="1156"/>
      <c r="SVA47" s="1156" t="s">
        <v>814</v>
      </c>
      <c r="SVB47" s="1156"/>
      <c r="SVC47" s="1156" t="s">
        <v>814</v>
      </c>
      <c r="SVD47" s="1156"/>
      <c r="SVE47" s="1156" t="s">
        <v>814</v>
      </c>
      <c r="SVF47" s="1156"/>
      <c r="SVG47" s="1156" t="s">
        <v>814</v>
      </c>
      <c r="SVH47" s="1156"/>
      <c r="SVI47" s="1156" t="s">
        <v>814</v>
      </c>
      <c r="SVJ47" s="1156"/>
      <c r="SVK47" s="1156" t="s">
        <v>814</v>
      </c>
      <c r="SVL47" s="1156"/>
      <c r="SVM47" s="1156" t="s">
        <v>814</v>
      </c>
      <c r="SVN47" s="1156"/>
      <c r="SVO47" s="1156" t="s">
        <v>814</v>
      </c>
      <c r="SVP47" s="1156"/>
      <c r="SVQ47" s="1156" t="s">
        <v>814</v>
      </c>
      <c r="SVR47" s="1156"/>
      <c r="SVS47" s="1156" t="s">
        <v>814</v>
      </c>
      <c r="SVT47" s="1156"/>
      <c r="SVU47" s="1156" t="s">
        <v>814</v>
      </c>
      <c r="SVV47" s="1156"/>
      <c r="SVW47" s="1156" t="s">
        <v>814</v>
      </c>
      <c r="SVX47" s="1156"/>
      <c r="SVY47" s="1156" t="s">
        <v>814</v>
      </c>
      <c r="SVZ47" s="1156"/>
      <c r="SWA47" s="1156" t="s">
        <v>814</v>
      </c>
      <c r="SWB47" s="1156"/>
      <c r="SWC47" s="1156" t="s">
        <v>814</v>
      </c>
      <c r="SWD47" s="1156"/>
      <c r="SWE47" s="1156" t="s">
        <v>814</v>
      </c>
      <c r="SWF47" s="1156"/>
      <c r="SWG47" s="1156" t="s">
        <v>814</v>
      </c>
      <c r="SWH47" s="1156"/>
      <c r="SWI47" s="1156" t="s">
        <v>814</v>
      </c>
      <c r="SWJ47" s="1156"/>
      <c r="SWK47" s="1156" t="s">
        <v>814</v>
      </c>
      <c r="SWL47" s="1156"/>
      <c r="SWM47" s="1156" t="s">
        <v>814</v>
      </c>
      <c r="SWN47" s="1156"/>
      <c r="SWO47" s="1156" t="s">
        <v>814</v>
      </c>
      <c r="SWP47" s="1156"/>
      <c r="SWQ47" s="1156" t="s">
        <v>814</v>
      </c>
      <c r="SWR47" s="1156"/>
      <c r="SWS47" s="1156" t="s">
        <v>814</v>
      </c>
      <c r="SWT47" s="1156"/>
      <c r="SWU47" s="1156" t="s">
        <v>814</v>
      </c>
      <c r="SWV47" s="1156"/>
      <c r="SWW47" s="1156" t="s">
        <v>814</v>
      </c>
      <c r="SWX47" s="1156"/>
      <c r="SWY47" s="1156" t="s">
        <v>814</v>
      </c>
      <c r="SWZ47" s="1156"/>
      <c r="SXA47" s="1156" t="s">
        <v>814</v>
      </c>
      <c r="SXB47" s="1156"/>
      <c r="SXC47" s="1156" t="s">
        <v>814</v>
      </c>
      <c r="SXD47" s="1156"/>
      <c r="SXE47" s="1156" t="s">
        <v>814</v>
      </c>
      <c r="SXF47" s="1156"/>
      <c r="SXG47" s="1156" t="s">
        <v>814</v>
      </c>
      <c r="SXH47" s="1156"/>
      <c r="SXI47" s="1156" t="s">
        <v>814</v>
      </c>
      <c r="SXJ47" s="1156"/>
      <c r="SXK47" s="1156" t="s">
        <v>814</v>
      </c>
      <c r="SXL47" s="1156"/>
      <c r="SXM47" s="1156" t="s">
        <v>814</v>
      </c>
      <c r="SXN47" s="1156"/>
      <c r="SXO47" s="1156" t="s">
        <v>814</v>
      </c>
      <c r="SXP47" s="1156"/>
      <c r="SXQ47" s="1156" t="s">
        <v>814</v>
      </c>
      <c r="SXR47" s="1156"/>
      <c r="SXS47" s="1156" t="s">
        <v>814</v>
      </c>
      <c r="SXT47" s="1156"/>
      <c r="SXU47" s="1156" t="s">
        <v>814</v>
      </c>
      <c r="SXV47" s="1156"/>
      <c r="SXW47" s="1156" t="s">
        <v>814</v>
      </c>
      <c r="SXX47" s="1156"/>
      <c r="SXY47" s="1156" t="s">
        <v>814</v>
      </c>
      <c r="SXZ47" s="1156"/>
      <c r="SYA47" s="1156" t="s">
        <v>814</v>
      </c>
      <c r="SYB47" s="1156"/>
      <c r="SYC47" s="1156" t="s">
        <v>814</v>
      </c>
      <c r="SYD47" s="1156"/>
      <c r="SYE47" s="1156" t="s">
        <v>814</v>
      </c>
      <c r="SYF47" s="1156"/>
      <c r="SYG47" s="1156" t="s">
        <v>814</v>
      </c>
      <c r="SYH47" s="1156"/>
      <c r="SYI47" s="1156" t="s">
        <v>814</v>
      </c>
      <c r="SYJ47" s="1156"/>
      <c r="SYK47" s="1156" t="s">
        <v>814</v>
      </c>
      <c r="SYL47" s="1156"/>
      <c r="SYM47" s="1156" t="s">
        <v>814</v>
      </c>
      <c r="SYN47" s="1156"/>
      <c r="SYO47" s="1156" t="s">
        <v>814</v>
      </c>
      <c r="SYP47" s="1156"/>
      <c r="SYQ47" s="1156" t="s">
        <v>814</v>
      </c>
      <c r="SYR47" s="1156"/>
      <c r="SYS47" s="1156" t="s">
        <v>814</v>
      </c>
      <c r="SYT47" s="1156"/>
      <c r="SYU47" s="1156" t="s">
        <v>814</v>
      </c>
      <c r="SYV47" s="1156"/>
      <c r="SYW47" s="1156" t="s">
        <v>814</v>
      </c>
      <c r="SYX47" s="1156"/>
      <c r="SYY47" s="1156" t="s">
        <v>814</v>
      </c>
      <c r="SYZ47" s="1156"/>
      <c r="SZA47" s="1156" t="s">
        <v>814</v>
      </c>
      <c r="SZB47" s="1156"/>
      <c r="SZC47" s="1156" t="s">
        <v>814</v>
      </c>
      <c r="SZD47" s="1156"/>
      <c r="SZE47" s="1156" t="s">
        <v>814</v>
      </c>
      <c r="SZF47" s="1156"/>
      <c r="SZG47" s="1156" t="s">
        <v>814</v>
      </c>
      <c r="SZH47" s="1156"/>
      <c r="SZI47" s="1156" t="s">
        <v>814</v>
      </c>
      <c r="SZJ47" s="1156"/>
      <c r="SZK47" s="1156" t="s">
        <v>814</v>
      </c>
      <c r="SZL47" s="1156"/>
      <c r="SZM47" s="1156" t="s">
        <v>814</v>
      </c>
      <c r="SZN47" s="1156"/>
      <c r="SZO47" s="1156" t="s">
        <v>814</v>
      </c>
      <c r="SZP47" s="1156"/>
      <c r="SZQ47" s="1156" t="s">
        <v>814</v>
      </c>
      <c r="SZR47" s="1156"/>
      <c r="SZS47" s="1156" t="s">
        <v>814</v>
      </c>
      <c r="SZT47" s="1156"/>
      <c r="SZU47" s="1156" t="s">
        <v>814</v>
      </c>
      <c r="SZV47" s="1156"/>
      <c r="SZW47" s="1156" t="s">
        <v>814</v>
      </c>
      <c r="SZX47" s="1156"/>
      <c r="SZY47" s="1156" t="s">
        <v>814</v>
      </c>
      <c r="SZZ47" s="1156"/>
      <c r="TAA47" s="1156" t="s">
        <v>814</v>
      </c>
      <c r="TAB47" s="1156"/>
      <c r="TAC47" s="1156" t="s">
        <v>814</v>
      </c>
      <c r="TAD47" s="1156"/>
      <c r="TAE47" s="1156" t="s">
        <v>814</v>
      </c>
      <c r="TAF47" s="1156"/>
      <c r="TAG47" s="1156" t="s">
        <v>814</v>
      </c>
      <c r="TAH47" s="1156"/>
      <c r="TAI47" s="1156" t="s">
        <v>814</v>
      </c>
      <c r="TAJ47" s="1156"/>
      <c r="TAK47" s="1156" t="s">
        <v>814</v>
      </c>
      <c r="TAL47" s="1156"/>
      <c r="TAM47" s="1156" t="s">
        <v>814</v>
      </c>
      <c r="TAN47" s="1156"/>
      <c r="TAO47" s="1156" t="s">
        <v>814</v>
      </c>
      <c r="TAP47" s="1156"/>
      <c r="TAQ47" s="1156" t="s">
        <v>814</v>
      </c>
      <c r="TAR47" s="1156"/>
      <c r="TAS47" s="1156" t="s">
        <v>814</v>
      </c>
      <c r="TAT47" s="1156"/>
      <c r="TAU47" s="1156" t="s">
        <v>814</v>
      </c>
      <c r="TAV47" s="1156"/>
      <c r="TAW47" s="1156" t="s">
        <v>814</v>
      </c>
      <c r="TAX47" s="1156"/>
      <c r="TAY47" s="1156" t="s">
        <v>814</v>
      </c>
      <c r="TAZ47" s="1156"/>
      <c r="TBA47" s="1156" t="s">
        <v>814</v>
      </c>
      <c r="TBB47" s="1156"/>
      <c r="TBC47" s="1156" t="s">
        <v>814</v>
      </c>
      <c r="TBD47" s="1156"/>
      <c r="TBE47" s="1156" t="s">
        <v>814</v>
      </c>
      <c r="TBF47" s="1156"/>
      <c r="TBG47" s="1156" t="s">
        <v>814</v>
      </c>
      <c r="TBH47" s="1156"/>
      <c r="TBI47" s="1156" t="s">
        <v>814</v>
      </c>
      <c r="TBJ47" s="1156"/>
      <c r="TBK47" s="1156" t="s">
        <v>814</v>
      </c>
      <c r="TBL47" s="1156"/>
      <c r="TBM47" s="1156" t="s">
        <v>814</v>
      </c>
      <c r="TBN47" s="1156"/>
      <c r="TBO47" s="1156" t="s">
        <v>814</v>
      </c>
      <c r="TBP47" s="1156"/>
      <c r="TBQ47" s="1156" t="s">
        <v>814</v>
      </c>
      <c r="TBR47" s="1156"/>
      <c r="TBS47" s="1156" t="s">
        <v>814</v>
      </c>
      <c r="TBT47" s="1156"/>
      <c r="TBU47" s="1156" t="s">
        <v>814</v>
      </c>
      <c r="TBV47" s="1156"/>
      <c r="TBW47" s="1156" t="s">
        <v>814</v>
      </c>
      <c r="TBX47" s="1156"/>
      <c r="TBY47" s="1156" t="s">
        <v>814</v>
      </c>
      <c r="TBZ47" s="1156"/>
      <c r="TCA47" s="1156" t="s">
        <v>814</v>
      </c>
      <c r="TCB47" s="1156"/>
      <c r="TCC47" s="1156" t="s">
        <v>814</v>
      </c>
      <c r="TCD47" s="1156"/>
      <c r="TCE47" s="1156" t="s">
        <v>814</v>
      </c>
      <c r="TCF47" s="1156"/>
      <c r="TCG47" s="1156" t="s">
        <v>814</v>
      </c>
      <c r="TCH47" s="1156"/>
      <c r="TCI47" s="1156" t="s">
        <v>814</v>
      </c>
      <c r="TCJ47" s="1156"/>
      <c r="TCK47" s="1156" t="s">
        <v>814</v>
      </c>
      <c r="TCL47" s="1156"/>
      <c r="TCM47" s="1156" t="s">
        <v>814</v>
      </c>
      <c r="TCN47" s="1156"/>
      <c r="TCO47" s="1156" t="s">
        <v>814</v>
      </c>
      <c r="TCP47" s="1156"/>
      <c r="TCQ47" s="1156" t="s">
        <v>814</v>
      </c>
      <c r="TCR47" s="1156"/>
      <c r="TCS47" s="1156" t="s">
        <v>814</v>
      </c>
      <c r="TCT47" s="1156"/>
      <c r="TCU47" s="1156" t="s">
        <v>814</v>
      </c>
      <c r="TCV47" s="1156"/>
      <c r="TCW47" s="1156" t="s">
        <v>814</v>
      </c>
      <c r="TCX47" s="1156"/>
      <c r="TCY47" s="1156" t="s">
        <v>814</v>
      </c>
      <c r="TCZ47" s="1156"/>
      <c r="TDA47" s="1156" t="s">
        <v>814</v>
      </c>
      <c r="TDB47" s="1156"/>
      <c r="TDC47" s="1156" t="s">
        <v>814</v>
      </c>
      <c r="TDD47" s="1156"/>
      <c r="TDE47" s="1156" t="s">
        <v>814</v>
      </c>
      <c r="TDF47" s="1156"/>
      <c r="TDG47" s="1156" t="s">
        <v>814</v>
      </c>
      <c r="TDH47" s="1156"/>
      <c r="TDI47" s="1156" t="s">
        <v>814</v>
      </c>
      <c r="TDJ47" s="1156"/>
      <c r="TDK47" s="1156" t="s">
        <v>814</v>
      </c>
      <c r="TDL47" s="1156"/>
      <c r="TDM47" s="1156" t="s">
        <v>814</v>
      </c>
      <c r="TDN47" s="1156"/>
      <c r="TDO47" s="1156" t="s">
        <v>814</v>
      </c>
      <c r="TDP47" s="1156"/>
      <c r="TDQ47" s="1156" t="s">
        <v>814</v>
      </c>
      <c r="TDR47" s="1156"/>
      <c r="TDS47" s="1156" t="s">
        <v>814</v>
      </c>
      <c r="TDT47" s="1156"/>
      <c r="TDU47" s="1156" t="s">
        <v>814</v>
      </c>
      <c r="TDV47" s="1156"/>
      <c r="TDW47" s="1156" t="s">
        <v>814</v>
      </c>
      <c r="TDX47" s="1156"/>
      <c r="TDY47" s="1156" t="s">
        <v>814</v>
      </c>
      <c r="TDZ47" s="1156"/>
      <c r="TEA47" s="1156" t="s">
        <v>814</v>
      </c>
      <c r="TEB47" s="1156"/>
      <c r="TEC47" s="1156" t="s">
        <v>814</v>
      </c>
      <c r="TED47" s="1156"/>
      <c r="TEE47" s="1156" t="s">
        <v>814</v>
      </c>
      <c r="TEF47" s="1156"/>
      <c r="TEG47" s="1156" t="s">
        <v>814</v>
      </c>
      <c r="TEH47" s="1156"/>
      <c r="TEI47" s="1156" t="s">
        <v>814</v>
      </c>
      <c r="TEJ47" s="1156"/>
      <c r="TEK47" s="1156" t="s">
        <v>814</v>
      </c>
      <c r="TEL47" s="1156"/>
      <c r="TEM47" s="1156" t="s">
        <v>814</v>
      </c>
      <c r="TEN47" s="1156"/>
      <c r="TEO47" s="1156" t="s">
        <v>814</v>
      </c>
      <c r="TEP47" s="1156"/>
      <c r="TEQ47" s="1156" t="s">
        <v>814</v>
      </c>
      <c r="TER47" s="1156"/>
      <c r="TES47" s="1156" t="s">
        <v>814</v>
      </c>
      <c r="TET47" s="1156"/>
      <c r="TEU47" s="1156" t="s">
        <v>814</v>
      </c>
      <c r="TEV47" s="1156"/>
      <c r="TEW47" s="1156" t="s">
        <v>814</v>
      </c>
      <c r="TEX47" s="1156"/>
      <c r="TEY47" s="1156" t="s">
        <v>814</v>
      </c>
      <c r="TEZ47" s="1156"/>
      <c r="TFA47" s="1156" t="s">
        <v>814</v>
      </c>
      <c r="TFB47" s="1156"/>
      <c r="TFC47" s="1156" t="s">
        <v>814</v>
      </c>
      <c r="TFD47" s="1156"/>
      <c r="TFE47" s="1156" t="s">
        <v>814</v>
      </c>
      <c r="TFF47" s="1156"/>
      <c r="TFG47" s="1156" t="s">
        <v>814</v>
      </c>
      <c r="TFH47" s="1156"/>
      <c r="TFI47" s="1156" t="s">
        <v>814</v>
      </c>
      <c r="TFJ47" s="1156"/>
      <c r="TFK47" s="1156" t="s">
        <v>814</v>
      </c>
      <c r="TFL47" s="1156"/>
      <c r="TFM47" s="1156" t="s">
        <v>814</v>
      </c>
      <c r="TFN47" s="1156"/>
      <c r="TFO47" s="1156" t="s">
        <v>814</v>
      </c>
      <c r="TFP47" s="1156"/>
      <c r="TFQ47" s="1156" t="s">
        <v>814</v>
      </c>
      <c r="TFR47" s="1156"/>
      <c r="TFS47" s="1156" t="s">
        <v>814</v>
      </c>
      <c r="TFT47" s="1156"/>
      <c r="TFU47" s="1156" t="s">
        <v>814</v>
      </c>
      <c r="TFV47" s="1156"/>
      <c r="TFW47" s="1156" t="s">
        <v>814</v>
      </c>
      <c r="TFX47" s="1156"/>
      <c r="TFY47" s="1156" t="s">
        <v>814</v>
      </c>
      <c r="TFZ47" s="1156"/>
      <c r="TGA47" s="1156" t="s">
        <v>814</v>
      </c>
      <c r="TGB47" s="1156"/>
      <c r="TGC47" s="1156" t="s">
        <v>814</v>
      </c>
      <c r="TGD47" s="1156"/>
      <c r="TGE47" s="1156" t="s">
        <v>814</v>
      </c>
      <c r="TGF47" s="1156"/>
      <c r="TGG47" s="1156" t="s">
        <v>814</v>
      </c>
      <c r="TGH47" s="1156"/>
      <c r="TGI47" s="1156" t="s">
        <v>814</v>
      </c>
      <c r="TGJ47" s="1156"/>
      <c r="TGK47" s="1156" t="s">
        <v>814</v>
      </c>
      <c r="TGL47" s="1156"/>
      <c r="TGM47" s="1156" t="s">
        <v>814</v>
      </c>
      <c r="TGN47" s="1156"/>
      <c r="TGO47" s="1156" t="s">
        <v>814</v>
      </c>
      <c r="TGP47" s="1156"/>
      <c r="TGQ47" s="1156" t="s">
        <v>814</v>
      </c>
      <c r="TGR47" s="1156"/>
      <c r="TGS47" s="1156" t="s">
        <v>814</v>
      </c>
      <c r="TGT47" s="1156"/>
      <c r="TGU47" s="1156" t="s">
        <v>814</v>
      </c>
      <c r="TGV47" s="1156"/>
      <c r="TGW47" s="1156" t="s">
        <v>814</v>
      </c>
      <c r="TGX47" s="1156"/>
      <c r="TGY47" s="1156" t="s">
        <v>814</v>
      </c>
      <c r="TGZ47" s="1156"/>
      <c r="THA47" s="1156" t="s">
        <v>814</v>
      </c>
      <c r="THB47" s="1156"/>
      <c r="THC47" s="1156" t="s">
        <v>814</v>
      </c>
      <c r="THD47" s="1156"/>
      <c r="THE47" s="1156" t="s">
        <v>814</v>
      </c>
      <c r="THF47" s="1156"/>
      <c r="THG47" s="1156" t="s">
        <v>814</v>
      </c>
      <c r="THH47" s="1156"/>
      <c r="THI47" s="1156" t="s">
        <v>814</v>
      </c>
      <c r="THJ47" s="1156"/>
      <c r="THK47" s="1156" t="s">
        <v>814</v>
      </c>
      <c r="THL47" s="1156"/>
      <c r="THM47" s="1156" t="s">
        <v>814</v>
      </c>
      <c r="THN47" s="1156"/>
      <c r="THO47" s="1156" t="s">
        <v>814</v>
      </c>
      <c r="THP47" s="1156"/>
      <c r="THQ47" s="1156" t="s">
        <v>814</v>
      </c>
      <c r="THR47" s="1156"/>
      <c r="THS47" s="1156" t="s">
        <v>814</v>
      </c>
      <c r="THT47" s="1156"/>
      <c r="THU47" s="1156" t="s">
        <v>814</v>
      </c>
      <c r="THV47" s="1156"/>
      <c r="THW47" s="1156" t="s">
        <v>814</v>
      </c>
      <c r="THX47" s="1156"/>
      <c r="THY47" s="1156" t="s">
        <v>814</v>
      </c>
      <c r="THZ47" s="1156"/>
      <c r="TIA47" s="1156" t="s">
        <v>814</v>
      </c>
      <c r="TIB47" s="1156"/>
      <c r="TIC47" s="1156" t="s">
        <v>814</v>
      </c>
      <c r="TID47" s="1156"/>
      <c r="TIE47" s="1156" t="s">
        <v>814</v>
      </c>
      <c r="TIF47" s="1156"/>
      <c r="TIG47" s="1156" t="s">
        <v>814</v>
      </c>
      <c r="TIH47" s="1156"/>
      <c r="TII47" s="1156" t="s">
        <v>814</v>
      </c>
      <c r="TIJ47" s="1156"/>
      <c r="TIK47" s="1156" t="s">
        <v>814</v>
      </c>
      <c r="TIL47" s="1156"/>
      <c r="TIM47" s="1156" t="s">
        <v>814</v>
      </c>
      <c r="TIN47" s="1156"/>
      <c r="TIO47" s="1156" t="s">
        <v>814</v>
      </c>
      <c r="TIP47" s="1156"/>
      <c r="TIQ47" s="1156" t="s">
        <v>814</v>
      </c>
      <c r="TIR47" s="1156"/>
      <c r="TIS47" s="1156" t="s">
        <v>814</v>
      </c>
      <c r="TIT47" s="1156"/>
      <c r="TIU47" s="1156" t="s">
        <v>814</v>
      </c>
      <c r="TIV47" s="1156"/>
      <c r="TIW47" s="1156" t="s">
        <v>814</v>
      </c>
      <c r="TIX47" s="1156"/>
      <c r="TIY47" s="1156" t="s">
        <v>814</v>
      </c>
      <c r="TIZ47" s="1156"/>
      <c r="TJA47" s="1156" t="s">
        <v>814</v>
      </c>
      <c r="TJB47" s="1156"/>
      <c r="TJC47" s="1156" t="s">
        <v>814</v>
      </c>
      <c r="TJD47" s="1156"/>
      <c r="TJE47" s="1156" t="s">
        <v>814</v>
      </c>
      <c r="TJF47" s="1156"/>
      <c r="TJG47" s="1156" t="s">
        <v>814</v>
      </c>
      <c r="TJH47" s="1156"/>
      <c r="TJI47" s="1156" t="s">
        <v>814</v>
      </c>
      <c r="TJJ47" s="1156"/>
      <c r="TJK47" s="1156" t="s">
        <v>814</v>
      </c>
      <c r="TJL47" s="1156"/>
      <c r="TJM47" s="1156" t="s">
        <v>814</v>
      </c>
      <c r="TJN47" s="1156"/>
      <c r="TJO47" s="1156" t="s">
        <v>814</v>
      </c>
      <c r="TJP47" s="1156"/>
      <c r="TJQ47" s="1156" t="s">
        <v>814</v>
      </c>
      <c r="TJR47" s="1156"/>
      <c r="TJS47" s="1156" t="s">
        <v>814</v>
      </c>
      <c r="TJT47" s="1156"/>
      <c r="TJU47" s="1156" t="s">
        <v>814</v>
      </c>
      <c r="TJV47" s="1156"/>
      <c r="TJW47" s="1156" t="s">
        <v>814</v>
      </c>
      <c r="TJX47" s="1156"/>
      <c r="TJY47" s="1156" t="s">
        <v>814</v>
      </c>
      <c r="TJZ47" s="1156"/>
      <c r="TKA47" s="1156" t="s">
        <v>814</v>
      </c>
      <c r="TKB47" s="1156"/>
      <c r="TKC47" s="1156" t="s">
        <v>814</v>
      </c>
      <c r="TKD47" s="1156"/>
      <c r="TKE47" s="1156" t="s">
        <v>814</v>
      </c>
      <c r="TKF47" s="1156"/>
      <c r="TKG47" s="1156" t="s">
        <v>814</v>
      </c>
      <c r="TKH47" s="1156"/>
      <c r="TKI47" s="1156" t="s">
        <v>814</v>
      </c>
      <c r="TKJ47" s="1156"/>
      <c r="TKK47" s="1156" t="s">
        <v>814</v>
      </c>
      <c r="TKL47" s="1156"/>
      <c r="TKM47" s="1156" t="s">
        <v>814</v>
      </c>
      <c r="TKN47" s="1156"/>
      <c r="TKO47" s="1156" t="s">
        <v>814</v>
      </c>
      <c r="TKP47" s="1156"/>
      <c r="TKQ47" s="1156" t="s">
        <v>814</v>
      </c>
      <c r="TKR47" s="1156"/>
      <c r="TKS47" s="1156" t="s">
        <v>814</v>
      </c>
      <c r="TKT47" s="1156"/>
      <c r="TKU47" s="1156" t="s">
        <v>814</v>
      </c>
      <c r="TKV47" s="1156"/>
      <c r="TKW47" s="1156" t="s">
        <v>814</v>
      </c>
      <c r="TKX47" s="1156"/>
      <c r="TKY47" s="1156" t="s">
        <v>814</v>
      </c>
      <c r="TKZ47" s="1156"/>
      <c r="TLA47" s="1156" t="s">
        <v>814</v>
      </c>
      <c r="TLB47" s="1156"/>
      <c r="TLC47" s="1156" t="s">
        <v>814</v>
      </c>
      <c r="TLD47" s="1156"/>
      <c r="TLE47" s="1156" t="s">
        <v>814</v>
      </c>
      <c r="TLF47" s="1156"/>
      <c r="TLG47" s="1156" t="s">
        <v>814</v>
      </c>
      <c r="TLH47" s="1156"/>
      <c r="TLI47" s="1156" t="s">
        <v>814</v>
      </c>
      <c r="TLJ47" s="1156"/>
      <c r="TLK47" s="1156" t="s">
        <v>814</v>
      </c>
      <c r="TLL47" s="1156"/>
      <c r="TLM47" s="1156" t="s">
        <v>814</v>
      </c>
      <c r="TLN47" s="1156"/>
      <c r="TLO47" s="1156" t="s">
        <v>814</v>
      </c>
      <c r="TLP47" s="1156"/>
      <c r="TLQ47" s="1156" t="s">
        <v>814</v>
      </c>
      <c r="TLR47" s="1156"/>
      <c r="TLS47" s="1156" t="s">
        <v>814</v>
      </c>
      <c r="TLT47" s="1156"/>
      <c r="TLU47" s="1156" t="s">
        <v>814</v>
      </c>
      <c r="TLV47" s="1156"/>
      <c r="TLW47" s="1156" t="s">
        <v>814</v>
      </c>
      <c r="TLX47" s="1156"/>
      <c r="TLY47" s="1156" t="s">
        <v>814</v>
      </c>
      <c r="TLZ47" s="1156"/>
      <c r="TMA47" s="1156" t="s">
        <v>814</v>
      </c>
      <c r="TMB47" s="1156"/>
      <c r="TMC47" s="1156" t="s">
        <v>814</v>
      </c>
      <c r="TMD47" s="1156"/>
      <c r="TME47" s="1156" t="s">
        <v>814</v>
      </c>
      <c r="TMF47" s="1156"/>
      <c r="TMG47" s="1156" t="s">
        <v>814</v>
      </c>
      <c r="TMH47" s="1156"/>
      <c r="TMI47" s="1156" t="s">
        <v>814</v>
      </c>
      <c r="TMJ47" s="1156"/>
      <c r="TMK47" s="1156" t="s">
        <v>814</v>
      </c>
      <c r="TML47" s="1156"/>
      <c r="TMM47" s="1156" t="s">
        <v>814</v>
      </c>
      <c r="TMN47" s="1156"/>
      <c r="TMO47" s="1156" t="s">
        <v>814</v>
      </c>
      <c r="TMP47" s="1156"/>
      <c r="TMQ47" s="1156" t="s">
        <v>814</v>
      </c>
      <c r="TMR47" s="1156"/>
      <c r="TMS47" s="1156" t="s">
        <v>814</v>
      </c>
      <c r="TMT47" s="1156"/>
      <c r="TMU47" s="1156" t="s">
        <v>814</v>
      </c>
      <c r="TMV47" s="1156"/>
      <c r="TMW47" s="1156" t="s">
        <v>814</v>
      </c>
      <c r="TMX47" s="1156"/>
      <c r="TMY47" s="1156" t="s">
        <v>814</v>
      </c>
      <c r="TMZ47" s="1156"/>
      <c r="TNA47" s="1156" t="s">
        <v>814</v>
      </c>
      <c r="TNB47" s="1156"/>
      <c r="TNC47" s="1156" t="s">
        <v>814</v>
      </c>
      <c r="TND47" s="1156"/>
      <c r="TNE47" s="1156" t="s">
        <v>814</v>
      </c>
      <c r="TNF47" s="1156"/>
      <c r="TNG47" s="1156" t="s">
        <v>814</v>
      </c>
      <c r="TNH47" s="1156"/>
      <c r="TNI47" s="1156" t="s">
        <v>814</v>
      </c>
      <c r="TNJ47" s="1156"/>
      <c r="TNK47" s="1156" t="s">
        <v>814</v>
      </c>
      <c r="TNL47" s="1156"/>
      <c r="TNM47" s="1156" t="s">
        <v>814</v>
      </c>
      <c r="TNN47" s="1156"/>
      <c r="TNO47" s="1156" t="s">
        <v>814</v>
      </c>
      <c r="TNP47" s="1156"/>
      <c r="TNQ47" s="1156" t="s">
        <v>814</v>
      </c>
      <c r="TNR47" s="1156"/>
      <c r="TNS47" s="1156" t="s">
        <v>814</v>
      </c>
      <c r="TNT47" s="1156"/>
      <c r="TNU47" s="1156" t="s">
        <v>814</v>
      </c>
      <c r="TNV47" s="1156"/>
      <c r="TNW47" s="1156" t="s">
        <v>814</v>
      </c>
      <c r="TNX47" s="1156"/>
      <c r="TNY47" s="1156" t="s">
        <v>814</v>
      </c>
      <c r="TNZ47" s="1156"/>
      <c r="TOA47" s="1156" t="s">
        <v>814</v>
      </c>
      <c r="TOB47" s="1156"/>
      <c r="TOC47" s="1156" t="s">
        <v>814</v>
      </c>
      <c r="TOD47" s="1156"/>
      <c r="TOE47" s="1156" t="s">
        <v>814</v>
      </c>
      <c r="TOF47" s="1156"/>
      <c r="TOG47" s="1156" t="s">
        <v>814</v>
      </c>
      <c r="TOH47" s="1156"/>
      <c r="TOI47" s="1156" t="s">
        <v>814</v>
      </c>
      <c r="TOJ47" s="1156"/>
      <c r="TOK47" s="1156" t="s">
        <v>814</v>
      </c>
      <c r="TOL47" s="1156"/>
      <c r="TOM47" s="1156" t="s">
        <v>814</v>
      </c>
      <c r="TON47" s="1156"/>
      <c r="TOO47" s="1156" t="s">
        <v>814</v>
      </c>
      <c r="TOP47" s="1156"/>
      <c r="TOQ47" s="1156" t="s">
        <v>814</v>
      </c>
      <c r="TOR47" s="1156"/>
      <c r="TOS47" s="1156" t="s">
        <v>814</v>
      </c>
      <c r="TOT47" s="1156"/>
      <c r="TOU47" s="1156" t="s">
        <v>814</v>
      </c>
      <c r="TOV47" s="1156"/>
      <c r="TOW47" s="1156" t="s">
        <v>814</v>
      </c>
      <c r="TOX47" s="1156"/>
      <c r="TOY47" s="1156" t="s">
        <v>814</v>
      </c>
      <c r="TOZ47" s="1156"/>
      <c r="TPA47" s="1156" t="s">
        <v>814</v>
      </c>
      <c r="TPB47" s="1156"/>
      <c r="TPC47" s="1156" t="s">
        <v>814</v>
      </c>
      <c r="TPD47" s="1156"/>
      <c r="TPE47" s="1156" t="s">
        <v>814</v>
      </c>
      <c r="TPF47" s="1156"/>
      <c r="TPG47" s="1156" t="s">
        <v>814</v>
      </c>
      <c r="TPH47" s="1156"/>
      <c r="TPI47" s="1156" t="s">
        <v>814</v>
      </c>
      <c r="TPJ47" s="1156"/>
      <c r="TPK47" s="1156" t="s">
        <v>814</v>
      </c>
      <c r="TPL47" s="1156"/>
      <c r="TPM47" s="1156" t="s">
        <v>814</v>
      </c>
      <c r="TPN47" s="1156"/>
      <c r="TPO47" s="1156" t="s">
        <v>814</v>
      </c>
      <c r="TPP47" s="1156"/>
      <c r="TPQ47" s="1156" t="s">
        <v>814</v>
      </c>
      <c r="TPR47" s="1156"/>
      <c r="TPS47" s="1156" t="s">
        <v>814</v>
      </c>
      <c r="TPT47" s="1156"/>
      <c r="TPU47" s="1156" t="s">
        <v>814</v>
      </c>
      <c r="TPV47" s="1156"/>
      <c r="TPW47" s="1156" t="s">
        <v>814</v>
      </c>
      <c r="TPX47" s="1156"/>
      <c r="TPY47" s="1156" t="s">
        <v>814</v>
      </c>
      <c r="TPZ47" s="1156"/>
      <c r="TQA47" s="1156" t="s">
        <v>814</v>
      </c>
      <c r="TQB47" s="1156"/>
      <c r="TQC47" s="1156" t="s">
        <v>814</v>
      </c>
      <c r="TQD47" s="1156"/>
      <c r="TQE47" s="1156" t="s">
        <v>814</v>
      </c>
      <c r="TQF47" s="1156"/>
      <c r="TQG47" s="1156" t="s">
        <v>814</v>
      </c>
      <c r="TQH47" s="1156"/>
      <c r="TQI47" s="1156" t="s">
        <v>814</v>
      </c>
      <c r="TQJ47" s="1156"/>
      <c r="TQK47" s="1156" t="s">
        <v>814</v>
      </c>
      <c r="TQL47" s="1156"/>
      <c r="TQM47" s="1156" t="s">
        <v>814</v>
      </c>
      <c r="TQN47" s="1156"/>
      <c r="TQO47" s="1156" t="s">
        <v>814</v>
      </c>
      <c r="TQP47" s="1156"/>
      <c r="TQQ47" s="1156" t="s">
        <v>814</v>
      </c>
      <c r="TQR47" s="1156"/>
      <c r="TQS47" s="1156" t="s">
        <v>814</v>
      </c>
      <c r="TQT47" s="1156"/>
      <c r="TQU47" s="1156" t="s">
        <v>814</v>
      </c>
      <c r="TQV47" s="1156"/>
      <c r="TQW47" s="1156" t="s">
        <v>814</v>
      </c>
      <c r="TQX47" s="1156"/>
      <c r="TQY47" s="1156" t="s">
        <v>814</v>
      </c>
      <c r="TQZ47" s="1156"/>
      <c r="TRA47" s="1156" t="s">
        <v>814</v>
      </c>
      <c r="TRB47" s="1156"/>
      <c r="TRC47" s="1156" t="s">
        <v>814</v>
      </c>
      <c r="TRD47" s="1156"/>
      <c r="TRE47" s="1156" t="s">
        <v>814</v>
      </c>
      <c r="TRF47" s="1156"/>
      <c r="TRG47" s="1156" t="s">
        <v>814</v>
      </c>
      <c r="TRH47" s="1156"/>
      <c r="TRI47" s="1156" t="s">
        <v>814</v>
      </c>
      <c r="TRJ47" s="1156"/>
      <c r="TRK47" s="1156" t="s">
        <v>814</v>
      </c>
      <c r="TRL47" s="1156"/>
      <c r="TRM47" s="1156" t="s">
        <v>814</v>
      </c>
      <c r="TRN47" s="1156"/>
      <c r="TRO47" s="1156" t="s">
        <v>814</v>
      </c>
      <c r="TRP47" s="1156"/>
      <c r="TRQ47" s="1156" t="s">
        <v>814</v>
      </c>
      <c r="TRR47" s="1156"/>
      <c r="TRS47" s="1156" t="s">
        <v>814</v>
      </c>
      <c r="TRT47" s="1156"/>
      <c r="TRU47" s="1156" t="s">
        <v>814</v>
      </c>
      <c r="TRV47" s="1156"/>
      <c r="TRW47" s="1156" t="s">
        <v>814</v>
      </c>
      <c r="TRX47" s="1156"/>
      <c r="TRY47" s="1156" t="s">
        <v>814</v>
      </c>
      <c r="TRZ47" s="1156"/>
      <c r="TSA47" s="1156" t="s">
        <v>814</v>
      </c>
      <c r="TSB47" s="1156"/>
      <c r="TSC47" s="1156" t="s">
        <v>814</v>
      </c>
      <c r="TSD47" s="1156"/>
      <c r="TSE47" s="1156" t="s">
        <v>814</v>
      </c>
      <c r="TSF47" s="1156"/>
      <c r="TSG47" s="1156" t="s">
        <v>814</v>
      </c>
      <c r="TSH47" s="1156"/>
      <c r="TSI47" s="1156" t="s">
        <v>814</v>
      </c>
      <c r="TSJ47" s="1156"/>
      <c r="TSK47" s="1156" t="s">
        <v>814</v>
      </c>
      <c r="TSL47" s="1156"/>
      <c r="TSM47" s="1156" t="s">
        <v>814</v>
      </c>
      <c r="TSN47" s="1156"/>
      <c r="TSO47" s="1156" t="s">
        <v>814</v>
      </c>
      <c r="TSP47" s="1156"/>
      <c r="TSQ47" s="1156" t="s">
        <v>814</v>
      </c>
      <c r="TSR47" s="1156"/>
      <c r="TSS47" s="1156" t="s">
        <v>814</v>
      </c>
      <c r="TST47" s="1156"/>
      <c r="TSU47" s="1156" t="s">
        <v>814</v>
      </c>
      <c r="TSV47" s="1156"/>
      <c r="TSW47" s="1156" t="s">
        <v>814</v>
      </c>
      <c r="TSX47" s="1156"/>
      <c r="TSY47" s="1156" t="s">
        <v>814</v>
      </c>
      <c r="TSZ47" s="1156"/>
      <c r="TTA47" s="1156" t="s">
        <v>814</v>
      </c>
      <c r="TTB47" s="1156"/>
      <c r="TTC47" s="1156" t="s">
        <v>814</v>
      </c>
      <c r="TTD47" s="1156"/>
      <c r="TTE47" s="1156" t="s">
        <v>814</v>
      </c>
      <c r="TTF47" s="1156"/>
      <c r="TTG47" s="1156" t="s">
        <v>814</v>
      </c>
      <c r="TTH47" s="1156"/>
      <c r="TTI47" s="1156" t="s">
        <v>814</v>
      </c>
      <c r="TTJ47" s="1156"/>
      <c r="TTK47" s="1156" t="s">
        <v>814</v>
      </c>
      <c r="TTL47" s="1156"/>
      <c r="TTM47" s="1156" t="s">
        <v>814</v>
      </c>
      <c r="TTN47" s="1156"/>
      <c r="TTO47" s="1156" t="s">
        <v>814</v>
      </c>
      <c r="TTP47" s="1156"/>
      <c r="TTQ47" s="1156" t="s">
        <v>814</v>
      </c>
      <c r="TTR47" s="1156"/>
      <c r="TTS47" s="1156" t="s">
        <v>814</v>
      </c>
      <c r="TTT47" s="1156"/>
      <c r="TTU47" s="1156" t="s">
        <v>814</v>
      </c>
      <c r="TTV47" s="1156"/>
      <c r="TTW47" s="1156" t="s">
        <v>814</v>
      </c>
      <c r="TTX47" s="1156"/>
      <c r="TTY47" s="1156" t="s">
        <v>814</v>
      </c>
      <c r="TTZ47" s="1156"/>
      <c r="TUA47" s="1156" t="s">
        <v>814</v>
      </c>
      <c r="TUB47" s="1156"/>
      <c r="TUC47" s="1156" t="s">
        <v>814</v>
      </c>
      <c r="TUD47" s="1156"/>
      <c r="TUE47" s="1156" t="s">
        <v>814</v>
      </c>
      <c r="TUF47" s="1156"/>
      <c r="TUG47" s="1156" t="s">
        <v>814</v>
      </c>
      <c r="TUH47" s="1156"/>
      <c r="TUI47" s="1156" t="s">
        <v>814</v>
      </c>
      <c r="TUJ47" s="1156"/>
      <c r="TUK47" s="1156" t="s">
        <v>814</v>
      </c>
      <c r="TUL47" s="1156"/>
      <c r="TUM47" s="1156" t="s">
        <v>814</v>
      </c>
      <c r="TUN47" s="1156"/>
      <c r="TUO47" s="1156" t="s">
        <v>814</v>
      </c>
      <c r="TUP47" s="1156"/>
      <c r="TUQ47" s="1156" t="s">
        <v>814</v>
      </c>
      <c r="TUR47" s="1156"/>
      <c r="TUS47" s="1156" t="s">
        <v>814</v>
      </c>
      <c r="TUT47" s="1156"/>
      <c r="TUU47" s="1156" t="s">
        <v>814</v>
      </c>
      <c r="TUV47" s="1156"/>
      <c r="TUW47" s="1156" t="s">
        <v>814</v>
      </c>
      <c r="TUX47" s="1156"/>
      <c r="TUY47" s="1156" t="s">
        <v>814</v>
      </c>
      <c r="TUZ47" s="1156"/>
      <c r="TVA47" s="1156" t="s">
        <v>814</v>
      </c>
      <c r="TVB47" s="1156"/>
      <c r="TVC47" s="1156" t="s">
        <v>814</v>
      </c>
      <c r="TVD47" s="1156"/>
      <c r="TVE47" s="1156" t="s">
        <v>814</v>
      </c>
      <c r="TVF47" s="1156"/>
      <c r="TVG47" s="1156" t="s">
        <v>814</v>
      </c>
      <c r="TVH47" s="1156"/>
      <c r="TVI47" s="1156" t="s">
        <v>814</v>
      </c>
      <c r="TVJ47" s="1156"/>
      <c r="TVK47" s="1156" t="s">
        <v>814</v>
      </c>
      <c r="TVL47" s="1156"/>
      <c r="TVM47" s="1156" t="s">
        <v>814</v>
      </c>
      <c r="TVN47" s="1156"/>
      <c r="TVO47" s="1156" t="s">
        <v>814</v>
      </c>
      <c r="TVP47" s="1156"/>
      <c r="TVQ47" s="1156" t="s">
        <v>814</v>
      </c>
      <c r="TVR47" s="1156"/>
      <c r="TVS47" s="1156" t="s">
        <v>814</v>
      </c>
      <c r="TVT47" s="1156"/>
      <c r="TVU47" s="1156" t="s">
        <v>814</v>
      </c>
      <c r="TVV47" s="1156"/>
      <c r="TVW47" s="1156" t="s">
        <v>814</v>
      </c>
      <c r="TVX47" s="1156"/>
      <c r="TVY47" s="1156" t="s">
        <v>814</v>
      </c>
      <c r="TVZ47" s="1156"/>
      <c r="TWA47" s="1156" t="s">
        <v>814</v>
      </c>
      <c r="TWB47" s="1156"/>
      <c r="TWC47" s="1156" t="s">
        <v>814</v>
      </c>
      <c r="TWD47" s="1156"/>
      <c r="TWE47" s="1156" t="s">
        <v>814</v>
      </c>
      <c r="TWF47" s="1156"/>
      <c r="TWG47" s="1156" t="s">
        <v>814</v>
      </c>
      <c r="TWH47" s="1156"/>
      <c r="TWI47" s="1156" t="s">
        <v>814</v>
      </c>
      <c r="TWJ47" s="1156"/>
      <c r="TWK47" s="1156" t="s">
        <v>814</v>
      </c>
      <c r="TWL47" s="1156"/>
      <c r="TWM47" s="1156" t="s">
        <v>814</v>
      </c>
      <c r="TWN47" s="1156"/>
      <c r="TWO47" s="1156" t="s">
        <v>814</v>
      </c>
      <c r="TWP47" s="1156"/>
      <c r="TWQ47" s="1156" t="s">
        <v>814</v>
      </c>
      <c r="TWR47" s="1156"/>
      <c r="TWS47" s="1156" t="s">
        <v>814</v>
      </c>
      <c r="TWT47" s="1156"/>
      <c r="TWU47" s="1156" t="s">
        <v>814</v>
      </c>
      <c r="TWV47" s="1156"/>
      <c r="TWW47" s="1156" t="s">
        <v>814</v>
      </c>
      <c r="TWX47" s="1156"/>
      <c r="TWY47" s="1156" t="s">
        <v>814</v>
      </c>
      <c r="TWZ47" s="1156"/>
      <c r="TXA47" s="1156" t="s">
        <v>814</v>
      </c>
      <c r="TXB47" s="1156"/>
      <c r="TXC47" s="1156" t="s">
        <v>814</v>
      </c>
      <c r="TXD47" s="1156"/>
      <c r="TXE47" s="1156" t="s">
        <v>814</v>
      </c>
      <c r="TXF47" s="1156"/>
      <c r="TXG47" s="1156" t="s">
        <v>814</v>
      </c>
      <c r="TXH47" s="1156"/>
      <c r="TXI47" s="1156" t="s">
        <v>814</v>
      </c>
      <c r="TXJ47" s="1156"/>
      <c r="TXK47" s="1156" t="s">
        <v>814</v>
      </c>
      <c r="TXL47" s="1156"/>
      <c r="TXM47" s="1156" t="s">
        <v>814</v>
      </c>
      <c r="TXN47" s="1156"/>
      <c r="TXO47" s="1156" t="s">
        <v>814</v>
      </c>
      <c r="TXP47" s="1156"/>
      <c r="TXQ47" s="1156" t="s">
        <v>814</v>
      </c>
      <c r="TXR47" s="1156"/>
      <c r="TXS47" s="1156" t="s">
        <v>814</v>
      </c>
      <c r="TXT47" s="1156"/>
      <c r="TXU47" s="1156" t="s">
        <v>814</v>
      </c>
      <c r="TXV47" s="1156"/>
      <c r="TXW47" s="1156" t="s">
        <v>814</v>
      </c>
      <c r="TXX47" s="1156"/>
      <c r="TXY47" s="1156" t="s">
        <v>814</v>
      </c>
      <c r="TXZ47" s="1156"/>
      <c r="TYA47" s="1156" t="s">
        <v>814</v>
      </c>
      <c r="TYB47" s="1156"/>
      <c r="TYC47" s="1156" t="s">
        <v>814</v>
      </c>
      <c r="TYD47" s="1156"/>
      <c r="TYE47" s="1156" t="s">
        <v>814</v>
      </c>
      <c r="TYF47" s="1156"/>
      <c r="TYG47" s="1156" t="s">
        <v>814</v>
      </c>
      <c r="TYH47" s="1156"/>
      <c r="TYI47" s="1156" t="s">
        <v>814</v>
      </c>
      <c r="TYJ47" s="1156"/>
      <c r="TYK47" s="1156" t="s">
        <v>814</v>
      </c>
      <c r="TYL47" s="1156"/>
      <c r="TYM47" s="1156" t="s">
        <v>814</v>
      </c>
      <c r="TYN47" s="1156"/>
      <c r="TYO47" s="1156" t="s">
        <v>814</v>
      </c>
      <c r="TYP47" s="1156"/>
      <c r="TYQ47" s="1156" t="s">
        <v>814</v>
      </c>
      <c r="TYR47" s="1156"/>
      <c r="TYS47" s="1156" t="s">
        <v>814</v>
      </c>
      <c r="TYT47" s="1156"/>
      <c r="TYU47" s="1156" t="s">
        <v>814</v>
      </c>
      <c r="TYV47" s="1156"/>
      <c r="TYW47" s="1156" t="s">
        <v>814</v>
      </c>
      <c r="TYX47" s="1156"/>
      <c r="TYY47" s="1156" t="s">
        <v>814</v>
      </c>
      <c r="TYZ47" s="1156"/>
      <c r="TZA47" s="1156" t="s">
        <v>814</v>
      </c>
      <c r="TZB47" s="1156"/>
      <c r="TZC47" s="1156" t="s">
        <v>814</v>
      </c>
      <c r="TZD47" s="1156"/>
      <c r="TZE47" s="1156" t="s">
        <v>814</v>
      </c>
      <c r="TZF47" s="1156"/>
      <c r="TZG47" s="1156" t="s">
        <v>814</v>
      </c>
      <c r="TZH47" s="1156"/>
      <c r="TZI47" s="1156" t="s">
        <v>814</v>
      </c>
      <c r="TZJ47" s="1156"/>
      <c r="TZK47" s="1156" t="s">
        <v>814</v>
      </c>
      <c r="TZL47" s="1156"/>
      <c r="TZM47" s="1156" t="s">
        <v>814</v>
      </c>
      <c r="TZN47" s="1156"/>
      <c r="TZO47" s="1156" t="s">
        <v>814</v>
      </c>
      <c r="TZP47" s="1156"/>
      <c r="TZQ47" s="1156" t="s">
        <v>814</v>
      </c>
      <c r="TZR47" s="1156"/>
      <c r="TZS47" s="1156" t="s">
        <v>814</v>
      </c>
      <c r="TZT47" s="1156"/>
      <c r="TZU47" s="1156" t="s">
        <v>814</v>
      </c>
      <c r="TZV47" s="1156"/>
      <c r="TZW47" s="1156" t="s">
        <v>814</v>
      </c>
      <c r="TZX47" s="1156"/>
      <c r="TZY47" s="1156" t="s">
        <v>814</v>
      </c>
      <c r="TZZ47" s="1156"/>
      <c r="UAA47" s="1156" t="s">
        <v>814</v>
      </c>
      <c r="UAB47" s="1156"/>
      <c r="UAC47" s="1156" t="s">
        <v>814</v>
      </c>
      <c r="UAD47" s="1156"/>
      <c r="UAE47" s="1156" t="s">
        <v>814</v>
      </c>
      <c r="UAF47" s="1156"/>
      <c r="UAG47" s="1156" t="s">
        <v>814</v>
      </c>
      <c r="UAH47" s="1156"/>
      <c r="UAI47" s="1156" t="s">
        <v>814</v>
      </c>
      <c r="UAJ47" s="1156"/>
      <c r="UAK47" s="1156" t="s">
        <v>814</v>
      </c>
      <c r="UAL47" s="1156"/>
      <c r="UAM47" s="1156" t="s">
        <v>814</v>
      </c>
      <c r="UAN47" s="1156"/>
      <c r="UAO47" s="1156" t="s">
        <v>814</v>
      </c>
      <c r="UAP47" s="1156"/>
      <c r="UAQ47" s="1156" t="s">
        <v>814</v>
      </c>
      <c r="UAR47" s="1156"/>
      <c r="UAS47" s="1156" t="s">
        <v>814</v>
      </c>
      <c r="UAT47" s="1156"/>
      <c r="UAU47" s="1156" t="s">
        <v>814</v>
      </c>
      <c r="UAV47" s="1156"/>
      <c r="UAW47" s="1156" t="s">
        <v>814</v>
      </c>
      <c r="UAX47" s="1156"/>
      <c r="UAY47" s="1156" t="s">
        <v>814</v>
      </c>
      <c r="UAZ47" s="1156"/>
      <c r="UBA47" s="1156" t="s">
        <v>814</v>
      </c>
      <c r="UBB47" s="1156"/>
      <c r="UBC47" s="1156" t="s">
        <v>814</v>
      </c>
      <c r="UBD47" s="1156"/>
      <c r="UBE47" s="1156" t="s">
        <v>814</v>
      </c>
      <c r="UBF47" s="1156"/>
      <c r="UBG47" s="1156" t="s">
        <v>814</v>
      </c>
      <c r="UBH47" s="1156"/>
      <c r="UBI47" s="1156" t="s">
        <v>814</v>
      </c>
      <c r="UBJ47" s="1156"/>
      <c r="UBK47" s="1156" t="s">
        <v>814</v>
      </c>
      <c r="UBL47" s="1156"/>
      <c r="UBM47" s="1156" t="s">
        <v>814</v>
      </c>
      <c r="UBN47" s="1156"/>
      <c r="UBO47" s="1156" t="s">
        <v>814</v>
      </c>
      <c r="UBP47" s="1156"/>
      <c r="UBQ47" s="1156" t="s">
        <v>814</v>
      </c>
      <c r="UBR47" s="1156"/>
      <c r="UBS47" s="1156" t="s">
        <v>814</v>
      </c>
      <c r="UBT47" s="1156"/>
      <c r="UBU47" s="1156" t="s">
        <v>814</v>
      </c>
      <c r="UBV47" s="1156"/>
      <c r="UBW47" s="1156" t="s">
        <v>814</v>
      </c>
      <c r="UBX47" s="1156"/>
      <c r="UBY47" s="1156" t="s">
        <v>814</v>
      </c>
      <c r="UBZ47" s="1156"/>
      <c r="UCA47" s="1156" t="s">
        <v>814</v>
      </c>
      <c r="UCB47" s="1156"/>
      <c r="UCC47" s="1156" t="s">
        <v>814</v>
      </c>
      <c r="UCD47" s="1156"/>
      <c r="UCE47" s="1156" t="s">
        <v>814</v>
      </c>
      <c r="UCF47" s="1156"/>
      <c r="UCG47" s="1156" t="s">
        <v>814</v>
      </c>
      <c r="UCH47" s="1156"/>
      <c r="UCI47" s="1156" t="s">
        <v>814</v>
      </c>
      <c r="UCJ47" s="1156"/>
      <c r="UCK47" s="1156" t="s">
        <v>814</v>
      </c>
      <c r="UCL47" s="1156"/>
      <c r="UCM47" s="1156" t="s">
        <v>814</v>
      </c>
      <c r="UCN47" s="1156"/>
      <c r="UCO47" s="1156" t="s">
        <v>814</v>
      </c>
      <c r="UCP47" s="1156"/>
      <c r="UCQ47" s="1156" t="s">
        <v>814</v>
      </c>
      <c r="UCR47" s="1156"/>
      <c r="UCS47" s="1156" t="s">
        <v>814</v>
      </c>
      <c r="UCT47" s="1156"/>
      <c r="UCU47" s="1156" t="s">
        <v>814</v>
      </c>
      <c r="UCV47" s="1156"/>
      <c r="UCW47" s="1156" t="s">
        <v>814</v>
      </c>
      <c r="UCX47" s="1156"/>
      <c r="UCY47" s="1156" t="s">
        <v>814</v>
      </c>
      <c r="UCZ47" s="1156"/>
      <c r="UDA47" s="1156" t="s">
        <v>814</v>
      </c>
      <c r="UDB47" s="1156"/>
      <c r="UDC47" s="1156" t="s">
        <v>814</v>
      </c>
      <c r="UDD47" s="1156"/>
      <c r="UDE47" s="1156" t="s">
        <v>814</v>
      </c>
      <c r="UDF47" s="1156"/>
      <c r="UDG47" s="1156" t="s">
        <v>814</v>
      </c>
      <c r="UDH47" s="1156"/>
      <c r="UDI47" s="1156" t="s">
        <v>814</v>
      </c>
      <c r="UDJ47" s="1156"/>
      <c r="UDK47" s="1156" t="s">
        <v>814</v>
      </c>
      <c r="UDL47" s="1156"/>
      <c r="UDM47" s="1156" t="s">
        <v>814</v>
      </c>
      <c r="UDN47" s="1156"/>
      <c r="UDO47" s="1156" t="s">
        <v>814</v>
      </c>
      <c r="UDP47" s="1156"/>
      <c r="UDQ47" s="1156" t="s">
        <v>814</v>
      </c>
      <c r="UDR47" s="1156"/>
      <c r="UDS47" s="1156" t="s">
        <v>814</v>
      </c>
      <c r="UDT47" s="1156"/>
      <c r="UDU47" s="1156" t="s">
        <v>814</v>
      </c>
      <c r="UDV47" s="1156"/>
      <c r="UDW47" s="1156" t="s">
        <v>814</v>
      </c>
      <c r="UDX47" s="1156"/>
      <c r="UDY47" s="1156" t="s">
        <v>814</v>
      </c>
      <c r="UDZ47" s="1156"/>
      <c r="UEA47" s="1156" t="s">
        <v>814</v>
      </c>
      <c r="UEB47" s="1156"/>
      <c r="UEC47" s="1156" t="s">
        <v>814</v>
      </c>
      <c r="UED47" s="1156"/>
      <c r="UEE47" s="1156" t="s">
        <v>814</v>
      </c>
      <c r="UEF47" s="1156"/>
      <c r="UEG47" s="1156" t="s">
        <v>814</v>
      </c>
      <c r="UEH47" s="1156"/>
      <c r="UEI47" s="1156" t="s">
        <v>814</v>
      </c>
      <c r="UEJ47" s="1156"/>
      <c r="UEK47" s="1156" t="s">
        <v>814</v>
      </c>
      <c r="UEL47" s="1156"/>
      <c r="UEM47" s="1156" t="s">
        <v>814</v>
      </c>
      <c r="UEN47" s="1156"/>
      <c r="UEO47" s="1156" t="s">
        <v>814</v>
      </c>
      <c r="UEP47" s="1156"/>
      <c r="UEQ47" s="1156" t="s">
        <v>814</v>
      </c>
      <c r="UER47" s="1156"/>
      <c r="UES47" s="1156" t="s">
        <v>814</v>
      </c>
      <c r="UET47" s="1156"/>
      <c r="UEU47" s="1156" t="s">
        <v>814</v>
      </c>
      <c r="UEV47" s="1156"/>
      <c r="UEW47" s="1156" t="s">
        <v>814</v>
      </c>
      <c r="UEX47" s="1156"/>
      <c r="UEY47" s="1156" t="s">
        <v>814</v>
      </c>
      <c r="UEZ47" s="1156"/>
      <c r="UFA47" s="1156" t="s">
        <v>814</v>
      </c>
      <c r="UFB47" s="1156"/>
      <c r="UFC47" s="1156" t="s">
        <v>814</v>
      </c>
      <c r="UFD47" s="1156"/>
      <c r="UFE47" s="1156" t="s">
        <v>814</v>
      </c>
      <c r="UFF47" s="1156"/>
      <c r="UFG47" s="1156" t="s">
        <v>814</v>
      </c>
      <c r="UFH47" s="1156"/>
      <c r="UFI47" s="1156" t="s">
        <v>814</v>
      </c>
      <c r="UFJ47" s="1156"/>
      <c r="UFK47" s="1156" t="s">
        <v>814</v>
      </c>
      <c r="UFL47" s="1156"/>
      <c r="UFM47" s="1156" t="s">
        <v>814</v>
      </c>
      <c r="UFN47" s="1156"/>
      <c r="UFO47" s="1156" t="s">
        <v>814</v>
      </c>
      <c r="UFP47" s="1156"/>
      <c r="UFQ47" s="1156" t="s">
        <v>814</v>
      </c>
      <c r="UFR47" s="1156"/>
      <c r="UFS47" s="1156" t="s">
        <v>814</v>
      </c>
      <c r="UFT47" s="1156"/>
      <c r="UFU47" s="1156" t="s">
        <v>814</v>
      </c>
      <c r="UFV47" s="1156"/>
      <c r="UFW47" s="1156" t="s">
        <v>814</v>
      </c>
      <c r="UFX47" s="1156"/>
      <c r="UFY47" s="1156" t="s">
        <v>814</v>
      </c>
      <c r="UFZ47" s="1156"/>
      <c r="UGA47" s="1156" t="s">
        <v>814</v>
      </c>
      <c r="UGB47" s="1156"/>
      <c r="UGC47" s="1156" t="s">
        <v>814</v>
      </c>
      <c r="UGD47" s="1156"/>
      <c r="UGE47" s="1156" t="s">
        <v>814</v>
      </c>
      <c r="UGF47" s="1156"/>
      <c r="UGG47" s="1156" t="s">
        <v>814</v>
      </c>
      <c r="UGH47" s="1156"/>
      <c r="UGI47" s="1156" t="s">
        <v>814</v>
      </c>
      <c r="UGJ47" s="1156"/>
      <c r="UGK47" s="1156" t="s">
        <v>814</v>
      </c>
      <c r="UGL47" s="1156"/>
      <c r="UGM47" s="1156" t="s">
        <v>814</v>
      </c>
      <c r="UGN47" s="1156"/>
      <c r="UGO47" s="1156" t="s">
        <v>814</v>
      </c>
      <c r="UGP47" s="1156"/>
      <c r="UGQ47" s="1156" t="s">
        <v>814</v>
      </c>
      <c r="UGR47" s="1156"/>
      <c r="UGS47" s="1156" t="s">
        <v>814</v>
      </c>
      <c r="UGT47" s="1156"/>
      <c r="UGU47" s="1156" t="s">
        <v>814</v>
      </c>
      <c r="UGV47" s="1156"/>
      <c r="UGW47" s="1156" t="s">
        <v>814</v>
      </c>
      <c r="UGX47" s="1156"/>
      <c r="UGY47" s="1156" t="s">
        <v>814</v>
      </c>
      <c r="UGZ47" s="1156"/>
      <c r="UHA47" s="1156" t="s">
        <v>814</v>
      </c>
      <c r="UHB47" s="1156"/>
      <c r="UHC47" s="1156" t="s">
        <v>814</v>
      </c>
      <c r="UHD47" s="1156"/>
      <c r="UHE47" s="1156" t="s">
        <v>814</v>
      </c>
      <c r="UHF47" s="1156"/>
      <c r="UHG47" s="1156" t="s">
        <v>814</v>
      </c>
      <c r="UHH47" s="1156"/>
      <c r="UHI47" s="1156" t="s">
        <v>814</v>
      </c>
      <c r="UHJ47" s="1156"/>
      <c r="UHK47" s="1156" t="s">
        <v>814</v>
      </c>
      <c r="UHL47" s="1156"/>
      <c r="UHM47" s="1156" t="s">
        <v>814</v>
      </c>
      <c r="UHN47" s="1156"/>
      <c r="UHO47" s="1156" t="s">
        <v>814</v>
      </c>
      <c r="UHP47" s="1156"/>
      <c r="UHQ47" s="1156" t="s">
        <v>814</v>
      </c>
      <c r="UHR47" s="1156"/>
      <c r="UHS47" s="1156" t="s">
        <v>814</v>
      </c>
      <c r="UHT47" s="1156"/>
      <c r="UHU47" s="1156" t="s">
        <v>814</v>
      </c>
      <c r="UHV47" s="1156"/>
      <c r="UHW47" s="1156" t="s">
        <v>814</v>
      </c>
      <c r="UHX47" s="1156"/>
      <c r="UHY47" s="1156" t="s">
        <v>814</v>
      </c>
      <c r="UHZ47" s="1156"/>
      <c r="UIA47" s="1156" t="s">
        <v>814</v>
      </c>
      <c r="UIB47" s="1156"/>
      <c r="UIC47" s="1156" t="s">
        <v>814</v>
      </c>
      <c r="UID47" s="1156"/>
      <c r="UIE47" s="1156" t="s">
        <v>814</v>
      </c>
      <c r="UIF47" s="1156"/>
      <c r="UIG47" s="1156" t="s">
        <v>814</v>
      </c>
      <c r="UIH47" s="1156"/>
      <c r="UII47" s="1156" t="s">
        <v>814</v>
      </c>
      <c r="UIJ47" s="1156"/>
      <c r="UIK47" s="1156" t="s">
        <v>814</v>
      </c>
      <c r="UIL47" s="1156"/>
      <c r="UIM47" s="1156" t="s">
        <v>814</v>
      </c>
      <c r="UIN47" s="1156"/>
      <c r="UIO47" s="1156" t="s">
        <v>814</v>
      </c>
      <c r="UIP47" s="1156"/>
      <c r="UIQ47" s="1156" t="s">
        <v>814</v>
      </c>
      <c r="UIR47" s="1156"/>
      <c r="UIS47" s="1156" t="s">
        <v>814</v>
      </c>
      <c r="UIT47" s="1156"/>
      <c r="UIU47" s="1156" t="s">
        <v>814</v>
      </c>
      <c r="UIV47" s="1156"/>
      <c r="UIW47" s="1156" t="s">
        <v>814</v>
      </c>
      <c r="UIX47" s="1156"/>
      <c r="UIY47" s="1156" t="s">
        <v>814</v>
      </c>
      <c r="UIZ47" s="1156"/>
      <c r="UJA47" s="1156" t="s">
        <v>814</v>
      </c>
      <c r="UJB47" s="1156"/>
      <c r="UJC47" s="1156" t="s">
        <v>814</v>
      </c>
      <c r="UJD47" s="1156"/>
      <c r="UJE47" s="1156" t="s">
        <v>814</v>
      </c>
      <c r="UJF47" s="1156"/>
      <c r="UJG47" s="1156" t="s">
        <v>814</v>
      </c>
      <c r="UJH47" s="1156"/>
      <c r="UJI47" s="1156" t="s">
        <v>814</v>
      </c>
      <c r="UJJ47" s="1156"/>
      <c r="UJK47" s="1156" t="s">
        <v>814</v>
      </c>
      <c r="UJL47" s="1156"/>
      <c r="UJM47" s="1156" t="s">
        <v>814</v>
      </c>
      <c r="UJN47" s="1156"/>
      <c r="UJO47" s="1156" t="s">
        <v>814</v>
      </c>
      <c r="UJP47" s="1156"/>
      <c r="UJQ47" s="1156" t="s">
        <v>814</v>
      </c>
      <c r="UJR47" s="1156"/>
      <c r="UJS47" s="1156" t="s">
        <v>814</v>
      </c>
      <c r="UJT47" s="1156"/>
      <c r="UJU47" s="1156" t="s">
        <v>814</v>
      </c>
      <c r="UJV47" s="1156"/>
      <c r="UJW47" s="1156" t="s">
        <v>814</v>
      </c>
      <c r="UJX47" s="1156"/>
      <c r="UJY47" s="1156" t="s">
        <v>814</v>
      </c>
      <c r="UJZ47" s="1156"/>
      <c r="UKA47" s="1156" t="s">
        <v>814</v>
      </c>
      <c r="UKB47" s="1156"/>
      <c r="UKC47" s="1156" t="s">
        <v>814</v>
      </c>
      <c r="UKD47" s="1156"/>
      <c r="UKE47" s="1156" t="s">
        <v>814</v>
      </c>
      <c r="UKF47" s="1156"/>
      <c r="UKG47" s="1156" t="s">
        <v>814</v>
      </c>
      <c r="UKH47" s="1156"/>
      <c r="UKI47" s="1156" t="s">
        <v>814</v>
      </c>
      <c r="UKJ47" s="1156"/>
      <c r="UKK47" s="1156" t="s">
        <v>814</v>
      </c>
      <c r="UKL47" s="1156"/>
      <c r="UKM47" s="1156" t="s">
        <v>814</v>
      </c>
      <c r="UKN47" s="1156"/>
      <c r="UKO47" s="1156" t="s">
        <v>814</v>
      </c>
      <c r="UKP47" s="1156"/>
      <c r="UKQ47" s="1156" t="s">
        <v>814</v>
      </c>
      <c r="UKR47" s="1156"/>
      <c r="UKS47" s="1156" t="s">
        <v>814</v>
      </c>
      <c r="UKT47" s="1156"/>
      <c r="UKU47" s="1156" t="s">
        <v>814</v>
      </c>
      <c r="UKV47" s="1156"/>
      <c r="UKW47" s="1156" t="s">
        <v>814</v>
      </c>
      <c r="UKX47" s="1156"/>
      <c r="UKY47" s="1156" t="s">
        <v>814</v>
      </c>
      <c r="UKZ47" s="1156"/>
      <c r="ULA47" s="1156" t="s">
        <v>814</v>
      </c>
      <c r="ULB47" s="1156"/>
      <c r="ULC47" s="1156" t="s">
        <v>814</v>
      </c>
      <c r="ULD47" s="1156"/>
      <c r="ULE47" s="1156" t="s">
        <v>814</v>
      </c>
      <c r="ULF47" s="1156"/>
      <c r="ULG47" s="1156" t="s">
        <v>814</v>
      </c>
      <c r="ULH47" s="1156"/>
      <c r="ULI47" s="1156" t="s">
        <v>814</v>
      </c>
      <c r="ULJ47" s="1156"/>
      <c r="ULK47" s="1156" t="s">
        <v>814</v>
      </c>
      <c r="ULL47" s="1156"/>
      <c r="ULM47" s="1156" t="s">
        <v>814</v>
      </c>
      <c r="ULN47" s="1156"/>
      <c r="ULO47" s="1156" t="s">
        <v>814</v>
      </c>
      <c r="ULP47" s="1156"/>
      <c r="ULQ47" s="1156" t="s">
        <v>814</v>
      </c>
      <c r="ULR47" s="1156"/>
      <c r="ULS47" s="1156" t="s">
        <v>814</v>
      </c>
      <c r="ULT47" s="1156"/>
      <c r="ULU47" s="1156" t="s">
        <v>814</v>
      </c>
      <c r="ULV47" s="1156"/>
      <c r="ULW47" s="1156" t="s">
        <v>814</v>
      </c>
      <c r="ULX47" s="1156"/>
      <c r="ULY47" s="1156" t="s">
        <v>814</v>
      </c>
      <c r="ULZ47" s="1156"/>
      <c r="UMA47" s="1156" t="s">
        <v>814</v>
      </c>
      <c r="UMB47" s="1156"/>
      <c r="UMC47" s="1156" t="s">
        <v>814</v>
      </c>
      <c r="UMD47" s="1156"/>
      <c r="UME47" s="1156" t="s">
        <v>814</v>
      </c>
      <c r="UMF47" s="1156"/>
      <c r="UMG47" s="1156" t="s">
        <v>814</v>
      </c>
      <c r="UMH47" s="1156"/>
      <c r="UMI47" s="1156" t="s">
        <v>814</v>
      </c>
      <c r="UMJ47" s="1156"/>
      <c r="UMK47" s="1156" t="s">
        <v>814</v>
      </c>
      <c r="UML47" s="1156"/>
      <c r="UMM47" s="1156" t="s">
        <v>814</v>
      </c>
      <c r="UMN47" s="1156"/>
      <c r="UMO47" s="1156" t="s">
        <v>814</v>
      </c>
      <c r="UMP47" s="1156"/>
      <c r="UMQ47" s="1156" t="s">
        <v>814</v>
      </c>
      <c r="UMR47" s="1156"/>
      <c r="UMS47" s="1156" t="s">
        <v>814</v>
      </c>
      <c r="UMT47" s="1156"/>
      <c r="UMU47" s="1156" t="s">
        <v>814</v>
      </c>
      <c r="UMV47" s="1156"/>
      <c r="UMW47" s="1156" t="s">
        <v>814</v>
      </c>
      <c r="UMX47" s="1156"/>
      <c r="UMY47" s="1156" t="s">
        <v>814</v>
      </c>
      <c r="UMZ47" s="1156"/>
      <c r="UNA47" s="1156" t="s">
        <v>814</v>
      </c>
      <c r="UNB47" s="1156"/>
      <c r="UNC47" s="1156" t="s">
        <v>814</v>
      </c>
      <c r="UND47" s="1156"/>
      <c r="UNE47" s="1156" t="s">
        <v>814</v>
      </c>
      <c r="UNF47" s="1156"/>
      <c r="UNG47" s="1156" t="s">
        <v>814</v>
      </c>
      <c r="UNH47" s="1156"/>
      <c r="UNI47" s="1156" t="s">
        <v>814</v>
      </c>
      <c r="UNJ47" s="1156"/>
      <c r="UNK47" s="1156" t="s">
        <v>814</v>
      </c>
      <c r="UNL47" s="1156"/>
      <c r="UNM47" s="1156" t="s">
        <v>814</v>
      </c>
      <c r="UNN47" s="1156"/>
      <c r="UNO47" s="1156" t="s">
        <v>814</v>
      </c>
      <c r="UNP47" s="1156"/>
      <c r="UNQ47" s="1156" t="s">
        <v>814</v>
      </c>
      <c r="UNR47" s="1156"/>
      <c r="UNS47" s="1156" t="s">
        <v>814</v>
      </c>
      <c r="UNT47" s="1156"/>
      <c r="UNU47" s="1156" t="s">
        <v>814</v>
      </c>
      <c r="UNV47" s="1156"/>
      <c r="UNW47" s="1156" t="s">
        <v>814</v>
      </c>
      <c r="UNX47" s="1156"/>
      <c r="UNY47" s="1156" t="s">
        <v>814</v>
      </c>
      <c r="UNZ47" s="1156"/>
      <c r="UOA47" s="1156" t="s">
        <v>814</v>
      </c>
      <c r="UOB47" s="1156"/>
      <c r="UOC47" s="1156" t="s">
        <v>814</v>
      </c>
      <c r="UOD47" s="1156"/>
      <c r="UOE47" s="1156" t="s">
        <v>814</v>
      </c>
      <c r="UOF47" s="1156"/>
      <c r="UOG47" s="1156" t="s">
        <v>814</v>
      </c>
      <c r="UOH47" s="1156"/>
      <c r="UOI47" s="1156" t="s">
        <v>814</v>
      </c>
      <c r="UOJ47" s="1156"/>
      <c r="UOK47" s="1156" t="s">
        <v>814</v>
      </c>
      <c r="UOL47" s="1156"/>
      <c r="UOM47" s="1156" t="s">
        <v>814</v>
      </c>
      <c r="UON47" s="1156"/>
      <c r="UOO47" s="1156" t="s">
        <v>814</v>
      </c>
      <c r="UOP47" s="1156"/>
      <c r="UOQ47" s="1156" t="s">
        <v>814</v>
      </c>
      <c r="UOR47" s="1156"/>
      <c r="UOS47" s="1156" t="s">
        <v>814</v>
      </c>
      <c r="UOT47" s="1156"/>
      <c r="UOU47" s="1156" t="s">
        <v>814</v>
      </c>
      <c r="UOV47" s="1156"/>
      <c r="UOW47" s="1156" t="s">
        <v>814</v>
      </c>
      <c r="UOX47" s="1156"/>
      <c r="UOY47" s="1156" t="s">
        <v>814</v>
      </c>
      <c r="UOZ47" s="1156"/>
      <c r="UPA47" s="1156" t="s">
        <v>814</v>
      </c>
      <c r="UPB47" s="1156"/>
      <c r="UPC47" s="1156" t="s">
        <v>814</v>
      </c>
      <c r="UPD47" s="1156"/>
      <c r="UPE47" s="1156" t="s">
        <v>814</v>
      </c>
      <c r="UPF47" s="1156"/>
      <c r="UPG47" s="1156" t="s">
        <v>814</v>
      </c>
      <c r="UPH47" s="1156"/>
      <c r="UPI47" s="1156" t="s">
        <v>814</v>
      </c>
      <c r="UPJ47" s="1156"/>
      <c r="UPK47" s="1156" t="s">
        <v>814</v>
      </c>
      <c r="UPL47" s="1156"/>
      <c r="UPM47" s="1156" t="s">
        <v>814</v>
      </c>
      <c r="UPN47" s="1156"/>
      <c r="UPO47" s="1156" t="s">
        <v>814</v>
      </c>
      <c r="UPP47" s="1156"/>
      <c r="UPQ47" s="1156" t="s">
        <v>814</v>
      </c>
      <c r="UPR47" s="1156"/>
      <c r="UPS47" s="1156" t="s">
        <v>814</v>
      </c>
      <c r="UPT47" s="1156"/>
      <c r="UPU47" s="1156" t="s">
        <v>814</v>
      </c>
      <c r="UPV47" s="1156"/>
      <c r="UPW47" s="1156" t="s">
        <v>814</v>
      </c>
      <c r="UPX47" s="1156"/>
      <c r="UPY47" s="1156" t="s">
        <v>814</v>
      </c>
      <c r="UPZ47" s="1156"/>
      <c r="UQA47" s="1156" t="s">
        <v>814</v>
      </c>
      <c r="UQB47" s="1156"/>
      <c r="UQC47" s="1156" t="s">
        <v>814</v>
      </c>
      <c r="UQD47" s="1156"/>
      <c r="UQE47" s="1156" t="s">
        <v>814</v>
      </c>
      <c r="UQF47" s="1156"/>
      <c r="UQG47" s="1156" t="s">
        <v>814</v>
      </c>
      <c r="UQH47" s="1156"/>
      <c r="UQI47" s="1156" t="s">
        <v>814</v>
      </c>
      <c r="UQJ47" s="1156"/>
      <c r="UQK47" s="1156" t="s">
        <v>814</v>
      </c>
      <c r="UQL47" s="1156"/>
      <c r="UQM47" s="1156" t="s">
        <v>814</v>
      </c>
      <c r="UQN47" s="1156"/>
      <c r="UQO47" s="1156" t="s">
        <v>814</v>
      </c>
      <c r="UQP47" s="1156"/>
      <c r="UQQ47" s="1156" t="s">
        <v>814</v>
      </c>
      <c r="UQR47" s="1156"/>
      <c r="UQS47" s="1156" t="s">
        <v>814</v>
      </c>
      <c r="UQT47" s="1156"/>
      <c r="UQU47" s="1156" t="s">
        <v>814</v>
      </c>
      <c r="UQV47" s="1156"/>
      <c r="UQW47" s="1156" t="s">
        <v>814</v>
      </c>
      <c r="UQX47" s="1156"/>
      <c r="UQY47" s="1156" t="s">
        <v>814</v>
      </c>
      <c r="UQZ47" s="1156"/>
      <c r="URA47" s="1156" t="s">
        <v>814</v>
      </c>
      <c r="URB47" s="1156"/>
      <c r="URC47" s="1156" t="s">
        <v>814</v>
      </c>
      <c r="URD47" s="1156"/>
      <c r="URE47" s="1156" t="s">
        <v>814</v>
      </c>
      <c r="URF47" s="1156"/>
      <c r="URG47" s="1156" t="s">
        <v>814</v>
      </c>
      <c r="URH47" s="1156"/>
      <c r="URI47" s="1156" t="s">
        <v>814</v>
      </c>
      <c r="URJ47" s="1156"/>
      <c r="URK47" s="1156" t="s">
        <v>814</v>
      </c>
      <c r="URL47" s="1156"/>
      <c r="URM47" s="1156" t="s">
        <v>814</v>
      </c>
      <c r="URN47" s="1156"/>
      <c r="URO47" s="1156" t="s">
        <v>814</v>
      </c>
      <c r="URP47" s="1156"/>
      <c r="URQ47" s="1156" t="s">
        <v>814</v>
      </c>
      <c r="URR47" s="1156"/>
      <c r="URS47" s="1156" t="s">
        <v>814</v>
      </c>
      <c r="URT47" s="1156"/>
      <c r="URU47" s="1156" t="s">
        <v>814</v>
      </c>
      <c r="URV47" s="1156"/>
      <c r="URW47" s="1156" t="s">
        <v>814</v>
      </c>
      <c r="URX47" s="1156"/>
      <c r="URY47" s="1156" t="s">
        <v>814</v>
      </c>
      <c r="URZ47" s="1156"/>
      <c r="USA47" s="1156" t="s">
        <v>814</v>
      </c>
      <c r="USB47" s="1156"/>
      <c r="USC47" s="1156" t="s">
        <v>814</v>
      </c>
      <c r="USD47" s="1156"/>
      <c r="USE47" s="1156" t="s">
        <v>814</v>
      </c>
      <c r="USF47" s="1156"/>
      <c r="USG47" s="1156" t="s">
        <v>814</v>
      </c>
      <c r="USH47" s="1156"/>
      <c r="USI47" s="1156" t="s">
        <v>814</v>
      </c>
      <c r="USJ47" s="1156"/>
      <c r="USK47" s="1156" t="s">
        <v>814</v>
      </c>
      <c r="USL47" s="1156"/>
      <c r="USM47" s="1156" t="s">
        <v>814</v>
      </c>
      <c r="USN47" s="1156"/>
      <c r="USO47" s="1156" t="s">
        <v>814</v>
      </c>
      <c r="USP47" s="1156"/>
      <c r="USQ47" s="1156" t="s">
        <v>814</v>
      </c>
      <c r="USR47" s="1156"/>
      <c r="USS47" s="1156" t="s">
        <v>814</v>
      </c>
      <c r="UST47" s="1156"/>
      <c r="USU47" s="1156" t="s">
        <v>814</v>
      </c>
      <c r="USV47" s="1156"/>
      <c r="USW47" s="1156" t="s">
        <v>814</v>
      </c>
      <c r="USX47" s="1156"/>
      <c r="USY47" s="1156" t="s">
        <v>814</v>
      </c>
      <c r="USZ47" s="1156"/>
      <c r="UTA47" s="1156" t="s">
        <v>814</v>
      </c>
      <c r="UTB47" s="1156"/>
      <c r="UTC47" s="1156" t="s">
        <v>814</v>
      </c>
      <c r="UTD47" s="1156"/>
      <c r="UTE47" s="1156" t="s">
        <v>814</v>
      </c>
      <c r="UTF47" s="1156"/>
      <c r="UTG47" s="1156" t="s">
        <v>814</v>
      </c>
      <c r="UTH47" s="1156"/>
      <c r="UTI47" s="1156" t="s">
        <v>814</v>
      </c>
      <c r="UTJ47" s="1156"/>
      <c r="UTK47" s="1156" t="s">
        <v>814</v>
      </c>
      <c r="UTL47" s="1156"/>
      <c r="UTM47" s="1156" t="s">
        <v>814</v>
      </c>
      <c r="UTN47" s="1156"/>
      <c r="UTO47" s="1156" t="s">
        <v>814</v>
      </c>
      <c r="UTP47" s="1156"/>
      <c r="UTQ47" s="1156" t="s">
        <v>814</v>
      </c>
      <c r="UTR47" s="1156"/>
      <c r="UTS47" s="1156" t="s">
        <v>814</v>
      </c>
      <c r="UTT47" s="1156"/>
      <c r="UTU47" s="1156" t="s">
        <v>814</v>
      </c>
      <c r="UTV47" s="1156"/>
      <c r="UTW47" s="1156" t="s">
        <v>814</v>
      </c>
      <c r="UTX47" s="1156"/>
      <c r="UTY47" s="1156" t="s">
        <v>814</v>
      </c>
      <c r="UTZ47" s="1156"/>
      <c r="UUA47" s="1156" t="s">
        <v>814</v>
      </c>
      <c r="UUB47" s="1156"/>
      <c r="UUC47" s="1156" t="s">
        <v>814</v>
      </c>
      <c r="UUD47" s="1156"/>
      <c r="UUE47" s="1156" t="s">
        <v>814</v>
      </c>
      <c r="UUF47" s="1156"/>
      <c r="UUG47" s="1156" t="s">
        <v>814</v>
      </c>
      <c r="UUH47" s="1156"/>
      <c r="UUI47" s="1156" t="s">
        <v>814</v>
      </c>
      <c r="UUJ47" s="1156"/>
      <c r="UUK47" s="1156" t="s">
        <v>814</v>
      </c>
      <c r="UUL47" s="1156"/>
      <c r="UUM47" s="1156" t="s">
        <v>814</v>
      </c>
      <c r="UUN47" s="1156"/>
      <c r="UUO47" s="1156" t="s">
        <v>814</v>
      </c>
      <c r="UUP47" s="1156"/>
      <c r="UUQ47" s="1156" t="s">
        <v>814</v>
      </c>
      <c r="UUR47" s="1156"/>
      <c r="UUS47" s="1156" t="s">
        <v>814</v>
      </c>
      <c r="UUT47" s="1156"/>
      <c r="UUU47" s="1156" t="s">
        <v>814</v>
      </c>
      <c r="UUV47" s="1156"/>
      <c r="UUW47" s="1156" t="s">
        <v>814</v>
      </c>
      <c r="UUX47" s="1156"/>
      <c r="UUY47" s="1156" t="s">
        <v>814</v>
      </c>
      <c r="UUZ47" s="1156"/>
      <c r="UVA47" s="1156" t="s">
        <v>814</v>
      </c>
      <c r="UVB47" s="1156"/>
      <c r="UVC47" s="1156" t="s">
        <v>814</v>
      </c>
      <c r="UVD47" s="1156"/>
      <c r="UVE47" s="1156" t="s">
        <v>814</v>
      </c>
      <c r="UVF47" s="1156"/>
      <c r="UVG47" s="1156" t="s">
        <v>814</v>
      </c>
      <c r="UVH47" s="1156"/>
      <c r="UVI47" s="1156" t="s">
        <v>814</v>
      </c>
      <c r="UVJ47" s="1156"/>
      <c r="UVK47" s="1156" t="s">
        <v>814</v>
      </c>
      <c r="UVL47" s="1156"/>
      <c r="UVM47" s="1156" t="s">
        <v>814</v>
      </c>
      <c r="UVN47" s="1156"/>
      <c r="UVO47" s="1156" t="s">
        <v>814</v>
      </c>
      <c r="UVP47" s="1156"/>
      <c r="UVQ47" s="1156" t="s">
        <v>814</v>
      </c>
      <c r="UVR47" s="1156"/>
      <c r="UVS47" s="1156" t="s">
        <v>814</v>
      </c>
      <c r="UVT47" s="1156"/>
      <c r="UVU47" s="1156" t="s">
        <v>814</v>
      </c>
      <c r="UVV47" s="1156"/>
      <c r="UVW47" s="1156" t="s">
        <v>814</v>
      </c>
      <c r="UVX47" s="1156"/>
      <c r="UVY47" s="1156" t="s">
        <v>814</v>
      </c>
      <c r="UVZ47" s="1156"/>
      <c r="UWA47" s="1156" t="s">
        <v>814</v>
      </c>
      <c r="UWB47" s="1156"/>
      <c r="UWC47" s="1156" t="s">
        <v>814</v>
      </c>
      <c r="UWD47" s="1156"/>
      <c r="UWE47" s="1156" t="s">
        <v>814</v>
      </c>
      <c r="UWF47" s="1156"/>
      <c r="UWG47" s="1156" t="s">
        <v>814</v>
      </c>
      <c r="UWH47" s="1156"/>
      <c r="UWI47" s="1156" t="s">
        <v>814</v>
      </c>
      <c r="UWJ47" s="1156"/>
      <c r="UWK47" s="1156" t="s">
        <v>814</v>
      </c>
      <c r="UWL47" s="1156"/>
      <c r="UWM47" s="1156" t="s">
        <v>814</v>
      </c>
      <c r="UWN47" s="1156"/>
      <c r="UWO47" s="1156" t="s">
        <v>814</v>
      </c>
      <c r="UWP47" s="1156"/>
      <c r="UWQ47" s="1156" t="s">
        <v>814</v>
      </c>
      <c r="UWR47" s="1156"/>
      <c r="UWS47" s="1156" t="s">
        <v>814</v>
      </c>
      <c r="UWT47" s="1156"/>
      <c r="UWU47" s="1156" t="s">
        <v>814</v>
      </c>
      <c r="UWV47" s="1156"/>
      <c r="UWW47" s="1156" t="s">
        <v>814</v>
      </c>
      <c r="UWX47" s="1156"/>
      <c r="UWY47" s="1156" t="s">
        <v>814</v>
      </c>
      <c r="UWZ47" s="1156"/>
      <c r="UXA47" s="1156" t="s">
        <v>814</v>
      </c>
      <c r="UXB47" s="1156"/>
      <c r="UXC47" s="1156" t="s">
        <v>814</v>
      </c>
      <c r="UXD47" s="1156"/>
      <c r="UXE47" s="1156" t="s">
        <v>814</v>
      </c>
      <c r="UXF47" s="1156"/>
      <c r="UXG47" s="1156" t="s">
        <v>814</v>
      </c>
      <c r="UXH47" s="1156"/>
      <c r="UXI47" s="1156" t="s">
        <v>814</v>
      </c>
      <c r="UXJ47" s="1156"/>
      <c r="UXK47" s="1156" t="s">
        <v>814</v>
      </c>
      <c r="UXL47" s="1156"/>
      <c r="UXM47" s="1156" t="s">
        <v>814</v>
      </c>
      <c r="UXN47" s="1156"/>
      <c r="UXO47" s="1156" t="s">
        <v>814</v>
      </c>
      <c r="UXP47" s="1156"/>
      <c r="UXQ47" s="1156" t="s">
        <v>814</v>
      </c>
      <c r="UXR47" s="1156"/>
      <c r="UXS47" s="1156" t="s">
        <v>814</v>
      </c>
      <c r="UXT47" s="1156"/>
      <c r="UXU47" s="1156" t="s">
        <v>814</v>
      </c>
      <c r="UXV47" s="1156"/>
      <c r="UXW47" s="1156" t="s">
        <v>814</v>
      </c>
      <c r="UXX47" s="1156"/>
      <c r="UXY47" s="1156" t="s">
        <v>814</v>
      </c>
      <c r="UXZ47" s="1156"/>
      <c r="UYA47" s="1156" t="s">
        <v>814</v>
      </c>
      <c r="UYB47" s="1156"/>
      <c r="UYC47" s="1156" t="s">
        <v>814</v>
      </c>
      <c r="UYD47" s="1156"/>
      <c r="UYE47" s="1156" t="s">
        <v>814</v>
      </c>
      <c r="UYF47" s="1156"/>
      <c r="UYG47" s="1156" t="s">
        <v>814</v>
      </c>
      <c r="UYH47" s="1156"/>
      <c r="UYI47" s="1156" t="s">
        <v>814</v>
      </c>
      <c r="UYJ47" s="1156"/>
      <c r="UYK47" s="1156" t="s">
        <v>814</v>
      </c>
      <c r="UYL47" s="1156"/>
      <c r="UYM47" s="1156" t="s">
        <v>814</v>
      </c>
      <c r="UYN47" s="1156"/>
      <c r="UYO47" s="1156" t="s">
        <v>814</v>
      </c>
      <c r="UYP47" s="1156"/>
      <c r="UYQ47" s="1156" t="s">
        <v>814</v>
      </c>
      <c r="UYR47" s="1156"/>
      <c r="UYS47" s="1156" t="s">
        <v>814</v>
      </c>
      <c r="UYT47" s="1156"/>
      <c r="UYU47" s="1156" t="s">
        <v>814</v>
      </c>
      <c r="UYV47" s="1156"/>
      <c r="UYW47" s="1156" t="s">
        <v>814</v>
      </c>
      <c r="UYX47" s="1156"/>
      <c r="UYY47" s="1156" t="s">
        <v>814</v>
      </c>
      <c r="UYZ47" s="1156"/>
      <c r="UZA47" s="1156" t="s">
        <v>814</v>
      </c>
      <c r="UZB47" s="1156"/>
      <c r="UZC47" s="1156" t="s">
        <v>814</v>
      </c>
      <c r="UZD47" s="1156"/>
      <c r="UZE47" s="1156" t="s">
        <v>814</v>
      </c>
      <c r="UZF47" s="1156"/>
      <c r="UZG47" s="1156" t="s">
        <v>814</v>
      </c>
      <c r="UZH47" s="1156"/>
      <c r="UZI47" s="1156" t="s">
        <v>814</v>
      </c>
      <c r="UZJ47" s="1156"/>
      <c r="UZK47" s="1156" t="s">
        <v>814</v>
      </c>
      <c r="UZL47" s="1156"/>
      <c r="UZM47" s="1156" t="s">
        <v>814</v>
      </c>
      <c r="UZN47" s="1156"/>
      <c r="UZO47" s="1156" t="s">
        <v>814</v>
      </c>
      <c r="UZP47" s="1156"/>
      <c r="UZQ47" s="1156" t="s">
        <v>814</v>
      </c>
      <c r="UZR47" s="1156"/>
      <c r="UZS47" s="1156" t="s">
        <v>814</v>
      </c>
      <c r="UZT47" s="1156"/>
      <c r="UZU47" s="1156" t="s">
        <v>814</v>
      </c>
      <c r="UZV47" s="1156"/>
      <c r="UZW47" s="1156" t="s">
        <v>814</v>
      </c>
      <c r="UZX47" s="1156"/>
      <c r="UZY47" s="1156" t="s">
        <v>814</v>
      </c>
      <c r="UZZ47" s="1156"/>
      <c r="VAA47" s="1156" t="s">
        <v>814</v>
      </c>
      <c r="VAB47" s="1156"/>
      <c r="VAC47" s="1156" t="s">
        <v>814</v>
      </c>
      <c r="VAD47" s="1156"/>
      <c r="VAE47" s="1156" t="s">
        <v>814</v>
      </c>
      <c r="VAF47" s="1156"/>
      <c r="VAG47" s="1156" t="s">
        <v>814</v>
      </c>
      <c r="VAH47" s="1156"/>
      <c r="VAI47" s="1156" t="s">
        <v>814</v>
      </c>
      <c r="VAJ47" s="1156"/>
      <c r="VAK47" s="1156" t="s">
        <v>814</v>
      </c>
      <c r="VAL47" s="1156"/>
      <c r="VAM47" s="1156" t="s">
        <v>814</v>
      </c>
      <c r="VAN47" s="1156"/>
      <c r="VAO47" s="1156" t="s">
        <v>814</v>
      </c>
      <c r="VAP47" s="1156"/>
      <c r="VAQ47" s="1156" t="s">
        <v>814</v>
      </c>
      <c r="VAR47" s="1156"/>
      <c r="VAS47" s="1156" t="s">
        <v>814</v>
      </c>
      <c r="VAT47" s="1156"/>
      <c r="VAU47" s="1156" t="s">
        <v>814</v>
      </c>
      <c r="VAV47" s="1156"/>
      <c r="VAW47" s="1156" t="s">
        <v>814</v>
      </c>
      <c r="VAX47" s="1156"/>
      <c r="VAY47" s="1156" t="s">
        <v>814</v>
      </c>
      <c r="VAZ47" s="1156"/>
      <c r="VBA47" s="1156" t="s">
        <v>814</v>
      </c>
      <c r="VBB47" s="1156"/>
      <c r="VBC47" s="1156" t="s">
        <v>814</v>
      </c>
      <c r="VBD47" s="1156"/>
      <c r="VBE47" s="1156" t="s">
        <v>814</v>
      </c>
      <c r="VBF47" s="1156"/>
      <c r="VBG47" s="1156" t="s">
        <v>814</v>
      </c>
      <c r="VBH47" s="1156"/>
      <c r="VBI47" s="1156" t="s">
        <v>814</v>
      </c>
      <c r="VBJ47" s="1156"/>
      <c r="VBK47" s="1156" t="s">
        <v>814</v>
      </c>
      <c r="VBL47" s="1156"/>
      <c r="VBM47" s="1156" t="s">
        <v>814</v>
      </c>
      <c r="VBN47" s="1156"/>
      <c r="VBO47" s="1156" t="s">
        <v>814</v>
      </c>
      <c r="VBP47" s="1156"/>
      <c r="VBQ47" s="1156" t="s">
        <v>814</v>
      </c>
      <c r="VBR47" s="1156"/>
      <c r="VBS47" s="1156" t="s">
        <v>814</v>
      </c>
      <c r="VBT47" s="1156"/>
      <c r="VBU47" s="1156" t="s">
        <v>814</v>
      </c>
      <c r="VBV47" s="1156"/>
      <c r="VBW47" s="1156" t="s">
        <v>814</v>
      </c>
      <c r="VBX47" s="1156"/>
      <c r="VBY47" s="1156" t="s">
        <v>814</v>
      </c>
      <c r="VBZ47" s="1156"/>
      <c r="VCA47" s="1156" t="s">
        <v>814</v>
      </c>
      <c r="VCB47" s="1156"/>
      <c r="VCC47" s="1156" t="s">
        <v>814</v>
      </c>
      <c r="VCD47" s="1156"/>
      <c r="VCE47" s="1156" t="s">
        <v>814</v>
      </c>
      <c r="VCF47" s="1156"/>
      <c r="VCG47" s="1156" t="s">
        <v>814</v>
      </c>
      <c r="VCH47" s="1156"/>
      <c r="VCI47" s="1156" t="s">
        <v>814</v>
      </c>
      <c r="VCJ47" s="1156"/>
      <c r="VCK47" s="1156" t="s">
        <v>814</v>
      </c>
      <c r="VCL47" s="1156"/>
      <c r="VCM47" s="1156" t="s">
        <v>814</v>
      </c>
      <c r="VCN47" s="1156"/>
      <c r="VCO47" s="1156" t="s">
        <v>814</v>
      </c>
      <c r="VCP47" s="1156"/>
      <c r="VCQ47" s="1156" t="s">
        <v>814</v>
      </c>
      <c r="VCR47" s="1156"/>
      <c r="VCS47" s="1156" t="s">
        <v>814</v>
      </c>
      <c r="VCT47" s="1156"/>
      <c r="VCU47" s="1156" t="s">
        <v>814</v>
      </c>
      <c r="VCV47" s="1156"/>
      <c r="VCW47" s="1156" t="s">
        <v>814</v>
      </c>
      <c r="VCX47" s="1156"/>
      <c r="VCY47" s="1156" t="s">
        <v>814</v>
      </c>
      <c r="VCZ47" s="1156"/>
      <c r="VDA47" s="1156" t="s">
        <v>814</v>
      </c>
      <c r="VDB47" s="1156"/>
      <c r="VDC47" s="1156" t="s">
        <v>814</v>
      </c>
      <c r="VDD47" s="1156"/>
      <c r="VDE47" s="1156" t="s">
        <v>814</v>
      </c>
      <c r="VDF47" s="1156"/>
      <c r="VDG47" s="1156" t="s">
        <v>814</v>
      </c>
      <c r="VDH47" s="1156"/>
      <c r="VDI47" s="1156" t="s">
        <v>814</v>
      </c>
      <c r="VDJ47" s="1156"/>
      <c r="VDK47" s="1156" t="s">
        <v>814</v>
      </c>
      <c r="VDL47" s="1156"/>
      <c r="VDM47" s="1156" t="s">
        <v>814</v>
      </c>
      <c r="VDN47" s="1156"/>
      <c r="VDO47" s="1156" t="s">
        <v>814</v>
      </c>
      <c r="VDP47" s="1156"/>
      <c r="VDQ47" s="1156" t="s">
        <v>814</v>
      </c>
      <c r="VDR47" s="1156"/>
      <c r="VDS47" s="1156" t="s">
        <v>814</v>
      </c>
      <c r="VDT47" s="1156"/>
      <c r="VDU47" s="1156" t="s">
        <v>814</v>
      </c>
      <c r="VDV47" s="1156"/>
      <c r="VDW47" s="1156" t="s">
        <v>814</v>
      </c>
      <c r="VDX47" s="1156"/>
      <c r="VDY47" s="1156" t="s">
        <v>814</v>
      </c>
      <c r="VDZ47" s="1156"/>
      <c r="VEA47" s="1156" t="s">
        <v>814</v>
      </c>
      <c r="VEB47" s="1156"/>
      <c r="VEC47" s="1156" t="s">
        <v>814</v>
      </c>
      <c r="VED47" s="1156"/>
      <c r="VEE47" s="1156" t="s">
        <v>814</v>
      </c>
      <c r="VEF47" s="1156"/>
      <c r="VEG47" s="1156" t="s">
        <v>814</v>
      </c>
      <c r="VEH47" s="1156"/>
      <c r="VEI47" s="1156" t="s">
        <v>814</v>
      </c>
      <c r="VEJ47" s="1156"/>
      <c r="VEK47" s="1156" t="s">
        <v>814</v>
      </c>
      <c r="VEL47" s="1156"/>
      <c r="VEM47" s="1156" t="s">
        <v>814</v>
      </c>
      <c r="VEN47" s="1156"/>
      <c r="VEO47" s="1156" t="s">
        <v>814</v>
      </c>
      <c r="VEP47" s="1156"/>
      <c r="VEQ47" s="1156" t="s">
        <v>814</v>
      </c>
      <c r="VER47" s="1156"/>
      <c r="VES47" s="1156" t="s">
        <v>814</v>
      </c>
      <c r="VET47" s="1156"/>
      <c r="VEU47" s="1156" t="s">
        <v>814</v>
      </c>
      <c r="VEV47" s="1156"/>
      <c r="VEW47" s="1156" t="s">
        <v>814</v>
      </c>
      <c r="VEX47" s="1156"/>
      <c r="VEY47" s="1156" t="s">
        <v>814</v>
      </c>
      <c r="VEZ47" s="1156"/>
      <c r="VFA47" s="1156" t="s">
        <v>814</v>
      </c>
      <c r="VFB47" s="1156"/>
      <c r="VFC47" s="1156" t="s">
        <v>814</v>
      </c>
      <c r="VFD47" s="1156"/>
      <c r="VFE47" s="1156" t="s">
        <v>814</v>
      </c>
      <c r="VFF47" s="1156"/>
      <c r="VFG47" s="1156" t="s">
        <v>814</v>
      </c>
      <c r="VFH47" s="1156"/>
      <c r="VFI47" s="1156" t="s">
        <v>814</v>
      </c>
      <c r="VFJ47" s="1156"/>
      <c r="VFK47" s="1156" t="s">
        <v>814</v>
      </c>
      <c r="VFL47" s="1156"/>
      <c r="VFM47" s="1156" t="s">
        <v>814</v>
      </c>
      <c r="VFN47" s="1156"/>
      <c r="VFO47" s="1156" t="s">
        <v>814</v>
      </c>
      <c r="VFP47" s="1156"/>
      <c r="VFQ47" s="1156" t="s">
        <v>814</v>
      </c>
      <c r="VFR47" s="1156"/>
      <c r="VFS47" s="1156" t="s">
        <v>814</v>
      </c>
      <c r="VFT47" s="1156"/>
      <c r="VFU47" s="1156" t="s">
        <v>814</v>
      </c>
      <c r="VFV47" s="1156"/>
      <c r="VFW47" s="1156" t="s">
        <v>814</v>
      </c>
      <c r="VFX47" s="1156"/>
      <c r="VFY47" s="1156" t="s">
        <v>814</v>
      </c>
      <c r="VFZ47" s="1156"/>
      <c r="VGA47" s="1156" t="s">
        <v>814</v>
      </c>
      <c r="VGB47" s="1156"/>
      <c r="VGC47" s="1156" t="s">
        <v>814</v>
      </c>
      <c r="VGD47" s="1156"/>
      <c r="VGE47" s="1156" t="s">
        <v>814</v>
      </c>
      <c r="VGF47" s="1156"/>
      <c r="VGG47" s="1156" t="s">
        <v>814</v>
      </c>
      <c r="VGH47" s="1156"/>
      <c r="VGI47" s="1156" t="s">
        <v>814</v>
      </c>
      <c r="VGJ47" s="1156"/>
      <c r="VGK47" s="1156" t="s">
        <v>814</v>
      </c>
      <c r="VGL47" s="1156"/>
      <c r="VGM47" s="1156" t="s">
        <v>814</v>
      </c>
      <c r="VGN47" s="1156"/>
      <c r="VGO47" s="1156" t="s">
        <v>814</v>
      </c>
      <c r="VGP47" s="1156"/>
      <c r="VGQ47" s="1156" t="s">
        <v>814</v>
      </c>
      <c r="VGR47" s="1156"/>
      <c r="VGS47" s="1156" t="s">
        <v>814</v>
      </c>
      <c r="VGT47" s="1156"/>
      <c r="VGU47" s="1156" t="s">
        <v>814</v>
      </c>
      <c r="VGV47" s="1156"/>
      <c r="VGW47" s="1156" t="s">
        <v>814</v>
      </c>
      <c r="VGX47" s="1156"/>
      <c r="VGY47" s="1156" t="s">
        <v>814</v>
      </c>
      <c r="VGZ47" s="1156"/>
      <c r="VHA47" s="1156" t="s">
        <v>814</v>
      </c>
      <c r="VHB47" s="1156"/>
      <c r="VHC47" s="1156" t="s">
        <v>814</v>
      </c>
      <c r="VHD47" s="1156"/>
      <c r="VHE47" s="1156" t="s">
        <v>814</v>
      </c>
      <c r="VHF47" s="1156"/>
      <c r="VHG47" s="1156" t="s">
        <v>814</v>
      </c>
      <c r="VHH47" s="1156"/>
      <c r="VHI47" s="1156" t="s">
        <v>814</v>
      </c>
      <c r="VHJ47" s="1156"/>
      <c r="VHK47" s="1156" t="s">
        <v>814</v>
      </c>
      <c r="VHL47" s="1156"/>
      <c r="VHM47" s="1156" t="s">
        <v>814</v>
      </c>
      <c r="VHN47" s="1156"/>
      <c r="VHO47" s="1156" t="s">
        <v>814</v>
      </c>
      <c r="VHP47" s="1156"/>
      <c r="VHQ47" s="1156" t="s">
        <v>814</v>
      </c>
      <c r="VHR47" s="1156"/>
      <c r="VHS47" s="1156" t="s">
        <v>814</v>
      </c>
      <c r="VHT47" s="1156"/>
      <c r="VHU47" s="1156" t="s">
        <v>814</v>
      </c>
      <c r="VHV47" s="1156"/>
      <c r="VHW47" s="1156" t="s">
        <v>814</v>
      </c>
      <c r="VHX47" s="1156"/>
      <c r="VHY47" s="1156" t="s">
        <v>814</v>
      </c>
      <c r="VHZ47" s="1156"/>
      <c r="VIA47" s="1156" t="s">
        <v>814</v>
      </c>
      <c r="VIB47" s="1156"/>
      <c r="VIC47" s="1156" t="s">
        <v>814</v>
      </c>
      <c r="VID47" s="1156"/>
      <c r="VIE47" s="1156" t="s">
        <v>814</v>
      </c>
      <c r="VIF47" s="1156"/>
      <c r="VIG47" s="1156" t="s">
        <v>814</v>
      </c>
      <c r="VIH47" s="1156"/>
      <c r="VII47" s="1156" t="s">
        <v>814</v>
      </c>
      <c r="VIJ47" s="1156"/>
      <c r="VIK47" s="1156" t="s">
        <v>814</v>
      </c>
      <c r="VIL47" s="1156"/>
      <c r="VIM47" s="1156" t="s">
        <v>814</v>
      </c>
      <c r="VIN47" s="1156"/>
      <c r="VIO47" s="1156" t="s">
        <v>814</v>
      </c>
      <c r="VIP47" s="1156"/>
      <c r="VIQ47" s="1156" t="s">
        <v>814</v>
      </c>
      <c r="VIR47" s="1156"/>
      <c r="VIS47" s="1156" t="s">
        <v>814</v>
      </c>
      <c r="VIT47" s="1156"/>
      <c r="VIU47" s="1156" t="s">
        <v>814</v>
      </c>
      <c r="VIV47" s="1156"/>
      <c r="VIW47" s="1156" t="s">
        <v>814</v>
      </c>
      <c r="VIX47" s="1156"/>
      <c r="VIY47" s="1156" t="s">
        <v>814</v>
      </c>
      <c r="VIZ47" s="1156"/>
      <c r="VJA47" s="1156" t="s">
        <v>814</v>
      </c>
      <c r="VJB47" s="1156"/>
      <c r="VJC47" s="1156" t="s">
        <v>814</v>
      </c>
      <c r="VJD47" s="1156"/>
      <c r="VJE47" s="1156" t="s">
        <v>814</v>
      </c>
      <c r="VJF47" s="1156"/>
      <c r="VJG47" s="1156" t="s">
        <v>814</v>
      </c>
      <c r="VJH47" s="1156"/>
      <c r="VJI47" s="1156" t="s">
        <v>814</v>
      </c>
      <c r="VJJ47" s="1156"/>
      <c r="VJK47" s="1156" t="s">
        <v>814</v>
      </c>
      <c r="VJL47" s="1156"/>
      <c r="VJM47" s="1156" t="s">
        <v>814</v>
      </c>
      <c r="VJN47" s="1156"/>
      <c r="VJO47" s="1156" t="s">
        <v>814</v>
      </c>
      <c r="VJP47" s="1156"/>
      <c r="VJQ47" s="1156" t="s">
        <v>814</v>
      </c>
      <c r="VJR47" s="1156"/>
      <c r="VJS47" s="1156" t="s">
        <v>814</v>
      </c>
      <c r="VJT47" s="1156"/>
      <c r="VJU47" s="1156" t="s">
        <v>814</v>
      </c>
      <c r="VJV47" s="1156"/>
      <c r="VJW47" s="1156" t="s">
        <v>814</v>
      </c>
      <c r="VJX47" s="1156"/>
      <c r="VJY47" s="1156" t="s">
        <v>814</v>
      </c>
      <c r="VJZ47" s="1156"/>
      <c r="VKA47" s="1156" t="s">
        <v>814</v>
      </c>
      <c r="VKB47" s="1156"/>
      <c r="VKC47" s="1156" t="s">
        <v>814</v>
      </c>
      <c r="VKD47" s="1156"/>
      <c r="VKE47" s="1156" t="s">
        <v>814</v>
      </c>
      <c r="VKF47" s="1156"/>
      <c r="VKG47" s="1156" t="s">
        <v>814</v>
      </c>
      <c r="VKH47" s="1156"/>
      <c r="VKI47" s="1156" t="s">
        <v>814</v>
      </c>
      <c r="VKJ47" s="1156"/>
      <c r="VKK47" s="1156" t="s">
        <v>814</v>
      </c>
      <c r="VKL47" s="1156"/>
      <c r="VKM47" s="1156" t="s">
        <v>814</v>
      </c>
      <c r="VKN47" s="1156"/>
      <c r="VKO47" s="1156" t="s">
        <v>814</v>
      </c>
      <c r="VKP47" s="1156"/>
      <c r="VKQ47" s="1156" t="s">
        <v>814</v>
      </c>
      <c r="VKR47" s="1156"/>
      <c r="VKS47" s="1156" t="s">
        <v>814</v>
      </c>
      <c r="VKT47" s="1156"/>
      <c r="VKU47" s="1156" t="s">
        <v>814</v>
      </c>
      <c r="VKV47" s="1156"/>
      <c r="VKW47" s="1156" t="s">
        <v>814</v>
      </c>
      <c r="VKX47" s="1156"/>
      <c r="VKY47" s="1156" t="s">
        <v>814</v>
      </c>
      <c r="VKZ47" s="1156"/>
      <c r="VLA47" s="1156" t="s">
        <v>814</v>
      </c>
      <c r="VLB47" s="1156"/>
      <c r="VLC47" s="1156" t="s">
        <v>814</v>
      </c>
      <c r="VLD47" s="1156"/>
      <c r="VLE47" s="1156" t="s">
        <v>814</v>
      </c>
      <c r="VLF47" s="1156"/>
      <c r="VLG47" s="1156" t="s">
        <v>814</v>
      </c>
      <c r="VLH47" s="1156"/>
      <c r="VLI47" s="1156" t="s">
        <v>814</v>
      </c>
      <c r="VLJ47" s="1156"/>
      <c r="VLK47" s="1156" t="s">
        <v>814</v>
      </c>
      <c r="VLL47" s="1156"/>
      <c r="VLM47" s="1156" t="s">
        <v>814</v>
      </c>
      <c r="VLN47" s="1156"/>
      <c r="VLO47" s="1156" t="s">
        <v>814</v>
      </c>
      <c r="VLP47" s="1156"/>
      <c r="VLQ47" s="1156" t="s">
        <v>814</v>
      </c>
      <c r="VLR47" s="1156"/>
      <c r="VLS47" s="1156" t="s">
        <v>814</v>
      </c>
      <c r="VLT47" s="1156"/>
      <c r="VLU47" s="1156" t="s">
        <v>814</v>
      </c>
      <c r="VLV47" s="1156"/>
      <c r="VLW47" s="1156" t="s">
        <v>814</v>
      </c>
      <c r="VLX47" s="1156"/>
      <c r="VLY47" s="1156" t="s">
        <v>814</v>
      </c>
      <c r="VLZ47" s="1156"/>
      <c r="VMA47" s="1156" t="s">
        <v>814</v>
      </c>
      <c r="VMB47" s="1156"/>
      <c r="VMC47" s="1156" t="s">
        <v>814</v>
      </c>
      <c r="VMD47" s="1156"/>
      <c r="VME47" s="1156" t="s">
        <v>814</v>
      </c>
      <c r="VMF47" s="1156"/>
      <c r="VMG47" s="1156" t="s">
        <v>814</v>
      </c>
      <c r="VMH47" s="1156"/>
      <c r="VMI47" s="1156" t="s">
        <v>814</v>
      </c>
      <c r="VMJ47" s="1156"/>
      <c r="VMK47" s="1156" t="s">
        <v>814</v>
      </c>
      <c r="VML47" s="1156"/>
      <c r="VMM47" s="1156" t="s">
        <v>814</v>
      </c>
      <c r="VMN47" s="1156"/>
      <c r="VMO47" s="1156" t="s">
        <v>814</v>
      </c>
      <c r="VMP47" s="1156"/>
      <c r="VMQ47" s="1156" t="s">
        <v>814</v>
      </c>
      <c r="VMR47" s="1156"/>
      <c r="VMS47" s="1156" t="s">
        <v>814</v>
      </c>
      <c r="VMT47" s="1156"/>
      <c r="VMU47" s="1156" t="s">
        <v>814</v>
      </c>
      <c r="VMV47" s="1156"/>
      <c r="VMW47" s="1156" t="s">
        <v>814</v>
      </c>
      <c r="VMX47" s="1156"/>
      <c r="VMY47" s="1156" t="s">
        <v>814</v>
      </c>
      <c r="VMZ47" s="1156"/>
      <c r="VNA47" s="1156" t="s">
        <v>814</v>
      </c>
      <c r="VNB47" s="1156"/>
      <c r="VNC47" s="1156" t="s">
        <v>814</v>
      </c>
      <c r="VND47" s="1156"/>
      <c r="VNE47" s="1156" t="s">
        <v>814</v>
      </c>
      <c r="VNF47" s="1156"/>
      <c r="VNG47" s="1156" t="s">
        <v>814</v>
      </c>
      <c r="VNH47" s="1156"/>
      <c r="VNI47" s="1156" t="s">
        <v>814</v>
      </c>
      <c r="VNJ47" s="1156"/>
      <c r="VNK47" s="1156" t="s">
        <v>814</v>
      </c>
      <c r="VNL47" s="1156"/>
      <c r="VNM47" s="1156" t="s">
        <v>814</v>
      </c>
      <c r="VNN47" s="1156"/>
      <c r="VNO47" s="1156" t="s">
        <v>814</v>
      </c>
      <c r="VNP47" s="1156"/>
      <c r="VNQ47" s="1156" t="s">
        <v>814</v>
      </c>
      <c r="VNR47" s="1156"/>
      <c r="VNS47" s="1156" t="s">
        <v>814</v>
      </c>
      <c r="VNT47" s="1156"/>
      <c r="VNU47" s="1156" t="s">
        <v>814</v>
      </c>
      <c r="VNV47" s="1156"/>
      <c r="VNW47" s="1156" t="s">
        <v>814</v>
      </c>
      <c r="VNX47" s="1156"/>
      <c r="VNY47" s="1156" t="s">
        <v>814</v>
      </c>
      <c r="VNZ47" s="1156"/>
      <c r="VOA47" s="1156" t="s">
        <v>814</v>
      </c>
      <c r="VOB47" s="1156"/>
      <c r="VOC47" s="1156" t="s">
        <v>814</v>
      </c>
      <c r="VOD47" s="1156"/>
      <c r="VOE47" s="1156" t="s">
        <v>814</v>
      </c>
      <c r="VOF47" s="1156"/>
      <c r="VOG47" s="1156" t="s">
        <v>814</v>
      </c>
      <c r="VOH47" s="1156"/>
      <c r="VOI47" s="1156" t="s">
        <v>814</v>
      </c>
      <c r="VOJ47" s="1156"/>
      <c r="VOK47" s="1156" t="s">
        <v>814</v>
      </c>
      <c r="VOL47" s="1156"/>
      <c r="VOM47" s="1156" t="s">
        <v>814</v>
      </c>
      <c r="VON47" s="1156"/>
      <c r="VOO47" s="1156" t="s">
        <v>814</v>
      </c>
      <c r="VOP47" s="1156"/>
      <c r="VOQ47" s="1156" t="s">
        <v>814</v>
      </c>
      <c r="VOR47" s="1156"/>
      <c r="VOS47" s="1156" t="s">
        <v>814</v>
      </c>
      <c r="VOT47" s="1156"/>
      <c r="VOU47" s="1156" t="s">
        <v>814</v>
      </c>
      <c r="VOV47" s="1156"/>
      <c r="VOW47" s="1156" t="s">
        <v>814</v>
      </c>
      <c r="VOX47" s="1156"/>
      <c r="VOY47" s="1156" t="s">
        <v>814</v>
      </c>
      <c r="VOZ47" s="1156"/>
      <c r="VPA47" s="1156" t="s">
        <v>814</v>
      </c>
      <c r="VPB47" s="1156"/>
      <c r="VPC47" s="1156" t="s">
        <v>814</v>
      </c>
      <c r="VPD47" s="1156"/>
      <c r="VPE47" s="1156" t="s">
        <v>814</v>
      </c>
      <c r="VPF47" s="1156"/>
      <c r="VPG47" s="1156" t="s">
        <v>814</v>
      </c>
      <c r="VPH47" s="1156"/>
      <c r="VPI47" s="1156" t="s">
        <v>814</v>
      </c>
      <c r="VPJ47" s="1156"/>
      <c r="VPK47" s="1156" t="s">
        <v>814</v>
      </c>
      <c r="VPL47" s="1156"/>
      <c r="VPM47" s="1156" t="s">
        <v>814</v>
      </c>
      <c r="VPN47" s="1156"/>
      <c r="VPO47" s="1156" t="s">
        <v>814</v>
      </c>
      <c r="VPP47" s="1156"/>
      <c r="VPQ47" s="1156" t="s">
        <v>814</v>
      </c>
      <c r="VPR47" s="1156"/>
      <c r="VPS47" s="1156" t="s">
        <v>814</v>
      </c>
      <c r="VPT47" s="1156"/>
      <c r="VPU47" s="1156" t="s">
        <v>814</v>
      </c>
      <c r="VPV47" s="1156"/>
      <c r="VPW47" s="1156" t="s">
        <v>814</v>
      </c>
      <c r="VPX47" s="1156"/>
      <c r="VPY47" s="1156" t="s">
        <v>814</v>
      </c>
      <c r="VPZ47" s="1156"/>
      <c r="VQA47" s="1156" t="s">
        <v>814</v>
      </c>
      <c r="VQB47" s="1156"/>
      <c r="VQC47" s="1156" t="s">
        <v>814</v>
      </c>
      <c r="VQD47" s="1156"/>
      <c r="VQE47" s="1156" t="s">
        <v>814</v>
      </c>
      <c r="VQF47" s="1156"/>
      <c r="VQG47" s="1156" t="s">
        <v>814</v>
      </c>
      <c r="VQH47" s="1156"/>
      <c r="VQI47" s="1156" t="s">
        <v>814</v>
      </c>
      <c r="VQJ47" s="1156"/>
      <c r="VQK47" s="1156" t="s">
        <v>814</v>
      </c>
      <c r="VQL47" s="1156"/>
      <c r="VQM47" s="1156" t="s">
        <v>814</v>
      </c>
      <c r="VQN47" s="1156"/>
      <c r="VQO47" s="1156" t="s">
        <v>814</v>
      </c>
      <c r="VQP47" s="1156"/>
      <c r="VQQ47" s="1156" t="s">
        <v>814</v>
      </c>
      <c r="VQR47" s="1156"/>
      <c r="VQS47" s="1156" t="s">
        <v>814</v>
      </c>
      <c r="VQT47" s="1156"/>
      <c r="VQU47" s="1156" t="s">
        <v>814</v>
      </c>
      <c r="VQV47" s="1156"/>
      <c r="VQW47" s="1156" t="s">
        <v>814</v>
      </c>
      <c r="VQX47" s="1156"/>
      <c r="VQY47" s="1156" t="s">
        <v>814</v>
      </c>
      <c r="VQZ47" s="1156"/>
      <c r="VRA47" s="1156" t="s">
        <v>814</v>
      </c>
      <c r="VRB47" s="1156"/>
      <c r="VRC47" s="1156" t="s">
        <v>814</v>
      </c>
      <c r="VRD47" s="1156"/>
      <c r="VRE47" s="1156" t="s">
        <v>814</v>
      </c>
      <c r="VRF47" s="1156"/>
      <c r="VRG47" s="1156" t="s">
        <v>814</v>
      </c>
      <c r="VRH47" s="1156"/>
      <c r="VRI47" s="1156" t="s">
        <v>814</v>
      </c>
      <c r="VRJ47" s="1156"/>
      <c r="VRK47" s="1156" t="s">
        <v>814</v>
      </c>
      <c r="VRL47" s="1156"/>
      <c r="VRM47" s="1156" t="s">
        <v>814</v>
      </c>
      <c r="VRN47" s="1156"/>
      <c r="VRO47" s="1156" t="s">
        <v>814</v>
      </c>
      <c r="VRP47" s="1156"/>
      <c r="VRQ47" s="1156" t="s">
        <v>814</v>
      </c>
      <c r="VRR47" s="1156"/>
      <c r="VRS47" s="1156" t="s">
        <v>814</v>
      </c>
      <c r="VRT47" s="1156"/>
      <c r="VRU47" s="1156" t="s">
        <v>814</v>
      </c>
      <c r="VRV47" s="1156"/>
      <c r="VRW47" s="1156" t="s">
        <v>814</v>
      </c>
      <c r="VRX47" s="1156"/>
      <c r="VRY47" s="1156" t="s">
        <v>814</v>
      </c>
      <c r="VRZ47" s="1156"/>
      <c r="VSA47" s="1156" t="s">
        <v>814</v>
      </c>
      <c r="VSB47" s="1156"/>
      <c r="VSC47" s="1156" t="s">
        <v>814</v>
      </c>
      <c r="VSD47" s="1156"/>
      <c r="VSE47" s="1156" t="s">
        <v>814</v>
      </c>
      <c r="VSF47" s="1156"/>
      <c r="VSG47" s="1156" t="s">
        <v>814</v>
      </c>
      <c r="VSH47" s="1156"/>
      <c r="VSI47" s="1156" t="s">
        <v>814</v>
      </c>
      <c r="VSJ47" s="1156"/>
      <c r="VSK47" s="1156" t="s">
        <v>814</v>
      </c>
      <c r="VSL47" s="1156"/>
      <c r="VSM47" s="1156" t="s">
        <v>814</v>
      </c>
      <c r="VSN47" s="1156"/>
      <c r="VSO47" s="1156" t="s">
        <v>814</v>
      </c>
      <c r="VSP47" s="1156"/>
      <c r="VSQ47" s="1156" t="s">
        <v>814</v>
      </c>
      <c r="VSR47" s="1156"/>
      <c r="VSS47" s="1156" t="s">
        <v>814</v>
      </c>
      <c r="VST47" s="1156"/>
      <c r="VSU47" s="1156" t="s">
        <v>814</v>
      </c>
      <c r="VSV47" s="1156"/>
      <c r="VSW47" s="1156" t="s">
        <v>814</v>
      </c>
      <c r="VSX47" s="1156"/>
      <c r="VSY47" s="1156" t="s">
        <v>814</v>
      </c>
      <c r="VSZ47" s="1156"/>
      <c r="VTA47" s="1156" t="s">
        <v>814</v>
      </c>
      <c r="VTB47" s="1156"/>
      <c r="VTC47" s="1156" t="s">
        <v>814</v>
      </c>
      <c r="VTD47" s="1156"/>
      <c r="VTE47" s="1156" t="s">
        <v>814</v>
      </c>
      <c r="VTF47" s="1156"/>
      <c r="VTG47" s="1156" t="s">
        <v>814</v>
      </c>
      <c r="VTH47" s="1156"/>
      <c r="VTI47" s="1156" t="s">
        <v>814</v>
      </c>
      <c r="VTJ47" s="1156"/>
      <c r="VTK47" s="1156" t="s">
        <v>814</v>
      </c>
      <c r="VTL47" s="1156"/>
      <c r="VTM47" s="1156" t="s">
        <v>814</v>
      </c>
      <c r="VTN47" s="1156"/>
      <c r="VTO47" s="1156" t="s">
        <v>814</v>
      </c>
      <c r="VTP47" s="1156"/>
      <c r="VTQ47" s="1156" t="s">
        <v>814</v>
      </c>
      <c r="VTR47" s="1156"/>
      <c r="VTS47" s="1156" t="s">
        <v>814</v>
      </c>
      <c r="VTT47" s="1156"/>
      <c r="VTU47" s="1156" t="s">
        <v>814</v>
      </c>
      <c r="VTV47" s="1156"/>
      <c r="VTW47" s="1156" t="s">
        <v>814</v>
      </c>
      <c r="VTX47" s="1156"/>
      <c r="VTY47" s="1156" t="s">
        <v>814</v>
      </c>
      <c r="VTZ47" s="1156"/>
      <c r="VUA47" s="1156" t="s">
        <v>814</v>
      </c>
      <c r="VUB47" s="1156"/>
      <c r="VUC47" s="1156" t="s">
        <v>814</v>
      </c>
      <c r="VUD47" s="1156"/>
      <c r="VUE47" s="1156" t="s">
        <v>814</v>
      </c>
      <c r="VUF47" s="1156"/>
      <c r="VUG47" s="1156" t="s">
        <v>814</v>
      </c>
      <c r="VUH47" s="1156"/>
      <c r="VUI47" s="1156" t="s">
        <v>814</v>
      </c>
      <c r="VUJ47" s="1156"/>
      <c r="VUK47" s="1156" t="s">
        <v>814</v>
      </c>
      <c r="VUL47" s="1156"/>
      <c r="VUM47" s="1156" t="s">
        <v>814</v>
      </c>
      <c r="VUN47" s="1156"/>
      <c r="VUO47" s="1156" t="s">
        <v>814</v>
      </c>
      <c r="VUP47" s="1156"/>
      <c r="VUQ47" s="1156" t="s">
        <v>814</v>
      </c>
      <c r="VUR47" s="1156"/>
      <c r="VUS47" s="1156" t="s">
        <v>814</v>
      </c>
      <c r="VUT47" s="1156"/>
      <c r="VUU47" s="1156" t="s">
        <v>814</v>
      </c>
      <c r="VUV47" s="1156"/>
      <c r="VUW47" s="1156" t="s">
        <v>814</v>
      </c>
      <c r="VUX47" s="1156"/>
      <c r="VUY47" s="1156" t="s">
        <v>814</v>
      </c>
      <c r="VUZ47" s="1156"/>
      <c r="VVA47" s="1156" t="s">
        <v>814</v>
      </c>
      <c r="VVB47" s="1156"/>
      <c r="VVC47" s="1156" t="s">
        <v>814</v>
      </c>
      <c r="VVD47" s="1156"/>
      <c r="VVE47" s="1156" t="s">
        <v>814</v>
      </c>
      <c r="VVF47" s="1156"/>
      <c r="VVG47" s="1156" t="s">
        <v>814</v>
      </c>
      <c r="VVH47" s="1156"/>
      <c r="VVI47" s="1156" t="s">
        <v>814</v>
      </c>
      <c r="VVJ47" s="1156"/>
      <c r="VVK47" s="1156" t="s">
        <v>814</v>
      </c>
      <c r="VVL47" s="1156"/>
      <c r="VVM47" s="1156" t="s">
        <v>814</v>
      </c>
      <c r="VVN47" s="1156"/>
      <c r="VVO47" s="1156" t="s">
        <v>814</v>
      </c>
      <c r="VVP47" s="1156"/>
      <c r="VVQ47" s="1156" t="s">
        <v>814</v>
      </c>
      <c r="VVR47" s="1156"/>
      <c r="VVS47" s="1156" t="s">
        <v>814</v>
      </c>
      <c r="VVT47" s="1156"/>
      <c r="VVU47" s="1156" t="s">
        <v>814</v>
      </c>
      <c r="VVV47" s="1156"/>
      <c r="VVW47" s="1156" t="s">
        <v>814</v>
      </c>
      <c r="VVX47" s="1156"/>
      <c r="VVY47" s="1156" t="s">
        <v>814</v>
      </c>
      <c r="VVZ47" s="1156"/>
      <c r="VWA47" s="1156" t="s">
        <v>814</v>
      </c>
      <c r="VWB47" s="1156"/>
      <c r="VWC47" s="1156" t="s">
        <v>814</v>
      </c>
      <c r="VWD47" s="1156"/>
      <c r="VWE47" s="1156" t="s">
        <v>814</v>
      </c>
      <c r="VWF47" s="1156"/>
      <c r="VWG47" s="1156" t="s">
        <v>814</v>
      </c>
      <c r="VWH47" s="1156"/>
      <c r="VWI47" s="1156" t="s">
        <v>814</v>
      </c>
      <c r="VWJ47" s="1156"/>
      <c r="VWK47" s="1156" t="s">
        <v>814</v>
      </c>
      <c r="VWL47" s="1156"/>
      <c r="VWM47" s="1156" t="s">
        <v>814</v>
      </c>
      <c r="VWN47" s="1156"/>
      <c r="VWO47" s="1156" t="s">
        <v>814</v>
      </c>
      <c r="VWP47" s="1156"/>
      <c r="VWQ47" s="1156" t="s">
        <v>814</v>
      </c>
      <c r="VWR47" s="1156"/>
      <c r="VWS47" s="1156" t="s">
        <v>814</v>
      </c>
      <c r="VWT47" s="1156"/>
      <c r="VWU47" s="1156" t="s">
        <v>814</v>
      </c>
      <c r="VWV47" s="1156"/>
      <c r="VWW47" s="1156" t="s">
        <v>814</v>
      </c>
      <c r="VWX47" s="1156"/>
      <c r="VWY47" s="1156" t="s">
        <v>814</v>
      </c>
      <c r="VWZ47" s="1156"/>
      <c r="VXA47" s="1156" t="s">
        <v>814</v>
      </c>
      <c r="VXB47" s="1156"/>
      <c r="VXC47" s="1156" t="s">
        <v>814</v>
      </c>
      <c r="VXD47" s="1156"/>
      <c r="VXE47" s="1156" t="s">
        <v>814</v>
      </c>
      <c r="VXF47" s="1156"/>
      <c r="VXG47" s="1156" t="s">
        <v>814</v>
      </c>
      <c r="VXH47" s="1156"/>
      <c r="VXI47" s="1156" t="s">
        <v>814</v>
      </c>
      <c r="VXJ47" s="1156"/>
      <c r="VXK47" s="1156" t="s">
        <v>814</v>
      </c>
      <c r="VXL47" s="1156"/>
      <c r="VXM47" s="1156" t="s">
        <v>814</v>
      </c>
      <c r="VXN47" s="1156"/>
      <c r="VXO47" s="1156" t="s">
        <v>814</v>
      </c>
      <c r="VXP47" s="1156"/>
      <c r="VXQ47" s="1156" t="s">
        <v>814</v>
      </c>
      <c r="VXR47" s="1156"/>
      <c r="VXS47" s="1156" t="s">
        <v>814</v>
      </c>
      <c r="VXT47" s="1156"/>
      <c r="VXU47" s="1156" t="s">
        <v>814</v>
      </c>
      <c r="VXV47" s="1156"/>
      <c r="VXW47" s="1156" t="s">
        <v>814</v>
      </c>
      <c r="VXX47" s="1156"/>
      <c r="VXY47" s="1156" t="s">
        <v>814</v>
      </c>
      <c r="VXZ47" s="1156"/>
      <c r="VYA47" s="1156" t="s">
        <v>814</v>
      </c>
      <c r="VYB47" s="1156"/>
      <c r="VYC47" s="1156" t="s">
        <v>814</v>
      </c>
      <c r="VYD47" s="1156"/>
      <c r="VYE47" s="1156" t="s">
        <v>814</v>
      </c>
      <c r="VYF47" s="1156"/>
      <c r="VYG47" s="1156" t="s">
        <v>814</v>
      </c>
      <c r="VYH47" s="1156"/>
      <c r="VYI47" s="1156" t="s">
        <v>814</v>
      </c>
      <c r="VYJ47" s="1156"/>
      <c r="VYK47" s="1156" t="s">
        <v>814</v>
      </c>
      <c r="VYL47" s="1156"/>
      <c r="VYM47" s="1156" t="s">
        <v>814</v>
      </c>
      <c r="VYN47" s="1156"/>
      <c r="VYO47" s="1156" t="s">
        <v>814</v>
      </c>
      <c r="VYP47" s="1156"/>
      <c r="VYQ47" s="1156" t="s">
        <v>814</v>
      </c>
      <c r="VYR47" s="1156"/>
      <c r="VYS47" s="1156" t="s">
        <v>814</v>
      </c>
      <c r="VYT47" s="1156"/>
      <c r="VYU47" s="1156" t="s">
        <v>814</v>
      </c>
      <c r="VYV47" s="1156"/>
      <c r="VYW47" s="1156" t="s">
        <v>814</v>
      </c>
      <c r="VYX47" s="1156"/>
      <c r="VYY47" s="1156" t="s">
        <v>814</v>
      </c>
      <c r="VYZ47" s="1156"/>
      <c r="VZA47" s="1156" t="s">
        <v>814</v>
      </c>
      <c r="VZB47" s="1156"/>
      <c r="VZC47" s="1156" t="s">
        <v>814</v>
      </c>
      <c r="VZD47" s="1156"/>
      <c r="VZE47" s="1156" t="s">
        <v>814</v>
      </c>
      <c r="VZF47" s="1156"/>
      <c r="VZG47" s="1156" t="s">
        <v>814</v>
      </c>
      <c r="VZH47" s="1156"/>
      <c r="VZI47" s="1156" t="s">
        <v>814</v>
      </c>
      <c r="VZJ47" s="1156"/>
      <c r="VZK47" s="1156" t="s">
        <v>814</v>
      </c>
      <c r="VZL47" s="1156"/>
      <c r="VZM47" s="1156" t="s">
        <v>814</v>
      </c>
      <c r="VZN47" s="1156"/>
      <c r="VZO47" s="1156" t="s">
        <v>814</v>
      </c>
      <c r="VZP47" s="1156"/>
      <c r="VZQ47" s="1156" t="s">
        <v>814</v>
      </c>
      <c r="VZR47" s="1156"/>
      <c r="VZS47" s="1156" t="s">
        <v>814</v>
      </c>
      <c r="VZT47" s="1156"/>
      <c r="VZU47" s="1156" t="s">
        <v>814</v>
      </c>
      <c r="VZV47" s="1156"/>
      <c r="VZW47" s="1156" t="s">
        <v>814</v>
      </c>
      <c r="VZX47" s="1156"/>
      <c r="VZY47" s="1156" t="s">
        <v>814</v>
      </c>
      <c r="VZZ47" s="1156"/>
      <c r="WAA47" s="1156" t="s">
        <v>814</v>
      </c>
      <c r="WAB47" s="1156"/>
      <c r="WAC47" s="1156" t="s">
        <v>814</v>
      </c>
      <c r="WAD47" s="1156"/>
      <c r="WAE47" s="1156" t="s">
        <v>814</v>
      </c>
      <c r="WAF47" s="1156"/>
      <c r="WAG47" s="1156" t="s">
        <v>814</v>
      </c>
      <c r="WAH47" s="1156"/>
      <c r="WAI47" s="1156" t="s">
        <v>814</v>
      </c>
      <c r="WAJ47" s="1156"/>
      <c r="WAK47" s="1156" t="s">
        <v>814</v>
      </c>
      <c r="WAL47" s="1156"/>
      <c r="WAM47" s="1156" t="s">
        <v>814</v>
      </c>
      <c r="WAN47" s="1156"/>
      <c r="WAO47" s="1156" t="s">
        <v>814</v>
      </c>
      <c r="WAP47" s="1156"/>
      <c r="WAQ47" s="1156" t="s">
        <v>814</v>
      </c>
      <c r="WAR47" s="1156"/>
      <c r="WAS47" s="1156" t="s">
        <v>814</v>
      </c>
      <c r="WAT47" s="1156"/>
      <c r="WAU47" s="1156" t="s">
        <v>814</v>
      </c>
      <c r="WAV47" s="1156"/>
      <c r="WAW47" s="1156" t="s">
        <v>814</v>
      </c>
      <c r="WAX47" s="1156"/>
      <c r="WAY47" s="1156" t="s">
        <v>814</v>
      </c>
      <c r="WAZ47" s="1156"/>
      <c r="WBA47" s="1156" t="s">
        <v>814</v>
      </c>
      <c r="WBB47" s="1156"/>
      <c r="WBC47" s="1156" t="s">
        <v>814</v>
      </c>
      <c r="WBD47" s="1156"/>
      <c r="WBE47" s="1156" t="s">
        <v>814</v>
      </c>
      <c r="WBF47" s="1156"/>
      <c r="WBG47" s="1156" t="s">
        <v>814</v>
      </c>
      <c r="WBH47" s="1156"/>
      <c r="WBI47" s="1156" t="s">
        <v>814</v>
      </c>
      <c r="WBJ47" s="1156"/>
      <c r="WBK47" s="1156" t="s">
        <v>814</v>
      </c>
      <c r="WBL47" s="1156"/>
      <c r="WBM47" s="1156" t="s">
        <v>814</v>
      </c>
      <c r="WBN47" s="1156"/>
      <c r="WBO47" s="1156" t="s">
        <v>814</v>
      </c>
      <c r="WBP47" s="1156"/>
      <c r="WBQ47" s="1156" t="s">
        <v>814</v>
      </c>
      <c r="WBR47" s="1156"/>
      <c r="WBS47" s="1156" t="s">
        <v>814</v>
      </c>
      <c r="WBT47" s="1156"/>
      <c r="WBU47" s="1156" t="s">
        <v>814</v>
      </c>
      <c r="WBV47" s="1156"/>
      <c r="WBW47" s="1156" t="s">
        <v>814</v>
      </c>
      <c r="WBX47" s="1156"/>
      <c r="WBY47" s="1156" t="s">
        <v>814</v>
      </c>
      <c r="WBZ47" s="1156"/>
      <c r="WCA47" s="1156" t="s">
        <v>814</v>
      </c>
      <c r="WCB47" s="1156"/>
      <c r="WCC47" s="1156" t="s">
        <v>814</v>
      </c>
      <c r="WCD47" s="1156"/>
      <c r="WCE47" s="1156" t="s">
        <v>814</v>
      </c>
      <c r="WCF47" s="1156"/>
      <c r="WCG47" s="1156" t="s">
        <v>814</v>
      </c>
      <c r="WCH47" s="1156"/>
      <c r="WCI47" s="1156" t="s">
        <v>814</v>
      </c>
      <c r="WCJ47" s="1156"/>
      <c r="WCK47" s="1156" t="s">
        <v>814</v>
      </c>
      <c r="WCL47" s="1156"/>
      <c r="WCM47" s="1156" t="s">
        <v>814</v>
      </c>
      <c r="WCN47" s="1156"/>
      <c r="WCO47" s="1156" t="s">
        <v>814</v>
      </c>
      <c r="WCP47" s="1156"/>
      <c r="WCQ47" s="1156" t="s">
        <v>814</v>
      </c>
      <c r="WCR47" s="1156"/>
      <c r="WCS47" s="1156" t="s">
        <v>814</v>
      </c>
      <c r="WCT47" s="1156"/>
      <c r="WCU47" s="1156" t="s">
        <v>814</v>
      </c>
      <c r="WCV47" s="1156"/>
      <c r="WCW47" s="1156" t="s">
        <v>814</v>
      </c>
      <c r="WCX47" s="1156"/>
      <c r="WCY47" s="1156" t="s">
        <v>814</v>
      </c>
      <c r="WCZ47" s="1156"/>
      <c r="WDA47" s="1156" t="s">
        <v>814</v>
      </c>
      <c r="WDB47" s="1156"/>
      <c r="WDC47" s="1156" t="s">
        <v>814</v>
      </c>
      <c r="WDD47" s="1156"/>
      <c r="WDE47" s="1156" t="s">
        <v>814</v>
      </c>
      <c r="WDF47" s="1156"/>
      <c r="WDG47" s="1156" t="s">
        <v>814</v>
      </c>
      <c r="WDH47" s="1156"/>
      <c r="WDI47" s="1156" t="s">
        <v>814</v>
      </c>
      <c r="WDJ47" s="1156"/>
      <c r="WDK47" s="1156" t="s">
        <v>814</v>
      </c>
      <c r="WDL47" s="1156"/>
      <c r="WDM47" s="1156" t="s">
        <v>814</v>
      </c>
      <c r="WDN47" s="1156"/>
      <c r="WDO47" s="1156" t="s">
        <v>814</v>
      </c>
      <c r="WDP47" s="1156"/>
      <c r="WDQ47" s="1156" t="s">
        <v>814</v>
      </c>
      <c r="WDR47" s="1156"/>
      <c r="WDS47" s="1156" t="s">
        <v>814</v>
      </c>
      <c r="WDT47" s="1156"/>
      <c r="WDU47" s="1156" t="s">
        <v>814</v>
      </c>
      <c r="WDV47" s="1156"/>
      <c r="WDW47" s="1156" t="s">
        <v>814</v>
      </c>
      <c r="WDX47" s="1156"/>
      <c r="WDY47" s="1156" t="s">
        <v>814</v>
      </c>
      <c r="WDZ47" s="1156"/>
      <c r="WEA47" s="1156" t="s">
        <v>814</v>
      </c>
      <c r="WEB47" s="1156"/>
      <c r="WEC47" s="1156" t="s">
        <v>814</v>
      </c>
      <c r="WED47" s="1156"/>
      <c r="WEE47" s="1156" t="s">
        <v>814</v>
      </c>
      <c r="WEF47" s="1156"/>
      <c r="WEG47" s="1156" t="s">
        <v>814</v>
      </c>
      <c r="WEH47" s="1156"/>
      <c r="WEI47" s="1156" t="s">
        <v>814</v>
      </c>
      <c r="WEJ47" s="1156"/>
      <c r="WEK47" s="1156" t="s">
        <v>814</v>
      </c>
      <c r="WEL47" s="1156"/>
      <c r="WEM47" s="1156" t="s">
        <v>814</v>
      </c>
      <c r="WEN47" s="1156"/>
      <c r="WEO47" s="1156" t="s">
        <v>814</v>
      </c>
      <c r="WEP47" s="1156"/>
      <c r="WEQ47" s="1156" t="s">
        <v>814</v>
      </c>
      <c r="WER47" s="1156"/>
      <c r="WES47" s="1156" t="s">
        <v>814</v>
      </c>
      <c r="WET47" s="1156"/>
      <c r="WEU47" s="1156" t="s">
        <v>814</v>
      </c>
      <c r="WEV47" s="1156"/>
      <c r="WEW47" s="1156" t="s">
        <v>814</v>
      </c>
      <c r="WEX47" s="1156"/>
      <c r="WEY47" s="1156" t="s">
        <v>814</v>
      </c>
      <c r="WEZ47" s="1156"/>
      <c r="WFA47" s="1156" t="s">
        <v>814</v>
      </c>
      <c r="WFB47" s="1156"/>
      <c r="WFC47" s="1156" t="s">
        <v>814</v>
      </c>
      <c r="WFD47" s="1156"/>
      <c r="WFE47" s="1156" t="s">
        <v>814</v>
      </c>
      <c r="WFF47" s="1156"/>
      <c r="WFG47" s="1156" t="s">
        <v>814</v>
      </c>
      <c r="WFH47" s="1156"/>
      <c r="WFI47" s="1156" t="s">
        <v>814</v>
      </c>
      <c r="WFJ47" s="1156"/>
      <c r="WFK47" s="1156" t="s">
        <v>814</v>
      </c>
      <c r="WFL47" s="1156"/>
      <c r="WFM47" s="1156" t="s">
        <v>814</v>
      </c>
      <c r="WFN47" s="1156"/>
      <c r="WFO47" s="1156" t="s">
        <v>814</v>
      </c>
      <c r="WFP47" s="1156"/>
      <c r="WFQ47" s="1156" t="s">
        <v>814</v>
      </c>
      <c r="WFR47" s="1156"/>
      <c r="WFS47" s="1156" t="s">
        <v>814</v>
      </c>
      <c r="WFT47" s="1156"/>
      <c r="WFU47" s="1156" t="s">
        <v>814</v>
      </c>
      <c r="WFV47" s="1156"/>
      <c r="WFW47" s="1156" t="s">
        <v>814</v>
      </c>
      <c r="WFX47" s="1156"/>
      <c r="WFY47" s="1156" t="s">
        <v>814</v>
      </c>
      <c r="WFZ47" s="1156"/>
      <c r="WGA47" s="1156" t="s">
        <v>814</v>
      </c>
      <c r="WGB47" s="1156"/>
      <c r="WGC47" s="1156" t="s">
        <v>814</v>
      </c>
      <c r="WGD47" s="1156"/>
      <c r="WGE47" s="1156" t="s">
        <v>814</v>
      </c>
      <c r="WGF47" s="1156"/>
      <c r="WGG47" s="1156" t="s">
        <v>814</v>
      </c>
      <c r="WGH47" s="1156"/>
      <c r="WGI47" s="1156" t="s">
        <v>814</v>
      </c>
      <c r="WGJ47" s="1156"/>
      <c r="WGK47" s="1156" t="s">
        <v>814</v>
      </c>
      <c r="WGL47" s="1156"/>
      <c r="WGM47" s="1156" t="s">
        <v>814</v>
      </c>
      <c r="WGN47" s="1156"/>
      <c r="WGO47" s="1156" t="s">
        <v>814</v>
      </c>
      <c r="WGP47" s="1156"/>
      <c r="WGQ47" s="1156" t="s">
        <v>814</v>
      </c>
      <c r="WGR47" s="1156"/>
      <c r="WGS47" s="1156" t="s">
        <v>814</v>
      </c>
      <c r="WGT47" s="1156"/>
      <c r="WGU47" s="1156" t="s">
        <v>814</v>
      </c>
      <c r="WGV47" s="1156"/>
      <c r="WGW47" s="1156" t="s">
        <v>814</v>
      </c>
      <c r="WGX47" s="1156"/>
      <c r="WGY47" s="1156" t="s">
        <v>814</v>
      </c>
      <c r="WGZ47" s="1156"/>
      <c r="WHA47" s="1156" t="s">
        <v>814</v>
      </c>
      <c r="WHB47" s="1156"/>
      <c r="WHC47" s="1156" t="s">
        <v>814</v>
      </c>
      <c r="WHD47" s="1156"/>
      <c r="WHE47" s="1156" t="s">
        <v>814</v>
      </c>
      <c r="WHF47" s="1156"/>
      <c r="WHG47" s="1156" t="s">
        <v>814</v>
      </c>
      <c r="WHH47" s="1156"/>
      <c r="WHI47" s="1156" t="s">
        <v>814</v>
      </c>
      <c r="WHJ47" s="1156"/>
      <c r="WHK47" s="1156" t="s">
        <v>814</v>
      </c>
      <c r="WHL47" s="1156"/>
      <c r="WHM47" s="1156" t="s">
        <v>814</v>
      </c>
      <c r="WHN47" s="1156"/>
      <c r="WHO47" s="1156" t="s">
        <v>814</v>
      </c>
      <c r="WHP47" s="1156"/>
      <c r="WHQ47" s="1156" t="s">
        <v>814</v>
      </c>
      <c r="WHR47" s="1156"/>
      <c r="WHS47" s="1156" t="s">
        <v>814</v>
      </c>
      <c r="WHT47" s="1156"/>
      <c r="WHU47" s="1156" t="s">
        <v>814</v>
      </c>
      <c r="WHV47" s="1156"/>
      <c r="WHW47" s="1156" t="s">
        <v>814</v>
      </c>
      <c r="WHX47" s="1156"/>
      <c r="WHY47" s="1156" t="s">
        <v>814</v>
      </c>
      <c r="WHZ47" s="1156"/>
      <c r="WIA47" s="1156" t="s">
        <v>814</v>
      </c>
      <c r="WIB47" s="1156"/>
      <c r="WIC47" s="1156" t="s">
        <v>814</v>
      </c>
      <c r="WID47" s="1156"/>
      <c r="WIE47" s="1156" t="s">
        <v>814</v>
      </c>
      <c r="WIF47" s="1156"/>
      <c r="WIG47" s="1156" t="s">
        <v>814</v>
      </c>
      <c r="WIH47" s="1156"/>
      <c r="WII47" s="1156" t="s">
        <v>814</v>
      </c>
      <c r="WIJ47" s="1156"/>
      <c r="WIK47" s="1156" t="s">
        <v>814</v>
      </c>
      <c r="WIL47" s="1156"/>
      <c r="WIM47" s="1156" t="s">
        <v>814</v>
      </c>
      <c r="WIN47" s="1156"/>
      <c r="WIO47" s="1156" t="s">
        <v>814</v>
      </c>
      <c r="WIP47" s="1156"/>
      <c r="WIQ47" s="1156" t="s">
        <v>814</v>
      </c>
      <c r="WIR47" s="1156"/>
      <c r="WIS47" s="1156" t="s">
        <v>814</v>
      </c>
      <c r="WIT47" s="1156"/>
      <c r="WIU47" s="1156" t="s">
        <v>814</v>
      </c>
      <c r="WIV47" s="1156"/>
      <c r="WIW47" s="1156" t="s">
        <v>814</v>
      </c>
      <c r="WIX47" s="1156"/>
      <c r="WIY47" s="1156" t="s">
        <v>814</v>
      </c>
      <c r="WIZ47" s="1156"/>
      <c r="WJA47" s="1156" t="s">
        <v>814</v>
      </c>
      <c r="WJB47" s="1156"/>
      <c r="WJC47" s="1156" t="s">
        <v>814</v>
      </c>
      <c r="WJD47" s="1156"/>
      <c r="WJE47" s="1156" t="s">
        <v>814</v>
      </c>
      <c r="WJF47" s="1156"/>
      <c r="WJG47" s="1156" t="s">
        <v>814</v>
      </c>
      <c r="WJH47" s="1156"/>
      <c r="WJI47" s="1156" t="s">
        <v>814</v>
      </c>
      <c r="WJJ47" s="1156"/>
      <c r="WJK47" s="1156" t="s">
        <v>814</v>
      </c>
      <c r="WJL47" s="1156"/>
      <c r="WJM47" s="1156" t="s">
        <v>814</v>
      </c>
      <c r="WJN47" s="1156"/>
      <c r="WJO47" s="1156" t="s">
        <v>814</v>
      </c>
      <c r="WJP47" s="1156"/>
      <c r="WJQ47" s="1156" t="s">
        <v>814</v>
      </c>
      <c r="WJR47" s="1156"/>
      <c r="WJS47" s="1156" t="s">
        <v>814</v>
      </c>
      <c r="WJT47" s="1156"/>
      <c r="WJU47" s="1156" t="s">
        <v>814</v>
      </c>
      <c r="WJV47" s="1156"/>
      <c r="WJW47" s="1156" t="s">
        <v>814</v>
      </c>
      <c r="WJX47" s="1156"/>
      <c r="WJY47" s="1156" t="s">
        <v>814</v>
      </c>
      <c r="WJZ47" s="1156"/>
      <c r="WKA47" s="1156" t="s">
        <v>814</v>
      </c>
      <c r="WKB47" s="1156"/>
      <c r="WKC47" s="1156" t="s">
        <v>814</v>
      </c>
      <c r="WKD47" s="1156"/>
      <c r="WKE47" s="1156" t="s">
        <v>814</v>
      </c>
      <c r="WKF47" s="1156"/>
      <c r="WKG47" s="1156" t="s">
        <v>814</v>
      </c>
      <c r="WKH47" s="1156"/>
      <c r="WKI47" s="1156" t="s">
        <v>814</v>
      </c>
      <c r="WKJ47" s="1156"/>
      <c r="WKK47" s="1156" t="s">
        <v>814</v>
      </c>
      <c r="WKL47" s="1156"/>
      <c r="WKM47" s="1156" t="s">
        <v>814</v>
      </c>
      <c r="WKN47" s="1156"/>
      <c r="WKO47" s="1156" t="s">
        <v>814</v>
      </c>
      <c r="WKP47" s="1156"/>
      <c r="WKQ47" s="1156" t="s">
        <v>814</v>
      </c>
      <c r="WKR47" s="1156"/>
      <c r="WKS47" s="1156" t="s">
        <v>814</v>
      </c>
      <c r="WKT47" s="1156"/>
      <c r="WKU47" s="1156" t="s">
        <v>814</v>
      </c>
      <c r="WKV47" s="1156"/>
      <c r="WKW47" s="1156" t="s">
        <v>814</v>
      </c>
      <c r="WKX47" s="1156"/>
      <c r="WKY47" s="1156" t="s">
        <v>814</v>
      </c>
      <c r="WKZ47" s="1156"/>
      <c r="WLA47" s="1156" t="s">
        <v>814</v>
      </c>
      <c r="WLB47" s="1156"/>
      <c r="WLC47" s="1156" t="s">
        <v>814</v>
      </c>
      <c r="WLD47" s="1156"/>
      <c r="WLE47" s="1156" t="s">
        <v>814</v>
      </c>
      <c r="WLF47" s="1156"/>
      <c r="WLG47" s="1156" t="s">
        <v>814</v>
      </c>
      <c r="WLH47" s="1156"/>
      <c r="WLI47" s="1156" t="s">
        <v>814</v>
      </c>
      <c r="WLJ47" s="1156"/>
      <c r="WLK47" s="1156" t="s">
        <v>814</v>
      </c>
      <c r="WLL47" s="1156"/>
      <c r="WLM47" s="1156" t="s">
        <v>814</v>
      </c>
      <c r="WLN47" s="1156"/>
      <c r="WLO47" s="1156" t="s">
        <v>814</v>
      </c>
      <c r="WLP47" s="1156"/>
      <c r="WLQ47" s="1156" t="s">
        <v>814</v>
      </c>
      <c r="WLR47" s="1156"/>
      <c r="WLS47" s="1156" t="s">
        <v>814</v>
      </c>
      <c r="WLT47" s="1156"/>
      <c r="WLU47" s="1156" t="s">
        <v>814</v>
      </c>
      <c r="WLV47" s="1156"/>
      <c r="WLW47" s="1156" t="s">
        <v>814</v>
      </c>
      <c r="WLX47" s="1156"/>
      <c r="WLY47" s="1156" t="s">
        <v>814</v>
      </c>
      <c r="WLZ47" s="1156"/>
      <c r="WMA47" s="1156" t="s">
        <v>814</v>
      </c>
      <c r="WMB47" s="1156"/>
      <c r="WMC47" s="1156" t="s">
        <v>814</v>
      </c>
      <c r="WMD47" s="1156"/>
      <c r="WME47" s="1156" t="s">
        <v>814</v>
      </c>
      <c r="WMF47" s="1156"/>
      <c r="WMG47" s="1156" t="s">
        <v>814</v>
      </c>
      <c r="WMH47" s="1156"/>
      <c r="WMI47" s="1156" t="s">
        <v>814</v>
      </c>
      <c r="WMJ47" s="1156"/>
      <c r="WMK47" s="1156" t="s">
        <v>814</v>
      </c>
      <c r="WML47" s="1156"/>
      <c r="WMM47" s="1156" t="s">
        <v>814</v>
      </c>
      <c r="WMN47" s="1156"/>
      <c r="WMO47" s="1156" t="s">
        <v>814</v>
      </c>
      <c r="WMP47" s="1156"/>
      <c r="WMQ47" s="1156" t="s">
        <v>814</v>
      </c>
      <c r="WMR47" s="1156"/>
      <c r="WMS47" s="1156" t="s">
        <v>814</v>
      </c>
      <c r="WMT47" s="1156"/>
      <c r="WMU47" s="1156" t="s">
        <v>814</v>
      </c>
      <c r="WMV47" s="1156"/>
      <c r="WMW47" s="1156" t="s">
        <v>814</v>
      </c>
      <c r="WMX47" s="1156"/>
      <c r="WMY47" s="1156" t="s">
        <v>814</v>
      </c>
      <c r="WMZ47" s="1156"/>
      <c r="WNA47" s="1156" t="s">
        <v>814</v>
      </c>
      <c r="WNB47" s="1156"/>
      <c r="WNC47" s="1156" t="s">
        <v>814</v>
      </c>
      <c r="WND47" s="1156"/>
      <c r="WNE47" s="1156" t="s">
        <v>814</v>
      </c>
      <c r="WNF47" s="1156"/>
      <c r="WNG47" s="1156" t="s">
        <v>814</v>
      </c>
      <c r="WNH47" s="1156"/>
      <c r="WNI47" s="1156" t="s">
        <v>814</v>
      </c>
      <c r="WNJ47" s="1156"/>
      <c r="WNK47" s="1156" t="s">
        <v>814</v>
      </c>
      <c r="WNL47" s="1156"/>
      <c r="WNM47" s="1156" t="s">
        <v>814</v>
      </c>
      <c r="WNN47" s="1156"/>
      <c r="WNO47" s="1156" t="s">
        <v>814</v>
      </c>
      <c r="WNP47" s="1156"/>
      <c r="WNQ47" s="1156" t="s">
        <v>814</v>
      </c>
      <c r="WNR47" s="1156"/>
      <c r="WNS47" s="1156" t="s">
        <v>814</v>
      </c>
      <c r="WNT47" s="1156"/>
      <c r="WNU47" s="1156" t="s">
        <v>814</v>
      </c>
      <c r="WNV47" s="1156"/>
      <c r="WNW47" s="1156" t="s">
        <v>814</v>
      </c>
      <c r="WNX47" s="1156"/>
      <c r="WNY47" s="1156" t="s">
        <v>814</v>
      </c>
      <c r="WNZ47" s="1156"/>
      <c r="WOA47" s="1156" t="s">
        <v>814</v>
      </c>
      <c r="WOB47" s="1156"/>
      <c r="WOC47" s="1156" t="s">
        <v>814</v>
      </c>
      <c r="WOD47" s="1156"/>
      <c r="WOE47" s="1156" t="s">
        <v>814</v>
      </c>
      <c r="WOF47" s="1156"/>
      <c r="WOG47" s="1156" t="s">
        <v>814</v>
      </c>
      <c r="WOH47" s="1156"/>
      <c r="WOI47" s="1156" t="s">
        <v>814</v>
      </c>
      <c r="WOJ47" s="1156"/>
      <c r="WOK47" s="1156" t="s">
        <v>814</v>
      </c>
      <c r="WOL47" s="1156"/>
      <c r="WOM47" s="1156" t="s">
        <v>814</v>
      </c>
      <c r="WON47" s="1156"/>
      <c r="WOO47" s="1156" t="s">
        <v>814</v>
      </c>
      <c r="WOP47" s="1156"/>
      <c r="WOQ47" s="1156" t="s">
        <v>814</v>
      </c>
      <c r="WOR47" s="1156"/>
      <c r="WOS47" s="1156" t="s">
        <v>814</v>
      </c>
      <c r="WOT47" s="1156"/>
      <c r="WOU47" s="1156" t="s">
        <v>814</v>
      </c>
      <c r="WOV47" s="1156"/>
      <c r="WOW47" s="1156" t="s">
        <v>814</v>
      </c>
      <c r="WOX47" s="1156"/>
      <c r="WOY47" s="1156" t="s">
        <v>814</v>
      </c>
      <c r="WOZ47" s="1156"/>
      <c r="WPA47" s="1156" t="s">
        <v>814</v>
      </c>
      <c r="WPB47" s="1156"/>
      <c r="WPC47" s="1156" t="s">
        <v>814</v>
      </c>
      <c r="WPD47" s="1156"/>
      <c r="WPE47" s="1156" t="s">
        <v>814</v>
      </c>
      <c r="WPF47" s="1156"/>
      <c r="WPG47" s="1156" t="s">
        <v>814</v>
      </c>
      <c r="WPH47" s="1156"/>
      <c r="WPI47" s="1156" t="s">
        <v>814</v>
      </c>
      <c r="WPJ47" s="1156"/>
      <c r="WPK47" s="1156" t="s">
        <v>814</v>
      </c>
      <c r="WPL47" s="1156"/>
      <c r="WPM47" s="1156" t="s">
        <v>814</v>
      </c>
      <c r="WPN47" s="1156"/>
      <c r="WPO47" s="1156" t="s">
        <v>814</v>
      </c>
      <c r="WPP47" s="1156"/>
      <c r="WPQ47" s="1156" t="s">
        <v>814</v>
      </c>
      <c r="WPR47" s="1156"/>
      <c r="WPS47" s="1156" t="s">
        <v>814</v>
      </c>
      <c r="WPT47" s="1156"/>
      <c r="WPU47" s="1156" t="s">
        <v>814</v>
      </c>
      <c r="WPV47" s="1156"/>
      <c r="WPW47" s="1156" t="s">
        <v>814</v>
      </c>
      <c r="WPX47" s="1156"/>
      <c r="WPY47" s="1156" t="s">
        <v>814</v>
      </c>
      <c r="WPZ47" s="1156"/>
      <c r="WQA47" s="1156" t="s">
        <v>814</v>
      </c>
      <c r="WQB47" s="1156"/>
      <c r="WQC47" s="1156" t="s">
        <v>814</v>
      </c>
      <c r="WQD47" s="1156"/>
      <c r="WQE47" s="1156" t="s">
        <v>814</v>
      </c>
      <c r="WQF47" s="1156"/>
      <c r="WQG47" s="1156" t="s">
        <v>814</v>
      </c>
      <c r="WQH47" s="1156"/>
      <c r="WQI47" s="1156" t="s">
        <v>814</v>
      </c>
      <c r="WQJ47" s="1156"/>
      <c r="WQK47" s="1156" t="s">
        <v>814</v>
      </c>
      <c r="WQL47" s="1156"/>
      <c r="WQM47" s="1156" t="s">
        <v>814</v>
      </c>
      <c r="WQN47" s="1156"/>
      <c r="WQO47" s="1156" t="s">
        <v>814</v>
      </c>
      <c r="WQP47" s="1156"/>
      <c r="WQQ47" s="1156" t="s">
        <v>814</v>
      </c>
      <c r="WQR47" s="1156"/>
      <c r="WQS47" s="1156" t="s">
        <v>814</v>
      </c>
      <c r="WQT47" s="1156"/>
      <c r="WQU47" s="1156" t="s">
        <v>814</v>
      </c>
      <c r="WQV47" s="1156"/>
      <c r="WQW47" s="1156" t="s">
        <v>814</v>
      </c>
      <c r="WQX47" s="1156"/>
      <c r="WQY47" s="1156" t="s">
        <v>814</v>
      </c>
      <c r="WQZ47" s="1156"/>
      <c r="WRA47" s="1156" t="s">
        <v>814</v>
      </c>
      <c r="WRB47" s="1156"/>
      <c r="WRC47" s="1156" t="s">
        <v>814</v>
      </c>
      <c r="WRD47" s="1156"/>
      <c r="WRE47" s="1156" t="s">
        <v>814</v>
      </c>
      <c r="WRF47" s="1156"/>
      <c r="WRG47" s="1156" t="s">
        <v>814</v>
      </c>
      <c r="WRH47" s="1156"/>
      <c r="WRI47" s="1156" t="s">
        <v>814</v>
      </c>
      <c r="WRJ47" s="1156"/>
      <c r="WRK47" s="1156" t="s">
        <v>814</v>
      </c>
      <c r="WRL47" s="1156"/>
      <c r="WRM47" s="1156" t="s">
        <v>814</v>
      </c>
      <c r="WRN47" s="1156"/>
      <c r="WRO47" s="1156" t="s">
        <v>814</v>
      </c>
      <c r="WRP47" s="1156"/>
      <c r="WRQ47" s="1156" t="s">
        <v>814</v>
      </c>
      <c r="WRR47" s="1156"/>
      <c r="WRS47" s="1156" t="s">
        <v>814</v>
      </c>
      <c r="WRT47" s="1156"/>
      <c r="WRU47" s="1156" t="s">
        <v>814</v>
      </c>
      <c r="WRV47" s="1156"/>
      <c r="WRW47" s="1156" t="s">
        <v>814</v>
      </c>
      <c r="WRX47" s="1156"/>
      <c r="WRY47" s="1156" t="s">
        <v>814</v>
      </c>
      <c r="WRZ47" s="1156"/>
      <c r="WSA47" s="1156" t="s">
        <v>814</v>
      </c>
      <c r="WSB47" s="1156"/>
      <c r="WSC47" s="1156" t="s">
        <v>814</v>
      </c>
      <c r="WSD47" s="1156"/>
      <c r="WSE47" s="1156" t="s">
        <v>814</v>
      </c>
      <c r="WSF47" s="1156"/>
      <c r="WSG47" s="1156" t="s">
        <v>814</v>
      </c>
      <c r="WSH47" s="1156"/>
      <c r="WSI47" s="1156" t="s">
        <v>814</v>
      </c>
      <c r="WSJ47" s="1156"/>
      <c r="WSK47" s="1156" t="s">
        <v>814</v>
      </c>
      <c r="WSL47" s="1156"/>
      <c r="WSM47" s="1156" t="s">
        <v>814</v>
      </c>
      <c r="WSN47" s="1156"/>
      <c r="WSO47" s="1156" t="s">
        <v>814</v>
      </c>
      <c r="WSP47" s="1156"/>
      <c r="WSQ47" s="1156" t="s">
        <v>814</v>
      </c>
      <c r="WSR47" s="1156"/>
      <c r="WSS47" s="1156" t="s">
        <v>814</v>
      </c>
      <c r="WST47" s="1156"/>
      <c r="WSU47" s="1156" t="s">
        <v>814</v>
      </c>
      <c r="WSV47" s="1156"/>
      <c r="WSW47" s="1156" t="s">
        <v>814</v>
      </c>
      <c r="WSX47" s="1156"/>
      <c r="WSY47" s="1156" t="s">
        <v>814</v>
      </c>
      <c r="WSZ47" s="1156"/>
      <c r="WTA47" s="1156" t="s">
        <v>814</v>
      </c>
      <c r="WTB47" s="1156"/>
      <c r="WTC47" s="1156" t="s">
        <v>814</v>
      </c>
      <c r="WTD47" s="1156"/>
      <c r="WTE47" s="1156" t="s">
        <v>814</v>
      </c>
      <c r="WTF47" s="1156"/>
      <c r="WTG47" s="1156" t="s">
        <v>814</v>
      </c>
      <c r="WTH47" s="1156"/>
      <c r="WTI47" s="1156" t="s">
        <v>814</v>
      </c>
      <c r="WTJ47" s="1156"/>
      <c r="WTK47" s="1156" t="s">
        <v>814</v>
      </c>
      <c r="WTL47" s="1156"/>
      <c r="WTM47" s="1156" t="s">
        <v>814</v>
      </c>
      <c r="WTN47" s="1156"/>
      <c r="WTO47" s="1156" t="s">
        <v>814</v>
      </c>
      <c r="WTP47" s="1156"/>
      <c r="WTQ47" s="1156" t="s">
        <v>814</v>
      </c>
      <c r="WTR47" s="1156"/>
      <c r="WTS47" s="1156" t="s">
        <v>814</v>
      </c>
      <c r="WTT47" s="1156"/>
      <c r="WTU47" s="1156" t="s">
        <v>814</v>
      </c>
      <c r="WTV47" s="1156"/>
      <c r="WTW47" s="1156" t="s">
        <v>814</v>
      </c>
      <c r="WTX47" s="1156"/>
      <c r="WTY47" s="1156" t="s">
        <v>814</v>
      </c>
      <c r="WTZ47" s="1156"/>
      <c r="WUA47" s="1156" t="s">
        <v>814</v>
      </c>
      <c r="WUB47" s="1156"/>
      <c r="WUC47" s="1156" t="s">
        <v>814</v>
      </c>
      <c r="WUD47" s="1156"/>
      <c r="WUE47" s="1156" t="s">
        <v>814</v>
      </c>
      <c r="WUF47" s="1156"/>
      <c r="WUG47" s="1156" t="s">
        <v>814</v>
      </c>
      <c r="WUH47" s="1156"/>
      <c r="WUI47" s="1156" t="s">
        <v>814</v>
      </c>
      <c r="WUJ47" s="1156"/>
      <c r="WUK47" s="1156" t="s">
        <v>814</v>
      </c>
      <c r="WUL47" s="1156"/>
      <c r="WUM47" s="1156" t="s">
        <v>814</v>
      </c>
      <c r="WUN47" s="1156"/>
      <c r="WUO47" s="1156" t="s">
        <v>814</v>
      </c>
      <c r="WUP47" s="1156"/>
      <c r="WUQ47" s="1156" t="s">
        <v>814</v>
      </c>
      <c r="WUR47" s="1156"/>
      <c r="WUS47" s="1156" t="s">
        <v>814</v>
      </c>
      <c r="WUT47" s="1156"/>
      <c r="WUU47" s="1156" t="s">
        <v>814</v>
      </c>
      <c r="WUV47" s="1156"/>
      <c r="WUW47" s="1156" t="s">
        <v>814</v>
      </c>
      <c r="WUX47" s="1156"/>
      <c r="WUY47" s="1156" t="s">
        <v>814</v>
      </c>
      <c r="WUZ47" s="1156"/>
      <c r="WVA47" s="1156" t="s">
        <v>814</v>
      </c>
      <c r="WVB47" s="1156"/>
      <c r="WVC47" s="1156" t="s">
        <v>814</v>
      </c>
      <c r="WVD47" s="1156"/>
      <c r="WVE47" s="1156" t="s">
        <v>814</v>
      </c>
      <c r="WVF47" s="1156"/>
      <c r="WVG47" s="1156" t="s">
        <v>814</v>
      </c>
      <c r="WVH47" s="1156"/>
      <c r="WVI47" s="1156" t="s">
        <v>814</v>
      </c>
      <c r="WVJ47" s="1156"/>
      <c r="WVK47" s="1156" t="s">
        <v>814</v>
      </c>
      <c r="WVL47" s="1156"/>
      <c r="WVM47" s="1156" t="s">
        <v>814</v>
      </c>
      <c r="WVN47" s="1156"/>
      <c r="WVO47" s="1156" t="s">
        <v>814</v>
      </c>
      <c r="WVP47" s="1156"/>
      <c r="WVQ47" s="1156" t="s">
        <v>814</v>
      </c>
      <c r="WVR47" s="1156"/>
      <c r="WVS47" s="1156" t="s">
        <v>814</v>
      </c>
      <c r="WVT47" s="1156"/>
      <c r="WVU47" s="1156" t="s">
        <v>814</v>
      </c>
      <c r="WVV47" s="1156"/>
      <c r="WVW47" s="1156" t="s">
        <v>814</v>
      </c>
      <c r="WVX47" s="1156"/>
      <c r="WVY47" s="1156" t="s">
        <v>814</v>
      </c>
      <c r="WVZ47" s="1156"/>
      <c r="WWA47" s="1156" t="s">
        <v>814</v>
      </c>
      <c r="WWB47" s="1156"/>
      <c r="WWC47" s="1156" t="s">
        <v>814</v>
      </c>
      <c r="WWD47" s="1156"/>
      <c r="WWE47" s="1156" t="s">
        <v>814</v>
      </c>
      <c r="WWF47" s="1156"/>
      <c r="WWG47" s="1156" t="s">
        <v>814</v>
      </c>
      <c r="WWH47" s="1156"/>
      <c r="WWI47" s="1156" t="s">
        <v>814</v>
      </c>
      <c r="WWJ47" s="1156"/>
      <c r="WWK47" s="1156" t="s">
        <v>814</v>
      </c>
      <c r="WWL47" s="1156"/>
      <c r="WWM47" s="1156" t="s">
        <v>814</v>
      </c>
      <c r="WWN47" s="1156"/>
      <c r="WWO47" s="1156" t="s">
        <v>814</v>
      </c>
      <c r="WWP47" s="1156"/>
      <c r="WWQ47" s="1156" t="s">
        <v>814</v>
      </c>
      <c r="WWR47" s="1156"/>
      <c r="WWS47" s="1156" t="s">
        <v>814</v>
      </c>
      <c r="WWT47" s="1156"/>
      <c r="WWU47" s="1156" t="s">
        <v>814</v>
      </c>
      <c r="WWV47" s="1156"/>
      <c r="WWW47" s="1156" t="s">
        <v>814</v>
      </c>
      <c r="WWX47" s="1156"/>
      <c r="WWY47" s="1156" t="s">
        <v>814</v>
      </c>
      <c r="WWZ47" s="1156"/>
      <c r="WXA47" s="1156" t="s">
        <v>814</v>
      </c>
      <c r="WXB47" s="1156"/>
      <c r="WXC47" s="1156" t="s">
        <v>814</v>
      </c>
      <c r="WXD47" s="1156"/>
      <c r="WXE47" s="1156" t="s">
        <v>814</v>
      </c>
      <c r="WXF47" s="1156"/>
      <c r="WXG47" s="1156" t="s">
        <v>814</v>
      </c>
      <c r="WXH47" s="1156"/>
      <c r="WXI47" s="1156" t="s">
        <v>814</v>
      </c>
      <c r="WXJ47" s="1156"/>
      <c r="WXK47" s="1156" t="s">
        <v>814</v>
      </c>
      <c r="WXL47" s="1156"/>
      <c r="WXM47" s="1156" t="s">
        <v>814</v>
      </c>
      <c r="WXN47" s="1156"/>
      <c r="WXO47" s="1156" t="s">
        <v>814</v>
      </c>
      <c r="WXP47" s="1156"/>
      <c r="WXQ47" s="1156" t="s">
        <v>814</v>
      </c>
      <c r="WXR47" s="1156"/>
      <c r="WXS47" s="1156" t="s">
        <v>814</v>
      </c>
      <c r="WXT47" s="1156"/>
      <c r="WXU47" s="1156" t="s">
        <v>814</v>
      </c>
      <c r="WXV47" s="1156"/>
      <c r="WXW47" s="1156" t="s">
        <v>814</v>
      </c>
      <c r="WXX47" s="1156"/>
      <c r="WXY47" s="1156" t="s">
        <v>814</v>
      </c>
      <c r="WXZ47" s="1156"/>
      <c r="WYA47" s="1156" t="s">
        <v>814</v>
      </c>
      <c r="WYB47" s="1156"/>
      <c r="WYC47" s="1156" t="s">
        <v>814</v>
      </c>
      <c r="WYD47" s="1156"/>
      <c r="WYE47" s="1156" t="s">
        <v>814</v>
      </c>
      <c r="WYF47" s="1156"/>
      <c r="WYG47" s="1156" t="s">
        <v>814</v>
      </c>
      <c r="WYH47" s="1156"/>
      <c r="WYI47" s="1156" t="s">
        <v>814</v>
      </c>
      <c r="WYJ47" s="1156"/>
      <c r="WYK47" s="1156" t="s">
        <v>814</v>
      </c>
      <c r="WYL47" s="1156"/>
      <c r="WYM47" s="1156" t="s">
        <v>814</v>
      </c>
      <c r="WYN47" s="1156"/>
      <c r="WYO47" s="1156" t="s">
        <v>814</v>
      </c>
      <c r="WYP47" s="1156"/>
      <c r="WYQ47" s="1156" t="s">
        <v>814</v>
      </c>
      <c r="WYR47" s="1156"/>
      <c r="WYS47" s="1156" t="s">
        <v>814</v>
      </c>
      <c r="WYT47" s="1156"/>
      <c r="WYU47" s="1156" t="s">
        <v>814</v>
      </c>
      <c r="WYV47" s="1156"/>
      <c r="WYW47" s="1156" t="s">
        <v>814</v>
      </c>
      <c r="WYX47" s="1156"/>
      <c r="WYY47" s="1156" t="s">
        <v>814</v>
      </c>
      <c r="WYZ47" s="1156"/>
      <c r="WZA47" s="1156" t="s">
        <v>814</v>
      </c>
      <c r="WZB47" s="1156"/>
      <c r="WZC47" s="1156" t="s">
        <v>814</v>
      </c>
      <c r="WZD47" s="1156"/>
      <c r="WZE47" s="1156" t="s">
        <v>814</v>
      </c>
      <c r="WZF47" s="1156"/>
      <c r="WZG47" s="1156" t="s">
        <v>814</v>
      </c>
      <c r="WZH47" s="1156"/>
      <c r="WZI47" s="1156" t="s">
        <v>814</v>
      </c>
      <c r="WZJ47" s="1156"/>
      <c r="WZK47" s="1156" t="s">
        <v>814</v>
      </c>
      <c r="WZL47" s="1156"/>
      <c r="WZM47" s="1156" t="s">
        <v>814</v>
      </c>
      <c r="WZN47" s="1156"/>
      <c r="WZO47" s="1156" t="s">
        <v>814</v>
      </c>
      <c r="WZP47" s="1156"/>
      <c r="WZQ47" s="1156" t="s">
        <v>814</v>
      </c>
      <c r="WZR47" s="1156"/>
      <c r="WZS47" s="1156" t="s">
        <v>814</v>
      </c>
      <c r="WZT47" s="1156"/>
      <c r="WZU47" s="1156" t="s">
        <v>814</v>
      </c>
      <c r="WZV47" s="1156"/>
      <c r="WZW47" s="1156" t="s">
        <v>814</v>
      </c>
      <c r="WZX47" s="1156"/>
      <c r="WZY47" s="1156" t="s">
        <v>814</v>
      </c>
      <c r="WZZ47" s="1156"/>
      <c r="XAA47" s="1156" t="s">
        <v>814</v>
      </c>
      <c r="XAB47" s="1156"/>
      <c r="XAC47" s="1156" t="s">
        <v>814</v>
      </c>
      <c r="XAD47" s="1156"/>
      <c r="XAE47" s="1156" t="s">
        <v>814</v>
      </c>
      <c r="XAF47" s="1156"/>
      <c r="XAG47" s="1156" t="s">
        <v>814</v>
      </c>
      <c r="XAH47" s="1156"/>
      <c r="XAI47" s="1156" t="s">
        <v>814</v>
      </c>
      <c r="XAJ47" s="1156"/>
      <c r="XAK47" s="1156" t="s">
        <v>814</v>
      </c>
      <c r="XAL47" s="1156"/>
      <c r="XAM47" s="1156" t="s">
        <v>814</v>
      </c>
      <c r="XAN47" s="1156"/>
      <c r="XAO47" s="1156" t="s">
        <v>814</v>
      </c>
      <c r="XAP47" s="1156"/>
      <c r="XAQ47" s="1156" t="s">
        <v>814</v>
      </c>
      <c r="XAR47" s="1156"/>
      <c r="XAS47" s="1156" t="s">
        <v>814</v>
      </c>
      <c r="XAT47" s="1156"/>
      <c r="XAU47" s="1156" t="s">
        <v>814</v>
      </c>
      <c r="XAV47" s="1156"/>
      <c r="XAW47" s="1156" t="s">
        <v>814</v>
      </c>
      <c r="XAX47" s="1156"/>
      <c r="XAY47" s="1156" t="s">
        <v>814</v>
      </c>
      <c r="XAZ47" s="1156"/>
      <c r="XBA47" s="1156" t="s">
        <v>814</v>
      </c>
      <c r="XBB47" s="1156"/>
      <c r="XBC47" s="1156" t="s">
        <v>814</v>
      </c>
      <c r="XBD47" s="1156"/>
      <c r="XBE47" s="1156" t="s">
        <v>814</v>
      </c>
      <c r="XBF47" s="1156"/>
      <c r="XBG47" s="1156" t="s">
        <v>814</v>
      </c>
      <c r="XBH47" s="1156"/>
      <c r="XBI47" s="1156" t="s">
        <v>814</v>
      </c>
      <c r="XBJ47" s="1156"/>
      <c r="XBK47" s="1156" t="s">
        <v>814</v>
      </c>
      <c r="XBL47" s="1156"/>
      <c r="XBM47" s="1156" t="s">
        <v>814</v>
      </c>
      <c r="XBN47" s="1156"/>
      <c r="XBO47" s="1156" t="s">
        <v>814</v>
      </c>
      <c r="XBP47" s="1156"/>
      <c r="XBQ47" s="1156" t="s">
        <v>814</v>
      </c>
      <c r="XBR47" s="1156"/>
      <c r="XBS47" s="1156" t="s">
        <v>814</v>
      </c>
      <c r="XBT47" s="1156"/>
      <c r="XBU47" s="1156" t="s">
        <v>814</v>
      </c>
      <c r="XBV47" s="1156"/>
      <c r="XBW47" s="1156" t="s">
        <v>814</v>
      </c>
      <c r="XBX47" s="1156"/>
      <c r="XBY47" s="1156" t="s">
        <v>814</v>
      </c>
      <c r="XBZ47" s="1156"/>
      <c r="XCA47" s="1156" t="s">
        <v>814</v>
      </c>
      <c r="XCB47" s="1156"/>
      <c r="XCC47" s="1156" t="s">
        <v>814</v>
      </c>
      <c r="XCD47" s="1156"/>
      <c r="XCE47" s="1156" t="s">
        <v>814</v>
      </c>
      <c r="XCF47" s="1156"/>
      <c r="XCG47" s="1156" t="s">
        <v>814</v>
      </c>
      <c r="XCH47" s="1156"/>
      <c r="XCI47" s="1156" t="s">
        <v>814</v>
      </c>
      <c r="XCJ47" s="1156"/>
      <c r="XCK47" s="1156" t="s">
        <v>814</v>
      </c>
      <c r="XCL47" s="1156"/>
      <c r="XCM47" s="1156" t="s">
        <v>814</v>
      </c>
      <c r="XCN47" s="1156"/>
      <c r="XCO47" s="1156" t="s">
        <v>814</v>
      </c>
      <c r="XCP47" s="1156"/>
      <c r="XCQ47" s="1156" t="s">
        <v>814</v>
      </c>
      <c r="XCR47" s="1156"/>
      <c r="XCS47" s="1156" t="s">
        <v>814</v>
      </c>
      <c r="XCT47" s="1156"/>
      <c r="XCU47" s="1156" t="s">
        <v>814</v>
      </c>
      <c r="XCV47" s="1156"/>
      <c r="XCW47" s="1156" t="s">
        <v>814</v>
      </c>
      <c r="XCX47" s="1156"/>
      <c r="XCY47" s="1156" t="s">
        <v>814</v>
      </c>
      <c r="XCZ47" s="1156"/>
      <c r="XDA47" s="1156" t="s">
        <v>814</v>
      </c>
      <c r="XDB47" s="1156"/>
      <c r="XDC47" s="1156" t="s">
        <v>814</v>
      </c>
      <c r="XDD47" s="1156"/>
      <c r="XDE47" s="1156" t="s">
        <v>814</v>
      </c>
      <c r="XDF47" s="1156"/>
      <c r="XDG47" s="1156" t="s">
        <v>814</v>
      </c>
      <c r="XDH47" s="1156"/>
      <c r="XDI47" s="1156" t="s">
        <v>814</v>
      </c>
      <c r="XDJ47" s="1156"/>
      <c r="XDK47" s="1156" t="s">
        <v>814</v>
      </c>
      <c r="XDL47" s="1156"/>
      <c r="XDM47" s="1156" t="s">
        <v>814</v>
      </c>
      <c r="XDN47" s="1156"/>
      <c r="XDO47" s="1156" t="s">
        <v>814</v>
      </c>
      <c r="XDP47" s="1156"/>
      <c r="XDQ47" s="1156" t="s">
        <v>814</v>
      </c>
      <c r="XDR47" s="1156"/>
      <c r="XDS47" s="1156" t="s">
        <v>814</v>
      </c>
      <c r="XDT47" s="1156"/>
      <c r="XDU47" s="1156" t="s">
        <v>814</v>
      </c>
      <c r="XDV47" s="1156"/>
      <c r="XDW47" s="1156" t="s">
        <v>814</v>
      </c>
      <c r="XDX47" s="1156"/>
      <c r="XDY47" s="1156" t="s">
        <v>814</v>
      </c>
      <c r="XDZ47" s="1156"/>
      <c r="XEA47" s="1156" t="s">
        <v>814</v>
      </c>
      <c r="XEB47" s="1156"/>
      <c r="XEC47" s="1156" t="s">
        <v>814</v>
      </c>
      <c r="XED47" s="1156"/>
      <c r="XEE47" s="1156" t="s">
        <v>814</v>
      </c>
      <c r="XEF47" s="1156"/>
      <c r="XEG47" s="1156" t="s">
        <v>814</v>
      </c>
      <c r="XEH47" s="1156"/>
      <c r="XEI47" s="1156" t="s">
        <v>814</v>
      </c>
      <c r="XEJ47" s="1156"/>
      <c r="XEK47" s="1156" t="s">
        <v>814</v>
      </c>
      <c r="XEL47" s="1156"/>
      <c r="XEM47" s="1156" t="s">
        <v>814</v>
      </c>
      <c r="XEN47" s="1156"/>
      <c r="XEO47" s="1156" t="s">
        <v>814</v>
      </c>
      <c r="XEP47" s="1156"/>
      <c r="XEQ47" s="1156" t="s">
        <v>814</v>
      </c>
      <c r="XER47" s="1156"/>
      <c r="XES47" s="1156" t="s">
        <v>814</v>
      </c>
      <c r="XET47" s="1156"/>
      <c r="XEU47" s="1156" t="s">
        <v>814</v>
      </c>
      <c r="XEV47" s="1156"/>
      <c r="XEW47" s="1156" t="s">
        <v>814</v>
      </c>
      <c r="XEX47" s="1156"/>
      <c r="XEY47" s="1156" t="s">
        <v>814</v>
      </c>
      <c r="XEZ47" s="1156"/>
      <c r="XFA47" s="1156" t="s">
        <v>814</v>
      </c>
      <c r="XFB47" s="1156"/>
      <c r="XFC47" s="1156" t="s">
        <v>814</v>
      </c>
      <c r="XFD47" s="1156"/>
    </row>
    <row r="48" spans="1:16384" x14ac:dyDescent="0.25">
      <c r="A48" s="157">
        <f t="shared" si="0"/>
        <v>40</v>
      </c>
      <c r="B48" s="154" t="s">
        <v>814</v>
      </c>
      <c r="C48" s="581"/>
    </row>
    <row r="49" spans="1:3" x14ac:dyDescent="0.25">
      <c r="A49" s="157">
        <f t="shared" si="0"/>
        <v>41</v>
      </c>
      <c r="B49" s="179" t="s">
        <v>815</v>
      </c>
      <c r="C49" s="581"/>
    </row>
    <row r="50" spans="1:3" x14ac:dyDescent="0.25">
      <c r="A50" s="157">
        <f t="shared" si="0"/>
        <v>42</v>
      </c>
      <c r="B50" s="179" t="s">
        <v>816</v>
      </c>
      <c r="C50" s="581"/>
    </row>
    <row r="51" spans="1:3" x14ac:dyDescent="0.25">
      <c r="A51" s="157">
        <f t="shared" si="0"/>
        <v>43</v>
      </c>
      <c r="B51" s="146"/>
      <c r="C51" s="581"/>
    </row>
    <row r="52" spans="1:3" x14ac:dyDescent="0.25">
      <c r="A52" s="157">
        <f t="shared" si="0"/>
        <v>44</v>
      </c>
      <c r="B52" s="154" t="s">
        <v>817</v>
      </c>
      <c r="C52" s="581"/>
    </row>
    <row r="53" spans="1:3" x14ac:dyDescent="0.25">
      <c r="A53" s="157">
        <f t="shared" si="0"/>
        <v>45</v>
      </c>
      <c r="B53" s="154" t="s">
        <v>807</v>
      </c>
      <c r="C53" s="581"/>
    </row>
    <row r="54" spans="1:3" x14ac:dyDescent="0.25">
      <c r="A54" s="157">
        <f t="shared" si="0"/>
        <v>46</v>
      </c>
      <c r="B54" s="146"/>
      <c r="C54" s="581"/>
    </row>
    <row r="55" spans="1:3" ht="18" customHeight="1" x14ac:dyDescent="0.25">
      <c r="A55" s="157">
        <f t="shared" si="0"/>
        <v>47</v>
      </c>
      <c r="B55" s="589" t="s">
        <v>818</v>
      </c>
      <c r="C55" s="594"/>
    </row>
    <row r="56" spans="1:3" ht="29.25" customHeight="1" x14ac:dyDescent="0.25">
      <c r="A56" s="157">
        <f t="shared" si="0"/>
        <v>48</v>
      </c>
      <c r="B56" s="147" t="s">
        <v>819</v>
      </c>
      <c r="C56" s="154"/>
    </row>
    <row r="57" spans="1:3" ht="18.75" customHeight="1" x14ac:dyDescent="0.25">
      <c r="A57" s="157">
        <f t="shared" si="0"/>
        <v>49</v>
      </c>
      <c r="B57" s="181" t="s">
        <v>820</v>
      </c>
      <c r="C57" s="154"/>
    </row>
    <row r="58" spans="1:3" ht="17.25" customHeight="1" x14ac:dyDescent="0.25">
      <c r="A58" s="157">
        <f t="shared" si="0"/>
        <v>50</v>
      </c>
      <c r="B58" s="411" t="s">
        <v>821</v>
      </c>
      <c r="C58" s="582"/>
    </row>
    <row r="59" spans="1:3" x14ac:dyDescent="0.25">
      <c r="A59" s="157">
        <f t="shared" si="0"/>
        <v>51</v>
      </c>
      <c r="B59" s="182"/>
      <c r="C59" s="154"/>
    </row>
    <row r="60" spans="1:3" ht="17.25" customHeight="1" x14ac:dyDescent="0.25">
      <c r="A60" s="157">
        <f t="shared" si="0"/>
        <v>52</v>
      </c>
      <c r="B60" s="589" t="s">
        <v>822</v>
      </c>
      <c r="C60" s="591"/>
    </row>
    <row r="61" spans="1:3" ht="17.25" customHeight="1" x14ac:dyDescent="0.25">
      <c r="A61" s="157">
        <f t="shared" si="0"/>
        <v>53</v>
      </c>
      <c r="B61" s="153" t="s">
        <v>823</v>
      </c>
      <c r="C61" s="154"/>
    </row>
    <row r="62" spans="1:3" x14ac:dyDescent="0.25">
      <c r="A62" s="157">
        <f t="shared" si="0"/>
        <v>54</v>
      </c>
      <c r="B62" s="147"/>
      <c r="C62" s="154"/>
    </row>
    <row r="63" spans="1:3" ht="18.75" customHeight="1" x14ac:dyDescent="0.25">
      <c r="A63" s="157">
        <f t="shared" si="0"/>
        <v>55</v>
      </c>
      <c r="B63" s="589" t="s">
        <v>824</v>
      </c>
      <c r="C63" s="590"/>
    </row>
    <row r="64" spans="1:3" ht="21" customHeight="1" x14ac:dyDescent="0.25">
      <c r="A64" s="157">
        <f t="shared" si="0"/>
        <v>56</v>
      </c>
      <c r="B64" s="151" t="s">
        <v>825</v>
      </c>
      <c r="C64" s="154"/>
    </row>
    <row r="65" spans="1:3" ht="20.25" customHeight="1" x14ac:dyDescent="0.25">
      <c r="A65" s="157">
        <f t="shared" si="0"/>
        <v>57</v>
      </c>
      <c r="B65" s="151" t="s">
        <v>826</v>
      </c>
      <c r="C65" s="154"/>
    </row>
    <row r="66" spans="1:3" ht="18" customHeight="1" x14ac:dyDescent="0.25">
      <c r="A66" s="157">
        <f t="shared" si="0"/>
        <v>58</v>
      </c>
      <c r="B66" s="151" t="s">
        <v>808</v>
      </c>
      <c r="C66" s="583"/>
    </row>
    <row r="67" spans="1:3" x14ac:dyDescent="0.25">
      <c r="A67" s="157">
        <f t="shared" si="0"/>
        <v>59</v>
      </c>
      <c r="B67" s="148"/>
      <c r="C67" s="584"/>
    </row>
    <row r="68" spans="1:3" ht="20.25" customHeight="1" x14ac:dyDescent="0.25">
      <c r="A68" s="157">
        <f t="shared" si="0"/>
        <v>60</v>
      </c>
      <c r="B68" s="588" t="s">
        <v>827</v>
      </c>
      <c r="C68" s="587"/>
    </row>
    <row r="69" spans="1:3" ht="21" customHeight="1" x14ac:dyDescent="0.25">
      <c r="A69" s="157">
        <f t="shared" si="0"/>
        <v>61</v>
      </c>
      <c r="B69" s="152" t="s">
        <v>828</v>
      </c>
      <c r="C69" s="585"/>
    </row>
    <row r="70" spans="1:3" x14ac:dyDescent="0.25">
      <c r="A70" s="157">
        <f t="shared" si="0"/>
        <v>62</v>
      </c>
      <c r="B70" s="149"/>
      <c r="C70" s="154"/>
    </row>
    <row r="71" spans="1:3" x14ac:dyDescent="0.25">
      <c r="A71" s="157">
        <f t="shared" si="0"/>
        <v>63</v>
      </c>
      <c r="B71" s="150"/>
      <c r="C71" s="584"/>
    </row>
    <row r="72" spans="1:3" x14ac:dyDescent="0.25">
      <c r="A72" s="157">
        <f t="shared" si="0"/>
        <v>64</v>
      </c>
      <c r="B72" s="593" t="s">
        <v>829</v>
      </c>
      <c r="C72" s="586">
        <f>SUBTOTAL(9,C41:C71)</f>
        <v>0</v>
      </c>
    </row>
    <row r="73" spans="1:3" x14ac:dyDescent="0.25">
      <c r="A73" s="157">
        <f t="shared" si="0"/>
        <v>65</v>
      </c>
      <c r="B73" s="150"/>
      <c r="C73" s="150"/>
    </row>
    <row r="74" spans="1:3" x14ac:dyDescent="0.25">
      <c r="A74" s="157">
        <f t="shared" si="0"/>
        <v>66</v>
      </c>
      <c r="B74" s="592" t="s">
        <v>830</v>
      </c>
      <c r="C74" s="587"/>
    </row>
  </sheetData>
  <mergeCells count="8195">
    <mergeCell ref="A1:B1"/>
    <mergeCell ref="O47:P47"/>
    <mergeCell ref="Q47:R47"/>
    <mergeCell ref="S47:T47"/>
    <mergeCell ref="U47:V47"/>
    <mergeCell ref="W47:X47"/>
    <mergeCell ref="E47:F47"/>
    <mergeCell ref="G47:H47"/>
    <mergeCell ref="I47:J47"/>
    <mergeCell ref="K47:L47"/>
    <mergeCell ref="M47:N47"/>
    <mergeCell ref="A2:B2"/>
    <mergeCell ref="A3:B5"/>
    <mergeCell ref="C6:C7"/>
    <mergeCell ref="C47:D47"/>
    <mergeCell ref="BC47:BD47"/>
    <mergeCell ref="BE47:BF47"/>
    <mergeCell ref="BG47:BH47"/>
    <mergeCell ref="BI47:BJ47"/>
    <mergeCell ref="BK47:BL47"/>
    <mergeCell ref="AS47:AT47"/>
    <mergeCell ref="AU47:AV47"/>
    <mergeCell ref="AW47:AX47"/>
    <mergeCell ref="AY47:AZ47"/>
    <mergeCell ref="BA47:BB47"/>
    <mergeCell ref="AI47:AJ47"/>
    <mergeCell ref="AK47:AL47"/>
    <mergeCell ref="AM47:AN47"/>
    <mergeCell ref="AO47:AP47"/>
    <mergeCell ref="AQ47:AR47"/>
    <mergeCell ref="Y47:Z47"/>
    <mergeCell ref="AA47:AB47"/>
    <mergeCell ref="AC47:AD47"/>
    <mergeCell ref="AE47:AF47"/>
    <mergeCell ref="AG47:AH47"/>
    <mergeCell ref="CQ47:CR47"/>
    <mergeCell ref="CS47:CT47"/>
    <mergeCell ref="CU47:CV47"/>
    <mergeCell ref="CW47:CX47"/>
    <mergeCell ref="CY47:CZ47"/>
    <mergeCell ref="CG47:CH47"/>
    <mergeCell ref="CI47:CJ47"/>
    <mergeCell ref="CK47:CL47"/>
    <mergeCell ref="CM47:CN47"/>
    <mergeCell ref="CO47:CP47"/>
    <mergeCell ref="BW47:BX47"/>
    <mergeCell ref="BY47:BZ47"/>
    <mergeCell ref="CA47:CB47"/>
    <mergeCell ref="CC47:CD47"/>
    <mergeCell ref="CE47:CF47"/>
    <mergeCell ref="BM47:BN47"/>
    <mergeCell ref="BO47:BP47"/>
    <mergeCell ref="BQ47:BR47"/>
    <mergeCell ref="BS47:BT47"/>
    <mergeCell ref="BU47:BV47"/>
    <mergeCell ref="EE47:EF47"/>
    <mergeCell ref="EG47:EH47"/>
    <mergeCell ref="EI47:EJ47"/>
    <mergeCell ref="EK47:EL47"/>
    <mergeCell ref="EM47:EN47"/>
    <mergeCell ref="DU47:DV47"/>
    <mergeCell ref="DW47:DX47"/>
    <mergeCell ref="DY47:DZ47"/>
    <mergeCell ref="EA47:EB47"/>
    <mergeCell ref="EC47:ED47"/>
    <mergeCell ref="DK47:DL47"/>
    <mergeCell ref="DM47:DN47"/>
    <mergeCell ref="DO47:DP47"/>
    <mergeCell ref="DQ47:DR47"/>
    <mergeCell ref="DS47:DT47"/>
    <mergeCell ref="DA47:DB47"/>
    <mergeCell ref="DC47:DD47"/>
    <mergeCell ref="DE47:DF47"/>
    <mergeCell ref="DG47:DH47"/>
    <mergeCell ref="DI47:DJ47"/>
    <mergeCell ref="FS47:FT47"/>
    <mergeCell ref="FU47:FV47"/>
    <mergeCell ref="FW47:FX47"/>
    <mergeCell ref="FY47:FZ47"/>
    <mergeCell ref="GA47:GB47"/>
    <mergeCell ref="FI47:FJ47"/>
    <mergeCell ref="FK47:FL47"/>
    <mergeCell ref="FM47:FN47"/>
    <mergeCell ref="FO47:FP47"/>
    <mergeCell ref="FQ47:FR47"/>
    <mergeCell ref="EY47:EZ47"/>
    <mergeCell ref="FA47:FB47"/>
    <mergeCell ref="FC47:FD47"/>
    <mergeCell ref="FE47:FF47"/>
    <mergeCell ref="FG47:FH47"/>
    <mergeCell ref="EO47:EP47"/>
    <mergeCell ref="EQ47:ER47"/>
    <mergeCell ref="ES47:ET47"/>
    <mergeCell ref="EU47:EV47"/>
    <mergeCell ref="EW47:EX47"/>
    <mergeCell ref="HG47:HH47"/>
    <mergeCell ref="HI47:HJ47"/>
    <mergeCell ref="HK47:HL47"/>
    <mergeCell ref="HM47:HN47"/>
    <mergeCell ref="HO47:HP47"/>
    <mergeCell ref="GW47:GX47"/>
    <mergeCell ref="GY47:GZ47"/>
    <mergeCell ref="HA47:HB47"/>
    <mergeCell ref="HC47:HD47"/>
    <mergeCell ref="HE47:HF47"/>
    <mergeCell ref="GM47:GN47"/>
    <mergeCell ref="GO47:GP47"/>
    <mergeCell ref="GQ47:GR47"/>
    <mergeCell ref="GS47:GT47"/>
    <mergeCell ref="GU47:GV47"/>
    <mergeCell ref="GC47:GD47"/>
    <mergeCell ref="GE47:GF47"/>
    <mergeCell ref="GG47:GH47"/>
    <mergeCell ref="GI47:GJ47"/>
    <mergeCell ref="GK47:GL47"/>
    <mergeCell ref="IU47:IV47"/>
    <mergeCell ref="IW47:IX47"/>
    <mergeCell ref="IY47:IZ47"/>
    <mergeCell ref="JA47:JB47"/>
    <mergeCell ref="JC47:JD47"/>
    <mergeCell ref="IK47:IL47"/>
    <mergeCell ref="IM47:IN47"/>
    <mergeCell ref="IO47:IP47"/>
    <mergeCell ref="IQ47:IR47"/>
    <mergeCell ref="IS47:IT47"/>
    <mergeCell ref="IA47:IB47"/>
    <mergeCell ref="IC47:ID47"/>
    <mergeCell ref="IE47:IF47"/>
    <mergeCell ref="IG47:IH47"/>
    <mergeCell ref="II47:IJ47"/>
    <mergeCell ref="HQ47:HR47"/>
    <mergeCell ref="HS47:HT47"/>
    <mergeCell ref="HU47:HV47"/>
    <mergeCell ref="HW47:HX47"/>
    <mergeCell ref="HY47:HZ47"/>
    <mergeCell ref="KI47:KJ47"/>
    <mergeCell ref="KK47:KL47"/>
    <mergeCell ref="KM47:KN47"/>
    <mergeCell ref="KO47:KP47"/>
    <mergeCell ref="KQ47:KR47"/>
    <mergeCell ref="JY47:JZ47"/>
    <mergeCell ref="KA47:KB47"/>
    <mergeCell ref="KC47:KD47"/>
    <mergeCell ref="KE47:KF47"/>
    <mergeCell ref="KG47:KH47"/>
    <mergeCell ref="JO47:JP47"/>
    <mergeCell ref="JQ47:JR47"/>
    <mergeCell ref="JS47:JT47"/>
    <mergeCell ref="JU47:JV47"/>
    <mergeCell ref="JW47:JX47"/>
    <mergeCell ref="JE47:JF47"/>
    <mergeCell ref="JG47:JH47"/>
    <mergeCell ref="JI47:JJ47"/>
    <mergeCell ref="JK47:JL47"/>
    <mergeCell ref="JM47:JN47"/>
    <mergeCell ref="LW47:LX47"/>
    <mergeCell ref="LY47:LZ47"/>
    <mergeCell ref="MA47:MB47"/>
    <mergeCell ref="MC47:MD47"/>
    <mergeCell ref="ME47:MF47"/>
    <mergeCell ref="LM47:LN47"/>
    <mergeCell ref="LO47:LP47"/>
    <mergeCell ref="LQ47:LR47"/>
    <mergeCell ref="LS47:LT47"/>
    <mergeCell ref="LU47:LV47"/>
    <mergeCell ref="LC47:LD47"/>
    <mergeCell ref="LE47:LF47"/>
    <mergeCell ref="LG47:LH47"/>
    <mergeCell ref="LI47:LJ47"/>
    <mergeCell ref="LK47:LL47"/>
    <mergeCell ref="KS47:KT47"/>
    <mergeCell ref="KU47:KV47"/>
    <mergeCell ref="KW47:KX47"/>
    <mergeCell ref="KY47:KZ47"/>
    <mergeCell ref="LA47:LB47"/>
    <mergeCell ref="NK47:NL47"/>
    <mergeCell ref="NM47:NN47"/>
    <mergeCell ref="NO47:NP47"/>
    <mergeCell ref="NQ47:NR47"/>
    <mergeCell ref="NS47:NT47"/>
    <mergeCell ref="NA47:NB47"/>
    <mergeCell ref="NC47:ND47"/>
    <mergeCell ref="NE47:NF47"/>
    <mergeCell ref="NG47:NH47"/>
    <mergeCell ref="NI47:NJ47"/>
    <mergeCell ref="MQ47:MR47"/>
    <mergeCell ref="MS47:MT47"/>
    <mergeCell ref="MU47:MV47"/>
    <mergeCell ref="MW47:MX47"/>
    <mergeCell ref="MY47:MZ47"/>
    <mergeCell ref="MG47:MH47"/>
    <mergeCell ref="MI47:MJ47"/>
    <mergeCell ref="MK47:ML47"/>
    <mergeCell ref="MM47:MN47"/>
    <mergeCell ref="MO47:MP47"/>
    <mergeCell ref="OY47:OZ47"/>
    <mergeCell ref="PA47:PB47"/>
    <mergeCell ref="PC47:PD47"/>
    <mergeCell ref="PE47:PF47"/>
    <mergeCell ref="PG47:PH47"/>
    <mergeCell ref="OO47:OP47"/>
    <mergeCell ref="OQ47:OR47"/>
    <mergeCell ref="OS47:OT47"/>
    <mergeCell ref="OU47:OV47"/>
    <mergeCell ref="OW47:OX47"/>
    <mergeCell ref="OE47:OF47"/>
    <mergeCell ref="OG47:OH47"/>
    <mergeCell ref="OI47:OJ47"/>
    <mergeCell ref="OK47:OL47"/>
    <mergeCell ref="OM47:ON47"/>
    <mergeCell ref="NU47:NV47"/>
    <mergeCell ref="NW47:NX47"/>
    <mergeCell ref="NY47:NZ47"/>
    <mergeCell ref="OA47:OB47"/>
    <mergeCell ref="OC47:OD47"/>
    <mergeCell ref="QM47:QN47"/>
    <mergeCell ref="QO47:QP47"/>
    <mergeCell ref="QQ47:QR47"/>
    <mergeCell ref="QS47:QT47"/>
    <mergeCell ref="QU47:QV47"/>
    <mergeCell ref="QC47:QD47"/>
    <mergeCell ref="QE47:QF47"/>
    <mergeCell ref="QG47:QH47"/>
    <mergeCell ref="QI47:QJ47"/>
    <mergeCell ref="QK47:QL47"/>
    <mergeCell ref="PS47:PT47"/>
    <mergeCell ref="PU47:PV47"/>
    <mergeCell ref="PW47:PX47"/>
    <mergeCell ref="PY47:PZ47"/>
    <mergeCell ref="QA47:QB47"/>
    <mergeCell ref="PI47:PJ47"/>
    <mergeCell ref="PK47:PL47"/>
    <mergeCell ref="PM47:PN47"/>
    <mergeCell ref="PO47:PP47"/>
    <mergeCell ref="PQ47:PR47"/>
    <mergeCell ref="SA47:SB47"/>
    <mergeCell ref="SC47:SD47"/>
    <mergeCell ref="SE47:SF47"/>
    <mergeCell ref="SG47:SH47"/>
    <mergeCell ref="SI47:SJ47"/>
    <mergeCell ref="RQ47:RR47"/>
    <mergeCell ref="RS47:RT47"/>
    <mergeCell ref="RU47:RV47"/>
    <mergeCell ref="RW47:RX47"/>
    <mergeCell ref="RY47:RZ47"/>
    <mergeCell ref="RG47:RH47"/>
    <mergeCell ref="RI47:RJ47"/>
    <mergeCell ref="RK47:RL47"/>
    <mergeCell ref="RM47:RN47"/>
    <mergeCell ref="RO47:RP47"/>
    <mergeCell ref="QW47:QX47"/>
    <mergeCell ref="QY47:QZ47"/>
    <mergeCell ref="RA47:RB47"/>
    <mergeCell ref="RC47:RD47"/>
    <mergeCell ref="RE47:RF47"/>
    <mergeCell ref="TO47:TP47"/>
    <mergeCell ref="TQ47:TR47"/>
    <mergeCell ref="TS47:TT47"/>
    <mergeCell ref="TU47:TV47"/>
    <mergeCell ref="TW47:TX47"/>
    <mergeCell ref="TE47:TF47"/>
    <mergeCell ref="TG47:TH47"/>
    <mergeCell ref="TI47:TJ47"/>
    <mergeCell ref="TK47:TL47"/>
    <mergeCell ref="TM47:TN47"/>
    <mergeCell ref="SU47:SV47"/>
    <mergeCell ref="SW47:SX47"/>
    <mergeCell ref="SY47:SZ47"/>
    <mergeCell ref="TA47:TB47"/>
    <mergeCell ref="TC47:TD47"/>
    <mergeCell ref="SK47:SL47"/>
    <mergeCell ref="SM47:SN47"/>
    <mergeCell ref="SO47:SP47"/>
    <mergeCell ref="SQ47:SR47"/>
    <mergeCell ref="SS47:ST47"/>
    <mergeCell ref="VC47:VD47"/>
    <mergeCell ref="VE47:VF47"/>
    <mergeCell ref="VG47:VH47"/>
    <mergeCell ref="VI47:VJ47"/>
    <mergeCell ref="VK47:VL47"/>
    <mergeCell ref="US47:UT47"/>
    <mergeCell ref="UU47:UV47"/>
    <mergeCell ref="UW47:UX47"/>
    <mergeCell ref="UY47:UZ47"/>
    <mergeCell ref="VA47:VB47"/>
    <mergeCell ref="UI47:UJ47"/>
    <mergeCell ref="UK47:UL47"/>
    <mergeCell ref="UM47:UN47"/>
    <mergeCell ref="UO47:UP47"/>
    <mergeCell ref="UQ47:UR47"/>
    <mergeCell ref="TY47:TZ47"/>
    <mergeCell ref="UA47:UB47"/>
    <mergeCell ref="UC47:UD47"/>
    <mergeCell ref="UE47:UF47"/>
    <mergeCell ref="UG47:UH47"/>
    <mergeCell ref="WQ47:WR47"/>
    <mergeCell ref="WS47:WT47"/>
    <mergeCell ref="WU47:WV47"/>
    <mergeCell ref="WW47:WX47"/>
    <mergeCell ref="WY47:WZ47"/>
    <mergeCell ref="WG47:WH47"/>
    <mergeCell ref="WI47:WJ47"/>
    <mergeCell ref="WK47:WL47"/>
    <mergeCell ref="WM47:WN47"/>
    <mergeCell ref="WO47:WP47"/>
    <mergeCell ref="VW47:VX47"/>
    <mergeCell ref="VY47:VZ47"/>
    <mergeCell ref="WA47:WB47"/>
    <mergeCell ref="WC47:WD47"/>
    <mergeCell ref="WE47:WF47"/>
    <mergeCell ref="VM47:VN47"/>
    <mergeCell ref="VO47:VP47"/>
    <mergeCell ref="VQ47:VR47"/>
    <mergeCell ref="VS47:VT47"/>
    <mergeCell ref="VU47:VV47"/>
    <mergeCell ref="YE47:YF47"/>
    <mergeCell ref="YG47:YH47"/>
    <mergeCell ref="YI47:YJ47"/>
    <mergeCell ref="YK47:YL47"/>
    <mergeCell ref="YM47:YN47"/>
    <mergeCell ref="XU47:XV47"/>
    <mergeCell ref="XW47:XX47"/>
    <mergeCell ref="XY47:XZ47"/>
    <mergeCell ref="YA47:YB47"/>
    <mergeCell ref="YC47:YD47"/>
    <mergeCell ref="XK47:XL47"/>
    <mergeCell ref="XM47:XN47"/>
    <mergeCell ref="XO47:XP47"/>
    <mergeCell ref="XQ47:XR47"/>
    <mergeCell ref="XS47:XT47"/>
    <mergeCell ref="XA47:XB47"/>
    <mergeCell ref="XC47:XD47"/>
    <mergeCell ref="XE47:XF47"/>
    <mergeCell ref="XG47:XH47"/>
    <mergeCell ref="XI47:XJ47"/>
    <mergeCell ref="ZS47:ZT47"/>
    <mergeCell ref="ZU47:ZV47"/>
    <mergeCell ref="ZW47:ZX47"/>
    <mergeCell ref="ZY47:ZZ47"/>
    <mergeCell ref="AAA47:AAB47"/>
    <mergeCell ref="ZI47:ZJ47"/>
    <mergeCell ref="ZK47:ZL47"/>
    <mergeCell ref="ZM47:ZN47"/>
    <mergeCell ref="ZO47:ZP47"/>
    <mergeCell ref="ZQ47:ZR47"/>
    <mergeCell ref="YY47:YZ47"/>
    <mergeCell ref="ZA47:ZB47"/>
    <mergeCell ref="ZC47:ZD47"/>
    <mergeCell ref="ZE47:ZF47"/>
    <mergeCell ref="ZG47:ZH47"/>
    <mergeCell ref="YO47:YP47"/>
    <mergeCell ref="YQ47:YR47"/>
    <mergeCell ref="YS47:YT47"/>
    <mergeCell ref="YU47:YV47"/>
    <mergeCell ref="YW47:YX47"/>
    <mergeCell ref="ABG47:ABH47"/>
    <mergeCell ref="ABI47:ABJ47"/>
    <mergeCell ref="ABK47:ABL47"/>
    <mergeCell ref="ABM47:ABN47"/>
    <mergeCell ref="ABO47:ABP47"/>
    <mergeCell ref="AAW47:AAX47"/>
    <mergeCell ref="AAY47:AAZ47"/>
    <mergeCell ref="ABA47:ABB47"/>
    <mergeCell ref="ABC47:ABD47"/>
    <mergeCell ref="ABE47:ABF47"/>
    <mergeCell ref="AAM47:AAN47"/>
    <mergeCell ref="AAO47:AAP47"/>
    <mergeCell ref="AAQ47:AAR47"/>
    <mergeCell ref="AAS47:AAT47"/>
    <mergeCell ref="AAU47:AAV47"/>
    <mergeCell ref="AAC47:AAD47"/>
    <mergeCell ref="AAE47:AAF47"/>
    <mergeCell ref="AAG47:AAH47"/>
    <mergeCell ref="AAI47:AAJ47"/>
    <mergeCell ref="AAK47:AAL47"/>
    <mergeCell ref="ACU47:ACV47"/>
    <mergeCell ref="ACW47:ACX47"/>
    <mergeCell ref="ACY47:ACZ47"/>
    <mergeCell ref="ADA47:ADB47"/>
    <mergeCell ref="ADC47:ADD47"/>
    <mergeCell ref="ACK47:ACL47"/>
    <mergeCell ref="ACM47:ACN47"/>
    <mergeCell ref="ACO47:ACP47"/>
    <mergeCell ref="ACQ47:ACR47"/>
    <mergeCell ref="ACS47:ACT47"/>
    <mergeCell ref="ACA47:ACB47"/>
    <mergeCell ref="ACC47:ACD47"/>
    <mergeCell ref="ACE47:ACF47"/>
    <mergeCell ref="ACG47:ACH47"/>
    <mergeCell ref="ACI47:ACJ47"/>
    <mergeCell ref="ABQ47:ABR47"/>
    <mergeCell ref="ABS47:ABT47"/>
    <mergeCell ref="ABU47:ABV47"/>
    <mergeCell ref="ABW47:ABX47"/>
    <mergeCell ref="ABY47:ABZ47"/>
    <mergeCell ref="AEI47:AEJ47"/>
    <mergeCell ref="AEK47:AEL47"/>
    <mergeCell ref="AEM47:AEN47"/>
    <mergeCell ref="AEO47:AEP47"/>
    <mergeCell ref="AEQ47:AER47"/>
    <mergeCell ref="ADY47:ADZ47"/>
    <mergeCell ref="AEA47:AEB47"/>
    <mergeCell ref="AEC47:AED47"/>
    <mergeCell ref="AEE47:AEF47"/>
    <mergeCell ref="AEG47:AEH47"/>
    <mergeCell ref="ADO47:ADP47"/>
    <mergeCell ref="ADQ47:ADR47"/>
    <mergeCell ref="ADS47:ADT47"/>
    <mergeCell ref="ADU47:ADV47"/>
    <mergeCell ref="ADW47:ADX47"/>
    <mergeCell ref="ADE47:ADF47"/>
    <mergeCell ref="ADG47:ADH47"/>
    <mergeCell ref="ADI47:ADJ47"/>
    <mergeCell ref="ADK47:ADL47"/>
    <mergeCell ref="ADM47:ADN47"/>
    <mergeCell ref="AFW47:AFX47"/>
    <mergeCell ref="AFY47:AFZ47"/>
    <mergeCell ref="AGA47:AGB47"/>
    <mergeCell ref="AGC47:AGD47"/>
    <mergeCell ref="AGE47:AGF47"/>
    <mergeCell ref="AFM47:AFN47"/>
    <mergeCell ref="AFO47:AFP47"/>
    <mergeCell ref="AFQ47:AFR47"/>
    <mergeCell ref="AFS47:AFT47"/>
    <mergeCell ref="AFU47:AFV47"/>
    <mergeCell ref="AFC47:AFD47"/>
    <mergeCell ref="AFE47:AFF47"/>
    <mergeCell ref="AFG47:AFH47"/>
    <mergeCell ref="AFI47:AFJ47"/>
    <mergeCell ref="AFK47:AFL47"/>
    <mergeCell ref="AES47:AET47"/>
    <mergeCell ref="AEU47:AEV47"/>
    <mergeCell ref="AEW47:AEX47"/>
    <mergeCell ref="AEY47:AEZ47"/>
    <mergeCell ref="AFA47:AFB47"/>
    <mergeCell ref="AHK47:AHL47"/>
    <mergeCell ref="AHM47:AHN47"/>
    <mergeCell ref="AHO47:AHP47"/>
    <mergeCell ref="AHQ47:AHR47"/>
    <mergeCell ref="AHS47:AHT47"/>
    <mergeCell ref="AHA47:AHB47"/>
    <mergeCell ref="AHC47:AHD47"/>
    <mergeCell ref="AHE47:AHF47"/>
    <mergeCell ref="AHG47:AHH47"/>
    <mergeCell ref="AHI47:AHJ47"/>
    <mergeCell ref="AGQ47:AGR47"/>
    <mergeCell ref="AGS47:AGT47"/>
    <mergeCell ref="AGU47:AGV47"/>
    <mergeCell ref="AGW47:AGX47"/>
    <mergeCell ref="AGY47:AGZ47"/>
    <mergeCell ref="AGG47:AGH47"/>
    <mergeCell ref="AGI47:AGJ47"/>
    <mergeCell ref="AGK47:AGL47"/>
    <mergeCell ref="AGM47:AGN47"/>
    <mergeCell ref="AGO47:AGP47"/>
    <mergeCell ref="AIY47:AIZ47"/>
    <mergeCell ref="AJA47:AJB47"/>
    <mergeCell ref="AJC47:AJD47"/>
    <mergeCell ref="AJE47:AJF47"/>
    <mergeCell ref="AJG47:AJH47"/>
    <mergeCell ref="AIO47:AIP47"/>
    <mergeCell ref="AIQ47:AIR47"/>
    <mergeCell ref="AIS47:AIT47"/>
    <mergeCell ref="AIU47:AIV47"/>
    <mergeCell ref="AIW47:AIX47"/>
    <mergeCell ref="AIE47:AIF47"/>
    <mergeCell ref="AIG47:AIH47"/>
    <mergeCell ref="AII47:AIJ47"/>
    <mergeCell ref="AIK47:AIL47"/>
    <mergeCell ref="AIM47:AIN47"/>
    <mergeCell ref="AHU47:AHV47"/>
    <mergeCell ref="AHW47:AHX47"/>
    <mergeCell ref="AHY47:AHZ47"/>
    <mergeCell ref="AIA47:AIB47"/>
    <mergeCell ref="AIC47:AID47"/>
    <mergeCell ref="AKM47:AKN47"/>
    <mergeCell ref="AKO47:AKP47"/>
    <mergeCell ref="AKQ47:AKR47"/>
    <mergeCell ref="AKS47:AKT47"/>
    <mergeCell ref="AKU47:AKV47"/>
    <mergeCell ref="AKC47:AKD47"/>
    <mergeCell ref="AKE47:AKF47"/>
    <mergeCell ref="AKG47:AKH47"/>
    <mergeCell ref="AKI47:AKJ47"/>
    <mergeCell ref="AKK47:AKL47"/>
    <mergeCell ref="AJS47:AJT47"/>
    <mergeCell ref="AJU47:AJV47"/>
    <mergeCell ref="AJW47:AJX47"/>
    <mergeCell ref="AJY47:AJZ47"/>
    <mergeCell ref="AKA47:AKB47"/>
    <mergeCell ref="AJI47:AJJ47"/>
    <mergeCell ref="AJK47:AJL47"/>
    <mergeCell ref="AJM47:AJN47"/>
    <mergeCell ref="AJO47:AJP47"/>
    <mergeCell ref="AJQ47:AJR47"/>
    <mergeCell ref="AMA47:AMB47"/>
    <mergeCell ref="AMC47:AMD47"/>
    <mergeCell ref="AME47:AMF47"/>
    <mergeCell ref="AMG47:AMH47"/>
    <mergeCell ref="AMI47:AMJ47"/>
    <mergeCell ref="ALQ47:ALR47"/>
    <mergeCell ref="ALS47:ALT47"/>
    <mergeCell ref="ALU47:ALV47"/>
    <mergeCell ref="ALW47:ALX47"/>
    <mergeCell ref="ALY47:ALZ47"/>
    <mergeCell ref="ALG47:ALH47"/>
    <mergeCell ref="ALI47:ALJ47"/>
    <mergeCell ref="ALK47:ALL47"/>
    <mergeCell ref="ALM47:ALN47"/>
    <mergeCell ref="ALO47:ALP47"/>
    <mergeCell ref="AKW47:AKX47"/>
    <mergeCell ref="AKY47:AKZ47"/>
    <mergeCell ref="ALA47:ALB47"/>
    <mergeCell ref="ALC47:ALD47"/>
    <mergeCell ref="ALE47:ALF47"/>
    <mergeCell ref="ANO47:ANP47"/>
    <mergeCell ref="ANQ47:ANR47"/>
    <mergeCell ref="ANS47:ANT47"/>
    <mergeCell ref="ANU47:ANV47"/>
    <mergeCell ref="ANW47:ANX47"/>
    <mergeCell ref="ANE47:ANF47"/>
    <mergeCell ref="ANG47:ANH47"/>
    <mergeCell ref="ANI47:ANJ47"/>
    <mergeCell ref="ANK47:ANL47"/>
    <mergeCell ref="ANM47:ANN47"/>
    <mergeCell ref="AMU47:AMV47"/>
    <mergeCell ref="AMW47:AMX47"/>
    <mergeCell ref="AMY47:AMZ47"/>
    <mergeCell ref="ANA47:ANB47"/>
    <mergeCell ref="ANC47:AND47"/>
    <mergeCell ref="AMK47:AML47"/>
    <mergeCell ref="AMM47:AMN47"/>
    <mergeCell ref="AMO47:AMP47"/>
    <mergeCell ref="AMQ47:AMR47"/>
    <mergeCell ref="AMS47:AMT47"/>
    <mergeCell ref="APC47:APD47"/>
    <mergeCell ref="APE47:APF47"/>
    <mergeCell ref="APG47:APH47"/>
    <mergeCell ref="API47:APJ47"/>
    <mergeCell ref="APK47:APL47"/>
    <mergeCell ref="AOS47:AOT47"/>
    <mergeCell ref="AOU47:AOV47"/>
    <mergeCell ref="AOW47:AOX47"/>
    <mergeCell ref="AOY47:AOZ47"/>
    <mergeCell ref="APA47:APB47"/>
    <mergeCell ref="AOI47:AOJ47"/>
    <mergeCell ref="AOK47:AOL47"/>
    <mergeCell ref="AOM47:AON47"/>
    <mergeCell ref="AOO47:AOP47"/>
    <mergeCell ref="AOQ47:AOR47"/>
    <mergeCell ref="ANY47:ANZ47"/>
    <mergeCell ref="AOA47:AOB47"/>
    <mergeCell ref="AOC47:AOD47"/>
    <mergeCell ref="AOE47:AOF47"/>
    <mergeCell ref="AOG47:AOH47"/>
    <mergeCell ref="AQQ47:AQR47"/>
    <mergeCell ref="AQS47:AQT47"/>
    <mergeCell ref="AQU47:AQV47"/>
    <mergeCell ref="AQW47:AQX47"/>
    <mergeCell ref="AQY47:AQZ47"/>
    <mergeCell ref="AQG47:AQH47"/>
    <mergeCell ref="AQI47:AQJ47"/>
    <mergeCell ref="AQK47:AQL47"/>
    <mergeCell ref="AQM47:AQN47"/>
    <mergeCell ref="AQO47:AQP47"/>
    <mergeCell ref="APW47:APX47"/>
    <mergeCell ref="APY47:APZ47"/>
    <mergeCell ref="AQA47:AQB47"/>
    <mergeCell ref="AQC47:AQD47"/>
    <mergeCell ref="AQE47:AQF47"/>
    <mergeCell ref="APM47:APN47"/>
    <mergeCell ref="APO47:APP47"/>
    <mergeCell ref="APQ47:APR47"/>
    <mergeCell ref="APS47:APT47"/>
    <mergeCell ref="APU47:APV47"/>
    <mergeCell ref="ASE47:ASF47"/>
    <mergeCell ref="ASG47:ASH47"/>
    <mergeCell ref="ASI47:ASJ47"/>
    <mergeCell ref="ASK47:ASL47"/>
    <mergeCell ref="ASM47:ASN47"/>
    <mergeCell ref="ARU47:ARV47"/>
    <mergeCell ref="ARW47:ARX47"/>
    <mergeCell ref="ARY47:ARZ47"/>
    <mergeCell ref="ASA47:ASB47"/>
    <mergeCell ref="ASC47:ASD47"/>
    <mergeCell ref="ARK47:ARL47"/>
    <mergeCell ref="ARM47:ARN47"/>
    <mergeCell ref="ARO47:ARP47"/>
    <mergeCell ref="ARQ47:ARR47"/>
    <mergeCell ref="ARS47:ART47"/>
    <mergeCell ref="ARA47:ARB47"/>
    <mergeCell ref="ARC47:ARD47"/>
    <mergeCell ref="ARE47:ARF47"/>
    <mergeCell ref="ARG47:ARH47"/>
    <mergeCell ref="ARI47:ARJ47"/>
    <mergeCell ref="ATS47:ATT47"/>
    <mergeCell ref="ATU47:ATV47"/>
    <mergeCell ref="ATW47:ATX47"/>
    <mergeCell ref="ATY47:ATZ47"/>
    <mergeCell ref="AUA47:AUB47"/>
    <mergeCell ref="ATI47:ATJ47"/>
    <mergeCell ref="ATK47:ATL47"/>
    <mergeCell ref="ATM47:ATN47"/>
    <mergeCell ref="ATO47:ATP47"/>
    <mergeCell ref="ATQ47:ATR47"/>
    <mergeCell ref="ASY47:ASZ47"/>
    <mergeCell ref="ATA47:ATB47"/>
    <mergeCell ref="ATC47:ATD47"/>
    <mergeCell ref="ATE47:ATF47"/>
    <mergeCell ref="ATG47:ATH47"/>
    <mergeCell ref="ASO47:ASP47"/>
    <mergeCell ref="ASQ47:ASR47"/>
    <mergeCell ref="ASS47:AST47"/>
    <mergeCell ref="ASU47:ASV47"/>
    <mergeCell ref="ASW47:ASX47"/>
    <mergeCell ref="AVG47:AVH47"/>
    <mergeCell ref="AVI47:AVJ47"/>
    <mergeCell ref="AVK47:AVL47"/>
    <mergeCell ref="AVM47:AVN47"/>
    <mergeCell ref="AVO47:AVP47"/>
    <mergeCell ref="AUW47:AUX47"/>
    <mergeCell ref="AUY47:AUZ47"/>
    <mergeCell ref="AVA47:AVB47"/>
    <mergeCell ref="AVC47:AVD47"/>
    <mergeCell ref="AVE47:AVF47"/>
    <mergeCell ref="AUM47:AUN47"/>
    <mergeCell ref="AUO47:AUP47"/>
    <mergeCell ref="AUQ47:AUR47"/>
    <mergeCell ref="AUS47:AUT47"/>
    <mergeCell ref="AUU47:AUV47"/>
    <mergeCell ref="AUC47:AUD47"/>
    <mergeCell ref="AUE47:AUF47"/>
    <mergeCell ref="AUG47:AUH47"/>
    <mergeCell ref="AUI47:AUJ47"/>
    <mergeCell ref="AUK47:AUL47"/>
    <mergeCell ref="AWU47:AWV47"/>
    <mergeCell ref="AWW47:AWX47"/>
    <mergeCell ref="AWY47:AWZ47"/>
    <mergeCell ref="AXA47:AXB47"/>
    <mergeCell ref="AXC47:AXD47"/>
    <mergeCell ref="AWK47:AWL47"/>
    <mergeCell ref="AWM47:AWN47"/>
    <mergeCell ref="AWO47:AWP47"/>
    <mergeCell ref="AWQ47:AWR47"/>
    <mergeCell ref="AWS47:AWT47"/>
    <mergeCell ref="AWA47:AWB47"/>
    <mergeCell ref="AWC47:AWD47"/>
    <mergeCell ref="AWE47:AWF47"/>
    <mergeCell ref="AWG47:AWH47"/>
    <mergeCell ref="AWI47:AWJ47"/>
    <mergeCell ref="AVQ47:AVR47"/>
    <mergeCell ref="AVS47:AVT47"/>
    <mergeCell ref="AVU47:AVV47"/>
    <mergeCell ref="AVW47:AVX47"/>
    <mergeCell ref="AVY47:AVZ47"/>
    <mergeCell ref="AYI47:AYJ47"/>
    <mergeCell ref="AYK47:AYL47"/>
    <mergeCell ref="AYM47:AYN47"/>
    <mergeCell ref="AYO47:AYP47"/>
    <mergeCell ref="AYQ47:AYR47"/>
    <mergeCell ref="AXY47:AXZ47"/>
    <mergeCell ref="AYA47:AYB47"/>
    <mergeCell ref="AYC47:AYD47"/>
    <mergeCell ref="AYE47:AYF47"/>
    <mergeCell ref="AYG47:AYH47"/>
    <mergeCell ref="AXO47:AXP47"/>
    <mergeCell ref="AXQ47:AXR47"/>
    <mergeCell ref="AXS47:AXT47"/>
    <mergeCell ref="AXU47:AXV47"/>
    <mergeCell ref="AXW47:AXX47"/>
    <mergeCell ref="AXE47:AXF47"/>
    <mergeCell ref="AXG47:AXH47"/>
    <mergeCell ref="AXI47:AXJ47"/>
    <mergeCell ref="AXK47:AXL47"/>
    <mergeCell ref="AXM47:AXN47"/>
    <mergeCell ref="AZW47:AZX47"/>
    <mergeCell ref="AZY47:AZZ47"/>
    <mergeCell ref="BAA47:BAB47"/>
    <mergeCell ref="BAC47:BAD47"/>
    <mergeCell ref="BAE47:BAF47"/>
    <mergeCell ref="AZM47:AZN47"/>
    <mergeCell ref="AZO47:AZP47"/>
    <mergeCell ref="AZQ47:AZR47"/>
    <mergeCell ref="AZS47:AZT47"/>
    <mergeCell ref="AZU47:AZV47"/>
    <mergeCell ref="AZC47:AZD47"/>
    <mergeCell ref="AZE47:AZF47"/>
    <mergeCell ref="AZG47:AZH47"/>
    <mergeCell ref="AZI47:AZJ47"/>
    <mergeCell ref="AZK47:AZL47"/>
    <mergeCell ref="AYS47:AYT47"/>
    <mergeCell ref="AYU47:AYV47"/>
    <mergeCell ref="AYW47:AYX47"/>
    <mergeCell ref="AYY47:AYZ47"/>
    <mergeCell ref="AZA47:AZB47"/>
    <mergeCell ref="BBK47:BBL47"/>
    <mergeCell ref="BBM47:BBN47"/>
    <mergeCell ref="BBO47:BBP47"/>
    <mergeCell ref="BBQ47:BBR47"/>
    <mergeCell ref="BBS47:BBT47"/>
    <mergeCell ref="BBA47:BBB47"/>
    <mergeCell ref="BBC47:BBD47"/>
    <mergeCell ref="BBE47:BBF47"/>
    <mergeCell ref="BBG47:BBH47"/>
    <mergeCell ref="BBI47:BBJ47"/>
    <mergeCell ref="BAQ47:BAR47"/>
    <mergeCell ref="BAS47:BAT47"/>
    <mergeCell ref="BAU47:BAV47"/>
    <mergeCell ref="BAW47:BAX47"/>
    <mergeCell ref="BAY47:BAZ47"/>
    <mergeCell ref="BAG47:BAH47"/>
    <mergeCell ref="BAI47:BAJ47"/>
    <mergeCell ref="BAK47:BAL47"/>
    <mergeCell ref="BAM47:BAN47"/>
    <mergeCell ref="BAO47:BAP47"/>
    <mergeCell ref="BCY47:BCZ47"/>
    <mergeCell ref="BDA47:BDB47"/>
    <mergeCell ref="BDC47:BDD47"/>
    <mergeCell ref="BDE47:BDF47"/>
    <mergeCell ref="BDG47:BDH47"/>
    <mergeCell ref="BCO47:BCP47"/>
    <mergeCell ref="BCQ47:BCR47"/>
    <mergeCell ref="BCS47:BCT47"/>
    <mergeCell ref="BCU47:BCV47"/>
    <mergeCell ref="BCW47:BCX47"/>
    <mergeCell ref="BCE47:BCF47"/>
    <mergeCell ref="BCG47:BCH47"/>
    <mergeCell ref="BCI47:BCJ47"/>
    <mergeCell ref="BCK47:BCL47"/>
    <mergeCell ref="BCM47:BCN47"/>
    <mergeCell ref="BBU47:BBV47"/>
    <mergeCell ref="BBW47:BBX47"/>
    <mergeCell ref="BBY47:BBZ47"/>
    <mergeCell ref="BCA47:BCB47"/>
    <mergeCell ref="BCC47:BCD47"/>
    <mergeCell ref="BEM47:BEN47"/>
    <mergeCell ref="BEO47:BEP47"/>
    <mergeCell ref="BEQ47:BER47"/>
    <mergeCell ref="BES47:BET47"/>
    <mergeCell ref="BEU47:BEV47"/>
    <mergeCell ref="BEC47:BED47"/>
    <mergeCell ref="BEE47:BEF47"/>
    <mergeCell ref="BEG47:BEH47"/>
    <mergeCell ref="BEI47:BEJ47"/>
    <mergeCell ref="BEK47:BEL47"/>
    <mergeCell ref="BDS47:BDT47"/>
    <mergeCell ref="BDU47:BDV47"/>
    <mergeCell ref="BDW47:BDX47"/>
    <mergeCell ref="BDY47:BDZ47"/>
    <mergeCell ref="BEA47:BEB47"/>
    <mergeCell ref="BDI47:BDJ47"/>
    <mergeCell ref="BDK47:BDL47"/>
    <mergeCell ref="BDM47:BDN47"/>
    <mergeCell ref="BDO47:BDP47"/>
    <mergeCell ref="BDQ47:BDR47"/>
    <mergeCell ref="BGA47:BGB47"/>
    <mergeCell ref="BGC47:BGD47"/>
    <mergeCell ref="BGE47:BGF47"/>
    <mergeCell ref="BGG47:BGH47"/>
    <mergeCell ref="BGI47:BGJ47"/>
    <mergeCell ref="BFQ47:BFR47"/>
    <mergeCell ref="BFS47:BFT47"/>
    <mergeCell ref="BFU47:BFV47"/>
    <mergeCell ref="BFW47:BFX47"/>
    <mergeCell ref="BFY47:BFZ47"/>
    <mergeCell ref="BFG47:BFH47"/>
    <mergeCell ref="BFI47:BFJ47"/>
    <mergeCell ref="BFK47:BFL47"/>
    <mergeCell ref="BFM47:BFN47"/>
    <mergeCell ref="BFO47:BFP47"/>
    <mergeCell ref="BEW47:BEX47"/>
    <mergeCell ref="BEY47:BEZ47"/>
    <mergeCell ref="BFA47:BFB47"/>
    <mergeCell ref="BFC47:BFD47"/>
    <mergeCell ref="BFE47:BFF47"/>
    <mergeCell ref="BHO47:BHP47"/>
    <mergeCell ref="BHQ47:BHR47"/>
    <mergeCell ref="BHS47:BHT47"/>
    <mergeCell ref="BHU47:BHV47"/>
    <mergeCell ref="BHW47:BHX47"/>
    <mergeCell ref="BHE47:BHF47"/>
    <mergeCell ref="BHG47:BHH47"/>
    <mergeCell ref="BHI47:BHJ47"/>
    <mergeCell ref="BHK47:BHL47"/>
    <mergeCell ref="BHM47:BHN47"/>
    <mergeCell ref="BGU47:BGV47"/>
    <mergeCell ref="BGW47:BGX47"/>
    <mergeCell ref="BGY47:BGZ47"/>
    <mergeCell ref="BHA47:BHB47"/>
    <mergeCell ref="BHC47:BHD47"/>
    <mergeCell ref="BGK47:BGL47"/>
    <mergeCell ref="BGM47:BGN47"/>
    <mergeCell ref="BGO47:BGP47"/>
    <mergeCell ref="BGQ47:BGR47"/>
    <mergeCell ref="BGS47:BGT47"/>
    <mergeCell ref="BJC47:BJD47"/>
    <mergeCell ref="BJE47:BJF47"/>
    <mergeCell ref="BJG47:BJH47"/>
    <mergeCell ref="BJI47:BJJ47"/>
    <mergeCell ref="BJK47:BJL47"/>
    <mergeCell ref="BIS47:BIT47"/>
    <mergeCell ref="BIU47:BIV47"/>
    <mergeCell ref="BIW47:BIX47"/>
    <mergeCell ref="BIY47:BIZ47"/>
    <mergeCell ref="BJA47:BJB47"/>
    <mergeCell ref="BII47:BIJ47"/>
    <mergeCell ref="BIK47:BIL47"/>
    <mergeCell ref="BIM47:BIN47"/>
    <mergeCell ref="BIO47:BIP47"/>
    <mergeCell ref="BIQ47:BIR47"/>
    <mergeCell ref="BHY47:BHZ47"/>
    <mergeCell ref="BIA47:BIB47"/>
    <mergeCell ref="BIC47:BID47"/>
    <mergeCell ref="BIE47:BIF47"/>
    <mergeCell ref="BIG47:BIH47"/>
    <mergeCell ref="BKQ47:BKR47"/>
    <mergeCell ref="BKS47:BKT47"/>
    <mergeCell ref="BKU47:BKV47"/>
    <mergeCell ref="BKW47:BKX47"/>
    <mergeCell ref="BKY47:BKZ47"/>
    <mergeCell ref="BKG47:BKH47"/>
    <mergeCell ref="BKI47:BKJ47"/>
    <mergeCell ref="BKK47:BKL47"/>
    <mergeCell ref="BKM47:BKN47"/>
    <mergeCell ref="BKO47:BKP47"/>
    <mergeCell ref="BJW47:BJX47"/>
    <mergeCell ref="BJY47:BJZ47"/>
    <mergeCell ref="BKA47:BKB47"/>
    <mergeCell ref="BKC47:BKD47"/>
    <mergeCell ref="BKE47:BKF47"/>
    <mergeCell ref="BJM47:BJN47"/>
    <mergeCell ref="BJO47:BJP47"/>
    <mergeCell ref="BJQ47:BJR47"/>
    <mergeCell ref="BJS47:BJT47"/>
    <mergeCell ref="BJU47:BJV47"/>
    <mergeCell ref="BME47:BMF47"/>
    <mergeCell ref="BMG47:BMH47"/>
    <mergeCell ref="BMI47:BMJ47"/>
    <mergeCell ref="BMK47:BML47"/>
    <mergeCell ref="BMM47:BMN47"/>
    <mergeCell ref="BLU47:BLV47"/>
    <mergeCell ref="BLW47:BLX47"/>
    <mergeCell ref="BLY47:BLZ47"/>
    <mergeCell ref="BMA47:BMB47"/>
    <mergeCell ref="BMC47:BMD47"/>
    <mergeCell ref="BLK47:BLL47"/>
    <mergeCell ref="BLM47:BLN47"/>
    <mergeCell ref="BLO47:BLP47"/>
    <mergeCell ref="BLQ47:BLR47"/>
    <mergeCell ref="BLS47:BLT47"/>
    <mergeCell ref="BLA47:BLB47"/>
    <mergeCell ref="BLC47:BLD47"/>
    <mergeCell ref="BLE47:BLF47"/>
    <mergeCell ref="BLG47:BLH47"/>
    <mergeCell ref="BLI47:BLJ47"/>
    <mergeCell ref="BNS47:BNT47"/>
    <mergeCell ref="BNU47:BNV47"/>
    <mergeCell ref="BNW47:BNX47"/>
    <mergeCell ref="BNY47:BNZ47"/>
    <mergeCell ref="BOA47:BOB47"/>
    <mergeCell ref="BNI47:BNJ47"/>
    <mergeCell ref="BNK47:BNL47"/>
    <mergeCell ref="BNM47:BNN47"/>
    <mergeCell ref="BNO47:BNP47"/>
    <mergeCell ref="BNQ47:BNR47"/>
    <mergeCell ref="BMY47:BMZ47"/>
    <mergeCell ref="BNA47:BNB47"/>
    <mergeCell ref="BNC47:BND47"/>
    <mergeCell ref="BNE47:BNF47"/>
    <mergeCell ref="BNG47:BNH47"/>
    <mergeCell ref="BMO47:BMP47"/>
    <mergeCell ref="BMQ47:BMR47"/>
    <mergeCell ref="BMS47:BMT47"/>
    <mergeCell ref="BMU47:BMV47"/>
    <mergeCell ref="BMW47:BMX47"/>
    <mergeCell ref="BPG47:BPH47"/>
    <mergeCell ref="BPI47:BPJ47"/>
    <mergeCell ref="BPK47:BPL47"/>
    <mergeCell ref="BPM47:BPN47"/>
    <mergeCell ref="BPO47:BPP47"/>
    <mergeCell ref="BOW47:BOX47"/>
    <mergeCell ref="BOY47:BOZ47"/>
    <mergeCell ref="BPA47:BPB47"/>
    <mergeCell ref="BPC47:BPD47"/>
    <mergeCell ref="BPE47:BPF47"/>
    <mergeCell ref="BOM47:BON47"/>
    <mergeCell ref="BOO47:BOP47"/>
    <mergeCell ref="BOQ47:BOR47"/>
    <mergeCell ref="BOS47:BOT47"/>
    <mergeCell ref="BOU47:BOV47"/>
    <mergeCell ref="BOC47:BOD47"/>
    <mergeCell ref="BOE47:BOF47"/>
    <mergeCell ref="BOG47:BOH47"/>
    <mergeCell ref="BOI47:BOJ47"/>
    <mergeCell ref="BOK47:BOL47"/>
    <mergeCell ref="BQU47:BQV47"/>
    <mergeCell ref="BQW47:BQX47"/>
    <mergeCell ref="BQY47:BQZ47"/>
    <mergeCell ref="BRA47:BRB47"/>
    <mergeCell ref="BRC47:BRD47"/>
    <mergeCell ref="BQK47:BQL47"/>
    <mergeCell ref="BQM47:BQN47"/>
    <mergeCell ref="BQO47:BQP47"/>
    <mergeCell ref="BQQ47:BQR47"/>
    <mergeCell ref="BQS47:BQT47"/>
    <mergeCell ref="BQA47:BQB47"/>
    <mergeCell ref="BQC47:BQD47"/>
    <mergeCell ref="BQE47:BQF47"/>
    <mergeCell ref="BQG47:BQH47"/>
    <mergeCell ref="BQI47:BQJ47"/>
    <mergeCell ref="BPQ47:BPR47"/>
    <mergeCell ref="BPS47:BPT47"/>
    <mergeCell ref="BPU47:BPV47"/>
    <mergeCell ref="BPW47:BPX47"/>
    <mergeCell ref="BPY47:BPZ47"/>
    <mergeCell ref="BSI47:BSJ47"/>
    <mergeCell ref="BSK47:BSL47"/>
    <mergeCell ref="BSM47:BSN47"/>
    <mergeCell ref="BSO47:BSP47"/>
    <mergeCell ref="BSQ47:BSR47"/>
    <mergeCell ref="BRY47:BRZ47"/>
    <mergeCell ref="BSA47:BSB47"/>
    <mergeCell ref="BSC47:BSD47"/>
    <mergeCell ref="BSE47:BSF47"/>
    <mergeCell ref="BSG47:BSH47"/>
    <mergeCell ref="BRO47:BRP47"/>
    <mergeCell ref="BRQ47:BRR47"/>
    <mergeCell ref="BRS47:BRT47"/>
    <mergeCell ref="BRU47:BRV47"/>
    <mergeCell ref="BRW47:BRX47"/>
    <mergeCell ref="BRE47:BRF47"/>
    <mergeCell ref="BRG47:BRH47"/>
    <mergeCell ref="BRI47:BRJ47"/>
    <mergeCell ref="BRK47:BRL47"/>
    <mergeCell ref="BRM47:BRN47"/>
    <mergeCell ref="BTW47:BTX47"/>
    <mergeCell ref="BTY47:BTZ47"/>
    <mergeCell ref="BUA47:BUB47"/>
    <mergeCell ref="BUC47:BUD47"/>
    <mergeCell ref="BUE47:BUF47"/>
    <mergeCell ref="BTM47:BTN47"/>
    <mergeCell ref="BTO47:BTP47"/>
    <mergeCell ref="BTQ47:BTR47"/>
    <mergeCell ref="BTS47:BTT47"/>
    <mergeCell ref="BTU47:BTV47"/>
    <mergeCell ref="BTC47:BTD47"/>
    <mergeCell ref="BTE47:BTF47"/>
    <mergeCell ref="BTG47:BTH47"/>
    <mergeCell ref="BTI47:BTJ47"/>
    <mergeCell ref="BTK47:BTL47"/>
    <mergeCell ref="BSS47:BST47"/>
    <mergeCell ref="BSU47:BSV47"/>
    <mergeCell ref="BSW47:BSX47"/>
    <mergeCell ref="BSY47:BSZ47"/>
    <mergeCell ref="BTA47:BTB47"/>
    <mergeCell ref="BVK47:BVL47"/>
    <mergeCell ref="BVM47:BVN47"/>
    <mergeCell ref="BVO47:BVP47"/>
    <mergeCell ref="BVQ47:BVR47"/>
    <mergeCell ref="BVS47:BVT47"/>
    <mergeCell ref="BVA47:BVB47"/>
    <mergeCell ref="BVC47:BVD47"/>
    <mergeCell ref="BVE47:BVF47"/>
    <mergeCell ref="BVG47:BVH47"/>
    <mergeCell ref="BVI47:BVJ47"/>
    <mergeCell ref="BUQ47:BUR47"/>
    <mergeCell ref="BUS47:BUT47"/>
    <mergeCell ref="BUU47:BUV47"/>
    <mergeCell ref="BUW47:BUX47"/>
    <mergeCell ref="BUY47:BUZ47"/>
    <mergeCell ref="BUG47:BUH47"/>
    <mergeCell ref="BUI47:BUJ47"/>
    <mergeCell ref="BUK47:BUL47"/>
    <mergeCell ref="BUM47:BUN47"/>
    <mergeCell ref="BUO47:BUP47"/>
    <mergeCell ref="BWY47:BWZ47"/>
    <mergeCell ref="BXA47:BXB47"/>
    <mergeCell ref="BXC47:BXD47"/>
    <mergeCell ref="BXE47:BXF47"/>
    <mergeCell ref="BXG47:BXH47"/>
    <mergeCell ref="BWO47:BWP47"/>
    <mergeCell ref="BWQ47:BWR47"/>
    <mergeCell ref="BWS47:BWT47"/>
    <mergeCell ref="BWU47:BWV47"/>
    <mergeCell ref="BWW47:BWX47"/>
    <mergeCell ref="BWE47:BWF47"/>
    <mergeCell ref="BWG47:BWH47"/>
    <mergeCell ref="BWI47:BWJ47"/>
    <mergeCell ref="BWK47:BWL47"/>
    <mergeCell ref="BWM47:BWN47"/>
    <mergeCell ref="BVU47:BVV47"/>
    <mergeCell ref="BVW47:BVX47"/>
    <mergeCell ref="BVY47:BVZ47"/>
    <mergeCell ref="BWA47:BWB47"/>
    <mergeCell ref="BWC47:BWD47"/>
    <mergeCell ref="BYM47:BYN47"/>
    <mergeCell ref="BYO47:BYP47"/>
    <mergeCell ref="BYQ47:BYR47"/>
    <mergeCell ref="BYS47:BYT47"/>
    <mergeCell ref="BYU47:BYV47"/>
    <mergeCell ref="BYC47:BYD47"/>
    <mergeCell ref="BYE47:BYF47"/>
    <mergeCell ref="BYG47:BYH47"/>
    <mergeCell ref="BYI47:BYJ47"/>
    <mergeCell ref="BYK47:BYL47"/>
    <mergeCell ref="BXS47:BXT47"/>
    <mergeCell ref="BXU47:BXV47"/>
    <mergeCell ref="BXW47:BXX47"/>
    <mergeCell ref="BXY47:BXZ47"/>
    <mergeCell ref="BYA47:BYB47"/>
    <mergeCell ref="BXI47:BXJ47"/>
    <mergeCell ref="BXK47:BXL47"/>
    <mergeCell ref="BXM47:BXN47"/>
    <mergeCell ref="BXO47:BXP47"/>
    <mergeCell ref="BXQ47:BXR47"/>
    <mergeCell ref="CAA47:CAB47"/>
    <mergeCell ref="CAC47:CAD47"/>
    <mergeCell ref="CAE47:CAF47"/>
    <mergeCell ref="CAG47:CAH47"/>
    <mergeCell ref="CAI47:CAJ47"/>
    <mergeCell ref="BZQ47:BZR47"/>
    <mergeCell ref="BZS47:BZT47"/>
    <mergeCell ref="BZU47:BZV47"/>
    <mergeCell ref="BZW47:BZX47"/>
    <mergeCell ref="BZY47:BZZ47"/>
    <mergeCell ref="BZG47:BZH47"/>
    <mergeCell ref="BZI47:BZJ47"/>
    <mergeCell ref="BZK47:BZL47"/>
    <mergeCell ref="BZM47:BZN47"/>
    <mergeCell ref="BZO47:BZP47"/>
    <mergeCell ref="BYW47:BYX47"/>
    <mergeCell ref="BYY47:BYZ47"/>
    <mergeCell ref="BZA47:BZB47"/>
    <mergeCell ref="BZC47:BZD47"/>
    <mergeCell ref="BZE47:BZF47"/>
    <mergeCell ref="CBO47:CBP47"/>
    <mergeCell ref="CBQ47:CBR47"/>
    <mergeCell ref="CBS47:CBT47"/>
    <mergeCell ref="CBU47:CBV47"/>
    <mergeCell ref="CBW47:CBX47"/>
    <mergeCell ref="CBE47:CBF47"/>
    <mergeCell ref="CBG47:CBH47"/>
    <mergeCell ref="CBI47:CBJ47"/>
    <mergeCell ref="CBK47:CBL47"/>
    <mergeCell ref="CBM47:CBN47"/>
    <mergeCell ref="CAU47:CAV47"/>
    <mergeCell ref="CAW47:CAX47"/>
    <mergeCell ref="CAY47:CAZ47"/>
    <mergeCell ref="CBA47:CBB47"/>
    <mergeCell ref="CBC47:CBD47"/>
    <mergeCell ref="CAK47:CAL47"/>
    <mergeCell ref="CAM47:CAN47"/>
    <mergeCell ref="CAO47:CAP47"/>
    <mergeCell ref="CAQ47:CAR47"/>
    <mergeCell ref="CAS47:CAT47"/>
    <mergeCell ref="CDC47:CDD47"/>
    <mergeCell ref="CDE47:CDF47"/>
    <mergeCell ref="CDG47:CDH47"/>
    <mergeCell ref="CDI47:CDJ47"/>
    <mergeCell ref="CDK47:CDL47"/>
    <mergeCell ref="CCS47:CCT47"/>
    <mergeCell ref="CCU47:CCV47"/>
    <mergeCell ref="CCW47:CCX47"/>
    <mergeCell ref="CCY47:CCZ47"/>
    <mergeCell ref="CDA47:CDB47"/>
    <mergeCell ref="CCI47:CCJ47"/>
    <mergeCell ref="CCK47:CCL47"/>
    <mergeCell ref="CCM47:CCN47"/>
    <mergeCell ref="CCO47:CCP47"/>
    <mergeCell ref="CCQ47:CCR47"/>
    <mergeCell ref="CBY47:CBZ47"/>
    <mergeCell ref="CCA47:CCB47"/>
    <mergeCell ref="CCC47:CCD47"/>
    <mergeCell ref="CCE47:CCF47"/>
    <mergeCell ref="CCG47:CCH47"/>
    <mergeCell ref="CEQ47:CER47"/>
    <mergeCell ref="CES47:CET47"/>
    <mergeCell ref="CEU47:CEV47"/>
    <mergeCell ref="CEW47:CEX47"/>
    <mergeCell ref="CEY47:CEZ47"/>
    <mergeCell ref="CEG47:CEH47"/>
    <mergeCell ref="CEI47:CEJ47"/>
    <mergeCell ref="CEK47:CEL47"/>
    <mergeCell ref="CEM47:CEN47"/>
    <mergeCell ref="CEO47:CEP47"/>
    <mergeCell ref="CDW47:CDX47"/>
    <mergeCell ref="CDY47:CDZ47"/>
    <mergeCell ref="CEA47:CEB47"/>
    <mergeCell ref="CEC47:CED47"/>
    <mergeCell ref="CEE47:CEF47"/>
    <mergeCell ref="CDM47:CDN47"/>
    <mergeCell ref="CDO47:CDP47"/>
    <mergeCell ref="CDQ47:CDR47"/>
    <mergeCell ref="CDS47:CDT47"/>
    <mergeCell ref="CDU47:CDV47"/>
    <mergeCell ref="CGE47:CGF47"/>
    <mergeCell ref="CGG47:CGH47"/>
    <mergeCell ref="CGI47:CGJ47"/>
    <mergeCell ref="CGK47:CGL47"/>
    <mergeCell ref="CGM47:CGN47"/>
    <mergeCell ref="CFU47:CFV47"/>
    <mergeCell ref="CFW47:CFX47"/>
    <mergeCell ref="CFY47:CFZ47"/>
    <mergeCell ref="CGA47:CGB47"/>
    <mergeCell ref="CGC47:CGD47"/>
    <mergeCell ref="CFK47:CFL47"/>
    <mergeCell ref="CFM47:CFN47"/>
    <mergeCell ref="CFO47:CFP47"/>
    <mergeCell ref="CFQ47:CFR47"/>
    <mergeCell ref="CFS47:CFT47"/>
    <mergeCell ref="CFA47:CFB47"/>
    <mergeCell ref="CFC47:CFD47"/>
    <mergeCell ref="CFE47:CFF47"/>
    <mergeCell ref="CFG47:CFH47"/>
    <mergeCell ref="CFI47:CFJ47"/>
    <mergeCell ref="CHS47:CHT47"/>
    <mergeCell ref="CHU47:CHV47"/>
    <mergeCell ref="CHW47:CHX47"/>
    <mergeCell ref="CHY47:CHZ47"/>
    <mergeCell ref="CIA47:CIB47"/>
    <mergeCell ref="CHI47:CHJ47"/>
    <mergeCell ref="CHK47:CHL47"/>
    <mergeCell ref="CHM47:CHN47"/>
    <mergeCell ref="CHO47:CHP47"/>
    <mergeCell ref="CHQ47:CHR47"/>
    <mergeCell ref="CGY47:CGZ47"/>
    <mergeCell ref="CHA47:CHB47"/>
    <mergeCell ref="CHC47:CHD47"/>
    <mergeCell ref="CHE47:CHF47"/>
    <mergeCell ref="CHG47:CHH47"/>
    <mergeCell ref="CGO47:CGP47"/>
    <mergeCell ref="CGQ47:CGR47"/>
    <mergeCell ref="CGS47:CGT47"/>
    <mergeCell ref="CGU47:CGV47"/>
    <mergeCell ref="CGW47:CGX47"/>
    <mergeCell ref="CJG47:CJH47"/>
    <mergeCell ref="CJI47:CJJ47"/>
    <mergeCell ref="CJK47:CJL47"/>
    <mergeCell ref="CJM47:CJN47"/>
    <mergeCell ref="CJO47:CJP47"/>
    <mergeCell ref="CIW47:CIX47"/>
    <mergeCell ref="CIY47:CIZ47"/>
    <mergeCell ref="CJA47:CJB47"/>
    <mergeCell ref="CJC47:CJD47"/>
    <mergeCell ref="CJE47:CJF47"/>
    <mergeCell ref="CIM47:CIN47"/>
    <mergeCell ref="CIO47:CIP47"/>
    <mergeCell ref="CIQ47:CIR47"/>
    <mergeCell ref="CIS47:CIT47"/>
    <mergeCell ref="CIU47:CIV47"/>
    <mergeCell ref="CIC47:CID47"/>
    <mergeCell ref="CIE47:CIF47"/>
    <mergeCell ref="CIG47:CIH47"/>
    <mergeCell ref="CII47:CIJ47"/>
    <mergeCell ref="CIK47:CIL47"/>
    <mergeCell ref="CKU47:CKV47"/>
    <mergeCell ref="CKW47:CKX47"/>
    <mergeCell ref="CKY47:CKZ47"/>
    <mergeCell ref="CLA47:CLB47"/>
    <mergeCell ref="CLC47:CLD47"/>
    <mergeCell ref="CKK47:CKL47"/>
    <mergeCell ref="CKM47:CKN47"/>
    <mergeCell ref="CKO47:CKP47"/>
    <mergeCell ref="CKQ47:CKR47"/>
    <mergeCell ref="CKS47:CKT47"/>
    <mergeCell ref="CKA47:CKB47"/>
    <mergeCell ref="CKC47:CKD47"/>
    <mergeCell ref="CKE47:CKF47"/>
    <mergeCell ref="CKG47:CKH47"/>
    <mergeCell ref="CKI47:CKJ47"/>
    <mergeCell ref="CJQ47:CJR47"/>
    <mergeCell ref="CJS47:CJT47"/>
    <mergeCell ref="CJU47:CJV47"/>
    <mergeCell ref="CJW47:CJX47"/>
    <mergeCell ref="CJY47:CJZ47"/>
    <mergeCell ref="CMI47:CMJ47"/>
    <mergeCell ref="CMK47:CML47"/>
    <mergeCell ref="CMM47:CMN47"/>
    <mergeCell ref="CMO47:CMP47"/>
    <mergeCell ref="CMQ47:CMR47"/>
    <mergeCell ref="CLY47:CLZ47"/>
    <mergeCell ref="CMA47:CMB47"/>
    <mergeCell ref="CMC47:CMD47"/>
    <mergeCell ref="CME47:CMF47"/>
    <mergeCell ref="CMG47:CMH47"/>
    <mergeCell ref="CLO47:CLP47"/>
    <mergeCell ref="CLQ47:CLR47"/>
    <mergeCell ref="CLS47:CLT47"/>
    <mergeCell ref="CLU47:CLV47"/>
    <mergeCell ref="CLW47:CLX47"/>
    <mergeCell ref="CLE47:CLF47"/>
    <mergeCell ref="CLG47:CLH47"/>
    <mergeCell ref="CLI47:CLJ47"/>
    <mergeCell ref="CLK47:CLL47"/>
    <mergeCell ref="CLM47:CLN47"/>
    <mergeCell ref="CNW47:CNX47"/>
    <mergeCell ref="CNY47:CNZ47"/>
    <mergeCell ref="COA47:COB47"/>
    <mergeCell ref="COC47:COD47"/>
    <mergeCell ref="COE47:COF47"/>
    <mergeCell ref="CNM47:CNN47"/>
    <mergeCell ref="CNO47:CNP47"/>
    <mergeCell ref="CNQ47:CNR47"/>
    <mergeCell ref="CNS47:CNT47"/>
    <mergeCell ref="CNU47:CNV47"/>
    <mergeCell ref="CNC47:CND47"/>
    <mergeCell ref="CNE47:CNF47"/>
    <mergeCell ref="CNG47:CNH47"/>
    <mergeCell ref="CNI47:CNJ47"/>
    <mergeCell ref="CNK47:CNL47"/>
    <mergeCell ref="CMS47:CMT47"/>
    <mergeCell ref="CMU47:CMV47"/>
    <mergeCell ref="CMW47:CMX47"/>
    <mergeCell ref="CMY47:CMZ47"/>
    <mergeCell ref="CNA47:CNB47"/>
    <mergeCell ref="CPK47:CPL47"/>
    <mergeCell ref="CPM47:CPN47"/>
    <mergeCell ref="CPO47:CPP47"/>
    <mergeCell ref="CPQ47:CPR47"/>
    <mergeCell ref="CPS47:CPT47"/>
    <mergeCell ref="CPA47:CPB47"/>
    <mergeCell ref="CPC47:CPD47"/>
    <mergeCell ref="CPE47:CPF47"/>
    <mergeCell ref="CPG47:CPH47"/>
    <mergeCell ref="CPI47:CPJ47"/>
    <mergeCell ref="COQ47:COR47"/>
    <mergeCell ref="COS47:COT47"/>
    <mergeCell ref="COU47:COV47"/>
    <mergeCell ref="COW47:COX47"/>
    <mergeCell ref="COY47:COZ47"/>
    <mergeCell ref="COG47:COH47"/>
    <mergeCell ref="COI47:COJ47"/>
    <mergeCell ref="COK47:COL47"/>
    <mergeCell ref="COM47:CON47"/>
    <mergeCell ref="COO47:COP47"/>
    <mergeCell ref="CQY47:CQZ47"/>
    <mergeCell ref="CRA47:CRB47"/>
    <mergeCell ref="CRC47:CRD47"/>
    <mergeCell ref="CRE47:CRF47"/>
    <mergeCell ref="CRG47:CRH47"/>
    <mergeCell ref="CQO47:CQP47"/>
    <mergeCell ref="CQQ47:CQR47"/>
    <mergeCell ref="CQS47:CQT47"/>
    <mergeCell ref="CQU47:CQV47"/>
    <mergeCell ref="CQW47:CQX47"/>
    <mergeCell ref="CQE47:CQF47"/>
    <mergeCell ref="CQG47:CQH47"/>
    <mergeCell ref="CQI47:CQJ47"/>
    <mergeCell ref="CQK47:CQL47"/>
    <mergeCell ref="CQM47:CQN47"/>
    <mergeCell ref="CPU47:CPV47"/>
    <mergeCell ref="CPW47:CPX47"/>
    <mergeCell ref="CPY47:CPZ47"/>
    <mergeCell ref="CQA47:CQB47"/>
    <mergeCell ref="CQC47:CQD47"/>
    <mergeCell ref="CSM47:CSN47"/>
    <mergeCell ref="CSO47:CSP47"/>
    <mergeCell ref="CSQ47:CSR47"/>
    <mergeCell ref="CSS47:CST47"/>
    <mergeCell ref="CSU47:CSV47"/>
    <mergeCell ref="CSC47:CSD47"/>
    <mergeCell ref="CSE47:CSF47"/>
    <mergeCell ref="CSG47:CSH47"/>
    <mergeCell ref="CSI47:CSJ47"/>
    <mergeCell ref="CSK47:CSL47"/>
    <mergeCell ref="CRS47:CRT47"/>
    <mergeCell ref="CRU47:CRV47"/>
    <mergeCell ref="CRW47:CRX47"/>
    <mergeCell ref="CRY47:CRZ47"/>
    <mergeCell ref="CSA47:CSB47"/>
    <mergeCell ref="CRI47:CRJ47"/>
    <mergeCell ref="CRK47:CRL47"/>
    <mergeCell ref="CRM47:CRN47"/>
    <mergeCell ref="CRO47:CRP47"/>
    <mergeCell ref="CRQ47:CRR47"/>
    <mergeCell ref="CUA47:CUB47"/>
    <mergeCell ref="CUC47:CUD47"/>
    <mergeCell ref="CUE47:CUF47"/>
    <mergeCell ref="CUG47:CUH47"/>
    <mergeCell ref="CUI47:CUJ47"/>
    <mergeCell ref="CTQ47:CTR47"/>
    <mergeCell ref="CTS47:CTT47"/>
    <mergeCell ref="CTU47:CTV47"/>
    <mergeCell ref="CTW47:CTX47"/>
    <mergeCell ref="CTY47:CTZ47"/>
    <mergeCell ref="CTG47:CTH47"/>
    <mergeCell ref="CTI47:CTJ47"/>
    <mergeCell ref="CTK47:CTL47"/>
    <mergeCell ref="CTM47:CTN47"/>
    <mergeCell ref="CTO47:CTP47"/>
    <mergeCell ref="CSW47:CSX47"/>
    <mergeCell ref="CSY47:CSZ47"/>
    <mergeCell ref="CTA47:CTB47"/>
    <mergeCell ref="CTC47:CTD47"/>
    <mergeCell ref="CTE47:CTF47"/>
    <mergeCell ref="CVO47:CVP47"/>
    <mergeCell ref="CVQ47:CVR47"/>
    <mergeCell ref="CVS47:CVT47"/>
    <mergeCell ref="CVU47:CVV47"/>
    <mergeCell ref="CVW47:CVX47"/>
    <mergeCell ref="CVE47:CVF47"/>
    <mergeCell ref="CVG47:CVH47"/>
    <mergeCell ref="CVI47:CVJ47"/>
    <mergeCell ref="CVK47:CVL47"/>
    <mergeCell ref="CVM47:CVN47"/>
    <mergeCell ref="CUU47:CUV47"/>
    <mergeCell ref="CUW47:CUX47"/>
    <mergeCell ref="CUY47:CUZ47"/>
    <mergeCell ref="CVA47:CVB47"/>
    <mergeCell ref="CVC47:CVD47"/>
    <mergeCell ref="CUK47:CUL47"/>
    <mergeCell ref="CUM47:CUN47"/>
    <mergeCell ref="CUO47:CUP47"/>
    <mergeCell ref="CUQ47:CUR47"/>
    <mergeCell ref="CUS47:CUT47"/>
    <mergeCell ref="CXC47:CXD47"/>
    <mergeCell ref="CXE47:CXF47"/>
    <mergeCell ref="CXG47:CXH47"/>
    <mergeCell ref="CXI47:CXJ47"/>
    <mergeCell ref="CXK47:CXL47"/>
    <mergeCell ref="CWS47:CWT47"/>
    <mergeCell ref="CWU47:CWV47"/>
    <mergeCell ref="CWW47:CWX47"/>
    <mergeCell ref="CWY47:CWZ47"/>
    <mergeCell ref="CXA47:CXB47"/>
    <mergeCell ref="CWI47:CWJ47"/>
    <mergeCell ref="CWK47:CWL47"/>
    <mergeCell ref="CWM47:CWN47"/>
    <mergeCell ref="CWO47:CWP47"/>
    <mergeCell ref="CWQ47:CWR47"/>
    <mergeCell ref="CVY47:CVZ47"/>
    <mergeCell ref="CWA47:CWB47"/>
    <mergeCell ref="CWC47:CWD47"/>
    <mergeCell ref="CWE47:CWF47"/>
    <mergeCell ref="CWG47:CWH47"/>
    <mergeCell ref="CYQ47:CYR47"/>
    <mergeCell ref="CYS47:CYT47"/>
    <mergeCell ref="CYU47:CYV47"/>
    <mergeCell ref="CYW47:CYX47"/>
    <mergeCell ref="CYY47:CYZ47"/>
    <mergeCell ref="CYG47:CYH47"/>
    <mergeCell ref="CYI47:CYJ47"/>
    <mergeCell ref="CYK47:CYL47"/>
    <mergeCell ref="CYM47:CYN47"/>
    <mergeCell ref="CYO47:CYP47"/>
    <mergeCell ref="CXW47:CXX47"/>
    <mergeCell ref="CXY47:CXZ47"/>
    <mergeCell ref="CYA47:CYB47"/>
    <mergeCell ref="CYC47:CYD47"/>
    <mergeCell ref="CYE47:CYF47"/>
    <mergeCell ref="CXM47:CXN47"/>
    <mergeCell ref="CXO47:CXP47"/>
    <mergeCell ref="CXQ47:CXR47"/>
    <mergeCell ref="CXS47:CXT47"/>
    <mergeCell ref="CXU47:CXV47"/>
    <mergeCell ref="DAE47:DAF47"/>
    <mergeCell ref="DAG47:DAH47"/>
    <mergeCell ref="DAI47:DAJ47"/>
    <mergeCell ref="DAK47:DAL47"/>
    <mergeCell ref="DAM47:DAN47"/>
    <mergeCell ref="CZU47:CZV47"/>
    <mergeCell ref="CZW47:CZX47"/>
    <mergeCell ref="CZY47:CZZ47"/>
    <mergeCell ref="DAA47:DAB47"/>
    <mergeCell ref="DAC47:DAD47"/>
    <mergeCell ref="CZK47:CZL47"/>
    <mergeCell ref="CZM47:CZN47"/>
    <mergeCell ref="CZO47:CZP47"/>
    <mergeCell ref="CZQ47:CZR47"/>
    <mergeCell ref="CZS47:CZT47"/>
    <mergeCell ref="CZA47:CZB47"/>
    <mergeCell ref="CZC47:CZD47"/>
    <mergeCell ref="CZE47:CZF47"/>
    <mergeCell ref="CZG47:CZH47"/>
    <mergeCell ref="CZI47:CZJ47"/>
    <mergeCell ref="DBS47:DBT47"/>
    <mergeCell ref="DBU47:DBV47"/>
    <mergeCell ref="DBW47:DBX47"/>
    <mergeCell ref="DBY47:DBZ47"/>
    <mergeCell ref="DCA47:DCB47"/>
    <mergeCell ref="DBI47:DBJ47"/>
    <mergeCell ref="DBK47:DBL47"/>
    <mergeCell ref="DBM47:DBN47"/>
    <mergeCell ref="DBO47:DBP47"/>
    <mergeCell ref="DBQ47:DBR47"/>
    <mergeCell ref="DAY47:DAZ47"/>
    <mergeCell ref="DBA47:DBB47"/>
    <mergeCell ref="DBC47:DBD47"/>
    <mergeCell ref="DBE47:DBF47"/>
    <mergeCell ref="DBG47:DBH47"/>
    <mergeCell ref="DAO47:DAP47"/>
    <mergeCell ref="DAQ47:DAR47"/>
    <mergeCell ref="DAS47:DAT47"/>
    <mergeCell ref="DAU47:DAV47"/>
    <mergeCell ref="DAW47:DAX47"/>
    <mergeCell ref="DDG47:DDH47"/>
    <mergeCell ref="DDI47:DDJ47"/>
    <mergeCell ref="DDK47:DDL47"/>
    <mergeCell ref="DDM47:DDN47"/>
    <mergeCell ref="DDO47:DDP47"/>
    <mergeCell ref="DCW47:DCX47"/>
    <mergeCell ref="DCY47:DCZ47"/>
    <mergeCell ref="DDA47:DDB47"/>
    <mergeCell ref="DDC47:DDD47"/>
    <mergeCell ref="DDE47:DDF47"/>
    <mergeCell ref="DCM47:DCN47"/>
    <mergeCell ref="DCO47:DCP47"/>
    <mergeCell ref="DCQ47:DCR47"/>
    <mergeCell ref="DCS47:DCT47"/>
    <mergeCell ref="DCU47:DCV47"/>
    <mergeCell ref="DCC47:DCD47"/>
    <mergeCell ref="DCE47:DCF47"/>
    <mergeCell ref="DCG47:DCH47"/>
    <mergeCell ref="DCI47:DCJ47"/>
    <mergeCell ref="DCK47:DCL47"/>
    <mergeCell ref="DEU47:DEV47"/>
    <mergeCell ref="DEW47:DEX47"/>
    <mergeCell ref="DEY47:DEZ47"/>
    <mergeCell ref="DFA47:DFB47"/>
    <mergeCell ref="DFC47:DFD47"/>
    <mergeCell ref="DEK47:DEL47"/>
    <mergeCell ref="DEM47:DEN47"/>
    <mergeCell ref="DEO47:DEP47"/>
    <mergeCell ref="DEQ47:DER47"/>
    <mergeCell ref="DES47:DET47"/>
    <mergeCell ref="DEA47:DEB47"/>
    <mergeCell ref="DEC47:DED47"/>
    <mergeCell ref="DEE47:DEF47"/>
    <mergeCell ref="DEG47:DEH47"/>
    <mergeCell ref="DEI47:DEJ47"/>
    <mergeCell ref="DDQ47:DDR47"/>
    <mergeCell ref="DDS47:DDT47"/>
    <mergeCell ref="DDU47:DDV47"/>
    <mergeCell ref="DDW47:DDX47"/>
    <mergeCell ref="DDY47:DDZ47"/>
    <mergeCell ref="DGI47:DGJ47"/>
    <mergeCell ref="DGK47:DGL47"/>
    <mergeCell ref="DGM47:DGN47"/>
    <mergeCell ref="DGO47:DGP47"/>
    <mergeCell ref="DGQ47:DGR47"/>
    <mergeCell ref="DFY47:DFZ47"/>
    <mergeCell ref="DGA47:DGB47"/>
    <mergeCell ref="DGC47:DGD47"/>
    <mergeCell ref="DGE47:DGF47"/>
    <mergeCell ref="DGG47:DGH47"/>
    <mergeCell ref="DFO47:DFP47"/>
    <mergeCell ref="DFQ47:DFR47"/>
    <mergeCell ref="DFS47:DFT47"/>
    <mergeCell ref="DFU47:DFV47"/>
    <mergeCell ref="DFW47:DFX47"/>
    <mergeCell ref="DFE47:DFF47"/>
    <mergeCell ref="DFG47:DFH47"/>
    <mergeCell ref="DFI47:DFJ47"/>
    <mergeCell ref="DFK47:DFL47"/>
    <mergeCell ref="DFM47:DFN47"/>
    <mergeCell ref="DHW47:DHX47"/>
    <mergeCell ref="DHY47:DHZ47"/>
    <mergeCell ref="DIA47:DIB47"/>
    <mergeCell ref="DIC47:DID47"/>
    <mergeCell ref="DIE47:DIF47"/>
    <mergeCell ref="DHM47:DHN47"/>
    <mergeCell ref="DHO47:DHP47"/>
    <mergeCell ref="DHQ47:DHR47"/>
    <mergeCell ref="DHS47:DHT47"/>
    <mergeCell ref="DHU47:DHV47"/>
    <mergeCell ref="DHC47:DHD47"/>
    <mergeCell ref="DHE47:DHF47"/>
    <mergeCell ref="DHG47:DHH47"/>
    <mergeCell ref="DHI47:DHJ47"/>
    <mergeCell ref="DHK47:DHL47"/>
    <mergeCell ref="DGS47:DGT47"/>
    <mergeCell ref="DGU47:DGV47"/>
    <mergeCell ref="DGW47:DGX47"/>
    <mergeCell ref="DGY47:DGZ47"/>
    <mergeCell ref="DHA47:DHB47"/>
    <mergeCell ref="DJK47:DJL47"/>
    <mergeCell ref="DJM47:DJN47"/>
    <mergeCell ref="DJO47:DJP47"/>
    <mergeCell ref="DJQ47:DJR47"/>
    <mergeCell ref="DJS47:DJT47"/>
    <mergeCell ref="DJA47:DJB47"/>
    <mergeCell ref="DJC47:DJD47"/>
    <mergeCell ref="DJE47:DJF47"/>
    <mergeCell ref="DJG47:DJH47"/>
    <mergeCell ref="DJI47:DJJ47"/>
    <mergeCell ref="DIQ47:DIR47"/>
    <mergeCell ref="DIS47:DIT47"/>
    <mergeCell ref="DIU47:DIV47"/>
    <mergeCell ref="DIW47:DIX47"/>
    <mergeCell ref="DIY47:DIZ47"/>
    <mergeCell ref="DIG47:DIH47"/>
    <mergeCell ref="DII47:DIJ47"/>
    <mergeCell ref="DIK47:DIL47"/>
    <mergeCell ref="DIM47:DIN47"/>
    <mergeCell ref="DIO47:DIP47"/>
    <mergeCell ref="DKY47:DKZ47"/>
    <mergeCell ref="DLA47:DLB47"/>
    <mergeCell ref="DLC47:DLD47"/>
    <mergeCell ref="DLE47:DLF47"/>
    <mergeCell ref="DLG47:DLH47"/>
    <mergeCell ref="DKO47:DKP47"/>
    <mergeCell ref="DKQ47:DKR47"/>
    <mergeCell ref="DKS47:DKT47"/>
    <mergeCell ref="DKU47:DKV47"/>
    <mergeCell ref="DKW47:DKX47"/>
    <mergeCell ref="DKE47:DKF47"/>
    <mergeCell ref="DKG47:DKH47"/>
    <mergeCell ref="DKI47:DKJ47"/>
    <mergeCell ref="DKK47:DKL47"/>
    <mergeCell ref="DKM47:DKN47"/>
    <mergeCell ref="DJU47:DJV47"/>
    <mergeCell ref="DJW47:DJX47"/>
    <mergeCell ref="DJY47:DJZ47"/>
    <mergeCell ref="DKA47:DKB47"/>
    <mergeCell ref="DKC47:DKD47"/>
    <mergeCell ref="DMM47:DMN47"/>
    <mergeCell ref="DMO47:DMP47"/>
    <mergeCell ref="DMQ47:DMR47"/>
    <mergeCell ref="DMS47:DMT47"/>
    <mergeCell ref="DMU47:DMV47"/>
    <mergeCell ref="DMC47:DMD47"/>
    <mergeCell ref="DME47:DMF47"/>
    <mergeCell ref="DMG47:DMH47"/>
    <mergeCell ref="DMI47:DMJ47"/>
    <mergeCell ref="DMK47:DML47"/>
    <mergeCell ref="DLS47:DLT47"/>
    <mergeCell ref="DLU47:DLV47"/>
    <mergeCell ref="DLW47:DLX47"/>
    <mergeCell ref="DLY47:DLZ47"/>
    <mergeCell ref="DMA47:DMB47"/>
    <mergeCell ref="DLI47:DLJ47"/>
    <mergeCell ref="DLK47:DLL47"/>
    <mergeCell ref="DLM47:DLN47"/>
    <mergeCell ref="DLO47:DLP47"/>
    <mergeCell ref="DLQ47:DLR47"/>
    <mergeCell ref="DOA47:DOB47"/>
    <mergeCell ref="DOC47:DOD47"/>
    <mergeCell ref="DOE47:DOF47"/>
    <mergeCell ref="DOG47:DOH47"/>
    <mergeCell ref="DOI47:DOJ47"/>
    <mergeCell ref="DNQ47:DNR47"/>
    <mergeCell ref="DNS47:DNT47"/>
    <mergeCell ref="DNU47:DNV47"/>
    <mergeCell ref="DNW47:DNX47"/>
    <mergeCell ref="DNY47:DNZ47"/>
    <mergeCell ref="DNG47:DNH47"/>
    <mergeCell ref="DNI47:DNJ47"/>
    <mergeCell ref="DNK47:DNL47"/>
    <mergeCell ref="DNM47:DNN47"/>
    <mergeCell ref="DNO47:DNP47"/>
    <mergeCell ref="DMW47:DMX47"/>
    <mergeCell ref="DMY47:DMZ47"/>
    <mergeCell ref="DNA47:DNB47"/>
    <mergeCell ref="DNC47:DND47"/>
    <mergeCell ref="DNE47:DNF47"/>
    <mergeCell ref="DPO47:DPP47"/>
    <mergeCell ref="DPQ47:DPR47"/>
    <mergeCell ref="DPS47:DPT47"/>
    <mergeCell ref="DPU47:DPV47"/>
    <mergeCell ref="DPW47:DPX47"/>
    <mergeCell ref="DPE47:DPF47"/>
    <mergeCell ref="DPG47:DPH47"/>
    <mergeCell ref="DPI47:DPJ47"/>
    <mergeCell ref="DPK47:DPL47"/>
    <mergeCell ref="DPM47:DPN47"/>
    <mergeCell ref="DOU47:DOV47"/>
    <mergeCell ref="DOW47:DOX47"/>
    <mergeCell ref="DOY47:DOZ47"/>
    <mergeCell ref="DPA47:DPB47"/>
    <mergeCell ref="DPC47:DPD47"/>
    <mergeCell ref="DOK47:DOL47"/>
    <mergeCell ref="DOM47:DON47"/>
    <mergeCell ref="DOO47:DOP47"/>
    <mergeCell ref="DOQ47:DOR47"/>
    <mergeCell ref="DOS47:DOT47"/>
    <mergeCell ref="DRC47:DRD47"/>
    <mergeCell ref="DRE47:DRF47"/>
    <mergeCell ref="DRG47:DRH47"/>
    <mergeCell ref="DRI47:DRJ47"/>
    <mergeCell ref="DRK47:DRL47"/>
    <mergeCell ref="DQS47:DQT47"/>
    <mergeCell ref="DQU47:DQV47"/>
    <mergeCell ref="DQW47:DQX47"/>
    <mergeCell ref="DQY47:DQZ47"/>
    <mergeCell ref="DRA47:DRB47"/>
    <mergeCell ref="DQI47:DQJ47"/>
    <mergeCell ref="DQK47:DQL47"/>
    <mergeCell ref="DQM47:DQN47"/>
    <mergeCell ref="DQO47:DQP47"/>
    <mergeCell ref="DQQ47:DQR47"/>
    <mergeCell ref="DPY47:DPZ47"/>
    <mergeCell ref="DQA47:DQB47"/>
    <mergeCell ref="DQC47:DQD47"/>
    <mergeCell ref="DQE47:DQF47"/>
    <mergeCell ref="DQG47:DQH47"/>
    <mergeCell ref="DSQ47:DSR47"/>
    <mergeCell ref="DSS47:DST47"/>
    <mergeCell ref="DSU47:DSV47"/>
    <mergeCell ref="DSW47:DSX47"/>
    <mergeCell ref="DSY47:DSZ47"/>
    <mergeCell ref="DSG47:DSH47"/>
    <mergeCell ref="DSI47:DSJ47"/>
    <mergeCell ref="DSK47:DSL47"/>
    <mergeCell ref="DSM47:DSN47"/>
    <mergeCell ref="DSO47:DSP47"/>
    <mergeCell ref="DRW47:DRX47"/>
    <mergeCell ref="DRY47:DRZ47"/>
    <mergeCell ref="DSA47:DSB47"/>
    <mergeCell ref="DSC47:DSD47"/>
    <mergeCell ref="DSE47:DSF47"/>
    <mergeCell ref="DRM47:DRN47"/>
    <mergeCell ref="DRO47:DRP47"/>
    <mergeCell ref="DRQ47:DRR47"/>
    <mergeCell ref="DRS47:DRT47"/>
    <mergeCell ref="DRU47:DRV47"/>
    <mergeCell ref="DUE47:DUF47"/>
    <mergeCell ref="DUG47:DUH47"/>
    <mergeCell ref="DUI47:DUJ47"/>
    <mergeCell ref="DUK47:DUL47"/>
    <mergeCell ref="DUM47:DUN47"/>
    <mergeCell ref="DTU47:DTV47"/>
    <mergeCell ref="DTW47:DTX47"/>
    <mergeCell ref="DTY47:DTZ47"/>
    <mergeCell ref="DUA47:DUB47"/>
    <mergeCell ref="DUC47:DUD47"/>
    <mergeCell ref="DTK47:DTL47"/>
    <mergeCell ref="DTM47:DTN47"/>
    <mergeCell ref="DTO47:DTP47"/>
    <mergeCell ref="DTQ47:DTR47"/>
    <mergeCell ref="DTS47:DTT47"/>
    <mergeCell ref="DTA47:DTB47"/>
    <mergeCell ref="DTC47:DTD47"/>
    <mergeCell ref="DTE47:DTF47"/>
    <mergeCell ref="DTG47:DTH47"/>
    <mergeCell ref="DTI47:DTJ47"/>
    <mergeCell ref="DVS47:DVT47"/>
    <mergeCell ref="DVU47:DVV47"/>
    <mergeCell ref="DVW47:DVX47"/>
    <mergeCell ref="DVY47:DVZ47"/>
    <mergeCell ref="DWA47:DWB47"/>
    <mergeCell ref="DVI47:DVJ47"/>
    <mergeCell ref="DVK47:DVL47"/>
    <mergeCell ref="DVM47:DVN47"/>
    <mergeCell ref="DVO47:DVP47"/>
    <mergeCell ref="DVQ47:DVR47"/>
    <mergeCell ref="DUY47:DUZ47"/>
    <mergeCell ref="DVA47:DVB47"/>
    <mergeCell ref="DVC47:DVD47"/>
    <mergeCell ref="DVE47:DVF47"/>
    <mergeCell ref="DVG47:DVH47"/>
    <mergeCell ref="DUO47:DUP47"/>
    <mergeCell ref="DUQ47:DUR47"/>
    <mergeCell ref="DUS47:DUT47"/>
    <mergeCell ref="DUU47:DUV47"/>
    <mergeCell ref="DUW47:DUX47"/>
    <mergeCell ref="DXG47:DXH47"/>
    <mergeCell ref="DXI47:DXJ47"/>
    <mergeCell ref="DXK47:DXL47"/>
    <mergeCell ref="DXM47:DXN47"/>
    <mergeCell ref="DXO47:DXP47"/>
    <mergeCell ref="DWW47:DWX47"/>
    <mergeCell ref="DWY47:DWZ47"/>
    <mergeCell ref="DXA47:DXB47"/>
    <mergeCell ref="DXC47:DXD47"/>
    <mergeCell ref="DXE47:DXF47"/>
    <mergeCell ref="DWM47:DWN47"/>
    <mergeCell ref="DWO47:DWP47"/>
    <mergeCell ref="DWQ47:DWR47"/>
    <mergeCell ref="DWS47:DWT47"/>
    <mergeCell ref="DWU47:DWV47"/>
    <mergeCell ref="DWC47:DWD47"/>
    <mergeCell ref="DWE47:DWF47"/>
    <mergeCell ref="DWG47:DWH47"/>
    <mergeCell ref="DWI47:DWJ47"/>
    <mergeCell ref="DWK47:DWL47"/>
    <mergeCell ref="DYU47:DYV47"/>
    <mergeCell ref="DYW47:DYX47"/>
    <mergeCell ref="DYY47:DYZ47"/>
    <mergeCell ref="DZA47:DZB47"/>
    <mergeCell ref="DZC47:DZD47"/>
    <mergeCell ref="DYK47:DYL47"/>
    <mergeCell ref="DYM47:DYN47"/>
    <mergeCell ref="DYO47:DYP47"/>
    <mergeCell ref="DYQ47:DYR47"/>
    <mergeCell ref="DYS47:DYT47"/>
    <mergeCell ref="DYA47:DYB47"/>
    <mergeCell ref="DYC47:DYD47"/>
    <mergeCell ref="DYE47:DYF47"/>
    <mergeCell ref="DYG47:DYH47"/>
    <mergeCell ref="DYI47:DYJ47"/>
    <mergeCell ref="DXQ47:DXR47"/>
    <mergeCell ref="DXS47:DXT47"/>
    <mergeCell ref="DXU47:DXV47"/>
    <mergeCell ref="DXW47:DXX47"/>
    <mergeCell ref="DXY47:DXZ47"/>
    <mergeCell ref="EAI47:EAJ47"/>
    <mergeCell ref="EAK47:EAL47"/>
    <mergeCell ref="EAM47:EAN47"/>
    <mergeCell ref="EAO47:EAP47"/>
    <mergeCell ref="EAQ47:EAR47"/>
    <mergeCell ref="DZY47:DZZ47"/>
    <mergeCell ref="EAA47:EAB47"/>
    <mergeCell ref="EAC47:EAD47"/>
    <mergeCell ref="EAE47:EAF47"/>
    <mergeCell ref="EAG47:EAH47"/>
    <mergeCell ref="DZO47:DZP47"/>
    <mergeCell ref="DZQ47:DZR47"/>
    <mergeCell ref="DZS47:DZT47"/>
    <mergeCell ref="DZU47:DZV47"/>
    <mergeCell ref="DZW47:DZX47"/>
    <mergeCell ref="DZE47:DZF47"/>
    <mergeCell ref="DZG47:DZH47"/>
    <mergeCell ref="DZI47:DZJ47"/>
    <mergeCell ref="DZK47:DZL47"/>
    <mergeCell ref="DZM47:DZN47"/>
    <mergeCell ref="EBW47:EBX47"/>
    <mergeCell ref="EBY47:EBZ47"/>
    <mergeCell ref="ECA47:ECB47"/>
    <mergeCell ref="ECC47:ECD47"/>
    <mergeCell ref="ECE47:ECF47"/>
    <mergeCell ref="EBM47:EBN47"/>
    <mergeCell ref="EBO47:EBP47"/>
    <mergeCell ref="EBQ47:EBR47"/>
    <mergeCell ref="EBS47:EBT47"/>
    <mergeCell ref="EBU47:EBV47"/>
    <mergeCell ref="EBC47:EBD47"/>
    <mergeCell ref="EBE47:EBF47"/>
    <mergeCell ref="EBG47:EBH47"/>
    <mergeCell ref="EBI47:EBJ47"/>
    <mergeCell ref="EBK47:EBL47"/>
    <mergeCell ref="EAS47:EAT47"/>
    <mergeCell ref="EAU47:EAV47"/>
    <mergeCell ref="EAW47:EAX47"/>
    <mergeCell ref="EAY47:EAZ47"/>
    <mergeCell ref="EBA47:EBB47"/>
    <mergeCell ref="EDK47:EDL47"/>
    <mergeCell ref="EDM47:EDN47"/>
    <mergeCell ref="EDO47:EDP47"/>
    <mergeCell ref="EDQ47:EDR47"/>
    <mergeCell ref="EDS47:EDT47"/>
    <mergeCell ref="EDA47:EDB47"/>
    <mergeCell ref="EDC47:EDD47"/>
    <mergeCell ref="EDE47:EDF47"/>
    <mergeCell ref="EDG47:EDH47"/>
    <mergeCell ref="EDI47:EDJ47"/>
    <mergeCell ref="ECQ47:ECR47"/>
    <mergeCell ref="ECS47:ECT47"/>
    <mergeCell ref="ECU47:ECV47"/>
    <mergeCell ref="ECW47:ECX47"/>
    <mergeCell ref="ECY47:ECZ47"/>
    <mergeCell ref="ECG47:ECH47"/>
    <mergeCell ref="ECI47:ECJ47"/>
    <mergeCell ref="ECK47:ECL47"/>
    <mergeCell ref="ECM47:ECN47"/>
    <mergeCell ref="ECO47:ECP47"/>
    <mergeCell ref="EEY47:EEZ47"/>
    <mergeCell ref="EFA47:EFB47"/>
    <mergeCell ref="EFC47:EFD47"/>
    <mergeCell ref="EFE47:EFF47"/>
    <mergeCell ref="EFG47:EFH47"/>
    <mergeCell ref="EEO47:EEP47"/>
    <mergeCell ref="EEQ47:EER47"/>
    <mergeCell ref="EES47:EET47"/>
    <mergeCell ref="EEU47:EEV47"/>
    <mergeCell ref="EEW47:EEX47"/>
    <mergeCell ref="EEE47:EEF47"/>
    <mergeCell ref="EEG47:EEH47"/>
    <mergeCell ref="EEI47:EEJ47"/>
    <mergeCell ref="EEK47:EEL47"/>
    <mergeCell ref="EEM47:EEN47"/>
    <mergeCell ref="EDU47:EDV47"/>
    <mergeCell ref="EDW47:EDX47"/>
    <mergeCell ref="EDY47:EDZ47"/>
    <mergeCell ref="EEA47:EEB47"/>
    <mergeCell ref="EEC47:EED47"/>
    <mergeCell ref="EGM47:EGN47"/>
    <mergeCell ref="EGO47:EGP47"/>
    <mergeCell ref="EGQ47:EGR47"/>
    <mergeCell ref="EGS47:EGT47"/>
    <mergeCell ref="EGU47:EGV47"/>
    <mergeCell ref="EGC47:EGD47"/>
    <mergeCell ref="EGE47:EGF47"/>
    <mergeCell ref="EGG47:EGH47"/>
    <mergeCell ref="EGI47:EGJ47"/>
    <mergeCell ref="EGK47:EGL47"/>
    <mergeCell ref="EFS47:EFT47"/>
    <mergeCell ref="EFU47:EFV47"/>
    <mergeCell ref="EFW47:EFX47"/>
    <mergeCell ref="EFY47:EFZ47"/>
    <mergeCell ref="EGA47:EGB47"/>
    <mergeCell ref="EFI47:EFJ47"/>
    <mergeCell ref="EFK47:EFL47"/>
    <mergeCell ref="EFM47:EFN47"/>
    <mergeCell ref="EFO47:EFP47"/>
    <mergeCell ref="EFQ47:EFR47"/>
    <mergeCell ref="EIA47:EIB47"/>
    <mergeCell ref="EIC47:EID47"/>
    <mergeCell ref="EIE47:EIF47"/>
    <mergeCell ref="EIG47:EIH47"/>
    <mergeCell ref="EII47:EIJ47"/>
    <mergeCell ref="EHQ47:EHR47"/>
    <mergeCell ref="EHS47:EHT47"/>
    <mergeCell ref="EHU47:EHV47"/>
    <mergeCell ref="EHW47:EHX47"/>
    <mergeCell ref="EHY47:EHZ47"/>
    <mergeCell ref="EHG47:EHH47"/>
    <mergeCell ref="EHI47:EHJ47"/>
    <mergeCell ref="EHK47:EHL47"/>
    <mergeCell ref="EHM47:EHN47"/>
    <mergeCell ref="EHO47:EHP47"/>
    <mergeCell ref="EGW47:EGX47"/>
    <mergeCell ref="EGY47:EGZ47"/>
    <mergeCell ref="EHA47:EHB47"/>
    <mergeCell ref="EHC47:EHD47"/>
    <mergeCell ref="EHE47:EHF47"/>
    <mergeCell ref="EJO47:EJP47"/>
    <mergeCell ref="EJQ47:EJR47"/>
    <mergeCell ref="EJS47:EJT47"/>
    <mergeCell ref="EJU47:EJV47"/>
    <mergeCell ref="EJW47:EJX47"/>
    <mergeCell ref="EJE47:EJF47"/>
    <mergeCell ref="EJG47:EJH47"/>
    <mergeCell ref="EJI47:EJJ47"/>
    <mergeCell ref="EJK47:EJL47"/>
    <mergeCell ref="EJM47:EJN47"/>
    <mergeCell ref="EIU47:EIV47"/>
    <mergeCell ref="EIW47:EIX47"/>
    <mergeCell ref="EIY47:EIZ47"/>
    <mergeCell ref="EJA47:EJB47"/>
    <mergeCell ref="EJC47:EJD47"/>
    <mergeCell ref="EIK47:EIL47"/>
    <mergeCell ref="EIM47:EIN47"/>
    <mergeCell ref="EIO47:EIP47"/>
    <mergeCell ref="EIQ47:EIR47"/>
    <mergeCell ref="EIS47:EIT47"/>
    <mergeCell ref="ELC47:ELD47"/>
    <mergeCell ref="ELE47:ELF47"/>
    <mergeCell ref="ELG47:ELH47"/>
    <mergeCell ref="ELI47:ELJ47"/>
    <mergeCell ref="ELK47:ELL47"/>
    <mergeCell ref="EKS47:EKT47"/>
    <mergeCell ref="EKU47:EKV47"/>
    <mergeCell ref="EKW47:EKX47"/>
    <mergeCell ref="EKY47:EKZ47"/>
    <mergeCell ref="ELA47:ELB47"/>
    <mergeCell ref="EKI47:EKJ47"/>
    <mergeCell ref="EKK47:EKL47"/>
    <mergeCell ref="EKM47:EKN47"/>
    <mergeCell ref="EKO47:EKP47"/>
    <mergeCell ref="EKQ47:EKR47"/>
    <mergeCell ref="EJY47:EJZ47"/>
    <mergeCell ref="EKA47:EKB47"/>
    <mergeCell ref="EKC47:EKD47"/>
    <mergeCell ref="EKE47:EKF47"/>
    <mergeCell ref="EKG47:EKH47"/>
    <mergeCell ref="EMQ47:EMR47"/>
    <mergeCell ref="EMS47:EMT47"/>
    <mergeCell ref="EMU47:EMV47"/>
    <mergeCell ref="EMW47:EMX47"/>
    <mergeCell ref="EMY47:EMZ47"/>
    <mergeCell ref="EMG47:EMH47"/>
    <mergeCell ref="EMI47:EMJ47"/>
    <mergeCell ref="EMK47:EML47"/>
    <mergeCell ref="EMM47:EMN47"/>
    <mergeCell ref="EMO47:EMP47"/>
    <mergeCell ref="ELW47:ELX47"/>
    <mergeCell ref="ELY47:ELZ47"/>
    <mergeCell ref="EMA47:EMB47"/>
    <mergeCell ref="EMC47:EMD47"/>
    <mergeCell ref="EME47:EMF47"/>
    <mergeCell ref="ELM47:ELN47"/>
    <mergeCell ref="ELO47:ELP47"/>
    <mergeCell ref="ELQ47:ELR47"/>
    <mergeCell ref="ELS47:ELT47"/>
    <mergeCell ref="ELU47:ELV47"/>
    <mergeCell ref="EOE47:EOF47"/>
    <mergeCell ref="EOG47:EOH47"/>
    <mergeCell ref="EOI47:EOJ47"/>
    <mergeCell ref="EOK47:EOL47"/>
    <mergeCell ref="EOM47:EON47"/>
    <mergeCell ref="ENU47:ENV47"/>
    <mergeCell ref="ENW47:ENX47"/>
    <mergeCell ref="ENY47:ENZ47"/>
    <mergeCell ref="EOA47:EOB47"/>
    <mergeCell ref="EOC47:EOD47"/>
    <mergeCell ref="ENK47:ENL47"/>
    <mergeCell ref="ENM47:ENN47"/>
    <mergeCell ref="ENO47:ENP47"/>
    <mergeCell ref="ENQ47:ENR47"/>
    <mergeCell ref="ENS47:ENT47"/>
    <mergeCell ref="ENA47:ENB47"/>
    <mergeCell ref="ENC47:END47"/>
    <mergeCell ref="ENE47:ENF47"/>
    <mergeCell ref="ENG47:ENH47"/>
    <mergeCell ref="ENI47:ENJ47"/>
    <mergeCell ref="EPS47:EPT47"/>
    <mergeCell ref="EPU47:EPV47"/>
    <mergeCell ref="EPW47:EPX47"/>
    <mergeCell ref="EPY47:EPZ47"/>
    <mergeCell ref="EQA47:EQB47"/>
    <mergeCell ref="EPI47:EPJ47"/>
    <mergeCell ref="EPK47:EPL47"/>
    <mergeCell ref="EPM47:EPN47"/>
    <mergeCell ref="EPO47:EPP47"/>
    <mergeCell ref="EPQ47:EPR47"/>
    <mergeCell ref="EOY47:EOZ47"/>
    <mergeCell ref="EPA47:EPB47"/>
    <mergeCell ref="EPC47:EPD47"/>
    <mergeCell ref="EPE47:EPF47"/>
    <mergeCell ref="EPG47:EPH47"/>
    <mergeCell ref="EOO47:EOP47"/>
    <mergeCell ref="EOQ47:EOR47"/>
    <mergeCell ref="EOS47:EOT47"/>
    <mergeCell ref="EOU47:EOV47"/>
    <mergeCell ref="EOW47:EOX47"/>
    <mergeCell ref="ERG47:ERH47"/>
    <mergeCell ref="ERI47:ERJ47"/>
    <mergeCell ref="ERK47:ERL47"/>
    <mergeCell ref="ERM47:ERN47"/>
    <mergeCell ref="ERO47:ERP47"/>
    <mergeCell ref="EQW47:EQX47"/>
    <mergeCell ref="EQY47:EQZ47"/>
    <mergeCell ref="ERA47:ERB47"/>
    <mergeCell ref="ERC47:ERD47"/>
    <mergeCell ref="ERE47:ERF47"/>
    <mergeCell ref="EQM47:EQN47"/>
    <mergeCell ref="EQO47:EQP47"/>
    <mergeCell ref="EQQ47:EQR47"/>
    <mergeCell ref="EQS47:EQT47"/>
    <mergeCell ref="EQU47:EQV47"/>
    <mergeCell ref="EQC47:EQD47"/>
    <mergeCell ref="EQE47:EQF47"/>
    <mergeCell ref="EQG47:EQH47"/>
    <mergeCell ref="EQI47:EQJ47"/>
    <mergeCell ref="EQK47:EQL47"/>
    <mergeCell ref="ESU47:ESV47"/>
    <mergeCell ref="ESW47:ESX47"/>
    <mergeCell ref="ESY47:ESZ47"/>
    <mergeCell ref="ETA47:ETB47"/>
    <mergeCell ref="ETC47:ETD47"/>
    <mergeCell ref="ESK47:ESL47"/>
    <mergeCell ref="ESM47:ESN47"/>
    <mergeCell ref="ESO47:ESP47"/>
    <mergeCell ref="ESQ47:ESR47"/>
    <mergeCell ref="ESS47:EST47"/>
    <mergeCell ref="ESA47:ESB47"/>
    <mergeCell ref="ESC47:ESD47"/>
    <mergeCell ref="ESE47:ESF47"/>
    <mergeCell ref="ESG47:ESH47"/>
    <mergeCell ref="ESI47:ESJ47"/>
    <mergeCell ref="ERQ47:ERR47"/>
    <mergeCell ref="ERS47:ERT47"/>
    <mergeCell ref="ERU47:ERV47"/>
    <mergeCell ref="ERW47:ERX47"/>
    <mergeCell ref="ERY47:ERZ47"/>
    <mergeCell ref="EUI47:EUJ47"/>
    <mergeCell ref="EUK47:EUL47"/>
    <mergeCell ref="EUM47:EUN47"/>
    <mergeCell ref="EUO47:EUP47"/>
    <mergeCell ref="EUQ47:EUR47"/>
    <mergeCell ref="ETY47:ETZ47"/>
    <mergeCell ref="EUA47:EUB47"/>
    <mergeCell ref="EUC47:EUD47"/>
    <mergeCell ref="EUE47:EUF47"/>
    <mergeCell ref="EUG47:EUH47"/>
    <mergeCell ref="ETO47:ETP47"/>
    <mergeCell ref="ETQ47:ETR47"/>
    <mergeCell ref="ETS47:ETT47"/>
    <mergeCell ref="ETU47:ETV47"/>
    <mergeCell ref="ETW47:ETX47"/>
    <mergeCell ref="ETE47:ETF47"/>
    <mergeCell ref="ETG47:ETH47"/>
    <mergeCell ref="ETI47:ETJ47"/>
    <mergeCell ref="ETK47:ETL47"/>
    <mergeCell ref="ETM47:ETN47"/>
    <mergeCell ref="EVW47:EVX47"/>
    <mergeCell ref="EVY47:EVZ47"/>
    <mergeCell ref="EWA47:EWB47"/>
    <mergeCell ref="EWC47:EWD47"/>
    <mergeCell ref="EWE47:EWF47"/>
    <mergeCell ref="EVM47:EVN47"/>
    <mergeCell ref="EVO47:EVP47"/>
    <mergeCell ref="EVQ47:EVR47"/>
    <mergeCell ref="EVS47:EVT47"/>
    <mergeCell ref="EVU47:EVV47"/>
    <mergeCell ref="EVC47:EVD47"/>
    <mergeCell ref="EVE47:EVF47"/>
    <mergeCell ref="EVG47:EVH47"/>
    <mergeCell ref="EVI47:EVJ47"/>
    <mergeCell ref="EVK47:EVL47"/>
    <mergeCell ref="EUS47:EUT47"/>
    <mergeCell ref="EUU47:EUV47"/>
    <mergeCell ref="EUW47:EUX47"/>
    <mergeCell ref="EUY47:EUZ47"/>
    <mergeCell ref="EVA47:EVB47"/>
    <mergeCell ref="EXK47:EXL47"/>
    <mergeCell ref="EXM47:EXN47"/>
    <mergeCell ref="EXO47:EXP47"/>
    <mergeCell ref="EXQ47:EXR47"/>
    <mergeCell ref="EXS47:EXT47"/>
    <mergeCell ref="EXA47:EXB47"/>
    <mergeCell ref="EXC47:EXD47"/>
    <mergeCell ref="EXE47:EXF47"/>
    <mergeCell ref="EXG47:EXH47"/>
    <mergeCell ref="EXI47:EXJ47"/>
    <mergeCell ref="EWQ47:EWR47"/>
    <mergeCell ref="EWS47:EWT47"/>
    <mergeCell ref="EWU47:EWV47"/>
    <mergeCell ref="EWW47:EWX47"/>
    <mergeCell ref="EWY47:EWZ47"/>
    <mergeCell ref="EWG47:EWH47"/>
    <mergeCell ref="EWI47:EWJ47"/>
    <mergeCell ref="EWK47:EWL47"/>
    <mergeCell ref="EWM47:EWN47"/>
    <mergeCell ref="EWO47:EWP47"/>
    <mergeCell ref="EYY47:EYZ47"/>
    <mergeCell ref="EZA47:EZB47"/>
    <mergeCell ref="EZC47:EZD47"/>
    <mergeCell ref="EZE47:EZF47"/>
    <mergeCell ref="EZG47:EZH47"/>
    <mergeCell ref="EYO47:EYP47"/>
    <mergeCell ref="EYQ47:EYR47"/>
    <mergeCell ref="EYS47:EYT47"/>
    <mergeCell ref="EYU47:EYV47"/>
    <mergeCell ref="EYW47:EYX47"/>
    <mergeCell ref="EYE47:EYF47"/>
    <mergeCell ref="EYG47:EYH47"/>
    <mergeCell ref="EYI47:EYJ47"/>
    <mergeCell ref="EYK47:EYL47"/>
    <mergeCell ref="EYM47:EYN47"/>
    <mergeCell ref="EXU47:EXV47"/>
    <mergeCell ref="EXW47:EXX47"/>
    <mergeCell ref="EXY47:EXZ47"/>
    <mergeCell ref="EYA47:EYB47"/>
    <mergeCell ref="EYC47:EYD47"/>
    <mergeCell ref="FAM47:FAN47"/>
    <mergeCell ref="FAO47:FAP47"/>
    <mergeCell ref="FAQ47:FAR47"/>
    <mergeCell ref="FAS47:FAT47"/>
    <mergeCell ref="FAU47:FAV47"/>
    <mergeCell ref="FAC47:FAD47"/>
    <mergeCell ref="FAE47:FAF47"/>
    <mergeCell ref="FAG47:FAH47"/>
    <mergeCell ref="FAI47:FAJ47"/>
    <mergeCell ref="FAK47:FAL47"/>
    <mergeCell ref="EZS47:EZT47"/>
    <mergeCell ref="EZU47:EZV47"/>
    <mergeCell ref="EZW47:EZX47"/>
    <mergeCell ref="EZY47:EZZ47"/>
    <mergeCell ref="FAA47:FAB47"/>
    <mergeCell ref="EZI47:EZJ47"/>
    <mergeCell ref="EZK47:EZL47"/>
    <mergeCell ref="EZM47:EZN47"/>
    <mergeCell ref="EZO47:EZP47"/>
    <mergeCell ref="EZQ47:EZR47"/>
    <mergeCell ref="FCA47:FCB47"/>
    <mergeCell ref="FCC47:FCD47"/>
    <mergeCell ref="FCE47:FCF47"/>
    <mergeCell ref="FCG47:FCH47"/>
    <mergeCell ref="FCI47:FCJ47"/>
    <mergeCell ref="FBQ47:FBR47"/>
    <mergeCell ref="FBS47:FBT47"/>
    <mergeCell ref="FBU47:FBV47"/>
    <mergeCell ref="FBW47:FBX47"/>
    <mergeCell ref="FBY47:FBZ47"/>
    <mergeCell ref="FBG47:FBH47"/>
    <mergeCell ref="FBI47:FBJ47"/>
    <mergeCell ref="FBK47:FBL47"/>
    <mergeCell ref="FBM47:FBN47"/>
    <mergeCell ref="FBO47:FBP47"/>
    <mergeCell ref="FAW47:FAX47"/>
    <mergeCell ref="FAY47:FAZ47"/>
    <mergeCell ref="FBA47:FBB47"/>
    <mergeCell ref="FBC47:FBD47"/>
    <mergeCell ref="FBE47:FBF47"/>
    <mergeCell ref="FDO47:FDP47"/>
    <mergeCell ref="FDQ47:FDR47"/>
    <mergeCell ref="FDS47:FDT47"/>
    <mergeCell ref="FDU47:FDV47"/>
    <mergeCell ref="FDW47:FDX47"/>
    <mergeCell ref="FDE47:FDF47"/>
    <mergeCell ref="FDG47:FDH47"/>
    <mergeCell ref="FDI47:FDJ47"/>
    <mergeCell ref="FDK47:FDL47"/>
    <mergeCell ref="FDM47:FDN47"/>
    <mergeCell ref="FCU47:FCV47"/>
    <mergeCell ref="FCW47:FCX47"/>
    <mergeCell ref="FCY47:FCZ47"/>
    <mergeCell ref="FDA47:FDB47"/>
    <mergeCell ref="FDC47:FDD47"/>
    <mergeCell ref="FCK47:FCL47"/>
    <mergeCell ref="FCM47:FCN47"/>
    <mergeCell ref="FCO47:FCP47"/>
    <mergeCell ref="FCQ47:FCR47"/>
    <mergeCell ref="FCS47:FCT47"/>
    <mergeCell ref="FFC47:FFD47"/>
    <mergeCell ref="FFE47:FFF47"/>
    <mergeCell ref="FFG47:FFH47"/>
    <mergeCell ref="FFI47:FFJ47"/>
    <mergeCell ref="FFK47:FFL47"/>
    <mergeCell ref="FES47:FET47"/>
    <mergeCell ref="FEU47:FEV47"/>
    <mergeCell ref="FEW47:FEX47"/>
    <mergeCell ref="FEY47:FEZ47"/>
    <mergeCell ref="FFA47:FFB47"/>
    <mergeCell ref="FEI47:FEJ47"/>
    <mergeCell ref="FEK47:FEL47"/>
    <mergeCell ref="FEM47:FEN47"/>
    <mergeCell ref="FEO47:FEP47"/>
    <mergeCell ref="FEQ47:FER47"/>
    <mergeCell ref="FDY47:FDZ47"/>
    <mergeCell ref="FEA47:FEB47"/>
    <mergeCell ref="FEC47:FED47"/>
    <mergeCell ref="FEE47:FEF47"/>
    <mergeCell ref="FEG47:FEH47"/>
    <mergeCell ref="FGQ47:FGR47"/>
    <mergeCell ref="FGS47:FGT47"/>
    <mergeCell ref="FGU47:FGV47"/>
    <mergeCell ref="FGW47:FGX47"/>
    <mergeCell ref="FGY47:FGZ47"/>
    <mergeCell ref="FGG47:FGH47"/>
    <mergeCell ref="FGI47:FGJ47"/>
    <mergeCell ref="FGK47:FGL47"/>
    <mergeCell ref="FGM47:FGN47"/>
    <mergeCell ref="FGO47:FGP47"/>
    <mergeCell ref="FFW47:FFX47"/>
    <mergeCell ref="FFY47:FFZ47"/>
    <mergeCell ref="FGA47:FGB47"/>
    <mergeCell ref="FGC47:FGD47"/>
    <mergeCell ref="FGE47:FGF47"/>
    <mergeCell ref="FFM47:FFN47"/>
    <mergeCell ref="FFO47:FFP47"/>
    <mergeCell ref="FFQ47:FFR47"/>
    <mergeCell ref="FFS47:FFT47"/>
    <mergeCell ref="FFU47:FFV47"/>
    <mergeCell ref="FIE47:FIF47"/>
    <mergeCell ref="FIG47:FIH47"/>
    <mergeCell ref="FII47:FIJ47"/>
    <mergeCell ref="FIK47:FIL47"/>
    <mergeCell ref="FIM47:FIN47"/>
    <mergeCell ref="FHU47:FHV47"/>
    <mergeCell ref="FHW47:FHX47"/>
    <mergeCell ref="FHY47:FHZ47"/>
    <mergeCell ref="FIA47:FIB47"/>
    <mergeCell ref="FIC47:FID47"/>
    <mergeCell ref="FHK47:FHL47"/>
    <mergeCell ref="FHM47:FHN47"/>
    <mergeCell ref="FHO47:FHP47"/>
    <mergeCell ref="FHQ47:FHR47"/>
    <mergeCell ref="FHS47:FHT47"/>
    <mergeCell ref="FHA47:FHB47"/>
    <mergeCell ref="FHC47:FHD47"/>
    <mergeCell ref="FHE47:FHF47"/>
    <mergeCell ref="FHG47:FHH47"/>
    <mergeCell ref="FHI47:FHJ47"/>
    <mergeCell ref="FJS47:FJT47"/>
    <mergeCell ref="FJU47:FJV47"/>
    <mergeCell ref="FJW47:FJX47"/>
    <mergeCell ref="FJY47:FJZ47"/>
    <mergeCell ref="FKA47:FKB47"/>
    <mergeCell ref="FJI47:FJJ47"/>
    <mergeCell ref="FJK47:FJL47"/>
    <mergeCell ref="FJM47:FJN47"/>
    <mergeCell ref="FJO47:FJP47"/>
    <mergeCell ref="FJQ47:FJR47"/>
    <mergeCell ref="FIY47:FIZ47"/>
    <mergeCell ref="FJA47:FJB47"/>
    <mergeCell ref="FJC47:FJD47"/>
    <mergeCell ref="FJE47:FJF47"/>
    <mergeCell ref="FJG47:FJH47"/>
    <mergeCell ref="FIO47:FIP47"/>
    <mergeCell ref="FIQ47:FIR47"/>
    <mergeCell ref="FIS47:FIT47"/>
    <mergeCell ref="FIU47:FIV47"/>
    <mergeCell ref="FIW47:FIX47"/>
    <mergeCell ref="FLG47:FLH47"/>
    <mergeCell ref="FLI47:FLJ47"/>
    <mergeCell ref="FLK47:FLL47"/>
    <mergeCell ref="FLM47:FLN47"/>
    <mergeCell ref="FLO47:FLP47"/>
    <mergeCell ref="FKW47:FKX47"/>
    <mergeCell ref="FKY47:FKZ47"/>
    <mergeCell ref="FLA47:FLB47"/>
    <mergeCell ref="FLC47:FLD47"/>
    <mergeCell ref="FLE47:FLF47"/>
    <mergeCell ref="FKM47:FKN47"/>
    <mergeCell ref="FKO47:FKP47"/>
    <mergeCell ref="FKQ47:FKR47"/>
    <mergeCell ref="FKS47:FKT47"/>
    <mergeCell ref="FKU47:FKV47"/>
    <mergeCell ref="FKC47:FKD47"/>
    <mergeCell ref="FKE47:FKF47"/>
    <mergeCell ref="FKG47:FKH47"/>
    <mergeCell ref="FKI47:FKJ47"/>
    <mergeCell ref="FKK47:FKL47"/>
    <mergeCell ref="FMU47:FMV47"/>
    <mergeCell ref="FMW47:FMX47"/>
    <mergeCell ref="FMY47:FMZ47"/>
    <mergeCell ref="FNA47:FNB47"/>
    <mergeCell ref="FNC47:FND47"/>
    <mergeCell ref="FMK47:FML47"/>
    <mergeCell ref="FMM47:FMN47"/>
    <mergeCell ref="FMO47:FMP47"/>
    <mergeCell ref="FMQ47:FMR47"/>
    <mergeCell ref="FMS47:FMT47"/>
    <mergeCell ref="FMA47:FMB47"/>
    <mergeCell ref="FMC47:FMD47"/>
    <mergeCell ref="FME47:FMF47"/>
    <mergeCell ref="FMG47:FMH47"/>
    <mergeCell ref="FMI47:FMJ47"/>
    <mergeCell ref="FLQ47:FLR47"/>
    <mergeCell ref="FLS47:FLT47"/>
    <mergeCell ref="FLU47:FLV47"/>
    <mergeCell ref="FLW47:FLX47"/>
    <mergeCell ref="FLY47:FLZ47"/>
    <mergeCell ref="FOI47:FOJ47"/>
    <mergeCell ref="FOK47:FOL47"/>
    <mergeCell ref="FOM47:FON47"/>
    <mergeCell ref="FOO47:FOP47"/>
    <mergeCell ref="FOQ47:FOR47"/>
    <mergeCell ref="FNY47:FNZ47"/>
    <mergeCell ref="FOA47:FOB47"/>
    <mergeCell ref="FOC47:FOD47"/>
    <mergeCell ref="FOE47:FOF47"/>
    <mergeCell ref="FOG47:FOH47"/>
    <mergeCell ref="FNO47:FNP47"/>
    <mergeCell ref="FNQ47:FNR47"/>
    <mergeCell ref="FNS47:FNT47"/>
    <mergeCell ref="FNU47:FNV47"/>
    <mergeCell ref="FNW47:FNX47"/>
    <mergeCell ref="FNE47:FNF47"/>
    <mergeCell ref="FNG47:FNH47"/>
    <mergeCell ref="FNI47:FNJ47"/>
    <mergeCell ref="FNK47:FNL47"/>
    <mergeCell ref="FNM47:FNN47"/>
    <mergeCell ref="FPW47:FPX47"/>
    <mergeCell ref="FPY47:FPZ47"/>
    <mergeCell ref="FQA47:FQB47"/>
    <mergeCell ref="FQC47:FQD47"/>
    <mergeCell ref="FQE47:FQF47"/>
    <mergeCell ref="FPM47:FPN47"/>
    <mergeCell ref="FPO47:FPP47"/>
    <mergeCell ref="FPQ47:FPR47"/>
    <mergeCell ref="FPS47:FPT47"/>
    <mergeCell ref="FPU47:FPV47"/>
    <mergeCell ref="FPC47:FPD47"/>
    <mergeCell ref="FPE47:FPF47"/>
    <mergeCell ref="FPG47:FPH47"/>
    <mergeCell ref="FPI47:FPJ47"/>
    <mergeCell ref="FPK47:FPL47"/>
    <mergeCell ref="FOS47:FOT47"/>
    <mergeCell ref="FOU47:FOV47"/>
    <mergeCell ref="FOW47:FOX47"/>
    <mergeCell ref="FOY47:FOZ47"/>
    <mergeCell ref="FPA47:FPB47"/>
    <mergeCell ref="FRK47:FRL47"/>
    <mergeCell ref="FRM47:FRN47"/>
    <mergeCell ref="FRO47:FRP47"/>
    <mergeCell ref="FRQ47:FRR47"/>
    <mergeCell ref="FRS47:FRT47"/>
    <mergeCell ref="FRA47:FRB47"/>
    <mergeCell ref="FRC47:FRD47"/>
    <mergeCell ref="FRE47:FRF47"/>
    <mergeCell ref="FRG47:FRH47"/>
    <mergeCell ref="FRI47:FRJ47"/>
    <mergeCell ref="FQQ47:FQR47"/>
    <mergeCell ref="FQS47:FQT47"/>
    <mergeCell ref="FQU47:FQV47"/>
    <mergeCell ref="FQW47:FQX47"/>
    <mergeCell ref="FQY47:FQZ47"/>
    <mergeCell ref="FQG47:FQH47"/>
    <mergeCell ref="FQI47:FQJ47"/>
    <mergeCell ref="FQK47:FQL47"/>
    <mergeCell ref="FQM47:FQN47"/>
    <mergeCell ref="FQO47:FQP47"/>
    <mergeCell ref="FSY47:FSZ47"/>
    <mergeCell ref="FTA47:FTB47"/>
    <mergeCell ref="FTC47:FTD47"/>
    <mergeCell ref="FTE47:FTF47"/>
    <mergeCell ref="FTG47:FTH47"/>
    <mergeCell ref="FSO47:FSP47"/>
    <mergeCell ref="FSQ47:FSR47"/>
    <mergeCell ref="FSS47:FST47"/>
    <mergeCell ref="FSU47:FSV47"/>
    <mergeCell ref="FSW47:FSX47"/>
    <mergeCell ref="FSE47:FSF47"/>
    <mergeCell ref="FSG47:FSH47"/>
    <mergeCell ref="FSI47:FSJ47"/>
    <mergeCell ref="FSK47:FSL47"/>
    <mergeCell ref="FSM47:FSN47"/>
    <mergeCell ref="FRU47:FRV47"/>
    <mergeCell ref="FRW47:FRX47"/>
    <mergeCell ref="FRY47:FRZ47"/>
    <mergeCell ref="FSA47:FSB47"/>
    <mergeCell ref="FSC47:FSD47"/>
    <mergeCell ref="FUM47:FUN47"/>
    <mergeCell ref="FUO47:FUP47"/>
    <mergeCell ref="FUQ47:FUR47"/>
    <mergeCell ref="FUS47:FUT47"/>
    <mergeCell ref="FUU47:FUV47"/>
    <mergeCell ref="FUC47:FUD47"/>
    <mergeCell ref="FUE47:FUF47"/>
    <mergeCell ref="FUG47:FUH47"/>
    <mergeCell ref="FUI47:FUJ47"/>
    <mergeCell ref="FUK47:FUL47"/>
    <mergeCell ref="FTS47:FTT47"/>
    <mergeCell ref="FTU47:FTV47"/>
    <mergeCell ref="FTW47:FTX47"/>
    <mergeCell ref="FTY47:FTZ47"/>
    <mergeCell ref="FUA47:FUB47"/>
    <mergeCell ref="FTI47:FTJ47"/>
    <mergeCell ref="FTK47:FTL47"/>
    <mergeCell ref="FTM47:FTN47"/>
    <mergeCell ref="FTO47:FTP47"/>
    <mergeCell ref="FTQ47:FTR47"/>
    <mergeCell ref="FWA47:FWB47"/>
    <mergeCell ref="FWC47:FWD47"/>
    <mergeCell ref="FWE47:FWF47"/>
    <mergeCell ref="FWG47:FWH47"/>
    <mergeCell ref="FWI47:FWJ47"/>
    <mergeCell ref="FVQ47:FVR47"/>
    <mergeCell ref="FVS47:FVT47"/>
    <mergeCell ref="FVU47:FVV47"/>
    <mergeCell ref="FVW47:FVX47"/>
    <mergeCell ref="FVY47:FVZ47"/>
    <mergeCell ref="FVG47:FVH47"/>
    <mergeCell ref="FVI47:FVJ47"/>
    <mergeCell ref="FVK47:FVL47"/>
    <mergeCell ref="FVM47:FVN47"/>
    <mergeCell ref="FVO47:FVP47"/>
    <mergeCell ref="FUW47:FUX47"/>
    <mergeCell ref="FUY47:FUZ47"/>
    <mergeCell ref="FVA47:FVB47"/>
    <mergeCell ref="FVC47:FVD47"/>
    <mergeCell ref="FVE47:FVF47"/>
    <mergeCell ref="FXO47:FXP47"/>
    <mergeCell ref="FXQ47:FXR47"/>
    <mergeCell ref="FXS47:FXT47"/>
    <mergeCell ref="FXU47:FXV47"/>
    <mergeCell ref="FXW47:FXX47"/>
    <mergeCell ref="FXE47:FXF47"/>
    <mergeCell ref="FXG47:FXH47"/>
    <mergeCell ref="FXI47:FXJ47"/>
    <mergeCell ref="FXK47:FXL47"/>
    <mergeCell ref="FXM47:FXN47"/>
    <mergeCell ref="FWU47:FWV47"/>
    <mergeCell ref="FWW47:FWX47"/>
    <mergeCell ref="FWY47:FWZ47"/>
    <mergeCell ref="FXA47:FXB47"/>
    <mergeCell ref="FXC47:FXD47"/>
    <mergeCell ref="FWK47:FWL47"/>
    <mergeCell ref="FWM47:FWN47"/>
    <mergeCell ref="FWO47:FWP47"/>
    <mergeCell ref="FWQ47:FWR47"/>
    <mergeCell ref="FWS47:FWT47"/>
    <mergeCell ref="FZC47:FZD47"/>
    <mergeCell ref="FZE47:FZF47"/>
    <mergeCell ref="FZG47:FZH47"/>
    <mergeCell ref="FZI47:FZJ47"/>
    <mergeCell ref="FZK47:FZL47"/>
    <mergeCell ref="FYS47:FYT47"/>
    <mergeCell ref="FYU47:FYV47"/>
    <mergeCell ref="FYW47:FYX47"/>
    <mergeCell ref="FYY47:FYZ47"/>
    <mergeCell ref="FZA47:FZB47"/>
    <mergeCell ref="FYI47:FYJ47"/>
    <mergeCell ref="FYK47:FYL47"/>
    <mergeCell ref="FYM47:FYN47"/>
    <mergeCell ref="FYO47:FYP47"/>
    <mergeCell ref="FYQ47:FYR47"/>
    <mergeCell ref="FXY47:FXZ47"/>
    <mergeCell ref="FYA47:FYB47"/>
    <mergeCell ref="FYC47:FYD47"/>
    <mergeCell ref="FYE47:FYF47"/>
    <mergeCell ref="FYG47:FYH47"/>
    <mergeCell ref="GAQ47:GAR47"/>
    <mergeCell ref="GAS47:GAT47"/>
    <mergeCell ref="GAU47:GAV47"/>
    <mergeCell ref="GAW47:GAX47"/>
    <mergeCell ref="GAY47:GAZ47"/>
    <mergeCell ref="GAG47:GAH47"/>
    <mergeCell ref="GAI47:GAJ47"/>
    <mergeCell ref="GAK47:GAL47"/>
    <mergeCell ref="GAM47:GAN47"/>
    <mergeCell ref="GAO47:GAP47"/>
    <mergeCell ref="FZW47:FZX47"/>
    <mergeCell ref="FZY47:FZZ47"/>
    <mergeCell ref="GAA47:GAB47"/>
    <mergeCell ref="GAC47:GAD47"/>
    <mergeCell ref="GAE47:GAF47"/>
    <mergeCell ref="FZM47:FZN47"/>
    <mergeCell ref="FZO47:FZP47"/>
    <mergeCell ref="FZQ47:FZR47"/>
    <mergeCell ref="FZS47:FZT47"/>
    <mergeCell ref="FZU47:FZV47"/>
    <mergeCell ref="GCE47:GCF47"/>
    <mergeCell ref="GCG47:GCH47"/>
    <mergeCell ref="GCI47:GCJ47"/>
    <mergeCell ref="GCK47:GCL47"/>
    <mergeCell ref="GCM47:GCN47"/>
    <mergeCell ref="GBU47:GBV47"/>
    <mergeCell ref="GBW47:GBX47"/>
    <mergeCell ref="GBY47:GBZ47"/>
    <mergeCell ref="GCA47:GCB47"/>
    <mergeCell ref="GCC47:GCD47"/>
    <mergeCell ref="GBK47:GBL47"/>
    <mergeCell ref="GBM47:GBN47"/>
    <mergeCell ref="GBO47:GBP47"/>
    <mergeCell ref="GBQ47:GBR47"/>
    <mergeCell ref="GBS47:GBT47"/>
    <mergeCell ref="GBA47:GBB47"/>
    <mergeCell ref="GBC47:GBD47"/>
    <mergeCell ref="GBE47:GBF47"/>
    <mergeCell ref="GBG47:GBH47"/>
    <mergeCell ref="GBI47:GBJ47"/>
    <mergeCell ref="GDS47:GDT47"/>
    <mergeCell ref="GDU47:GDV47"/>
    <mergeCell ref="GDW47:GDX47"/>
    <mergeCell ref="GDY47:GDZ47"/>
    <mergeCell ref="GEA47:GEB47"/>
    <mergeCell ref="GDI47:GDJ47"/>
    <mergeCell ref="GDK47:GDL47"/>
    <mergeCell ref="GDM47:GDN47"/>
    <mergeCell ref="GDO47:GDP47"/>
    <mergeCell ref="GDQ47:GDR47"/>
    <mergeCell ref="GCY47:GCZ47"/>
    <mergeCell ref="GDA47:GDB47"/>
    <mergeCell ref="GDC47:GDD47"/>
    <mergeCell ref="GDE47:GDF47"/>
    <mergeCell ref="GDG47:GDH47"/>
    <mergeCell ref="GCO47:GCP47"/>
    <mergeCell ref="GCQ47:GCR47"/>
    <mergeCell ref="GCS47:GCT47"/>
    <mergeCell ref="GCU47:GCV47"/>
    <mergeCell ref="GCW47:GCX47"/>
    <mergeCell ref="GFG47:GFH47"/>
    <mergeCell ref="GFI47:GFJ47"/>
    <mergeCell ref="GFK47:GFL47"/>
    <mergeCell ref="GFM47:GFN47"/>
    <mergeCell ref="GFO47:GFP47"/>
    <mergeCell ref="GEW47:GEX47"/>
    <mergeCell ref="GEY47:GEZ47"/>
    <mergeCell ref="GFA47:GFB47"/>
    <mergeCell ref="GFC47:GFD47"/>
    <mergeCell ref="GFE47:GFF47"/>
    <mergeCell ref="GEM47:GEN47"/>
    <mergeCell ref="GEO47:GEP47"/>
    <mergeCell ref="GEQ47:GER47"/>
    <mergeCell ref="GES47:GET47"/>
    <mergeCell ref="GEU47:GEV47"/>
    <mergeCell ref="GEC47:GED47"/>
    <mergeCell ref="GEE47:GEF47"/>
    <mergeCell ref="GEG47:GEH47"/>
    <mergeCell ref="GEI47:GEJ47"/>
    <mergeCell ref="GEK47:GEL47"/>
    <mergeCell ref="GGU47:GGV47"/>
    <mergeCell ref="GGW47:GGX47"/>
    <mergeCell ref="GGY47:GGZ47"/>
    <mergeCell ref="GHA47:GHB47"/>
    <mergeCell ref="GHC47:GHD47"/>
    <mergeCell ref="GGK47:GGL47"/>
    <mergeCell ref="GGM47:GGN47"/>
    <mergeCell ref="GGO47:GGP47"/>
    <mergeCell ref="GGQ47:GGR47"/>
    <mergeCell ref="GGS47:GGT47"/>
    <mergeCell ref="GGA47:GGB47"/>
    <mergeCell ref="GGC47:GGD47"/>
    <mergeCell ref="GGE47:GGF47"/>
    <mergeCell ref="GGG47:GGH47"/>
    <mergeCell ref="GGI47:GGJ47"/>
    <mergeCell ref="GFQ47:GFR47"/>
    <mergeCell ref="GFS47:GFT47"/>
    <mergeCell ref="GFU47:GFV47"/>
    <mergeCell ref="GFW47:GFX47"/>
    <mergeCell ref="GFY47:GFZ47"/>
    <mergeCell ref="GII47:GIJ47"/>
    <mergeCell ref="GIK47:GIL47"/>
    <mergeCell ref="GIM47:GIN47"/>
    <mergeCell ref="GIO47:GIP47"/>
    <mergeCell ref="GIQ47:GIR47"/>
    <mergeCell ref="GHY47:GHZ47"/>
    <mergeCell ref="GIA47:GIB47"/>
    <mergeCell ref="GIC47:GID47"/>
    <mergeCell ref="GIE47:GIF47"/>
    <mergeCell ref="GIG47:GIH47"/>
    <mergeCell ref="GHO47:GHP47"/>
    <mergeCell ref="GHQ47:GHR47"/>
    <mergeCell ref="GHS47:GHT47"/>
    <mergeCell ref="GHU47:GHV47"/>
    <mergeCell ref="GHW47:GHX47"/>
    <mergeCell ref="GHE47:GHF47"/>
    <mergeCell ref="GHG47:GHH47"/>
    <mergeCell ref="GHI47:GHJ47"/>
    <mergeCell ref="GHK47:GHL47"/>
    <mergeCell ref="GHM47:GHN47"/>
    <mergeCell ref="GJW47:GJX47"/>
    <mergeCell ref="GJY47:GJZ47"/>
    <mergeCell ref="GKA47:GKB47"/>
    <mergeCell ref="GKC47:GKD47"/>
    <mergeCell ref="GKE47:GKF47"/>
    <mergeCell ref="GJM47:GJN47"/>
    <mergeCell ref="GJO47:GJP47"/>
    <mergeCell ref="GJQ47:GJR47"/>
    <mergeCell ref="GJS47:GJT47"/>
    <mergeCell ref="GJU47:GJV47"/>
    <mergeCell ref="GJC47:GJD47"/>
    <mergeCell ref="GJE47:GJF47"/>
    <mergeCell ref="GJG47:GJH47"/>
    <mergeCell ref="GJI47:GJJ47"/>
    <mergeCell ref="GJK47:GJL47"/>
    <mergeCell ref="GIS47:GIT47"/>
    <mergeCell ref="GIU47:GIV47"/>
    <mergeCell ref="GIW47:GIX47"/>
    <mergeCell ref="GIY47:GIZ47"/>
    <mergeCell ref="GJA47:GJB47"/>
    <mergeCell ref="GLK47:GLL47"/>
    <mergeCell ref="GLM47:GLN47"/>
    <mergeCell ref="GLO47:GLP47"/>
    <mergeCell ref="GLQ47:GLR47"/>
    <mergeCell ref="GLS47:GLT47"/>
    <mergeCell ref="GLA47:GLB47"/>
    <mergeCell ref="GLC47:GLD47"/>
    <mergeCell ref="GLE47:GLF47"/>
    <mergeCell ref="GLG47:GLH47"/>
    <mergeCell ref="GLI47:GLJ47"/>
    <mergeCell ref="GKQ47:GKR47"/>
    <mergeCell ref="GKS47:GKT47"/>
    <mergeCell ref="GKU47:GKV47"/>
    <mergeCell ref="GKW47:GKX47"/>
    <mergeCell ref="GKY47:GKZ47"/>
    <mergeCell ref="GKG47:GKH47"/>
    <mergeCell ref="GKI47:GKJ47"/>
    <mergeCell ref="GKK47:GKL47"/>
    <mergeCell ref="GKM47:GKN47"/>
    <mergeCell ref="GKO47:GKP47"/>
    <mergeCell ref="GMY47:GMZ47"/>
    <mergeCell ref="GNA47:GNB47"/>
    <mergeCell ref="GNC47:GND47"/>
    <mergeCell ref="GNE47:GNF47"/>
    <mergeCell ref="GNG47:GNH47"/>
    <mergeCell ref="GMO47:GMP47"/>
    <mergeCell ref="GMQ47:GMR47"/>
    <mergeCell ref="GMS47:GMT47"/>
    <mergeCell ref="GMU47:GMV47"/>
    <mergeCell ref="GMW47:GMX47"/>
    <mergeCell ref="GME47:GMF47"/>
    <mergeCell ref="GMG47:GMH47"/>
    <mergeCell ref="GMI47:GMJ47"/>
    <mergeCell ref="GMK47:GML47"/>
    <mergeCell ref="GMM47:GMN47"/>
    <mergeCell ref="GLU47:GLV47"/>
    <mergeCell ref="GLW47:GLX47"/>
    <mergeCell ref="GLY47:GLZ47"/>
    <mergeCell ref="GMA47:GMB47"/>
    <mergeCell ref="GMC47:GMD47"/>
    <mergeCell ref="GOM47:GON47"/>
    <mergeCell ref="GOO47:GOP47"/>
    <mergeCell ref="GOQ47:GOR47"/>
    <mergeCell ref="GOS47:GOT47"/>
    <mergeCell ref="GOU47:GOV47"/>
    <mergeCell ref="GOC47:GOD47"/>
    <mergeCell ref="GOE47:GOF47"/>
    <mergeCell ref="GOG47:GOH47"/>
    <mergeCell ref="GOI47:GOJ47"/>
    <mergeCell ref="GOK47:GOL47"/>
    <mergeCell ref="GNS47:GNT47"/>
    <mergeCell ref="GNU47:GNV47"/>
    <mergeCell ref="GNW47:GNX47"/>
    <mergeCell ref="GNY47:GNZ47"/>
    <mergeCell ref="GOA47:GOB47"/>
    <mergeCell ref="GNI47:GNJ47"/>
    <mergeCell ref="GNK47:GNL47"/>
    <mergeCell ref="GNM47:GNN47"/>
    <mergeCell ref="GNO47:GNP47"/>
    <mergeCell ref="GNQ47:GNR47"/>
    <mergeCell ref="GQA47:GQB47"/>
    <mergeCell ref="GQC47:GQD47"/>
    <mergeCell ref="GQE47:GQF47"/>
    <mergeCell ref="GQG47:GQH47"/>
    <mergeCell ref="GQI47:GQJ47"/>
    <mergeCell ref="GPQ47:GPR47"/>
    <mergeCell ref="GPS47:GPT47"/>
    <mergeCell ref="GPU47:GPV47"/>
    <mergeCell ref="GPW47:GPX47"/>
    <mergeCell ref="GPY47:GPZ47"/>
    <mergeCell ref="GPG47:GPH47"/>
    <mergeCell ref="GPI47:GPJ47"/>
    <mergeCell ref="GPK47:GPL47"/>
    <mergeCell ref="GPM47:GPN47"/>
    <mergeCell ref="GPO47:GPP47"/>
    <mergeCell ref="GOW47:GOX47"/>
    <mergeCell ref="GOY47:GOZ47"/>
    <mergeCell ref="GPA47:GPB47"/>
    <mergeCell ref="GPC47:GPD47"/>
    <mergeCell ref="GPE47:GPF47"/>
    <mergeCell ref="GRO47:GRP47"/>
    <mergeCell ref="GRQ47:GRR47"/>
    <mergeCell ref="GRS47:GRT47"/>
    <mergeCell ref="GRU47:GRV47"/>
    <mergeCell ref="GRW47:GRX47"/>
    <mergeCell ref="GRE47:GRF47"/>
    <mergeCell ref="GRG47:GRH47"/>
    <mergeCell ref="GRI47:GRJ47"/>
    <mergeCell ref="GRK47:GRL47"/>
    <mergeCell ref="GRM47:GRN47"/>
    <mergeCell ref="GQU47:GQV47"/>
    <mergeCell ref="GQW47:GQX47"/>
    <mergeCell ref="GQY47:GQZ47"/>
    <mergeCell ref="GRA47:GRB47"/>
    <mergeCell ref="GRC47:GRD47"/>
    <mergeCell ref="GQK47:GQL47"/>
    <mergeCell ref="GQM47:GQN47"/>
    <mergeCell ref="GQO47:GQP47"/>
    <mergeCell ref="GQQ47:GQR47"/>
    <mergeCell ref="GQS47:GQT47"/>
    <mergeCell ref="GTC47:GTD47"/>
    <mergeCell ref="GTE47:GTF47"/>
    <mergeCell ref="GTG47:GTH47"/>
    <mergeCell ref="GTI47:GTJ47"/>
    <mergeCell ref="GTK47:GTL47"/>
    <mergeCell ref="GSS47:GST47"/>
    <mergeCell ref="GSU47:GSV47"/>
    <mergeCell ref="GSW47:GSX47"/>
    <mergeCell ref="GSY47:GSZ47"/>
    <mergeCell ref="GTA47:GTB47"/>
    <mergeCell ref="GSI47:GSJ47"/>
    <mergeCell ref="GSK47:GSL47"/>
    <mergeCell ref="GSM47:GSN47"/>
    <mergeCell ref="GSO47:GSP47"/>
    <mergeCell ref="GSQ47:GSR47"/>
    <mergeCell ref="GRY47:GRZ47"/>
    <mergeCell ref="GSA47:GSB47"/>
    <mergeCell ref="GSC47:GSD47"/>
    <mergeCell ref="GSE47:GSF47"/>
    <mergeCell ref="GSG47:GSH47"/>
    <mergeCell ref="GUQ47:GUR47"/>
    <mergeCell ref="GUS47:GUT47"/>
    <mergeCell ref="GUU47:GUV47"/>
    <mergeCell ref="GUW47:GUX47"/>
    <mergeCell ref="GUY47:GUZ47"/>
    <mergeCell ref="GUG47:GUH47"/>
    <mergeCell ref="GUI47:GUJ47"/>
    <mergeCell ref="GUK47:GUL47"/>
    <mergeCell ref="GUM47:GUN47"/>
    <mergeCell ref="GUO47:GUP47"/>
    <mergeCell ref="GTW47:GTX47"/>
    <mergeCell ref="GTY47:GTZ47"/>
    <mergeCell ref="GUA47:GUB47"/>
    <mergeCell ref="GUC47:GUD47"/>
    <mergeCell ref="GUE47:GUF47"/>
    <mergeCell ref="GTM47:GTN47"/>
    <mergeCell ref="GTO47:GTP47"/>
    <mergeCell ref="GTQ47:GTR47"/>
    <mergeCell ref="GTS47:GTT47"/>
    <mergeCell ref="GTU47:GTV47"/>
    <mergeCell ref="GWE47:GWF47"/>
    <mergeCell ref="GWG47:GWH47"/>
    <mergeCell ref="GWI47:GWJ47"/>
    <mergeCell ref="GWK47:GWL47"/>
    <mergeCell ref="GWM47:GWN47"/>
    <mergeCell ref="GVU47:GVV47"/>
    <mergeCell ref="GVW47:GVX47"/>
    <mergeCell ref="GVY47:GVZ47"/>
    <mergeCell ref="GWA47:GWB47"/>
    <mergeCell ref="GWC47:GWD47"/>
    <mergeCell ref="GVK47:GVL47"/>
    <mergeCell ref="GVM47:GVN47"/>
    <mergeCell ref="GVO47:GVP47"/>
    <mergeCell ref="GVQ47:GVR47"/>
    <mergeCell ref="GVS47:GVT47"/>
    <mergeCell ref="GVA47:GVB47"/>
    <mergeCell ref="GVC47:GVD47"/>
    <mergeCell ref="GVE47:GVF47"/>
    <mergeCell ref="GVG47:GVH47"/>
    <mergeCell ref="GVI47:GVJ47"/>
    <mergeCell ref="GXS47:GXT47"/>
    <mergeCell ref="GXU47:GXV47"/>
    <mergeCell ref="GXW47:GXX47"/>
    <mergeCell ref="GXY47:GXZ47"/>
    <mergeCell ref="GYA47:GYB47"/>
    <mergeCell ref="GXI47:GXJ47"/>
    <mergeCell ref="GXK47:GXL47"/>
    <mergeCell ref="GXM47:GXN47"/>
    <mergeCell ref="GXO47:GXP47"/>
    <mergeCell ref="GXQ47:GXR47"/>
    <mergeCell ref="GWY47:GWZ47"/>
    <mergeCell ref="GXA47:GXB47"/>
    <mergeCell ref="GXC47:GXD47"/>
    <mergeCell ref="GXE47:GXF47"/>
    <mergeCell ref="GXG47:GXH47"/>
    <mergeCell ref="GWO47:GWP47"/>
    <mergeCell ref="GWQ47:GWR47"/>
    <mergeCell ref="GWS47:GWT47"/>
    <mergeCell ref="GWU47:GWV47"/>
    <mergeCell ref="GWW47:GWX47"/>
    <mergeCell ref="GZG47:GZH47"/>
    <mergeCell ref="GZI47:GZJ47"/>
    <mergeCell ref="GZK47:GZL47"/>
    <mergeCell ref="GZM47:GZN47"/>
    <mergeCell ref="GZO47:GZP47"/>
    <mergeCell ref="GYW47:GYX47"/>
    <mergeCell ref="GYY47:GYZ47"/>
    <mergeCell ref="GZA47:GZB47"/>
    <mergeCell ref="GZC47:GZD47"/>
    <mergeCell ref="GZE47:GZF47"/>
    <mergeCell ref="GYM47:GYN47"/>
    <mergeCell ref="GYO47:GYP47"/>
    <mergeCell ref="GYQ47:GYR47"/>
    <mergeCell ref="GYS47:GYT47"/>
    <mergeCell ref="GYU47:GYV47"/>
    <mergeCell ref="GYC47:GYD47"/>
    <mergeCell ref="GYE47:GYF47"/>
    <mergeCell ref="GYG47:GYH47"/>
    <mergeCell ref="GYI47:GYJ47"/>
    <mergeCell ref="GYK47:GYL47"/>
    <mergeCell ref="HAU47:HAV47"/>
    <mergeCell ref="HAW47:HAX47"/>
    <mergeCell ref="HAY47:HAZ47"/>
    <mergeCell ref="HBA47:HBB47"/>
    <mergeCell ref="HBC47:HBD47"/>
    <mergeCell ref="HAK47:HAL47"/>
    <mergeCell ref="HAM47:HAN47"/>
    <mergeCell ref="HAO47:HAP47"/>
    <mergeCell ref="HAQ47:HAR47"/>
    <mergeCell ref="HAS47:HAT47"/>
    <mergeCell ref="HAA47:HAB47"/>
    <mergeCell ref="HAC47:HAD47"/>
    <mergeCell ref="HAE47:HAF47"/>
    <mergeCell ref="HAG47:HAH47"/>
    <mergeCell ref="HAI47:HAJ47"/>
    <mergeCell ref="GZQ47:GZR47"/>
    <mergeCell ref="GZS47:GZT47"/>
    <mergeCell ref="GZU47:GZV47"/>
    <mergeCell ref="GZW47:GZX47"/>
    <mergeCell ref="GZY47:GZZ47"/>
    <mergeCell ref="HCI47:HCJ47"/>
    <mergeCell ref="HCK47:HCL47"/>
    <mergeCell ref="HCM47:HCN47"/>
    <mergeCell ref="HCO47:HCP47"/>
    <mergeCell ref="HCQ47:HCR47"/>
    <mergeCell ref="HBY47:HBZ47"/>
    <mergeCell ref="HCA47:HCB47"/>
    <mergeCell ref="HCC47:HCD47"/>
    <mergeCell ref="HCE47:HCF47"/>
    <mergeCell ref="HCG47:HCH47"/>
    <mergeCell ref="HBO47:HBP47"/>
    <mergeCell ref="HBQ47:HBR47"/>
    <mergeCell ref="HBS47:HBT47"/>
    <mergeCell ref="HBU47:HBV47"/>
    <mergeCell ref="HBW47:HBX47"/>
    <mergeCell ref="HBE47:HBF47"/>
    <mergeCell ref="HBG47:HBH47"/>
    <mergeCell ref="HBI47:HBJ47"/>
    <mergeCell ref="HBK47:HBL47"/>
    <mergeCell ref="HBM47:HBN47"/>
    <mergeCell ref="HDW47:HDX47"/>
    <mergeCell ref="HDY47:HDZ47"/>
    <mergeCell ref="HEA47:HEB47"/>
    <mergeCell ref="HEC47:HED47"/>
    <mergeCell ref="HEE47:HEF47"/>
    <mergeCell ref="HDM47:HDN47"/>
    <mergeCell ref="HDO47:HDP47"/>
    <mergeCell ref="HDQ47:HDR47"/>
    <mergeCell ref="HDS47:HDT47"/>
    <mergeCell ref="HDU47:HDV47"/>
    <mergeCell ref="HDC47:HDD47"/>
    <mergeCell ref="HDE47:HDF47"/>
    <mergeCell ref="HDG47:HDH47"/>
    <mergeCell ref="HDI47:HDJ47"/>
    <mergeCell ref="HDK47:HDL47"/>
    <mergeCell ref="HCS47:HCT47"/>
    <mergeCell ref="HCU47:HCV47"/>
    <mergeCell ref="HCW47:HCX47"/>
    <mergeCell ref="HCY47:HCZ47"/>
    <mergeCell ref="HDA47:HDB47"/>
    <mergeCell ref="HFK47:HFL47"/>
    <mergeCell ref="HFM47:HFN47"/>
    <mergeCell ref="HFO47:HFP47"/>
    <mergeCell ref="HFQ47:HFR47"/>
    <mergeCell ref="HFS47:HFT47"/>
    <mergeCell ref="HFA47:HFB47"/>
    <mergeCell ref="HFC47:HFD47"/>
    <mergeCell ref="HFE47:HFF47"/>
    <mergeCell ref="HFG47:HFH47"/>
    <mergeCell ref="HFI47:HFJ47"/>
    <mergeCell ref="HEQ47:HER47"/>
    <mergeCell ref="HES47:HET47"/>
    <mergeCell ref="HEU47:HEV47"/>
    <mergeCell ref="HEW47:HEX47"/>
    <mergeCell ref="HEY47:HEZ47"/>
    <mergeCell ref="HEG47:HEH47"/>
    <mergeCell ref="HEI47:HEJ47"/>
    <mergeCell ref="HEK47:HEL47"/>
    <mergeCell ref="HEM47:HEN47"/>
    <mergeCell ref="HEO47:HEP47"/>
    <mergeCell ref="HGY47:HGZ47"/>
    <mergeCell ref="HHA47:HHB47"/>
    <mergeCell ref="HHC47:HHD47"/>
    <mergeCell ref="HHE47:HHF47"/>
    <mergeCell ref="HHG47:HHH47"/>
    <mergeCell ref="HGO47:HGP47"/>
    <mergeCell ref="HGQ47:HGR47"/>
    <mergeCell ref="HGS47:HGT47"/>
    <mergeCell ref="HGU47:HGV47"/>
    <mergeCell ref="HGW47:HGX47"/>
    <mergeCell ref="HGE47:HGF47"/>
    <mergeCell ref="HGG47:HGH47"/>
    <mergeCell ref="HGI47:HGJ47"/>
    <mergeCell ref="HGK47:HGL47"/>
    <mergeCell ref="HGM47:HGN47"/>
    <mergeCell ref="HFU47:HFV47"/>
    <mergeCell ref="HFW47:HFX47"/>
    <mergeCell ref="HFY47:HFZ47"/>
    <mergeCell ref="HGA47:HGB47"/>
    <mergeCell ref="HGC47:HGD47"/>
    <mergeCell ref="HIM47:HIN47"/>
    <mergeCell ref="HIO47:HIP47"/>
    <mergeCell ref="HIQ47:HIR47"/>
    <mergeCell ref="HIS47:HIT47"/>
    <mergeCell ref="HIU47:HIV47"/>
    <mergeCell ref="HIC47:HID47"/>
    <mergeCell ref="HIE47:HIF47"/>
    <mergeCell ref="HIG47:HIH47"/>
    <mergeCell ref="HII47:HIJ47"/>
    <mergeCell ref="HIK47:HIL47"/>
    <mergeCell ref="HHS47:HHT47"/>
    <mergeCell ref="HHU47:HHV47"/>
    <mergeCell ref="HHW47:HHX47"/>
    <mergeCell ref="HHY47:HHZ47"/>
    <mergeCell ref="HIA47:HIB47"/>
    <mergeCell ref="HHI47:HHJ47"/>
    <mergeCell ref="HHK47:HHL47"/>
    <mergeCell ref="HHM47:HHN47"/>
    <mergeCell ref="HHO47:HHP47"/>
    <mergeCell ref="HHQ47:HHR47"/>
    <mergeCell ref="HKA47:HKB47"/>
    <mergeCell ref="HKC47:HKD47"/>
    <mergeCell ref="HKE47:HKF47"/>
    <mergeCell ref="HKG47:HKH47"/>
    <mergeCell ref="HKI47:HKJ47"/>
    <mergeCell ref="HJQ47:HJR47"/>
    <mergeCell ref="HJS47:HJT47"/>
    <mergeCell ref="HJU47:HJV47"/>
    <mergeCell ref="HJW47:HJX47"/>
    <mergeCell ref="HJY47:HJZ47"/>
    <mergeCell ref="HJG47:HJH47"/>
    <mergeCell ref="HJI47:HJJ47"/>
    <mergeCell ref="HJK47:HJL47"/>
    <mergeCell ref="HJM47:HJN47"/>
    <mergeCell ref="HJO47:HJP47"/>
    <mergeCell ref="HIW47:HIX47"/>
    <mergeCell ref="HIY47:HIZ47"/>
    <mergeCell ref="HJA47:HJB47"/>
    <mergeCell ref="HJC47:HJD47"/>
    <mergeCell ref="HJE47:HJF47"/>
    <mergeCell ref="HLO47:HLP47"/>
    <mergeCell ref="HLQ47:HLR47"/>
    <mergeCell ref="HLS47:HLT47"/>
    <mergeCell ref="HLU47:HLV47"/>
    <mergeCell ref="HLW47:HLX47"/>
    <mergeCell ref="HLE47:HLF47"/>
    <mergeCell ref="HLG47:HLH47"/>
    <mergeCell ref="HLI47:HLJ47"/>
    <mergeCell ref="HLK47:HLL47"/>
    <mergeCell ref="HLM47:HLN47"/>
    <mergeCell ref="HKU47:HKV47"/>
    <mergeCell ref="HKW47:HKX47"/>
    <mergeCell ref="HKY47:HKZ47"/>
    <mergeCell ref="HLA47:HLB47"/>
    <mergeCell ref="HLC47:HLD47"/>
    <mergeCell ref="HKK47:HKL47"/>
    <mergeCell ref="HKM47:HKN47"/>
    <mergeCell ref="HKO47:HKP47"/>
    <mergeCell ref="HKQ47:HKR47"/>
    <mergeCell ref="HKS47:HKT47"/>
    <mergeCell ref="HNC47:HND47"/>
    <mergeCell ref="HNE47:HNF47"/>
    <mergeCell ref="HNG47:HNH47"/>
    <mergeCell ref="HNI47:HNJ47"/>
    <mergeCell ref="HNK47:HNL47"/>
    <mergeCell ref="HMS47:HMT47"/>
    <mergeCell ref="HMU47:HMV47"/>
    <mergeCell ref="HMW47:HMX47"/>
    <mergeCell ref="HMY47:HMZ47"/>
    <mergeCell ref="HNA47:HNB47"/>
    <mergeCell ref="HMI47:HMJ47"/>
    <mergeCell ref="HMK47:HML47"/>
    <mergeCell ref="HMM47:HMN47"/>
    <mergeCell ref="HMO47:HMP47"/>
    <mergeCell ref="HMQ47:HMR47"/>
    <mergeCell ref="HLY47:HLZ47"/>
    <mergeCell ref="HMA47:HMB47"/>
    <mergeCell ref="HMC47:HMD47"/>
    <mergeCell ref="HME47:HMF47"/>
    <mergeCell ref="HMG47:HMH47"/>
    <mergeCell ref="HOQ47:HOR47"/>
    <mergeCell ref="HOS47:HOT47"/>
    <mergeCell ref="HOU47:HOV47"/>
    <mergeCell ref="HOW47:HOX47"/>
    <mergeCell ref="HOY47:HOZ47"/>
    <mergeCell ref="HOG47:HOH47"/>
    <mergeCell ref="HOI47:HOJ47"/>
    <mergeCell ref="HOK47:HOL47"/>
    <mergeCell ref="HOM47:HON47"/>
    <mergeCell ref="HOO47:HOP47"/>
    <mergeCell ref="HNW47:HNX47"/>
    <mergeCell ref="HNY47:HNZ47"/>
    <mergeCell ref="HOA47:HOB47"/>
    <mergeCell ref="HOC47:HOD47"/>
    <mergeCell ref="HOE47:HOF47"/>
    <mergeCell ref="HNM47:HNN47"/>
    <mergeCell ref="HNO47:HNP47"/>
    <mergeCell ref="HNQ47:HNR47"/>
    <mergeCell ref="HNS47:HNT47"/>
    <mergeCell ref="HNU47:HNV47"/>
    <mergeCell ref="HQE47:HQF47"/>
    <mergeCell ref="HQG47:HQH47"/>
    <mergeCell ref="HQI47:HQJ47"/>
    <mergeCell ref="HQK47:HQL47"/>
    <mergeCell ref="HQM47:HQN47"/>
    <mergeCell ref="HPU47:HPV47"/>
    <mergeCell ref="HPW47:HPX47"/>
    <mergeCell ref="HPY47:HPZ47"/>
    <mergeCell ref="HQA47:HQB47"/>
    <mergeCell ref="HQC47:HQD47"/>
    <mergeCell ref="HPK47:HPL47"/>
    <mergeCell ref="HPM47:HPN47"/>
    <mergeCell ref="HPO47:HPP47"/>
    <mergeCell ref="HPQ47:HPR47"/>
    <mergeCell ref="HPS47:HPT47"/>
    <mergeCell ref="HPA47:HPB47"/>
    <mergeCell ref="HPC47:HPD47"/>
    <mergeCell ref="HPE47:HPF47"/>
    <mergeCell ref="HPG47:HPH47"/>
    <mergeCell ref="HPI47:HPJ47"/>
    <mergeCell ref="HRS47:HRT47"/>
    <mergeCell ref="HRU47:HRV47"/>
    <mergeCell ref="HRW47:HRX47"/>
    <mergeCell ref="HRY47:HRZ47"/>
    <mergeCell ref="HSA47:HSB47"/>
    <mergeCell ref="HRI47:HRJ47"/>
    <mergeCell ref="HRK47:HRL47"/>
    <mergeCell ref="HRM47:HRN47"/>
    <mergeCell ref="HRO47:HRP47"/>
    <mergeCell ref="HRQ47:HRR47"/>
    <mergeCell ref="HQY47:HQZ47"/>
    <mergeCell ref="HRA47:HRB47"/>
    <mergeCell ref="HRC47:HRD47"/>
    <mergeCell ref="HRE47:HRF47"/>
    <mergeCell ref="HRG47:HRH47"/>
    <mergeCell ref="HQO47:HQP47"/>
    <mergeCell ref="HQQ47:HQR47"/>
    <mergeCell ref="HQS47:HQT47"/>
    <mergeCell ref="HQU47:HQV47"/>
    <mergeCell ref="HQW47:HQX47"/>
    <mergeCell ref="HTG47:HTH47"/>
    <mergeCell ref="HTI47:HTJ47"/>
    <mergeCell ref="HTK47:HTL47"/>
    <mergeCell ref="HTM47:HTN47"/>
    <mergeCell ref="HTO47:HTP47"/>
    <mergeCell ref="HSW47:HSX47"/>
    <mergeCell ref="HSY47:HSZ47"/>
    <mergeCell ref="HTA47:HTB47"/>
    <mergeCell ref="HTC47:HTD47"/>
    <mergeCell ref="HTE47:HTF47"/>
    <mergeCell ref="HSM47:HSN47"/>
    <mergeCell ref="HSO47:HSP47"/>
    <mergeCell ref="HSQ47:HSR47"/>
    <mergeCell ref="HSS47:HST47"/>
    <mergeCell ref="HSU47:HSV47"/>
    <mergeCell ref="HSC47:HSD47"/>
    <mergeCell ref="HSE47:HSF47"/>
    <mergeCell ref="HSG47:HSH47"/>
    <mergeCell ref="HSI47:HSJ47"/>
    <mergeCell ref="HSK47:HSL47"/>
    <mergeCell ref="HUU47:HUV47"/>
    <mergeCell ref="HUW47:HUX47"/>
    <mergeCell ref="HUY47:HUZ47"/>
    <mergeCell ref="HVA47:HVB47"/>
    <mergeCell ref="HVC47:HVD47"/>
    <mergeCell ref="HUK47:HUL47"/>
    <mergeCell ref="HUM47:HUN47"/>
    <mergeCell ref="HUO47:HUP47"/>
    <mergeCell ref="HUQ47:HUR47"/>
    <mergeCell ref="HUS47:HUT47"/>
    <mergeCell ref="HUA47:HUB47"/>
    <mergeCell ref="HUC47:HUD47"/>
    <mergeCell ref="HUE47:HUF47"/>
    <mergeCell ref="HUG47:HUH47"/>
    <mergeCell ref="HUI47:HUJ47"/>
    <mergeCell ref="HTQ47:HTR47"/>
    <mergeCell ref="HTS47:HTT47"/>
    <mergeCell ref="HTU47:HTV47"/>
    <mergeCell ref="HTW47:HTX47"/>
    <mergeCell ref="HTY47:HTZ47"/>
    <mergeCell ref="HWI47:HWJ47"/>
    <mergeCell ref="HWK47:HWL47"/>
    <mergeCell ref="HWM47:HWN47"/>
    <mergeCell ref="HWO47:HWP47"/>
    <mergeCell ref="HWQ47:HWR47"/>
    <mergeCell ref="HVY47:HVZ47"/>
    <mergeCell ref="HWA47:HWB47"/>
    <mergeCell ref="HWC47:HWD47"/>
    <mergeCell ref="HWE47:HWF47"/>
    <mergeCell ref="HWG47:HWH47"/>
    <mergeCell ref="HVO47:HVP47"/>
    <mergeCell ref="HVQ47:HVR47"/>
    <mergeCell ref="HVS47:HVT47"/>
    <mergeCell ref="HVU47:HVV47"/>
    <mergeCell ref="HVW47:HVX47"/>
    <mergeCell ref="HVE47:HVF47"/>
    <mergeCell ref="HVG47:HVH47"/>
    <mergeCell ref="HVI47:HVJ47"/>
    <mergeCell ref="HVK47:HVL47"/>
    <mergeCell ref="HVM47:HVN47"/>
    <mergeCell ref="HXW47:HXX47"/>
    <mergeCell ref="HXY47:HXZ47"/>
    <mergeCell ref="HYA47:HYB47"/>
    <mergeCell ref="HYC47:HYD47"/>
    <mergeCell ref="HYE47:HYF47"/>
    <mergeCell ref="HXM47:HXN47"/>
    <mergeCell ref="HXO47:HXP47"/>
    <mergeCell ref="HXQ47:HXR47"/>
    <mergeCell ref="HXS47:HXT47"/>
    <mergeCell ref="HXU47:HXV47"/>
    <mergeCell ref="HXC47:HXD47"/>
    <mergeCell ref="HXE47:HXF47"/>
    <mergeCell ref="HXG47:HXH47"/>
    <mergeCell ref="HXI47:HXJ47"/>
    <mergeCell ref="HXK47:HXL47"/>
    <mergeCell ref="HWS47:HWT47"/>
    <mergeCell ref="HWU47:HWV47"/>
    <mergeCell ref="HWW47:HWX47"/>
    <mergeCell ref="HWY47:HWZ47"/>
    <mergeCell ref="HXA47:HXB47"/>
    <mergeCell ref="HZK47:HZL47"/>
    <mergeCell ref="HZM47:HZN47"/>
    <mergeCell ref="HZO47:HZP47"/>
    <mergeCell ref="HZQ47:HZR47"/>
    <mergeCell ref="HZS47:HZT47"/>
    <mergeCell ref="HZA47:HZB47"/>
    <mergeCell ref="HZC47:HZD47"/>
    <mergeCell ref="HZE47:HZF47"/>
    <mergeCell ref="HZG47:HZH47"/>
    <mergeCell ref="HZI47:HZJ47"/>
    <mergeCell ref="HYQ47:HYR47"/>
    <mergeCell ref="HYS47:HYT47"/>
    <mergeCell ref="HYU47:HYV47"/>
    <mergeCell ref="HYW47:HYX47"/>
    <mergeCell ref="HYY47:HYZ47"/>
    <mergeCell ref="HYG47:HYH47"/>
    <mergeCell ref="HYI47:HYJ47"/>
    <mergeCell ref="HYK47:HYL47"/>
    <mergeCell ref="HYM47:HYN47"/>
    <mergeCell ref="HYO47:HYP47"/>
    <mergeCell ref="IAY47:IAZ47"/>
    <mergeCell ref="IBA47:IBB47"/>
    <mergeCell ref="IBC47:IBD47"/>
    <mergeCell ref="IBE47:IBF47"/>
    <mergeCell ref="IBG47:IBH47"/>
    <mergeCell ref="IAO47:IAP47"/>
    <mergeCell ref="IAQ47:IAR47"/>
    <mergeCell ref="IAS47:IAT47"/>
    <mergeCell ref="IAU47:IAV47"/>
    <mergeCell ref="IAW47:IAX47"/>
    <mergeCell ref="IAE47:IAF47"/>
    <mergeCell ref="IAG47:IAH47"/>
    <mergeCell ref="IAI47:IAJ47"/>
    <mergeCell ref="IAK47:IAL47"/>
    <mergeCell ref="IAM47:IAN47"/>
    <mergeCell ref="HZU47:HZV47"/>
    <mergeCell ref="HZW47:HZX47"/>
    <mergeCell ref="HZY47:HZZ47"/>
    <mergeCell ref="IAA47:IAB47"/>
    <mergeCell ref="IAC47:IAD47"/>
    <mergeCell ref="ICM47:ICN47"/>
    <mergeCell ref="ICO47:ICP47"/>
    <mergeCell ref="ICQ47:ICR47"/>
    <mergeCell ref="ICS47:ICT47"/>
    <mergeCell ref="ICU47:ICV47"/>
    <mergeCell ref="ICC47:ICD47"/>
    <mergeCell ref="ICE47:ICF47"/>
    <mergeCell ref="ICG47:ICH47"/>
    <mergeCell ref="ICI47:ICJ47"/>
    <mergeCell ref="ICK47:ICL47"/>
    <mergeCell ref="IBS47:IBT47"/>
    <mergeCell ref="IBU47:IBV47"/>
    <mergeCell ref="IBW47:IBX47"/>
    <mergeCell ref="IBY47:IBZ47"/>
    <mergeCell ref="ICA47:ICB47"/>
    <mergeCell ref="IBI47:IBJ47"/>
    <mergeCell ref="IBK47:IBL47"/>
    <mergeCell ref="IBM47:IBN47"/>
    <mergeCell ref="IBO47:IBP47"/>
    <mergeCell ref="IBQ47:IBR47"/>
    <mergeCell ref="IEA47:IEB47"/>
    <mergeCell ref="IEC47:IED47"/>
    <mergeCell ref="IEE47:IEF47"/>
    <mergeCell ref="IEG47:IEH47"/>
    <mergeCell ref="IEI47:IEJ47"/>
    <mergeCell ref="IDQ47:IDR47"/>
    <mergeCell ref="IDS47:IDT47"/>
    <mergeCell ref="IDU47:IDV47"/>
    <mergeCell ref="IDW47:IDX47"/>
    <mergeCell ref="IDY47:IDZ47"/>
    <mergeCell ref="IDG47:IDH47"/>
    <mergeCell ref="IDI47:IDJ47"/>
    <mergeCell ref="IDK47:IDL47"/>
    <mergeCell ref="IDM47:IDN47"/>
    <mergeCell ref="IDO47:IDP47"/>
    <mergeCell ref="ICW47:ICX47"/>
    <mergeCell ref="ICY47:ICZ47"/>
    <mergeCell ref="IDA47:IDB47"/>
    <mergeCell ref="IDC47:IDD47"/>
    <mergeCell ref="IDE47:IDF47"/>
    <mergeCell ref="IFO47:IFP47"/>
    <mergeCell ref="IFQ47:IFR47"/>
    <mergeCell ref="IFS47:IFT47"/>
    <mergeCell ref="IFU47:IFV47"/>
    <mergeCell ref="IFW47:IFX47"/>
    <mergeCell ref="IFE47:IFF47"/>
    <mergeCell ref="IFG47:IFH47"/>
    <mergeCell ref="IFI47:IFJ47"/>
    <mergeCell ref="IFK47:IFL47"/>
    <mergeCell ref="IFM47:IFN47"/>
    <mergeCell ref="IEU47:IEV47"/>
    <mergeCell ref="IEW47:IEX47"/>
    <mergeCell ref="IEY47:IEZ47"/>
    <mergeCell ref="IFA47:IFB47"/>
    <mergeCell ref="IFC47:IFD47"/>
    <mergeCell ref="IEK47:IEL47"/>
    <mergeCell ref="IEM47:IEN47"/>
    <mergeCell ref="IEO47:IEP47"/>
    <mergeCell ref="IEQ47:IER47"/>
    <mergeCell ref="IES47:IET47"/>
    <mergeCell ref="IHC47:IHD47"/>
    <mergeCell ref="IHE47:IHF47"/>
    <mergeCell ref="IHG47:IHH47"/>
    <mergeCell ref="IHI47:IHJ47"/>
    <mergeCell ref="IHK47:IHL47"/>
    <mergeCell ref="IGS47:IGT47"/>
    <mergeCell ref="IGU47:IGV47"/>
    <mergeCell ref="IGW47:IGX47"/>
    <mergeCell ref="IGY47:IGZ47"/>
    <mergeCell ref="IHA47:IHB47"/>
    <mergeCell ref="IGI47:IGJ47"/>
    <mergeCell ref="IGK47:IGL47"/>
    <mergeCell ref="IGM47:IGN47"/>
    <mergeCell ref="IGO47:IGP47"/>
    <mergeCell ref="IGQ47:IGR47"/>
    <mergeCell ref="IFY47:IFZ47"/>
    <mergeCell ref="IGA47:IGB47"/>
    <mergeCell ref="IGC47:IGD47"/>
    <mergeCell ref="IGE47:IGF47"/>
    <mergeCell ref="IGG47:IGH47"/>
    <mergeCell ref="IIQ47:IIR47"/>
    <mergeCell ref="IIS47:IIT47"/>
    <mergeCell ref="IIU47:IIV47"/>
    <mergeCell ref="IIW47:IIX47"/>
    <mergeCell ref="IIY47:IIZ47"/>
    <mergeCell ref="IIG47:IIH47"/>
    <mergeCell ref="III47:IIJ47"/>
    <mergeCell ref="IIK47:IIL47"/>
    <mergeCell ref="IIM47:IIN47"/>
    <mergeCell ref="IIO47:IIP47"/>
    <mergeCell ref="IHW47:IHX47"/>
    <mergeCell ref="IHY47:IHZ47"/>
    <mergeCell ref="IIA47:IIB47"/>
    <mergeCell ref="IIC47:IID47"/>
    <mergeCell ref="IIE47:IIF47"/>
    <mergeCell ref="IHM47:IHN47"/>
    <mergeCell ref="IHO47:IHP47"/>
    <mergeCell ref="IHQ47:IHR47"/>
    <mergeCell ref="IHS47:IHT47"/>
    <mergeCell ref="IHU47:IHV47"/>
    <mergeCell ref="IKE47:IKF47"/>
    <mergeCell ref="IKG47:IKH47"/>
    <mergeCell ref="IKI47:IKJ47"/>
    <mergeCell ref="IKK47:IKL47"/>
    <mergeCell ref="IKM47:IKN47"/>
    <mergeCell ref="IJU47:IJV47"/>
    <mergeCell ref="IJW47:IJX47"/>
    <mergeCell ref="IJY47:IJZ47"/>
    <mergeCell ref="IKA47:IKB47"/>
    <mergeCell ref="IKC47:IKD47"/>
    <mergeCell ref="IJK47:IJL47"/>
    <mergeCell ref="IJM47:IJN47"/>
    <mergeCell ref="IJO47:IJP47"/>
    <mergeCell ref="IJQ47:IJR47"/>
    <mergeCell ref="IJS47:IJT47"/>
    <mergeCell ref="IJA47:IJB47"/>
    <mergeCell ref="IJC47:IJD47"/>
    <mergeCell ref="IJE47:IJF47"/>
    <mergeCell ref="IJG47:IJH47"/>
    <mergeCell ref="IJI47:IJJ47"/>
    <mergeCell ref="ILS47:ILT47"/>
    <mergeCell ref="ILU47:ILV47"/>
    <mergeCell ref="ILW47:ILX47"/>
    <mergeCell ref="ILY47:ILZ47"/>
    <mergeCell ref="IMA47:IMB47"/>
    <mergeCell ref="ILI47:ILJ47"/>
    <mergeCell ref="ILK47:ILL47"/>
    <mergeCell ref="ILM47:ILN47"/>
    <mergeCell ref="ILO47:ILP47"/>
    <mergeCell ref="ILQ47:ILR47"/>
    <mergeCell ref="IKY47:IKZ47"/>
    <mergeCell ref="ILA47:ILB47"/>
    <mergeCell ref="ILC47:ILD47"/>
    <mergeCell ref="ILE47:ILF47"/>
    <mergeCell ref="ILG47:ILH47"/>
    <mergeCell ref="IKO47:IKP47"/>
    <mergeCell ref="IKQ47:IKR47"/>
    <mergeCell ref="IKS47:IKT47"/>
    <mergeCell ref="IKU47:IKV47"/>
    <mergeCell ref="IKW47:IKX47"/>
    <mergeCell ref="ING47:INH47"/>
    <mergeCell ref="INI47:INJ47"/>
    <mergeCell ref="INK47:INL47"/>
    <mergeCell ref="INM47:INN47"/>
    <mergeCell ref="INO47:INP47"/>
    <mergeCell ref="IMW47:IMX47"/>
    <mergeCell ref="IMY47:IMZ47"/>
    <mergeCell ref="INA47:INB47"/>
    <mergeCell ref="INC47:IND47"/>
    <mergeCell ref="INE47:INF47"/>
    <mergeCell ref="IMM47:IMN47"/>
    <mergeCell ref="IMO47:IMP47"/>
    <mergeCell ref="IMQ47:IMR47"/>
    <mergeCell ref="IMS47:IMT47"/>
    <mergeCell ref="IMU47:IMV47"/>
    <mergeCell ref="IMC47:IMD47"/>
    <mergeCell ref="IME47:IMF47"/>
    <mergeCell ref="IMG47:IMH47"/>
    <mergeCell ref="IMI47:IMJ47"/>
    <mergeCell ref="IMK47:IML47"/>
    <mergeCell ref="IOU47:IOV47"/>
    <mergeCell ref="IOW47:IOX47"/>
    <mergeCell ref="IOY47:IOZ47"/>
    <mergeCell ref="IPA47:IPB47"/>
    <mergeCell ref="IPC47:IPD47"/>
    <mergeCell ref="IOK47:IOL47"/>
    <mergeCell ref="IOM47:ION47"/>
    <mergeCell ref="IOO47:IOP47"/>
    <mergeCell ref="IOQ47:IOR47"/>
    <mergeCell ref="IOS47:IOT47"/>
    <mergeCell ref="IOA47:IOB47"/>
    <mergeCell ref="IOC47:IOD47"/>
    <mergeCell ref="IOE47:IOF47"/>
    <mergeCell ref="IOG47:IOH47"/>
    <mergeCell ref="IOI47:IOJ47"/>
    <mergeCell ref="INQ47:INR47"/>
    <mergeCell ref="INS47:INT47"/>
    <mergeCell ref="INU47:INV47"/>
    <mergeCell ref="INW47:INX47"/>
    <mergeCell ref="INY47:INZ47"/>
    <mergeCell ref="IQI47:IQJ47"/>
    <mergeCell ref="IQK47:IQL47"/>
    <mergeCell ref="IQM47:IQN47"/>
    <mergeCell ref="IQO47:IQP47"/>
    <mergeCell ref="IQQ47:IQR47"/>
    <mergeCell ref="IPY47:IPZ47"/>
    <mergeCell ref="IQA47:IQB47"/>
    <mergeCell ref="IQC47:IQD47"/>
    <mergeCell ref="IQE47:IQF47"/>
    <mergeCell ref="IQG47:IQH47"/>
    <mergeCell ref="IPO47:IPP47"/>
    <mergeCell ref="IPQ47:IPR47"/>
    <mergeCell ref="IPS47:IPT47"/>
    <mergeCell ref="IPU47:IPV47"/>
    <mergeCell ref="IPW47:IPX47"/>
    <mergeCell ref="IPE47:IPF47"/>
    <mergeCell ref="IPG47:IPH47"/>
    <mergeCell ref="IPI47:IPJ47"/>
    <mergeCell ref="IPK47:IPL47"/>
    <mergeCell ref="IPM47:IPN47"/>
    <mergeCell ref="IRW47:IRX47"/>
    <mergeCell ref="IRY47:IRZ47"/>
    <mergeCell ref="ISA47:ISB47"/>
    <mergeCell ref="ISC47:ISD47"/>
    <mergeCell ref="ISE47:ISF47"/>
    <mergeCell ref="IRM47:IRN47"/>
    <mergeCell ref="IRO47:IRP47"/>
    <mergeCell ref="IRQ47:IRR47"/>
    <mergeCell ref="IRS47:IRT47"/>
    <mergeCell ref="IRU47:IRV47"/>
    <mergeCell ref="IRC47:IRD47"/>
    <mergeCell ref="IRE47:IRF47"/>
    <mergeCell ref="IRG47:IRH47"/>
    <mergeCell ref="IRI47:IRJ47"/>
    <mergeCell ref="IRK47:IRL47"/>
    <mergeCell ref="IQS47:IQT47"/>
    <mergeCell ref="IQU47:IQV47"/>
    <mergeCell ref="IQW47:IQX47"/>
    <mergeCell ref="IQY47:IQZ47"/>
    <mergeCell ref="IRA47:IRB47"/>
    <mergeCell ref="ITK47:ITL47"/>
    <mergeCell ref="ITM47:ITN47"/>
    <mergeCell ref="ITO47:ITP47"/>
    <mergeCell ref="ITQ47:ITR47"/>
    <mergeCell ref="ITS47:ITT47"/>
    <mergeCell ref="ITA47:ITB47"/>
    <mergeCell ref="ITC47:ITD47"/>
    <mergeCell ref="ITE47:ITF47"/>
    <mergeCell ref="ITG47:ITH47"/>
    <mergeCell ref="ITI47:ITJ47"/>
    <mergeCell ref="ISQ47:ISR47"/>
    <mergeCell ref="ISS47:IST47"/>
    <mergeCell ref="ISU47:ISV47"/>
    <mergeCell ref="ISW47:ISX47"/>
    <mergeCell ref="ISY47:ISZ47"/>
    <mergeCell ref="ISG47:ISH47"/>
    <mergeCell ref="ISI47:ISJ47"/>
    <mergeCell ref="ISK47:ISL47"/>
    <mergeCell ref="ISM47:ISN47"/>
    <mergeCell ref="ISO47:ISP47"/>
    <mergeCell ref="IUY47:IUZ47"/>
    <mergeCell ref="IVA47:IVB47"/>
    <mergeCell ref="IVC47:IVD47"/>
    <mergeCell ref="IVE47:IVF47"/>
    <mergeCell ref="IVG47:IVH47"/>
    <mergeCell ref="IUO47:IUP47"/>
    <mergeCell ref="IUQ47:IUR47"/>
    <mergeCell ref="IUS47:IUT47"/>
    <mergeCell ref="IUU47:IUV47"/>
    <mergeCell ref="IUW47:IUX47"/>
    <mergeCell ref="IUE47:IUF47"/>
    <mergeCell ref="IUG47:IUH47"/>
    <mergeCell ref="IUI47:IUJ47"/>
    <mergeCell ref="IUK47:IUL47"/>
    <mergeCell ref="IUM47:IUN47"/>
    <mergeCell ref="ITU47:ITV47"/>
    <mergeCell ref="ITW47:ITX47"/>
    <mergeCell ref="ITY47:ITZ47"/>
    <mergeCell ref="IUA47:IUB47"/>
    <mergeCell ref="IUC47:IUD47"/>
    <mergeCell ref="IWM47:IWN47"/>
    <mergeCell ref="IWO47:IWP47"/>
    <mergeCell ref="IWQ47:IWR47"/>
    <mergeCell ref="IWS47:IWT47"/>
    <mergeCell ref="IWU47:IWV47"/>
    <mergeCell ref="IWC47:IWD47"/>
    <mergeCell ref="IWE47:IWF47"/>
    <mergeCell ref="IWG47:IWH47"/>
    <mergeCell ref="IWI47:IWJ47"/>
    <mergeCell ref="IWK47:IWL47"/>
    <mergeCell ref="IVS47:IVT47"/>
    <mergeCell ref="IVU47:IVV47"/>
    <mergeCell ref="IVW47:IVX47"/>
    <mergeCell ref="IVY47:IVZ47"/>
    <mergeCell ref="IWA47:IWB47"/>
    <mergeCell ref="IVI47:IVJ47"/>
    <mergeCell ref="IVK47:IVL47"/>
    <mergeCell ref="IVM47:IVN47"/>
    <mergeCell ref="IVO47:IVP47"/>
    <mergeCell ref="IVQ47:IVR47"/>
    <mergeCell ref="IYA47:IYB47"/>
    <mergeCell ref="IYC47:IYD47"/>
    <mergeCell ref="IYE47:IYF47"/>
    <mergeCell ref="IYG47:IYH47"/>
    <mergeCell ref="IYI47:IYJ47"/>
    <mergeCell ref="IXQ47:IXR47"/>
    <mergeCell ref="IXS47:IXT47"/>
    <mergeCell ref="IXU47:IXV47"/>
    <mergeCell ref="IXW47:IXX47"/>
    <mergeCell ref="IXY47:IXZ47"/>
    <mergeCell ref="IXG47:IXH47"/>
    <mergeCell ref="IXI47:IXJ47"/>
    <mergeCell ref="IXK47:IXL47"/>
    <mergeCell ref="IXM47:IXN47"/>
    <mergeCell ref="IXO47:IXP47"/>
    <mergeCell ref="IWW47:IWX47"/>
    <mergeCell ref="IWY47:IWZ47"/>
    <mergeCell ref="IXA47:IXB47"/>
    <mergeCell ref="IXC47:IXD47"/>
    <mergeCell ref="IXE47:IXF47"/>
    <mergeCell ref="IZO47:IZP47"/>
    <mergeCell ref="IZQ47:IZR47"/>
    <mergeCell ref="IZS47:IZT47"/>
    <mergeCell ref="IZU47:IZV47"/>
    <mergeCell ref="IZW47:IZX47"/>
    <mergeCell ref="IZE47:IZF47"/>
    <mergeCell ref="IZG47:IZH47"/>
    <mergeCell ref="IZI47:IZJ47"/>
    <mergeCell ref="IZK47:IZL47"/>
    <mergeCell ref="IZM47:IZN47"/>
    <mergeCell ref="IYU47:IYV47"/>
    <mergeCell ref="IYW47:IYX47"/>
    <mergeCell ref="IYY47:IYZ47"/>
    <mergeCell ref="IZA47:IZB47"/>
    <mergeCell ref="IZC47:IZD47"/>
    <mergeCell ref="IYK47:IYL47"/>
    <mergeCell ref="IYM47:IYN47"/>
    <mergeCell ref="IYO47:IYP47"/>
    <mergeCell ref="IYQ47:IYR47"/>
    <mergeCell ref="IYS47:IYT47"/>
    <mergeCell ref="JBC47:JBD47"/>
    <mergeCell ref="JBE47:JBF47"/>
    <mergeCell ref="JBG47:JBH47"/>
    <mergeCell ref="JBI47:JBJ47"/>
    <mergeCell ref="JBK47:JBL47"/>
    <mergeCell ref="JAS47:JAT47"/>
    <mergeCell ref="JAU47:JAV47"/>
    <mergeCell ref="JAW47:JAX47"/>
    <mergeCell ref="JAY47:JAZ47"/>
    <mergeCell ref="JBA47:JBB47"/>
    <mergeCell ref="JAI47:JAJ47"/>
    <mergeCell ref="JAK47:JAL47"/>
    <mergeCell ref="JAM47:JAN47"/>
    <mergeCell ref="JAO47:JAP47"/>
    <mergeCell ref="JAQ47:JAR47"/>
    <mergeCell ref="IZY47:IZZ47"/>
    <mergeCell ref="JAA47:JAB47"/>
    <mergeCell ref="JAC47:JAD47"/>
    <mergeCell ref="JAE47:JAF47"/>
    <mergeCell ref="JAG47:JAH47"/>
    <mergeCell ref="JCQ47:JCR47"/>
    <mergeCell ref="JCS47:JCT47"/>
    <mergeCell ref="JCU47:JCV47"/>
    <mergeCell ref="JCW47:JCX47"/>
    <mergeCell ref="JCY47:JCZ47"/>
    <mergeCell ref="JCG47:JCH47"/>
    <mergeCell ref="JCI47:JCJ47"/>
    <mergeCell ref="JCK47:JCL47"/>
    <mergeCell ref="JCM47:JCN47"/>
    <mergeCell ref="JCO47:JCP47"/>
    <mergeCell ref="JBW47:JBX47"/>
    <mergeCell ref="JBY47:JBZ47"/>
    <mergeCell ref="JCA47:JCB47"/>
    <mergeCell ref="JCC47:JCD47"/>
    <mergeCell ref="JCE47:JCF47"/>
    <mergeCell ref="JBM47:JBN47"/>
    <mergeCell ref="JBO47:JBP47"/>
    <mergeCell ref="JBQ47:JBR47"/>
    <mergeCell ref="JBS47:JBT47"/>
    <mergeCell ref="JBU47:JBV47"/>
    <mergeCell ref="JEE47:JEF47"/>
    <mergeCell ref="JEG47:JEH47"/>
    <mergeCell ref="JEI47:JEJ47"/>
    <mergeCell ref="JEK47:JEL47"/>
    <mergeCell ref="JEM47:JEN47"/>
    <mergeCell ref="JDU47:JDV47"/>
    <mergeCell ref="JDW47:JDX47"/>
    <mergeCell ref="JDY47:JDZ47"/>
    <mergeCell ref="JEA47:JEB47"/>
    <mergeCell ref="JEC47:JED47"/>
    <mergeCell ref="JDK47:JDL47"/>
    <mergeCell ref="JDM47:JDN47"/>
    <mergeCell ref="JDO47:JDP47"/>
    <mergeCell ref="JDQ47:JDR47"/>
    <mergeCell ref="JDS47:JDT47"/>
    <mergeCell ref="JDA47:JDB47"/>
    <mergeCell ref="JDC47:JDD47"/>
    <mergeCell ref="JDE47:JDF47"/>
    <mergeCell ref="JDG47:JDH47"/>
    <mergeCell ref="JDI47:JDJ47"/>
    <mergeCell ref="JFS47:JFT47"/>
    <mergeCell ref="JFU47:JFV47"/>
    <mergeCell ref="JFW47:JFX47"/>
    <mergeCell ref="JFY47:JFZ47"/>
    <mergeCell ref="JGA47:JGB47"/>
    <mergeCell ref="JFI47:JFJ47"/>
    <mergeCell ref="JFK47:JFL47"/>
    <mergeCell ref="JFM47:JFN47"/>
    <mergeCell ref="JFO47:JFP47"/>
    <mergeCell ref="JFQ47:JFR47"/>
    <mergeCell ref="JEY47:JEZ47"/>
    <mergeCell ref="JFA47:JFB47"/>
    <mergeCell ref="JFC47:JFD47"/>
    <mergeCell ref="JFE47:JFF47"/>
    <mergeCell ref="JFG47:JFH47"/>
    <mergeCell ref="JEO47:JEP47"/>
    <mergeCell ref="JEQ47:JER47"/>
    <mergeCell ref="JES47:JET47"/>
    <mergeCell ref="JEU47:JEV47"/>
    <mergeCell ref="JEW47:JEX47"/>
    <mergeCell ref="JHG47:JHH47"/>
    <mergeCell ref="JHI47:JHJ47"/>
    <mergeCell ref="JHK47:JHL47"/>
    <mergeCell ref="JHM47:JHN47"/>
    <mergeCell ref="JHO47:JHP47"/>
    <mergeCell ref="JGW47:JGX47"/>
    <mergeCell ref="JGY47:JGZ47"/>
    <mergeCell ref="JHA47:JHB47"/>
    <mergeCell ref="JHC47:JHD47"/>
    <mergeCell ref="JHE47:JHF47"/>
    <mergeCell ref="JGM47:JGN47"/>
    <mergeCell ref="JGO47:JGP47"/>
    <mergeCell ref="JGQ47:JGR47"/>
    <mergeCell ref="JGS47:JGT47"/>
    <mergeCell ref="JGU47:JGV47"/>
    <mergeCell ref="JGC47:JGD47"/>
    <mergeCell ref="JGE47:JGF47"/>
    <mergeCell ref="JGG47:JGH47"/>
    <mergeCell ref="JGI47:JGJ47"/>
    <mergeCell ref="JGK47:JGL47"/>
    <mergeCell ref="JIU47:JIV47"/>
    <mergeCell ref="JIW47:JIX47"/>
    <mergeCell ref="JIY47:JIZ47"/>
    <mergeCell ref="JJA47:JJB47"/>
    <mergeCell ref="JJC47:JJD47"/>
    <mergeCell ref="JIK47:JIL47"/>
    <mergeCell ref="JIM47:JIN47"/>
    <mergeCell ref="JIO47:JIP47"/>
    <mergeCell ref="JIQ47:JIR47"/>
    <mergeCell ref="JIS47:JIT47"/>
    <mergeCell ref="JIA47:JIB47"/>
    <mergeCell ref="JIC47:JID47"/>
    <mergeCell ref="JIE47:JIF47"/>
    <mergeCell ref="JIG47:JIH47"/>
    <mergeCell ref="JII47:JIJ47"/>
    <mergeCell ref="JHQ47:JHR47"/>
    <mergeCell ref="JHS47:JHT47"/>
    <mergeCell ref="JHU47:JHV47"/>
    <mergeCell ref="JHW47:JHX47"/>
    <mergeCell ref="JHY47:JHZ47"/>
    <mergeCell ref="JKI47:JKJ47"/>
    <mergeCell ref="JKK47:JKL47"/>
    <mergeCell ref="JKM47:JKN47"/>
    <mergeCell ref="JKO47:JKP47"/>
    <mergeCell ref="JKQ47:JKR47"/>
    <mergeCell ref="JJY47:JJZ47"/>
    <mergeCell ref="JKA47:JKB47"/>
    <mergeCell ref="JKC47:JKD47"/>
    <mergeCell ref="JKE47:JKF47"/>
    <mergeCell ref="JKG47:JKH47"/>
    <mergeCell ref="JJO47:JJP47"/>
    <mergeCell ref="JJQ47:JJR47"/>
    <mergeCell ref="JJS47:JJT47"/>
    <mergeCell ref="JJU47:JJV47"/>
    <mergeCell ref="JJW47:JJX47"/>
    <mergeCell ref="JJE47:JJF47"/>
    <mergeCell ref="JJG47:JJH47"/>
    <mergeCell ref="JJI47:JJJ47"/>
    <mergeCell ref="JJK47:JJL47"/>
    <mergeCell ref="JJM47:JJN47"/>
    <mergeCell ref="JLW47:JLX47"/>
    <mergeCell ref="JLY47:JLZ47"/>
    <mergeCell ref="JMA47:JMB47"/>
    <mergeCell ref="JMC47:JMD47"/>
    <mergeCell ref="JME47:JMF47"/>
    <mergeCell ref="JLM47:JLN47"/>
    <mergeCell ref="JLO47:JLP47"/>
    <mergeCell ref="JLQ47:JLR47"/>
    <mergeCell ref="JLS47:JLT47"/>
    <mergeCell ref="JLU47:JLV47"/>
    <mergeCell ref="JLC47:JLD47"/>
    <mergeCell ref="JLE47:JLF47"/>
    <mergeCell ref="JLG47:JLH47"/>
    <mergeCell ref="JLI47:JLJ47"/>
    <mergeCell ref="JLK47:JLL47"/>
    <mergeCell ref="JKS47:JKT47"/>
    <mergeCell ref="JKU47:JKV47"/>
    <mergeCell ref="JKW47:JKX47"/>
    <mergeCell ref="JKY47:JKZ47"/>
    <mergeCell ref="JLA47:JLB47"/>
    <mergeCell ref="JNK47:JNL47"/>
    <mergeCell ref="JNM47:JNN47"/>
    <mergeCell ref="JNO47:JNP47"/>
    <mergeCell ref="JNQ47:JNR47"/>
    <mergeCell ref="JNS47:JNT47"/>
    <mergeCell ref="JNA47:JNB47"/>
    <mergeCell ref="JNC47:JND47"/>
    <mergeCell ref="JNE47:JNF47"/>
    <mergeCell ref="JNG47:JNH47"/>
    <mergeCell ref="JNI47:JNJ47"/>
    <mergeCell ref="JMQ47:JMR47"/>
    <mergeCell ref="JMS47:JMT47"/>
    <mergeCell ref="JMU47:JMV47"/>
    <mergeCell ref="JMW47:JMX47"/>
    <mergeCell ref="JMY47:JMZ47"/>
    <mergeCell ref="JMG47:JMH47"/>
    <mergeCell ref="JMI47:JMJ47"/>
    <mergeCell ref="JMK47:JML47"/>
    <mergeCell ref="JMM47:JMN47"/>
    <mergeCell ref="JMO47:JMP47"/>
    <mergeCell ref="JOY47:JOZ47"/>
    <mergeCell ref="JPA47:JPB47"/>
    <mergeCell ref="JPC47:JPD47"/>
    <mergeCell ref="JPE47:JPF47"/>
    <mergeCell ref="JPG47:JPH47"/>
    <mergeCell ref="JOO47:JOP47"/>
    <mergeCell ref="JOQ47:JOR47"/>
    <mergeCell ref="JOS47:JOT47"/>
    <mergeCell ref="JOU47:JOV47"/>
    <mergeCell ref="JOW47:JOX47"/>
    <mergeCell ref="JOE47:JOF47"/>
    <mergeCell ref="JOG47:JOH47"/>
    <mergeCell ref="JOI47:JOJ47"/>
    <mergeCell ref="JOK47:JOL47"/>
    <mergeCell ref="JOM47:JON47"/>
    <mergeCell ref="JNU47:JNV47"/>
    <mergeCell ref="JNW47:JNX47"/>
    <mergeCell ref="JNY47:JNZ47"/>
    <mergeCell ref="JOA47:JOB47"/>
    <mergeCell ref="JOC47:JOD47"/>
    <mergeCell ref="JQM47:JQN47"/>
    <mergeCell ref="JQO47:JQP47"/>
    <mergeCell ref="JQQ47:JQR47"/>
    <mergeCell ref="JQS47:JQT47"/>
    <mergeCell ref="JQU47:JQV47"/>
    <mergeCell ref="JQC47:JQD47"/>
    <mergeCell ref="JQE47:JQF47"/>
    <mergeCell ref="JQG47:JQH47"/>
    <mergeCell ref="JQI47:JQJ47"/>
    <mergeCell ref="JQK47:JQL47"/>
    <mergeCell ref="JPS47:JPT47"/>
    <mergeCell ref="JPU47:JPV47"/>
    <mergeCell ref="JPW47:JPX47"/>
    <mergeCell ref="JPY47:JPZ47"/>
    <mergeCell ref="JQA47:JQB47"/>
    <mergeCell ref="JPI47:JPJ47"/>
    <mergeCell ref="JPK47:JPL47"/>
    <mergeCell ref="JPM47:JPN47"/>
    <mergeCell ref="JPO47:JPP47"/>
    <mergeCell ref="JPQ47:JPR47"/>
    <mergeCell ref="JSA47:JSB47"/>
    <mergeCell ref="JSC47:JSD47"/>
    <mergeCell ref="JSE47:JSF47"/>
    <mergeCell ref="JSG47:JSH47"/>
    <mergeCell ref="JSI47:JSJ47"/>
    <mergeCell ref="JRQ47:JRR47"/>
    <mergeCell ref="JRS47:JRT47"/>
    <mergeCell ref="JRU47:JRV47"/>
    <mergeCell ref="JRW47:JRX47"/>
    <mergeCell ref="JRY47:JRZ47"/>
    <mergeCell ref="JRG47:JRH47"/>
    <mergeCell ref="JRI47:JRJ47"/>
    <mergeCell ref="JRK47:JRL47"/>
    <mergeCell ref="JRM47:JRN47"/>
    <mergeCell ref="JRO47:JRP47"/>
    <mergeCell ref="JQW47:JQX47"/>
    <mergeCell ref="JQY47:JQZ47"/>
    <mergeCell ref="JRA47:JRB47"/>
    <mergeCell ref="JRC47:JRD47"/>
    <mergeCell ref="JRE47:JRF47"/>
    <mergeCell ref="JTO47:JTP47"/>
    <mergeCell ref="JTQ47:JTR47"/>
    <mergeCell ref="JTS47:JTT47"/>
    <mergeCell ref="JTU47:JTV47"/>
    <mergeCell ref="JTW47:JTX47"/>
    <mergeCell ref="JTE47:JTF47"/>
    <mergeCell ref="JTG47:JTH47"/>
    <mergeCell ref="JTI47:JTJ47"/>
    <mergeCell ref="JTK47:JTL47"/>
    <mergeCell ref="JTM47:JTN47"/>
    <mergeCell ref="JSU47:JSV47"/>
    <mergeCell ref="JSW47:JSX47"/>
    <mergeCell ref="JSY47:JSZ47"/>
    <mergeCell ref="JTA47:JTB47"/>
    <mergeCell ref="JTC47:JTD47"/>
    <mergeCell ref="JSK47:JSL47"/>
    <mergeCell ref="JSM47:JSN47"/>
    <mergeCell ref="JSO47:JSP47"/>
    <mergeCell ref="JSQ47:JSR47"/>
    <mergeCell ref="JSS47:JST47"/>
    <mergeCell ref="JVC47:JVD47"/>
    <mergeCell ref="JVE47:JVF47"/>
    <mergeCell ref="JVG47:JVH47"/>
    <mergeCell ref="JVI47:JVJ47"/>
    <mergeCell ref="JVK47:JVL47"/>
    <mergeCell ref="JUS47:JUT47"/>
    <mergeCell ref="JUU47:JUV47"/>
    <mergeCell ref="JUW47:JUX47"/>
    <mergeCell ref="JUY47:JUZ47"/>
    <mergeCell ref="JVA47:JVB47"/>
    <mergeCell ref="JUI47:JUJ47"/>
    <mergeCell ref="JUK47:JUL47"/>
    <mergeCell ref="JUM47:JUN47"/>
    <mergeCell ref="JUO47:JUP47"/>
    <mergeCell ref="JUQ47:JUR47"/>
    <mergeCell ref="JTY47:JTZ47"/>
    <mergeCell ref="JUA47:JUB47"/>
    <mergeCell ref="JUC47:JUD47"/>
    <mergeCell ref="JUE47:JUF47"/>
    <mergeCell ref="JUG47:JUH47"/>
    <mergeCell ref="JWQ47:JWR47"/>
    <mergeCell ref="JWS47:JWT47"/>
    <mergeCell ref="JWU47:JWV47"/>
    <mergeCell ref="JWW47:JWX47"/>
    <mergeCell ref="JWY47:JWZ47"/>
    <mergeCell ref="JWG47:JWH47"/>
    <mergeCell ref="JWI47:JWJ47"/>
    <mergeCell ref="JWK47:JWL47"/>
    <mergeCell ref="JWM47:JWN47"/>
    <mergeCell ref="JWO47:JWP47"/>
    <mergeCell ref="JVW47:JVX47"/>
    <mergeCell ref="JVY47:JVZ47"/>
    <mergeCell ref="JWA47:JWB47"/>
    <mergeCell ref="JWC47:JWD47"/>
    <mergeCell ref="JWE47:JWF47"/>
    <mergeCell ref="JVM47:JVN47"/>
    <mergeCell ref="JVO47:JVP47"/>
    <mergeCell ref="JVQ47:JVR47"/>
    <mergeCell ref="JVS47:JVT47"/>
    <mergeCell ref="JVU47:JVV47"/>
    <mergeCell ref="JYE47:JYF47"/>
    <mergeCell ref="JYG47:JYH47"/>
    <mergeCell ref="JYI47:JYJ47"/>
    <mergeCell ref="JYK47:JYL47"/>
    <mergeCell ref="JYM47:JYN47"/>
    <mergeCell ref="JXU47:JXV47"/>
    <mergeCell ref="JXW47:JXX47"/>
    <mergeCell ref="JXY47:JXZ47"/>
    <mergeCell ref="JYA47:JYB47"/>
    <mergeCell ref="JYC47:JYD47"/>
    <mergeCell ref="JXK47:JXL47"/>
    <mergeCell ref="JXM47:JXN47"/>
    <mergeCell ref="JXO47:JXP47"/>
    <mergeCell ref="JXQ47:JXR47"/>
    <mergeCell ref="JXS47:JXT47"/>
    <mergeCell ref="JXA47:JXB47"/>
    <mergeCell ref="JXC47:JXD47"/>
    <mergeCell ref="JXE47:JXF47"/>
    <mergeCell ref="JXG47:JXH47"/>
    <mergeCell ref="JXI47:JXJ47"/>
    <mergeCell ref="JZS47:JZT47"/>
    <mergeCell ref="JZU47:JZV47"/>
    <mergeCell ref="JZW47:JZX47"/>
    <mergeCell ref="JZY47:JZZ47"/>
    <mergeCell ref="KAA47:KAB47"/>
    <mergeCell ref="JZI47:JZJ47"/>
    <mergeCell ref="JZK47:JZL47"/>
    <mergeCell ref="JZM47:JZN47"/>
    <mergeCell ref="JZO47:JZP47"/>
    <mergeCell ref="JZQ47:JZR47"/>
    <mergeCell ref="JYY47:JYZ47"/>
    <mergeCell ref="JZA47:JZB47"/>
    <mergeCell ref="JZC47:JZD47"/>
    <mergeCell ref="JZE47:JZF47"/>
    <mergeCell ref="JZG47:JZH47"/>
    <mergeCell ref="JYO47:JYP47"/>
    <mergeCell ref="JYQ47:JYR47"/>
    <mergeCell ref="JYS47:JYT47"/>
    <mergeCell ref="JYU47:JYV47"/>
    <mergeCell ref="JYW47:JYX47"/>
    <mergeCell ref="KBG47:KBH47"/>
    <mergeCell ref="KBI47:KBJ47"/>
    <mergeCell ref="KBK47:KBL47"/>
    <mergeCell ref="KBM47:KBN47"/>
    <mergeCell ref="KBO47:KBP47"/>
    <mergeCell ref="KAW47:KAX47"/>
    <mergeCell ref="KAY47:KAZ47"/>
    <mergeCell ref="KBA47:KBB47"/>
    <mergeCell ref="KBC47:KBD47"/>
    <mergeCell ref="KBE47:KBF47"/>
    <mergeCell ref="KAM47:KAN47"/>
    <mergeCell ref="KAO47:KAP47"/>
    <mergeCell ref="KAQ47:KAR47"/>
    <mergeCell ref="KAS47:KAT47"/>
    <mergeCell ref="KAU47:KAV47"/>
    <mergeCell ref="KAC47:KAD47"/>
    <mergeCell ref="KAE47:KAF47"/>
    <mergeCell ref="KAG47:KAH47"/>
    <mergeCell ref="KAI47:KAJ47"/>
    <mergeCell ref="KAK47:KAL47"/>
    <mergeCell ref="KCU47:KCV47"/>
    <mergeCell ref="KCW47:KCX47"/>
    <mergeCell ref="KCY47:KCZ47"/>
    <mergeCell ref="KDA47:KDB47"/>
    <mergeCell ref="KDC47:KDD47"/>
    <mergeCell ref="KCK47:KCL47"/>
    <mergeCell ref="KCM47:KCN47"/>
    <mergeCell ref="KCO47:KCP47"/>
    <mergeCell ref="KCQ47:KCR47"/>
    <mergeCell ref="KCS47:KCT47"/>
    <mergeCell ref="KCA47:KCB47"/>
    <mergeCell ref="KCC47:KCD47"/>
    <mergeCell ref="KCE47:KCF47"/>
    <mergeCell ref="KCG47:KCH47"/>
    <mergeCell ref="KCI47:KCJ47"/>
    <mergeCell ref="KBQ47:KBR47"/>
    <mergeCell ref="KBS47:KBT47"/>
    <mergeCell ref="KBU47:KBV47"/>
    <mergeCell ref="KBW47:KBX47"/>
    <mergeCell ref="KBY47:KBZ47"/>
    <mergeCell ref="KEI47:KEJ47"/>
    <mergeCell ref="KEK47:KEL47"/>
    <mergeCell ref="KEM47:KEN47"/>
    <mergeCell ref="KEO47:KEP47"/>
    <mergeCell ref="KEQ47:KER47"/>
    <mergeCell ref="KDY47:KDZ47"/>
    <mergeCell ref="KEA47:KEB47"/>
    <mergeCell ref="KEC47:KED47"/>
    <mergeCell ref="KEE47:KEF47"/>
    <mergeCell ref="KEG47:KEH47"/>
    <mergeCell ref="KDO47:KDP47"/>
    <mergeCell ref="KDQ47:KDR47"/>
    <mergeCell ref="KDS47:KDT47"/>
    <mergeCell ref="KDU47:KDV47"/>
    <mergeCell ref="KDW47:KDX47"/>
    <mergeCell ref="KDE47:KDF47"/>
    <mergeCell ref="KDG47:KDH47"/>
    <mergeCell ref="KDI47:KDJ47"/>
    <mergeCell ref="KDK47:KDL47"/>
    <mergeCell ref="KDM47:KDN47"/>
    <mergeCell ref="KFW47:KFX47"/>
    <mergeCell ref="KFY47:KFZ47"/>
    <mergeCell ref="KGA47:KGB47"/>
    <mergeCell ref="KGC47:KGD47"/>
    <mergeCell ref="KGE47:KGF47"/>
    <mergeCell ref="KFM47:KFN47"/>
    <mergeCell ref="KFO47:KFP47"/>
    <mergeCell ref="KFQ47:KFR47"/>
    <mergeCell ref="KFS47:KFT47"/>
    <mergeCell ref="KFU47:KFV47"/>
    <mergeCell ref="KFC47:KFD47"/>
    <mergeCell ref="KFE47:KFF47"/>
    <mergeCell ref="KFG47:KFH47"/>
    <mergeCell ref="KFI47:KFJ47"/>
    <mergeCell ref="KFK47:KFL47"/>
    <mergeCell ref="KES47:KET47"/>
    <mergeCell ref="KEU47:KEV47"/>
    <mergeCell ref="KEW47:KEX47"/>
    <mergeCell ref="KEY47:KEZ47"/>
    <mergeCell ref="KFA47:KFB47"/>
    <mergeCell ref="KHK47:KHL47"/>
    <mergeCell ref="KHM47:KHN47"/>
    <mergeCell ref="KHO47:KHP47"/>
    <mergeCell ref="KHQ47:KHR47"/>
    <mergeCell ref="KHS47:KHT47"/>
    <mergeCell ref="KHA47:KHB47"/>
    <mergeCell ref="KHC47:KHD47"/>
    <mergeCell ref="KHE47:KHF47"/>
    <mergeCell ref="KHG47:KHH47"/>
    <mergeCell ref="KHI47:KHJ47"/>
    <mergeCell ref="KGQ47:KGR47"/>
    <mergeCell ref="KGS47:KGT47"/>
    <mergeCell ref="KGU47:KGV47"/>
    <mergeCell ref="KGW47:KGX47"/>
    <mergeCell ref="KGY47:KGZ47"/>
    <mergeCell ref="KGG47:KGH47"/>
    <mergeCell ref="KGI47:KGJ47"/>
    <mergeCell ref="KGK47:KGL47"/>
    <mergeCell ref="KGM47:KGN47"/>
    <mergeCell ref="KGO47:KGP47"/>
    <mergeCell ref="KIY47:KIZ47"/>
    <mergeCell ref="KJA47:KJB47"/>
    <mergeCell ref="KJC47:KJD47"/>
    <mergeCell ref="KJE47:KJF47"/>
    <mergeCell ref="KJG47:KJH47"/>
    <mergeCell ref="KIO47:KIP47"/>
    <mergeCell ref="KIQ47:KIR47"/>
    <mergeCell ref="KIS47:KIT47"/>
    <mergeCell ref="KIU47:KIV47"/>
    <mergeCell ref="KIW47:KIX47"/>
    <mergeCell ref="KIE47:KIF47"/>
    <mergeCell ref="KIG47:KIH47"/>
    <mergeCell ref="KII47:KIJ47"/>
    <mergeCell ref="KIK47:KIL47"/>
    <mergeCell ref="KIM47:KIN47"/>
    <mergeCell ref="KHU47:KHV47"/>
    <mergeCell ref="KHW47:KHX47"/>
    <mergeCell ref="KHY47:KHZ47"/>
    <mergeCell ref="KIA47:KIB47"/>
    <mergeCell ref="KIC47:KID47"/>
    <mergeCell ref="KKM47:KKN47"/>
    <mergeCell ref="KKO47:KKP47"/>
    <mergeCell ref="KKQ47:KKR47"/>
    <mergeCell ref="KKS47:KKT47"/>
    <mergeCell ref="KKU47:KKV47"/>
    <mergeCell ref="KKC47:KKD47"/>
    <mergeCell ref="KKE47:KKF47"/>
    <mergeCell ref="KKG47:KKH47"/>
    <mergeCell ref="KKI47:KKJ47"/>
    <mergeCell ref="KKK47:KKL47"/>
    <mergeCell ref="KJS47:KJT47"/>
    <mergeCell ref="KJU47:KJV47"/>
    <mergeCell ref="KJW47:KJX47"/>
    <mergeCell ref="KJY47:KJZ47"/>
    <mergeCell ref="KKA47:KKB47"/>
    <mergeCell ref="KJI47:KJJ47"/>
    <mergeCell ref="KJK47:KJL47"/>
    <mergeCell ref="KJM47:KJN47"/>
    <mergeCell ref="KJO47:KJP47"/>
    <mergeCell ref="KJQ47:KJR47"/>
    <mergeCell ref="KMA47:KMB47"/>
    <mergeCell ref="KMC47:KMD47"/>
    <mergeCell ref="KME47:KMF47"/>
    <mergeCell ref="KMG47:KMH47"/>
    <mergeCell ref="KMI47:KMJ47"/>
    <mergeCell ref="KLQ47:KLR47"/>
    <mergeCell ref="KLS47:KLT47"/>
    <mergeCell ref="KLU47:KLV47"/>
    <mergeCell ref="KLW47:KLX47"/>
    <mergeCell ref="KLY47:KLZ47"/>
    <mergeCell ref="KLG47:KLH47"/>
    <mergeCell ref="KLI47:KLJ47"/>
    <mergeCell ref="KLK47:KLL47"/>
    <mergeCell ref="KLM47:KLN47"/>
    <mergeCell ref="KLO47:KLP47"/>
    <mergeCell ref="KKW47:KKX47"/>
    <mergeCell ref="KKY47:KKZ47"/>
    <mergeCell ref="KLA47:KLB47"/>
    <mergeCell ref="KLC47:KLD47"/>
    <mergeCell ref="KLE47:KLF47"/>
    <mergeCell ref="KNO47:KNP47"/>
    <mergeCell ref="KNQ47:KNR47"/>
    <mergeCell ref="KNS47:KNT47"/>
    <mergeCell ref="KNU47:KNV47"/>
    <mergeCell ref="KNW47:KNX47"/>
    <mergeCell ref="KNE47:KNF47"/>
    <mergeCell ref="KNG47:KNH47"/>
    <mergeCell ref="KNI47:KNJ47"/>
    <mergeCell ref="KNK47:KNL47"/>
    <mergeCell ref="KNM47:KNN47"/>
    <mergeCell ref="KMU47:KMV47"/>
    <mergeCell ref="KMW47:KMX47"/>
    <mergeCell ref="KMY47:KMZ47"/>
    <mergeCell ref="KNA47:KNB47"/>
    <mergeCell ref="KNC47:KND47"/>
    <mergeCell ref="KMK47:KML47"/>
    <mergeCell ref="KMM47:KMN47"/>
    <mergeCell ref="KMO47:KMP47"/>
    <mergeCell ref="KMQ47:KMR47"/>
    <mergeCell ref="KMS47:KMT47"/>
    <mergeCell ref="KPC47:KPD47"/>
    <mergeCell ref="KPE47:KPF47"/>
    <mergeCell ref="KPG47:KPH47"/>
    <mergeCell ref="KPI47:KPJ47"/>
    <mergeCell ref="KPK47:KPL47"/>
    <mergeCell ref="KOS47:KOT47"/>
    <mergeCell ref="KOU47:KOV47"/>
    <mergeCell ref="KOW47:KOX47"/>
    <mergeCell ref="KOY47:KOZ47"/>
    <mergeCell ref="KPA47:KPB47"/>
    <mergeCell ref="KOI47:KOJ47"/>
    <mergeCell ref="KOK47:KOL47"/>
    <mergeCell ref="KOM47:KON47"/>
    <mergeCell ref="KOO47:KOP47"/>
    <mergeCell ref="KOQ47:KOR47"/>
    <mergeCell ref="KNY47:KNZ47"/>
    <mergeCell ref="KOA47:KOB47"/>
    <mergeCell ref="KOC47:KOD47"/>
    <mergeCell ref="KOE47:KOF47"/>
    <mergeCell ref="KOG47:KOH47"/>
    <mergeCell ref="KQQ47:KQR47"/>
    <mergeCell ref="KQS47:KQT47"/>
    <mergeCell ref="KQU47:KQV47"/>
    <mergeCell ref="KQW47:KQX47"/>
    <mergeCell ref="KQY47:KQZ47"/>
    <mergeCell ref="KQG47:KQH47"/>
    <mergeCell ref="KQI47:KQJ47"/>
    <mergeCell ref="KQK47:KQL47"/>
    <mergeCell ref="KQM47:KQN47"/>
    <mergeCell ref="KQO47:KQP47"/>
    <mergeCell ref="KPW47:KPX47"/>
    <mergeCell ref="KPY47:KPZ47"/>
    <mergeCell ref="KQA47:KQB47"/>
    <mergeCell ref="KQC47:KQD47"/>
    <mergeCell ref="KQE47:KQF47"/>
    <mergeCell ref="KPM47:KPN47"/>
    <mergeCell ref="KPO47:KPP47"/>
    <mergeCell ref="KPQ47:KPR47"/>
    <mergeCell ref="KPS47:KPT47"/>
    <mergeCell ref="KPU47:KPV47"/>
    <mergeCell ref="KSE47:KSF47"/>
    <mergeCell ref="KSG47:KSH47"/>
    <mergeCell ref="KSI47:KSJ47"/>
    <mergeCell ref="KSK47:KSL47"/>
    <mergeCell ref="KSM47:KSN47"/>
    <mergeCell ref="KRU47:KRV47"/>
    <mergeCell ref="KRW47:KRX47"/>
    <mergeCell ref="KRY47:KRZ47"/>
    <mergeCell ref="KSA47:KSB47"/>
    <mergeCell ref="KSC47:KSD47"/>
    <mergeCell ref="KRK47:KRL47"/>
    <mergeCell ref="KRM47:KRN47"/>
    <mergeCell ref="KRO47:KRP47"/>
    <mergeCell ref="KRQ47:KRR47"/>
    <mergeCell ref="KRS47:KRT47"/>
    <mergeCell ref="KRA47:KRB47"/>
    <mergeCell ref="KRC47:KRD47"/>
    <mergeCell ref="KRE47:KRF47"/>
    <mergeCell ref="KRG47:KRH47"/>
    <mergeCell ref="KRI47:KRJ47"/>
    <mergeCell ref="KTS47:KTT47"/>
    <mergeCell ref="KTU47:KTV47"/>
    <mergeCell ref="KTW47:KTX47"/>
    <mergeCell ref="KTY47:KTZ47"/>
    <mergeCell ref="KUA47:KUB47"/>
    <mergeCell ref="KTI47:KTJ47"/>
    <mergeCell ref="KTK47:KTL47"/>
    <mergeCell ref="KTM47:KTN47"/>
    <mergeCell ref="KTO47:KTP47"/>
    <mergeCell ref="KTQ47:KTR47"/>
    <mergeCell ref="KSY47:KSZ47"/>
    <mergeCell ref="KTA47:KTB47"/>
    <mergeCell ref="KTC47:KTD47"/>
    <mergeCell ref="KTE47:KTF47"/>
    <mergeCell ref="KTG47:KTH47"/>
    <mergeCell ref="KSO47:KSP47"/>
    <mergeCell ref="KSQ47:KSR47"/>
    <mergeCell ref="KSS47:KST47"/>
    <mergeCell ref="KSU47:KSV47"/>
    <mergeCell ref="KSW47:KSX47"/>
    <mergeCell ref="KVG47:KVH47"/>
    <mergeCell ref="KVI47:KVJ47"/>
    <mergeCell ref="KVK47:KVL47"/>
    <mergeCell ref="KVM47:KVN47"/>
    <mergeCell ref="KVO47:KVP47"/>
    <mergeCell ref="KUW47:KUX47"/>
    <mergeCell ref="KUY47:KUZ47"/>
    <mergeCell ref="KVA47:KVB47"/>
    <mergeCell ref="KVC47:KVD47"/>
    <mergeCell ref="KVE47:KVF47"/>
    <mergeCell ref="KUM47:KUN47"/>
    <mergeCell ref="KUO47:KUP47"/>
    <mergeCell ref="KUQ47:KUR47"/>
    <mergeCell ref="KUS47:KUT47"/>
    <mergeCell ref="KUU47:KUV47"/>
    <mergeCell ref="KUC47:KUD47"/>
    <mergeCell ref="KUE47:KUF47"/>
    <mergeCell ref="KUG47:KUH47"/>
    <mergeCell ref="KUI47:KUJ47"/>
    <mergeCell ref="KUK47:KUL47"/>
    <mergeCell ref="KWU47:KWV47"/>
    <mergeCell ref="KWW47:KWX47"/>
    <mergeCell ref="KWY47:KWZ47"/>
    <mergeCell ref="KXA47:KXB47"/>
    <mergeCell ref="KXC47:KXD47"/>
    <mergeCell ref="KWK47:KWL47"/>
    <mergeCell ref="KWM47:KWN47"/>
    <mergeCell ref="KWO47:KWP47"/>
    <mergeCell ref="KWQ47:KWR47"/>
    <mergeCell ref="KWS47:KWT47"/>
    <mergeCell ref="KWA47:KWB47"/>
    <mergeCell ref="KWC47:KWD47"/>
    <mergeCell ref="KWE47:KWF47"/>
    <mergeCell ref="KWG47:KWH47"/>
    <mergeCell ref="KWI47:KWJ47"/>
    <mergeCell ref="KVQ47:KVR47"/>
    <mergeCell ref="KVS47:KVT47"/>
    <mergeCell ref="KVU47:KVV47"/>
    <mergeCell ref="KVW47:KVX47"/>
    <mergeCell ref="KVY47:KVZ47"/>
    <mergeCell ref="KYI47:KYJ47"/>
    <mergeCell ref="KYK47:KYL47"/>
    <mergeCell ref="KYM47:KYN47"/>
    <mergeCell ref="KYO47:KYP47"/>
    <mergeCell ref="KYQ47:KYR47"/>
    <mergeCell ref="KXY47:KXZ47"/>
    <mergeCell ref="KYA47:KYB47"/>
    <mergeCell ref="KYC47:KYD47"/>
    <mergeCell ref="KYE47:KYF47"/>
    <mergeCell ref="KYG47:KYH47"/>
    <mergeCell ref="KXO47:KXP47"/>
    <mergeCell ref="KXQ47:KXR47"/>
    <mergeCell ref="KXS47:KXT47"/>
    <mergeCell ref="KXU47:KXV47"/>
    <mergeCell ref="KXW47:KXX47"/>
    <mergeCell ref="KXE47:KXF47"/>
    <mergeCell ref="KXG47:KXH47"/>
    <mergeCell ref="KXI47:KXJ47"/>
    <mergeCell ref="KXK47:KXL47"/>
    <mergeCell ref="KXM47:KXN47"/>
    <mergeCell ref="KZW47:KZX47"/>
    <mergeCell ref="KZY47:KZZ47"/>
    <mergeCell ref="LAA47:LAB47"/>
    <mergeCell ref="LAC47:LAD47"/>
    <mergeCell ref="LAE47:LAF47"/>
    <mergeCell ref="KZM47:KZN47"/>
    <mergeCell ref="KZO47:KZP47"/>
    <mergeCell ref="KZQ47:KZR47"/>
    <mergeCell ref="KZS47:KZT47"/>
    <mergeCell ref="KZU47:KZV47"/>
    <mergeCell ref="KZC47:KZD47"/>
    <mergeCell ref="KZE47:KZF47"/>
    <mergeCell ref="KZG47:KZH47"/>
    <mergeCell ref="KZI47:KZJ47"/>
    <mergeCell ref="KZK47:KZL47"/>
    <mergeCell ref="KYS47:KYT47"/>
    <mergeCell ref="KYU47:KYV47"/>
    <mergeCell ref="KYW47:KYX47"/>
    <mergeCell ref="KYY47:KYZ47"/>
    <mergeCell ref="KZA47:KZB47"/>
    <mergeCell ref="LBK47:LBL47"/>
    <mergeCell ref="LBM47:LBN47"/>
    <mergeCell ref="LBO47:LBP47"/>
    <mergeCell ref="LBQ47:LBR47"/>
    <mergeCell ref="LBS47:LBT47"/>
    <mergeCell ref="LBA47:LBB47"/>
    <mergeCell ref="LBC47:LBD47"/>
    <mergeCell ref="LBE47:LBF47"/>
    <mergeCell ref="LBG47:LBH47"/>
    <mergeCell ref="LBI47:LBJ47"/>
    <mergeCell ref="LAQ47:LAR47"/>
    <mergeCell ref="LAS47:LAT47"/>
    <mergeCell ref="LAU47:LAV47"/>
    <mergeCell ref="LAW47:LAX47"/>
    <mergeCell ref="LAY47:LAZ47"/>
    <mergeCell ref="LAG47:LAH47"/>
    <mergeCell ref="LAI47:LAJ47"/>
    <mergeCell ref="LAK47:LAL47"/>
    <mergeCell ref="LAM47:LAN47"/>
    <mergeCell ref="LAO47:LAP47"/>
    <mergeCell ref="LCY47:LCZ47"/>
    <mergeCell ref="LDA47:LDB47"/>
    <mergeCell ref="LDC47:LDD47"/>
    <mergeCell ref="LDE47:LDF47"/>
    <mergeCell ref="LDG47:LDH47"/>
    <mergeCell ref="LCO47:LCP47"/>
    <mergeCell ref="LCQ47:LCR47"/>
    <mergeCell ref="LCS47:LCT47"/>
    <mergeCell ref="LCU47:LCV47"/>
    <mergeCell ref="LCW47:LCX47"/>
    <mergeCell ref="LCE47:LCF47"/>
    <mergeCell ref="LCG47:LCH47"/>
    <mergeCell ref="LCI47:LCJ47"/>
    <mergeCell ref="LCK47:LCL47"/>
    <mergeCell ref="LCM47:LCN47"/>
    <mergeCell ref="LBU47:LBV47"/>
    <mergeCell ref="LBW47:LBX47"/>
    <mergeCell ref="LBY47:LBZ47"/>
    <mergeCell ref="LCA47:LCB47"/>
    <mergeCell ref="LCC47:LCD47"/>
    <mergeCell ref="LEM47:LEN47"/>
    <mergeCell ref="LEO47:LEP47"/>
    <mergeCell ref="LEQ47:LER47"/>
    <mergeCell ref="LES47:LET47"/>
    <mergeCell ref="LEU47:LEV47"/>
    <mergeCell ref="LEC47:LED47"/>
    <mergeCell ref="LEE47:LEF47"/>
    <mergeCell ref="LEG47:LEH47"/>
    <mergeCell ref="LEI47:LEJ47"/>
    <mergeCell ref="LEK47:LEL47"/>
    <mergeCell ref="LDS47:LDT47"/>
    <mergeCell ref="LDU47:LDV47"/>
    <mergeCell ref="LDW47:LDX47"/>
    <mergeCell ref="LDY47:LDZ47"/>
    <mergeCell ref="LEA47:LEB47"/>
    <mergeCell ref="LDI47:LDJ47"/>
    <mergeCell ref="LDK47:LDL47"/>
    <mergeCell ref="LDM47:LDN47"/>
    <mergeCell ref="LDO47:LDP47"/>
    <mergeCell ref="LDQ47:LDR47"/>
    <mergeCell ref="LGA47:LGB47"/>
    <mergeCell ref="LGC47:LGD47"/>
    <mergeCell ref="LGE47:LGF47"/>
    <mergeCell ref="LGG47:LGH47"/>
    <mergeCell ref="LGI47:LGJ47"/>
    <mergeCell ref="LFQ47:LFR47"/>
    <mergeCell ref="LFS47:LFT47"/>
    <mergeCell ref="LFU47:LFV47"/>
    <mergeCell ref="LFW47:LFX47"/>
    <mergeCell ref="LFY47:LFZ47"/>
    <mergeCell ref="LFG47:LFH47"/>
    <mergeCell ref="LFI47:LFJ47"/>
    <mergeCell ref="LFK47:LFL47"/>
    <mergeCell ref="LFM47:LFN47"/>
    <mergeCell ref="LFO47:LFP47"/>
    <mergeCell ref="LEW47:LEX47"/>
    <mergeCell ref="LEY47:LEZ47"/>
    <mergeCell ref="LFA47:LFB47"/>
    <mergeCell ref="LFC47:LFD47"/>
    <mergeCell ref="LFE47:LFF47"/>
    <mergeCell ref="LHO47:LHP47"/>
    <mergeCell ref="LHQ47:LHR47"/>
    <mergeCell ref="LHS47:LHT47"/>
    <mergeCell ref="LHU47:LHV47"/>
    <mergeCell ref="LHW47:LHX47"/>
    <mergeCell ref="LHE47:LHF47"/>
    <mergeCell ref="LHG47:LHH47"/>
    <mergeCell ref="LHI47:LHJ47"/>
    <mergeCell ref="LHK47:LHL47"/>
    <mergeCell ref="LHM47:LHN47"/>
    <mergeCell ref="LGU47:LGV47"/>
    <mergeCell ref="LGW47:LGX47"/>
    <mergeCell ref="LGY47:LGZ47"/>
    <mergeCell ref="LHA47:LHB47"/>
    <mergeCell ref="LHC47:LHD47"/>
    <mergeCell ref="LGK47:LGL47"/>
    <mergeCell ref="LGM47:LGN47"/>
    <mergeCell ref="LGO47:LGP47"/>
    <mergeCell ref="LGQ47:LGR47"/>
    <mergeCell ref="LGS47:LGT47"/>
    <mergeCell ref="LJC47:LJD47"/>
    <mergeCell ref="LJE47:LJF47"/>
    <mergeCell ref="LJG47:LJH47"/>
    <mergeCell ref="LJI47:LJJ47"/>
    <mergeCell ref="LJK47:LJL47"/>
    <mergeCell ref="LIS47:LIT47"/>
    <mergeCell ref="LIU47:LIV47"/>
    <mergeCell ref="LIW47:LIX47"/>
    <mergeCell ref="LIY47:LIZ47"/>
    <mergeCell ref="LJA47:LJB47"/>
    <mergeCell ref="LII47:LIJ47"/>
    <mergeCell ref="LIK47:LIL47"/>
    <mergeCell ref="LIM47:LIN47"/>
    <mergeCell ref="LIO47:LIP47"/>
    <mergeCell ref="LIQ47:LIR47"/>
    <mergeCell ref="LHY47:LHZ47"/>
    <mergeCell ref="LIA47:LIB47"/>
    <mergeCell ref="LIC47:LID47"/>
    <mergeCell ref="LIE47:LIF47"/>
    <mergeCell ref="LIG47:LIH47"/>
    <mergeCell ref="LKQ47:LKR47"/>
    <mergeCell ref="LKS47:LKT47"/>
    <mergeCell ref="LKU47:LKV47"/>
    <mergeCell ref="LKW47:LKX47"/>
    <mergeCell ref="LKY47:LKZ47"/>
    <mergeCell ref="LKG47:LKH47"/>
    <mergeCell ref="LKI47:LKJ47"/>
    <mergeCell ref="LKK47:LKL47"/>
    <mergeCell ref="LKM47:LKN47"/>
    <mergeCell ref="LKO47:LKP47"/>
    <mergeCell ref="LJW47:LJX47"/>
    <mergeCell ref="LJY47:LJZ47"/>
    <mergeCell ref="LKA47:LKB47"/>
    <mergeCell ref="LKC47:LKD47"/>
    <mergeCell ref="LKE47:LKF47"/>
    <mergeCell ref="LJM47:LJN47"/>
    <mergeCell ref="LJO47:LJP47"/>
    <mergeCell ref="LJQ47:LJR47"/>
    <mergeCell ref="LJS47:LJT47"/>
    <mergeCell ref="LJU47:LJV47"/>
    <mergeCell ref="LME47:LMF47"/>
    <mergeCell ref="LMG47:LMH47"/>
    <mergeCell ref="LMI47:LMJ47"/>
    <mergeCell ref="LMK47:LML47"/>
    <mergeCell ref="LMM47:LMN47"/>
    <mergeCell ref="LLU47:LLV47"/>
    <mergeCell ref="LLW47:LLX47"/>
    <mergeCell ref="LLY47:LLZ47"/>
    <mergeCell ref="LMA47:LMB47"/>
    <mergeCell ref="LMC47:LMD47"/>
    <mergeCell ref="LLK47:LLL47"/>
    <mergeCell ref="LLM47:LLN47"/>
    <mergeCell ref="LLO47:LLP47"/>
    <mergeCell ref="LLQ47:LLR47"/>
    <mergeCell ref="LLS47:LLT47"/>
    <mergeCell ref="LLA47:LLB47"/>
    <mergeCell ref="LLC47:LLD47"/>
    <mergeCell ref="LLE47:LLF47"/>
    <mergeCell ref="LLG47:LLH47"/>
    <mergeCell ref="LLI47:LLJ47"/>
    <mergeCell ref="LNS47:LNT47"/>
    <mergeCell ref="LNU47:LNV47"/>
    <mergeCell ref="LNW47:LNX47"/>
    <mergeCell ref="LNY47:LNZ47"/>
    <mergeCell ref="LOA47:LOB47"/>
    <mergeCell ref="LNI47:LNJ47"/>
    <mergeCell ref="LNK47:LNL47"/>
    <mergeCell ref="LNM47:LNN47"/>
    <mergeCell ref="LNO47:LNP47"/>
    <mergeCell ref="LNQ47:LNR47"/>
    <mergeCell ref="LMY47:LMZ47"/>
    <mergeCell ref="LNA47:LNB47"/>
    <mergeCell ref="LNC47:LND47"/>
    <mergeCell ref="LNE47:LNF47"/>
    <mergeCell ref="LNG47:LNH47"/>
    <mergeCell ref="LMO47:LMP47"/>
    <mergeCell ref="LMQ47:LMR47"/>
    <mergeCell ref="LMS47:LMT47"/>
    <mergeCell ref="LMU47:LMV47"/>
    <mergeCell ref="LMW47:LMX47"/>
    <mergeCell ref="LPG47:LPH47"/>
    <mergeCell ref="LPI47:LPJ47"/>
    <mergeCell ref="LPK47:LPL47"/>
    <mergeCell ref="LPM47:LPN47"/>
    <mergeCell ref="LPO47:LPP47"/>
    <mergeCell ref="LOW47:LOX47"/>
    <mergeCell ref="LOY47:LOZ47"/>
    <mergeCell ref="LPA47:LPB47"/>
    <mergeCell ref="LPC47:LPD47"/>
    <mergeCell ref="LPE47:LPF47"/>
    <mergeCell ref="LOM47:LON47"/>
    <mergeCell ref="LOO47:LOP47"/>
    <mergeCell ref="LOQ47:LOR47"/>
    <mergeCell ref="LOS47:LOT47"/>
    <mergeCell ref="LOU47:LOV47"/>
    <mergeCell ref="LOC47:LOD47"/>
    <mergeCell ref="LOE47:LOF47"/>
    <mergeCell ref="LOG47:LOH47"/>
    <mergeCell ref="LOI47:LOJ47"/>
    <mergeCell ref="LOK47:LOL47"/>
    <mergeCell ref="LQU47:LQV47"/>
    <mergeCell ref="LQW47:LQX47"/>
    <mergeCell ref="LQY47:LQZ47"/>
    <mergeCell ref="LRA47:LRB47"/>
    <mergeCell ref="LRC47:LRD47"/>
    <mergeCell ref="LQK47:LQL47"/>
    <mergeCell ref="LQM47:LQN47"/>
    <mergeCell ref="LQO47:LQP47"/>
    <mergeCell ref="LQQ47:LQR47"/>
    <mergeCell ref="LQS47:LQT47"/>
    <mergeCell ref="LQA47:LQB47"/>
    <mergeCell ref="LQC47:LQD47"/>
    <mergeCell ref="LQE47:LQF47"/>
    <mergeCell ref="LQG47:LQH47"/>
    <mergeCell ref="LQI47:LQJ47"/>
    <mergeCell ref="LPQ47:LPR47"/>
    <mergeCell ref="LPS47:LPT47"/>
    <mergeCell ref="LPU47:LPV47"/>
    <mergeCell ref="LPW47:LPX47"/>
    <mergeCell ref="LPY47:LPZ47"/>
    <mergeCell ref="LSI47:LSJ47"/>
    <mergeCell ref="LSK47:LSL47"/>
    <mergeCell ref="LSM47:LSN47"/>
    <mergeCell ref="LSO47:LSP47"/>
    <mergeCell ref="LSQ47:LSR47"/>
    <mergeCell ref="LRY47:LRZ47"/>
    <mergeCell ref="LSA47:LSB47"/>
    <mergeCell ref="LSC47:LSD47"/>
    <mergeCell ref="LSE47:LSF47"/>
    <mergeCell ref="LSG47:LSH47"/>
    <mergeCell ref="LRO47:LRP47"/>
    <mergeCell ref="LRQ47:LRR47"/>
    <mergeCell ref="LRS47:LRT47"/>
    <mergeCell ref="LRU47:LRV47"/>
    <mergeCell ref="LRW47:LRX47"/>
    <mergeCell ref="LRE47:LRF47"/>
    <mergeCell ref="LRG47:LRH47"/>
    <mergeCell ref="LRI47:LRJ47"/>
    <mergeCell ref="LRK47:LRL47"/>
    <mergeCell ref="LRM47:LRN47"/>
    <mergeCell ref="LTW47:LTX47"/>
    <mergeCell ref="LTY47:LTZ47"/>
    <mergeCell ref="LUA47:LUB47"/>
    <mergeCell ref="LUC47:LUD47"/>
    <mergeCell ref="LUE47:LUF47"/>
    <mergeCell ref="LTM47:LTN47"/>
    <mergeCell ref="LTO47:LTP47"/>
    <mergeCell ref="LTQ47:LTR47"/>
    <mergeCell ref="LTS47:LTT47"/>
    <mergeCell ref="LTU47:LTV47"/>
    <mergeCell ref="LTC47:LTD47"/>
    <mergeCell ref="LTE47:LTF47"/>
    <mergeCell ref="LTG47:LTH47"/>
    <mergeCell ref="LTI47:LTJ47"/>
    <mergeCell ref="LTK47:LTL47"/>
    <mergeCell ref="LSS47:LST47"/>
    <mergeCell ref="LSU47:LSV47"/>
    <mergeCell ref="LSW47:LSX47"/>
    <mergeCell ref="LSY47:LSZ47"/>
    <mergeCell ref="LTA47:LTB47"/>
    <mergeCell ref="LVK47:LVL47"/>
    <mergeCell ref="LVM47:LVN47"/>
    <mergeCell ref="LVO47:LVP47"/>
    <mergeCell ref="LVQ47:LVR47"/>
    <mergeCell ref="LVS47:LVT47"/>
    <mergeCell ref="LVA47:LVB47"/>
    <mergeCell ref="LVC47:LVD47"/>
    <mergeCell ref="LVE47:LVF47"/>
    <mergeCell ref="LVG47:LVH47"/>
    <mergeCell ref="LVI47:LVJ47"/>
    <mergeCell ref="LUQ47:LUR47"/>
    <mergeCell ref="LUS47:LUT47"/>
    <mergeCell ref="LUU47:LUV47"/>
    <mergeCell ref="LUW47:LUX47"/>
    <mergeCell ref="LUY47:LUZ47"/>
    <mergeCell ref="LUG47:LUH47"/>
    <mergeCell ref="LUI47:LUJ47"/>
    <mergeCell ref="LUK47:LUL47"/>
    <mergeCell ref="LUM47:LUN47"/>
    <mergeCell ref="LUO47:LUP47"/>
    <mergeCell ref="LWY47:LWZ47"/>
    <mergeCell ref="LXA47:LXB47"/>
    <mergeCell ref="LXC47:LXD47"/>
    <mergeCell ref="LXE47:LXF47"/>
    <mergeCell ref="LXG47:LXH47"/>
    <mergeCell ref="LWO47:LWP47"/>
    <mergeCell ref="LWQ47:LWR47"/>
    <mergeCell ref="LWS47:LWT47"/>
    <mergeCell ref="LWU47:LWV47"/>
    <mergeCell ref="LWW47:LWX47"/>
    <mergeCell ref="LWE47:LWF47"/>
    <mergeCell ref="LWG47:LWH47"/>
    <mergeCell ref="LWI47:LWJ47"/>
    <mergeCell ref="LWK47:LWL47"/>
    <mergeCell ref="LWM47:LWN47"/>
    <mergeCell ref="LVU47:LVV47"/>
    <mergeCell ref="LVW47:LVX47"/>
    <mergeCell ref="LVY47:LVZ47"/>
    <mergeCell ref="LWA47:LWB47"/>
    <mergeCell ref="LWC47:LWD47"/>
    <mergeCell ref="LYM47:LYN47"/>
    <mergeCell ref="LYO47:LYP47"/>
    <mergeCell ref="LYQ47:LYR47"/>
    <mergeCell ref="LYS47:LYT47"/>
    <mergeCell ref="LYU47:LYV47"/>
    <mergeCell ref="LYC47:LYD47"/>
    <mergeCell ref="LYE47:LYF47"/>
    <mergeCell ref="LYG47:LYH47"/>
    <mergeCell ref="LYI47:LYJ47"/>
    <mergeCell ref="LYK47:LYL47"/>
    <mergeCell ref="LXS47:LXT47"/>
    <mergeCell ref="LXU47:LXV47"/>
    <mergeCell ref="LXW47:LXX47"/>
    <mergeCell ref="LXY47:LXZ47"/>
    <mergeCell ref="LYA47:LYB47"/>
    <mergeCell ref="LXI47:LXJ47"/>
    <mergeCell ref="LXK47:LXL47"/>
    <mergeCell ref="LXM47:LXN47"/>
    <mergeCell ref="LXO47:LXP47"/>
    <mergeCell ref="LXQ47:LXR47"/>
    <mergeCell ref="MAA47:MAB47"/>
    <mergeCell ref="MAC47:MAD47"/>
    <mergeCell ref="MAE47:MAF47"/>
    <mergeCell ref="MAG47:MAH47"/>
    <mergeCell ref="MAI47:MAJ47"/>
    <mergeCell ref="LZQ47:LZR47"/>
    <mergeCell ref="LZS47:LZT47"/>
    <mergeCell ref="LZU47:LZV47"/>
    <mergeCell ref="LZW47:LZX47"/>
    <mergeCell ref="LZY47:LZZ47"/>
    <mergeCell ref="LZG47:LZH47"/>
    <mergeCell ref="LZI47:LZJ47"/>
    <mergeCell ref="LZK47:LZL47"/>
    <mergeCell ref="LZM47:LZN47"/>
    <mergeCell ref="LZO47:LZP47"/>
    <mergeCell ref="LYW47:LYX47"/>
    <mergeCell ref="LYY47:LYZ47"/>
    <mergeCell ref="LZA47:LZB47"/>
    <mergeCell ref="LZC47:LZD47"/>
    <mergeCell ref="LZE47:LZF47"/>
    <mergeCell ref="MBO47:MBP47"/>
    <mergeCell ref="MBQ47:MBR47"/>
    <mergeCell ref="MBS47:MBT47"/>
    <mergeCell ref="MBU47:MBV47"/>
    <mergeCell ref="MBW47:MBX47"/>
    <mergeCell ref="MBE47:MBF47"/>
    <mergeCell ref="MBG47:MBH47"/>
    <mergeCell ref="MBI47:MBJ47"/>
    <mergeCell ref="MBK47:MBL47"/>
    <mergeCell ref="MBM47:MBN47"/>
    <mergeCell ref="MAU47:MAV47"/>
    <mergeCell ref="MAW47:MAX47"/>
    <mergeCell ref="MAY47:MAZ47"/>
    <mergeCell ref="MBA47:MBB47"/>
    <mergeCell ref="MBC47:MBD47"/>
    <mergeCell ref="MAK47:MAL47"/>
    <mergeCell ref="MAM47:MAN47"/>
    <mergeCell ref="MAO47:MAP47"/>
    <mergeCell ref="MAQ47:MAR47"/>
    <mergeCell ref="MAS47:MAT47"/>
    <mergeCell ref="MDC47:MDD47"/>
    <mergeCell ref="MDE47:MDF47"/>
    <mergeCell ref="MDG47:MDH47"/>
    <mergeCell ref="MDI47:MDJ47"/>
    <mergeCell ref="MDK47:MDL47"/>
    <mergeCell ref="MCS47:MCT47"/>
    <mergeCell ref="MCU47:MCV47"/>
    <mergeCell ref="MCW47:MCX47"/>
    <mergeCell ref="MCY47:MCZ47"/>
    <mergeCell ref="MDA47:MDB47"/>
    <mergeCell ref="MCI47:MCJ47"/>
    <mergeCell ref="MCK47:MCL47"/>
    <mergeCell ref="MCM47:MCN47"/>
    <mergeCell ref="MCO47:MCP47"/>
    <mergeCell ref="MCQ47:MCR47"/>
    <mergeCell ref="MBY47:MBZ47"/>
    <mergeCell ref="MCA47:MCB47"/>
    <mergeCell ref="MCC47:MCD47"/>
    <mergeCell ref="MCE47:MCF47"/>
    <mergeCell ref="MCG47:MCH47"/>
    <mergeCell ref="MEQ47:MER47"/>
    <mergeCell ref="MES47:MET47"/>
    <mergeCell ref="MEU47:MEV47"/>
    <mergeCell ref="MEW47:MEX47"/>
    <mergeCell ref="MEY47:MEZ47"/>
    <mergeCell ref="MEG47:MEH47"/>
    <mergeCell ref="MEI47:MEJ47"/>
    <mergeCell ref="MEK47:MEL47"/>
    <mergeCell ref="MEM47:MEN47"/>
    <mergeCell ref="MEO47:MEP47"/>
    <mergeCell ref="MDW47:MDX47"/>
    <mergeCell ref="MDY47:MDZ47"/>
    <mergeCell ref="MEA47:MEB47"/>
    <mergeCell ref="MEC47:MED47"/>
    <mergeCell ref="MEE47:MEF47"/>
    <mergeCell ref="MDM47:MDN47"/>
    <mergeCell ref="MDO47:MDP47"/>
    <mergeCell ref="MDQ47:MDR47"/>
    <mergeCell ref="MDS47:MDT47"/>
    <mergeCell ref="MDU47:MDV47"/>
    <mergeCell ref="MGE47:MGF47"/>
    <mergeCell ref="MGG47:MGH47"/>
    <mergeCell ref="MGI47:MGJ47"/>
    <mergeCell ref="MGK47:MGL47"/>
    <mergeCell ref="MGM47:MGN47"/>
    <mergeCell ref="MFU47:MFV47"/>
    <mergeCell ref="MFW47:MFX47"/>
    <mergeCell ref="MFY47:MFZ47"/>
    <mergeCell ref="MGA47:MGB47"/>
    <mergeCell ref="MGC47:MGD47"/>
    <mergeCell ref="MFK47:MFL47"/>
    <mergeCell ref="MFM47:MFN47"/>
    <mergeCell ref="MFO47:MFP47"/>
    <mergeCell ref="MFQ47:MFR47"/>
    <mergeCell ref="MFS47:MFT47"/>
    <mergeCell ref="MFA47:MFB47"/>
    <mergeCell ref="MFC47:MFD47"/>
    <mergeCell ref="MFE47:MFF47"/>
    <mergeCell ref="MFG47:MFH47"/>
    <mergeCell ref="MFI47:MFJ47"/>
    <mergeCell ref="MHS47:MHT47"/>
    <mergeCell ref="MHU47:MHV47"/>
    <mergeCell ref="MHW47:MHX47"/>
    <mergeCell ref="MHY47:MHZ47"/>
    <mergeCell ref="MIA47:MIB47"/>
    <mergeCell ref="MHI47:MHJ47"/>
    <mergeCell ref="MHK47:MHL47"/>
    <mergeCell ref="MHM47:MHN47"/>
    <mergeCell ref="MHO47:MHP47"/>
    <mergeCell ref="MHQ47:MHR47"/>
    <mergeCell ref="MGY47:MGZ47"/>
    <mergeCell ref="MHA47:MHB47"/>
    <mergeCell ref="MHC47:MHD47"/>
    <mergeCell ref="MHE47:MHF47"/>
    <mergeCell ref="MHG47:MHH47"/>
    <mergeCell ref="MGO47:MGP47"/>
    <mergeCell ref="MGQ47:MGR47"/>
    <mergeCell ref="MGS47:MGT47"/>
    <mergeCell ref="MGU47:MGV47"/>
    <mergeCell ref="MGW47:MGX47"/>
    <mergeCell ref="MJG47:MJH47"/>
    <mergeCell ref="MJI47:MJJ47"/>
    <mergeCell ref="MJK47:MJL47"/>
    <mergeCell ref="MJM47:MJN47"/>
    <mergeCell ref="MJO47:MJP47"/>
    <mergeCell ref="MIW47:MIX47"/>
    <mergeCell ref="MIY47:MIZ47"/>
    <mergeCell ref="MJA47:MJB47"/>
    <mergeCell ref="MJC47:MJD47"/>
    <mergeCell ref="MJE47:MJF47"/>
    <mergeCell ref="MIM47:MIN47"/>
    <mergeCell ref="MIO47:MIP47"/>
    <mergeCell ref="MIQ47:MIR47"/>
    <mergeCell ref="MIS47:MIT47"/>
    <mergeCell ref="MIU47:MIV47"/>
    <mergeCell ref="MIC47:MID47"/>
    <mergeCell ref="MIE47:MIF47"/>
    <mergeCell ref="MIG47:MIH47"/>
    <mergeCell ref="MII47:MIJ47"/>
    <mergeCell ref="MIK47:MIL47"/>
    <mergeCell ref="MKU47:MKV47"/>
    <mergeCell ref="MKW47:MKX47"/>
    <mergeCell ref="MKY47:MKZ47"/>
    <mergeCell ref="MLA47:MLB47"/>
    <mergeCell ref="MLC47:MLD47"/>
    <mergeCell ref="MKK47:MKL47"/>
    <mergeCell ref="MKM47:MKN47"/>
    <mergeCell ref="MKO47:MKP47"/>
    <mergeCell ref="MKQ47:MKR47"/>
    <mergeCell ref="MKS47:MKT47"/>
    <mergeCell ref="MKA47:MKB47"/>
    <mergeCell ref="MKC47:MKD47"/>
    <mergeCell ref="MKE47:MKF47"/>
    <mergeCell ref="MKG47:MKH47"/>
    <mergeCell ref="MKI47:MKJ47"/>
    <mergeCell ref="MJQ47:MJR47"/>
    <mergeCell ref="MJS47:MJT47"/>
    <mergeCell ref="MJU47:MJV47"/>
    <mergeCell ref="MJW47:MJX47"/>
    <mergeCell ref="MJY47:MJZ47"/>
    <mergeCell ref="MMI47:MMJ47"/>
    <mergeCell ref="MMK47:MML47"/>
    <mergeCell ref="MMM47:MMN47"/>
    <mergeCell ref="MMO47:MMP47"/>
    <mergeCell ref="MMQ47:MMR47"/>
    <mergeCell ref="MLY47:MLZ47"/>
    <mergeCell ref="MMA47:MMB47"/>
    <mergeCell ref="MMC47:MMD47"/>
    <mergeCell ref="MME47:MMF47"/>
    <mergeCell ref="MMG47:MMH47"/>
    <mergeCell ref="MLO47:MLP47"/>
    <mergeCell ref="MLQ47:MLR47"/>
    <mergeCell ref="MLS47:MLT47"/>
    <mergeCell ref="MLU47:MLV47"/>
    <mergeCell ref="MLW47:MLX47"/>
    <mergeCell ref="MLE47:MLF47"/>
    <mergeCell ref="MLG47:MLH47"/>
    <mergeCell ref="MLI47:MLJ47"/>
    <mergeCell ref="MLK47:MLL47"/>
    <mergeCell ref="MLM47:MLN47"/>
    <mergeCell ref="MNW47:MNX47"/>
    <mergeCell ref="MNY47:MNZ47"/>
    <mergeCell ref="MOA47:MOB47"/>
    <mergeCell ref="MOC47:MOD47"/>
    <mergeCell ref="MOE47:MOF47"/>
    <mergeCell ref="MNM47:MNN47"/>
    <mergeCell ref="MNO47:MNP47"/>
    <mergeCell ref="MNQ47:MNR47"/>
    <mergeCell ref="MNS47:MNT47"/>
    <mergeCell ref="MNU47:MNV47"/>
    <mergeCell ref="MNC47:MND47"/>
    <mergeCell ref="MNE47:MNF47"/>
    <mergeCell ref="MNG47:MNH47"/>
    <mergeCell ref="MNI47:MNJ47"/>
    <mergeCell ref="MNK47:MNL47"/>
    <mergeCell ref="MMS47:MMT47"/>
    <mergeCell ref="MMU47:MMV47"/>
    <mergeCell ref="MMW47:MMX47"/>
    <mergeCell ref="MMY47:MMZ47"/>
    <mergeCell ref="MNA47:MNB47"/>
    <mergeCell ref="MPK47:MPL47"/>
    <mergeCell ref="MPM47:MPN47"/>
    <mergeCell ref="MPO47:MPP47"/>
    <mergeCell ref="MPQ47:MPR47"/>
    <mergeCell ref="MPS47:MPT47"/>
    <mergeCell ref="MPA47:MPB47"/>
    <mergeCell ref="MPC47:MPD47"/>
    <mergeCell ref="MPE47:MPF47"/>
    <mergeCell ref="MPG47:MPH47"/>
    <mergeCell ref="MPI47:MPJ47"/>
    <mergeCell ref="MOQ47:MOR47"/>
    <mergeCell ref="MOS47:MOT47"/>
    <mergeCell ref="MOU47:MOV47"/>
    <mergeCell ref="MOW47:MOX47"/>
    <mergeCell ref="MOY47:MOZ47"/>
    <mergeCell ref="MOG47:MOH47"/>
    <mergeCell ref="MOI47:MOJ47"/>
    <mergeCell ref="MOK47:MOL47"/>
    <mergeCell ref="MOM47:MON47"/>
    <mergeCell ref="MOO47:MOP47"/>
    <mergeCell ref="MQY47:MQZ47"/>
    <mergeCell ref="MRA47:MRB47"/>
    <mergeCell ref="MRC47:MRD47"/>
    <mergeCell ref="MRE47:MRF47"/>
    <mergeCell ref="MRG47:MRH47"/>
    <mergeCell ref="MQO47:MQP47"/>
    <mergeCell ref="MQQ47:MQR47"/>
    <mergeCell ref="MQS47:MQT47"/>
    <mergeCell ref="MQU47:MQV47"/>
    <mergeCell ref="MQW47:MQX47"/>
    <mergeCell ref="MQE47:MQF47"/>
    <mergeCell ref="MQG47:MQH47"/>
    <mergeCell ref="MQI47:MQJ47"/>
    <mergeCell ref="MQK47:MQL47"/>
    <mergeCell ref="MQM47:MQN47"/>
    <mergeCell ref="MPU47:MPV47"/>
    <mergeCell ref="MPW47:MPX47"/>
    <mergeCell ref="MPY47:MPZ47"/>
    <mergeCell ref="MQA47:MQB47"/>
    <mergeCell ref="MQC47:MQD47"/>
    <mergeCell ref="MSM47:MSN47"/>
    <mergeCell ref="MSO47:MSP47"/>
    <mergeCell ref="MSQ47:MSR47"/>
    <mergeCell ref="MSS47:MST47"/>
    <mergeCell ref="MSU47:MSV47"/>
    <mergeCell ref="MSC47:MSD47"/>
    <mergeCell ref="MSE47:MSF47"/>
    <mergeCell ref="MSG47:MSH47"/>
    <mergeCell ref="MSI47:MSJ47"/>
    <mergeCell ref="MSK47:MSL47"/>
    <mergeCell ref="MRS47:MRT47"/>
    <mergeCell ref="MRU47:MRV47"/>
    <mergeCell ref="MRW47:MRX47"/>
    <mergeCell ref="MRY47:MRZ47"/>
    <mergeCell ref="MSA47:MSB47"/>
    <mergeCell ref="MRI47:MRJ47"/>
    <mergeCell ref="MRK47:MRL47"/>
    <mergeCell ref="MRM47:MRN47"/>
    <mergeCell ref="MRO47:MRP47"/>
    <mergeCell ref="MRQ47:MRR47"/>
    <mergeCell ref="MUA47:MUB47"/>
    <mergeCell ref="MUC47:MUD47"/>
    <mergeCell ref="MUE47:MUF47"/>
    <mergeCell ref="MUG47:MUH47"/>
    <mergeCell ref="MUI47:MUJ47"/>
    <mergeCell ref="MTQ47:MTR47"/>
    <mergeCell ref="MTS47:MTT47"/>
    <mergeCell ref="MTU47:MTV47"/>
    <mergeCell ref="MTW47:MTX47"/>
    <mergeCell ref="MTY47:MTZ47"/>
    <mergeCell ref="MTG47:MTH47"/>
    <mergeCell ref="MTI47:MTJ47"/>
    <mergeCell ref="MTK47:MTL47"/>
    <mergeCell ref="MTM47:MTN47"/>
    <mergeCell ref="MTO47:MTP47"/>
    <mergeCell ref="MSW47:MSX47"/>
    <mergeCell ref="MSY47:MSZ47"/>
    <mergeCell ref="MTA47:MTB47"/>
    <mergeCell ref="MTC47:MTD47"/>
    <mergeCell ref="MTE47:MTF47"/>
    <mergeCell ref="MVO47:MVP47"/>
    <mergeCell ref="MVQ47:MVR47"/>
    <mergeCell ref="MVS47:MVT47"/>
    <mergeCell ref="MVU47:MVV47"/>
    <mergeCell ref="MVW47:MVX47"/>
    <mergeCell ref="MVE47:MVF47"/>
    <mergeCell ref="MVG47:MVH47"/>
    <mergeCell ref="MVI47:MVJ47"/>
    <mergeCell ref="MVK47:MVL47"/>
    <mergeCell ref="MVM47:MVN47"/>
    <mergeCell ref="MUU47:MUV47"/>
    <mergeCell ref="MUW47:MUX47"/>
    <mergeCell ref="MUY47:MUZ47"/>
    <mergeCell ref="MVA47:MVB47"/>
    <mergeCell ref="MVC47:MVD47"/>
    <mergeCell ref="MUK47:MUL47"/>
    <mergeCell ref="MUM47:MUN47"/>
    <mergeCell ref="MUO47:MUP47"/>
    <mergeCell ref="MUQ47:MUR47"/>
    <mergeCell ref="MUS47:MUT47"/>
    <mergeCell ref="MXC47:MXD47"/>
    <mergeCell ref="MXE47:MXF47"/>
    <mergeCell ref="MXG47:MXH47"/>
    <mergeCell ref="MXI47:MXJ47"/>
    <mergeCell ref="MXK47:MXL47"/>
    <mergeCell ref="MWS47:MWT47"/>
    <mergeCell ref="MWU47:MWV47"/>
    <mergeCell ref="MWW47:MWX47"/>
    <mergeCell ref="MWY47:MWZ47"/>
    <mergeCell ref="MXA47:MXB47"/>
    <mergeCell ref="MWI47:MWJ47"/>
    <mergeCell ref="MWK47:MWL47"/>
    <mergeCell ref="MWM47:MWN47"/>
    <mergeCell ref="MWO47:MWP47"/>
    <mergeCell ref="MWQ47:MWR47"/>
    <mergeCell ref="MVY47:MVZ47"/>
    <mergeCell ref="MWA47:MWB47"/>
    <mergeCell ref="MWC47:MWD47"/>
    <mergeCell ref="MWE47:MWF47"/>
    <mergeCell ref="MWG47:MWH47"/>
    <mergeCell ref="MYQ47:MYR47"/>
    <mergeCell ref="MYS47:MYT47"/>
    <mergeCell ref="MYU47:MYV47"/>
    <mergeCell ref="MYW47:MYX47"/>
    <mergeCell ref="MYY47:MYZ47"/>
    <mergeCell ref="MYG47:MYH47"/>
    <mergeCell ref="MYI47:MYJ47"/>
    <mergeCell ref="MYK47:MYL47"/>
    <mergeCell ref="MYM47:MYN47"/>
    <mergeCell ref="MYO47:MYP47"/>
    <mergeCell ref="MXW47:MXX47"/>
    <mergeCell ref="MXY47:MXZ47"/>
    <mergeCell ref="MYA47:MYB47"/>
    <mergeCell ref="MYC47:MYD47"/>
    <mergeCell ref="MYE47:MYF47"/>
    <mergeCell ref="MXM47:MXN47"/>
    <mergeCell ref="MXO47:MXP47"/>
    <mergeCell ref="MXQ47:MXR47"/>
    <mergeCell ref="MXS47:MXT47"/>
    <mergeCell ref="MXU47:MXV47"/>
    <mergeCell ref="NAE47:NAF47"/>
    <mergeCell ref="NAG47:NAH47"/>
    <mergeCell ref="NAI47:NAJ47"/>
    <mergeCell ref="NAK47:NAL47"/>
    <mergeCell ref="NAM47:NAN47"/>
    <mergeCell ref="MZU47:MZV47"/>
    <mergeCell ref="MZW47:MZX47"/>
    <mergeCell ref="MZY47:MZZ47"/>
    <mergeCell ref="NAA47:NAB47"/>
    <mergeCell ref="NAC47:NAD47"/>
    <mergeCell ref="MZK47:MZL47"/>
    <mergeCell ref="MZM47:MZN47"/>
    <mergeCell ref="MZO47:MZP47"/>
    <mergeCell ref="MZQ47:MZR47"/>
    <mergeCell ref="MZS47:MZT47"/>
    <mergeCell ref="MZA47:MZB47"/>
    <mergeCell ref="MZC47:MZD47"/>
    <mergeCell ref="MZE47:MZF47"/>
    <mergeCell ref="MZG47:MZH47"/>
    <mergeCell ref="MZI47:MZJ47"/>
    <mergeCell ref="NBS47:NBT47"/>
    <mergeCell ref="NBU47:NBV47"/>
    <mergeCell ref="NBW47:NBX47"/>
    <mergeCell ref="NBY47:NBZ47"/>
    <mergeCell ref="NCA47:NCB47"/>
    <mergeCell ref="NBI47:NBJ47"/>
    <mergeCell ref="NBK47:NBL47"/>
    <mergeCell ref="NBM47:NBN47"/>
    <mergeCell ref="NBO47:NBP47"/>
    <mergeCell ref="NBQ47:NBR47"/>
    <mergeCell ref="NAY47:NAZ47"/>
    <mergeCell ref="NBA47:NBB47"/>
    <mergeCell ref="NBC47:NBD47"/>
    <mergeCell ref="NBE47:NBF47"/>
    <mergeCell ref="NBG47:NBH47"/>
    <mergeCell ref="NAO47:NAP47"/>
    <mergeCell ref="NAQ47:NAR47"/>
    <mergeCell ref="NAS47:NAT47"/>
    <mergeCell ref="NAU47:NAV47"/>
    <mergeCell ref="NAW47:NAX47"/>
    <mergeCell ref="NDG47:NDH47"/>
    <mergeCell ref="NDI47:NDJ47"/>
    <mergeCell ref="NDK47:NDL47"/>
    <mergeCell ref="NDM47:NDN47"/>
    <mergeCell ref="NDO47:NDP47"/>
    <mergeCell ref="NCW47:NCX47"/>
    <mergeCell ref="NCY47:NCZ47"/>
    <mergeCell ref="NDA47:NDB47"/>
    <mergeCell ref="NDC47:NDD47"/>
    <mergeCell ref="NDE47:NDF47"/>
    <mergeCell ref="NCM47:NCN47"/>
    <mergeCell ref="NCO47:NCP47"/>
    <mergeCell ref="NCQ47:NCR47"/>
    <mergeCell ref="NCS47:NCT47"/>
    <mergeCell ref="NCU47:NCV47"/>
    <mergeCell ref="NCC47:NCD47"/>
    <mergeCell ref="NCE47:NCF47"/>
    <mergeCell ref="NCG47:NCH47"/>
    <mergeCell ref="NCI47:NCJ47"/>
    <mergeCell ref="NCK47:NCL47"/>
    <mergeCell ref="NEU47:NEV47"/>
    <mergeCell ref="NEW47:NEX47"/>
    <mergeCell ref="NEY47:NEZ47"/>
    <mergeCell ref="NFA47:NFB47"/>
    <mergeCell ref="NFC47:NFD47"/>
    <mergeCell ref="NEK47:NEL47"/>
    <mergeCell ref="NEM47:NEN47"/>
    <mergeCell ref="NEO47:NEP47"/>
    <mergeCell ref="NEQ47:NER47"/>
    <mergeCell ref="NES47:NET47"/>
    <mergeCell ref="NEA47:NEB47"/>
    <mergeCell ref="NEC47:NED47"/>
    <mergeCell ref="NEE47:NEF47"/>
    <mergeCell ref="NEG47:NEH47"/>
    <mergeCell ref="NEI47:NEJ47"/>
    <mergeCell ref="NDQ47:NDR47"/>
    <mergeCell ref="NDS47:NDT47"/>
    <mergeCell ref="NDU47:NDV47"/>
    <mergeCell ref="NDW47:NDX47"/>
    <mergeCell ref="NDY47:NDZ47"/>
    <mergeCell ref="NGI47:NGJ47"/>
    <mergeCell ref="NGK47:NGL47"/>
    <mergeCell ref="NGM47:NGN47"/>
    <mergeCell ref="NGO47:NGP47"/>
    <mergeCell ref="NGQ47:NGR47"/>
    <mergeCell ref="NFY47:NFZ47"/>
    <mergeCell ref="NGA47:NGB47"/>
    <mergeCell ref="NGC47:NGD47"/>
    <mergeCell ref="NGE47:NGF47"/>
    <mergeCell ref="NGG47:NGH47"/>
    <mergeCell ref="NFO47:NFP47"/>
    <mergeCell ref="NFQ47:NFR47"/>
    <mergeCell ref="NFS47:NFT47"/>
    <mergeCell ref="NFU47:NFV47"/>
    <mergeCell ref="NFW47:NFX47"/>
    <mergeCell ref="NFE47:NFF47"/>
    <mergeCell ref="NFG47:NFH47"/>
    <mergeCell ref="NFI47:NFJ47"/>
    <mergeCell ref="NFK47:NFL47"/>
    <mergeCell ref="NFM47:NFN47"/>
    <mergeCell ref="NHW47:NHX47"/>
    <mergeCell ref="NHY47:NHZ47"/>
    <mergeCell ref="NIA47:NIB47"/>
    <mergeCell ref="NIC47:NID47"/>
    <mergeCell ref="NIE47:NIF47"/>
    <mergeCell ref="NHM47:NHN47"/>
    <mergeCell ref="NHO47:NHP47"/>
    <mergeCell ref="NHQ47:NHR47"/>
    <mergeCell ref="NHS47:NHT47"/>
    <mergeCell ref="NHU47:NHV47"/>
    <mergeCell ref="NHC47:NHD47"/>
    <mergeCell ref="NHE47:NHF47"/>
    <mergeCell ref="NHG47:NHH47"/>
    <mergeCell ref="NHI47:NHJ47"/>
    <mergeCell ref="NHK47:NHL47"/>
    <mergeCell ref="NGS47:NGT47"/>
    <mergeCell ref="NGU47:NGV47"/>
    <mergeCell ref="NGW47:NGX47"/>
    <mergeCell ref="NGY47:NGZ47"/>
    <mergeCell ref="NHA47:NHB47"/>
    <mergeCell ref="NJK47:NJL47"/>
    <mergeCell ref="NJM47:NJN47"/>
    <mergeCell ref="NJO47:NJP47"/>
    <mergeCell ref="NJQ47:NJR47"/>
    <mergeCell ref="NJS47:NJT47"/>
    <mergeCell ref="NJA47:NJB47"/>
    <mergeCell ref="NJC47:NJD47"/>
    <mergeCell ref="NJE47:NJF47"/>
    <mergeCell ref="NJG47:NJH47"/>
    <mergeCell ref="NJI47:NJJ47"/>
    <mergeCell ref="NIQ47:NIR47"/>
    <mergeCell ref="NIS47:NIT47"/>
    <mergeCell ref="NIU47:NIV47"/>
    <mergeCell ref="NIW47:NIX47"/>
    <mergeCell ref="NIY47:NIZ47"/>
    <mergeCell ref="NIG47:NIH47"/>
    <mergeCell ref="NII47:NIJ47"/>
    <mergeCell ref="NIK47:NIL47"/>
    <mergeCell ref="NIM47:NIN47"/>
    <mergeCell ref="NIO47:NIP47"/>
    <mergeCell ref="NKY47:NKZ47"/>
    <mergeCell ref="NLA47:NLB47"/>
    <mergeCell ref="NLC47:NLD47"/>
    <mergeCell ref="NLE47:NLF47"/>
    <mergeCell ref="NLG47:NLH47"/>
    <mergeCell ref="NKO47:NKP47"/>
    <mergeCell ref="NKQ47:NKR47"/>
    <mergeCell ref="NKS47:NKT47"/>
    <mergeCell ref="NKU47:NKV47"/>
    <mergeCell ref="NKW47:NKX47"/>
    <mergeCell ref="NKE47:NKF47"/>
    <mergeCell ref="NKG47:NKH47"/>
    <mergeCell ref="NKI47:NKJ47"/>
    <mergeCell ref="NKK47:NKL47"/>
    <mergeCell ref="NKM47:NKN47"/>
    <mergeCell ref="NJU47:NJV47"/>
    <mergeCell ref="NJW47:NJX47"/>
    <mergeCell ref="NJY47:NJZ47"/>
    <mergeCell ref="NKA47:NKB47"/>
    <mergeCell ref="NKC47:NKD47"/>
    <mergeCell ref="NMM47:NMN47"/>
    <mergeCell ref="NMO47:NMP47"/>
    <mergeCell ref="NMQ47:NMR47"/>
    <mergeCell ref="NMS47:NMT47"/>
    <mergeCell ref="NMU47:NMV47"/>
    <mergeCell ref="NMC47:NMD47"/>
    <mergeCell ref="NME47:NMF47"/>
    <mergeCell ref="NMG47:NMH47"/>
    <mergeCell ref="NMI47:NMJ47"/>
    <mergeCell ref="NMK47:NML47"/>
    <mergeCell ref="NLS47:NLT47"/>
    <mergeCell ref="NLU47:NLV47"/>
    <mergeCell ref="NLW47:NLX47"/>
    <mergeCell ref="NLY47:NLZ47"/>
    <mergeCell ref="NMA47:NMB47"/>
    <mergeCell ref="NLI47:NLJ47"/>
    <mergeCell ref="NLK47:NLL47"/>
    <mergeCell ref="NLM47:NLN47"/>
    <mergeCell ref="NLO47:NLP47"/>
    <mergeCell ref="NLQ47:NLR47"/>
    <mergeCell ref="NOA47:NOB47"/>
    <mergeCell ref="NOC47:NOD47"/>
    <mergeCell ref="NOE47:NOF47"/>
    <mergeCell ref="NOG47:NOH47"/>
    <mergeCell ref="NOI47:NOJ47"/>
    <mergeCell ref="NNQ47:NNR47"/>
    <mergeCell ref="NNS47:NNT47"/>
    <mergeCell ref="NNU47:NNV47"/>
    <mergeCell ref="NNW47:NNX47"/>
    <mergeCell ref="NNY47:NNZ47"/>
    <mergeCell ref="NNG47:NNH47"/>
    <mergeCell ref="NNI47:NNJ47"/>
    <mergeCell ref="NNK47:NNL47"/>
    <mergeCell ref="NNM47:NNN47"/>
    <mergeCell ref="NNO47:NNP47"/>
    <mergeCell ref="NMW47:NMX47"/>
    <mergeCell ref="NMY47:NMZ47"/>
    <mergeCell ref="NNA47:NNB47"/>
    <mergeCell ref="NNC47:NND47"/>
    <mergeCell ref="NNE47:NNF47"/>
    <mergeCell ref="NPO47:NPP47"/>
    <mergeCell ref="NPQ47:NPR47"/>
    <mergeCell ref="NPS47:NPT47"/>
    <mergeCell ref="NPU47:NPV47"/>
    <mergeCell ref="NPW47:NPX47"/>
    <mergeCell ref="NPE47:NPF47"/>
    <mergeCell ref="NPG47:NPH47"/>
    <mergeCell ref="NPI47:NPJ47"/>
    <mergeCell ref="NPK47:NPL47"/>
    <mergeCell ref="NPM47:NPN47"/>
    <mergeCell ref="NOU47:NOV47"/>
    <mergeCell ref="NOW47:NOX47"/>
    <mergeCell ref="NOY47:NOZ47"/>
    <mergeCell ref="NPA47:NPB47"/>
    <mergeCell ref="NPC47:NPD47"/>
    <mergeCell ref="NOK47:NOL47"/>
    <mergeCell ref="NOM47:NON47"/>
    <mergeCell ref="NOO47:NOP47"/>
    <mergeCell ref="NOQ47:NOR47"/>
    <mergeCell ref="NOS47:NOT47"/>
    <mergeCell ref="NRC47:NRD47"/>
    <mergeCell ref="NRE47:NRF47"/>
    <mergeCell ref="NRG47:NRH47"/>
    <mergeCell ref="NRI47:NRJ47"/>
    <mergeCell ref="NRK47:NRL47"/>
    <mergeCell ref="NQS47:NQT47"/>
    <mergeCell ref="NQU47:NQV47"/>
    <mergeCell ref="NQW47:NQX47"/>
    <mergeCell ref="NQY47:NQZ47"/>
    <mergeCell ref="NRA47:NRB47"/>
    <mergeCell ref="NQI47:NQJ47"/>
    <mergeCell ref="NQK47:NQL47"/>
    <mergeCell ref="NQM47:NQN47"/>
    <mergeCell ref="NQO47:NQP47"/>
    <mergeCell ref="NQQ47:NQR47"/>
    <mergeCell ref="NPY47:NPZ47"/>
    <mergeCell ref="NQA47:NQB47"/>
    <mergeCell ref="NQC47:NQD47"/>
    <mergeCell ref="NQE47:NQF47"/>
    <mergeCell ref="NQG47:NQH47"/>
    <mergeCell ref="NSQ47:NSR47"/>
    <mergeCell ref="NSS47:NST47"/>
    <mergeCell ref="NSU47:NSV47"/>
    <mergeCell ref="NSW47:NSX47"/>
    <mergeCell ref="NSY47:NSZ47"/>
    <mergeCell ref="NSG47:NSH47"/>
    <mergeCell ref="NSI47:NSJ47"/>
    <mergeCell ref="NSK47:NSL47"/>
    <mergeCell ref="NSM47:NSN47"/>
    <mergeCell ref="NSO47:NSP47"/>
    <mergeCell ref="NRW47:NRX47"/>
    <mergeCell ref="NRY47:NRZ47"/>
    <mergeCell ref="NSA47:NSB47"/>
    <mergeCell ref="NSC47:NSD47"/>
    <mergeCell ref="NSE47:NSF47"/>
    <mergeCell ref="NRM47:NRN47"/>
    <mergeCell ref="NRO47:NRP47"/>
    <mergeCell ref="NRQ47:NRR47"/>
    <mergeCell ref="NRS47:NRT47"/>
    <mergeCell ref="NRU47:NRV47"/>
    <mergeCell ref="NUE47:NUF47"/>
    <mergeCell ref="NUG47:NUH47"/>
    <mergeCell ref="NUI47:NUJ47"/>
    <mergeCell ref="NUK47:NUL47"/>
    <mergeCell ref="NUM47:NUN47"/>
    <mergeCell ref="NTU47:NTV47"/>
    <mergeCell ref="NTW47:NTX47"/>
    <mergeCell ref="NTY47:NTZ47"/>
    <mergeCell ref="NUA47:NUB47"/>
    <mergeCell ref="NUC47:NUD47"/>
    <mergeCell ref="NTK47:NTL47"/>
    <mergeCell ref="NTM47:NTN47"/>
    <mergeCell ref="NTO47:NTP47"/>
    <mergeCell ref="NTQ47:NTR47"/>
    <mergeCell ref="NTS47:NTT47"/>
    <mergeCell ref="NTA47:NTB47"/>
    <mergeCell ref="NTC47:NTD47"/>
    <mergeCell ref="NTE47:NTF47"/>
    <mergeCell ref="NTG47:NTH47"/>
    <mergeCell ref="NTI47:NTJ47"/>
    <mergeCell ref="NVS47:NVT47"/>
    <mergeCell ref="NVU47:NVV47"/>
    <mergeCell ref="NVW47:NVX47"/>
    <mergeCell ref="NVY47:NVZ47"/>
    <mergeCell ref="NWA47:NWB47"/>
    <mergeCell ref="NVI47:NVJ47"/>
    <mergeCell ref="NVK47:NVL47"/>
    <mergeCell ref="NVM47:NVN47"/>
    <mergeCell ref="NVO47:NVP47"/>
    <mergeCell ref="NVQ47:NVR47"/>
    <mergeCell ref="NUY47:NUZ47"/>
    <mergeCell ref="NVA47:NVB47"/>
    <mergeCell ref="NVC47:NVD47"/>
    <mergeCell ref="NVE47:NVF47"/>
    <mergeCell ref="NVG47:NVH47"/>
    <mergeCell ref="NUO47:NUP47"/>
    <mergeCell ref="NUQ47:NUR47"/>
    <mergeCell ref="NUS47:NUT47"/>
    <mergeCell ref="NUU47:NUV47"/>
    <mergeCell ref="NUW47:NUX47"/>
    <mergeCell ref="NXG47:NXH47"/>
    <mergeCell ref="NXI47:NXJ47"/>
    <mergeCell ref="NXK47:NXL47"/>
    <mergeCell ref="NXM47:NXN47"/>
    <mergeCell ref="NXO47:NXP47"/>
    <mergeCell ref="NWW47:NWX47"/>
    <mergeCell ref="NWY47:NWZ47"/>
    <mergeCell ref="NXA47:NXB47"/>
    <mergeCell ref="NXC47:NXD47"/>
    <mergeCell ref="NXE47:NXF47"/>
    <mergeCell ref="NWM47:NWN47"/>
    <mergeCell ref="NWO47:NWP47"/>
    <mergeCell ref="NWQ47:NWR47"/>
    <mergeCell ref="NWS47:NWT47"/>
    <mergeCell ref="NWU47:NWV47"/>
    <mergeCell ref="NWC47:NWD47"/>
    <mergeCell ref="NWE47:NWF47"/>
    <mergeCell ref="NWG47:NWH47"/>
    <mergeCell ref="NWI47:NWJ47"/>
    <mergeCell ref="NWK47:NWL47"/>
    <mergeCell ref="NYU47:NYV47"/>
    <mergeCell ref="NYW47:NYX47"/>
    <mergeCell ref="NYY47:NYZ47"/>
    <mergeCell ref="NZA47:NZB47"/>
    <mergeCell ref="NZC47:NZD47"/>
    <mergeCell ref="NYK47:NYL47"/>
    <mergeCell ref="NYM47:NYN47"/>
    <mergeCell ref="NYO47:NYP47"/>
    <mergeCell ref="NYQ47:NYR47"/>
    <mergeCell ref="NYS47:NYT47"/>
    <mergeCell ref="NYA47:NYB47"/>
    <mergeCell ref="NYC47:NYD47"/>
    <mergeCell ref="NYE47:NYF47"/>
    <mergeCell ref="NYG47:NYH47"/>
    <mergeCell ref="NYI47:NYJ47"/>
    <mergeCell ref="NXQ47:NXR47"/>
    <mergeCell ref="NXS47:NXT47"/>
    <mergeCell ref="NXU47:NXV47"/>
    <mergeCell ref="NXW47:NXX47"/>
    <mergeCell ref="NXY47:NXZ47"/>
    <mergeCell ref="OAI47:OAJ47"/>
    <mergeCell ref="OAK47:OAL47"/>
    <mergeCell ref="OAM47:OAN47"/>
    <mergeCell ref="OAO47:OAP47"/>
    <mergeCell ref="OAQ47:OAR47"/>
    <mergeCell ref="NZY47:NZZ47"/>
    <mergeCell ref="OAA47:OAB47"/>
    <mergeCell ref="OAC47:OAD47"/>
    <mergeCell ref="OAE47:OAF47"/>
    <mergeCell ref="OAG47:OAH47"/>
    <mergeCell ref="NZO47:NZP47"/>
    <mergeCell ref="NZQ47:NZR47"/>
    <mergeCell ref="NZS47:NZT47"/>
    <mergeCell ref="NZU47:NZV47"/>
    <mergeCell ref="NZW47:NZX47"/>
    <mergeCell ref="NZE47:NZF47"/>
    <mergeCell ref="NZG47:NZH47"/>
    <mergeCell ref="NZI47:NZJ47"/>
    <mergeCell ref="NZK47:NZL47"/>
    <mergeCell ref="NZM47:NZN47"/>
    <mergeCell ref="OBW47:OBX47"/>
    <mergeCell ref="OBY47:OBZ47"/>
    <mergeCell ref="OCA47:OCB47"/>
    <mergeCell ref="OCC47:OCD47"/>
    <mergeCell ref="OCE47:OCF47"/>
    <mergeCell ref="OBM47:OBN47"/>
    <mergeCell ref="OBO47:OBP47"/>
    <mergeCell ref="OBQ47:OBR47"/>
    <mergeCell ref="OBS47:OBT47"/>
    <mergeCell ref="OBU47:OBV47"/>
    <mergeCell ref="OBC47:OBD47"/>
    <mergeCell ref="OBE47:OBF47"/>
    <mergeCell ref="OBG47:OBH47"/>
    <mergeCell ref="OBI47:OBJ47"/>
    <mergeCell ref="OBK47:OBL47"/>
    <mergeCell ref="OAS47:OAT47"/>
    <mergeCell ref="OAU47:OAV47"/>
    <mergeCell ref="OAW47:OAX47"/>
    <mergeCell ref="OAY47:OAZ47"/>
    <mergeCell ref="OBA47:OBB47"/>
    <mergeCell ref="ODK47:ODL47"/>
    <mergeCell ref="ODM47:ODN47"/>
    <mergeCell ref="ODO47:ODP47"/>
    <mergeCell ref="ODQ47:ODR47"/>
    <mergeCell ref="ODS47:ODT47"/>
    <mergeCell ref="ODA47:ODB47"/>
    <mergeCell ref="ODC47:ODD47"/>
    <mergeCell ref="ODE47:ODF47"/>
    <mergeCell ref="ODG47:ODH47"/>
    <mergeCell ref="ODI47:ODJ47"/>
    <mergeCell ref="OCQ47:OCR47"/>
    <mergeCell ref="OCS47:OCT47"/>
    <mergeCell ref="OCU47:OCV47"/>
    <mergeCell ref="OCW47:OCX47"/>
    <mergeCell ref="OCY47:OCZ47"/>
    <mergeCell ref="OCG47:OCH47"/>
    <mergeCell ref="OCI47:OCJ47"/>
    <mergeCell ref="OCK47:OCL47"/>
    <mergeCell ref="OCM47:OCN47"/>
    <mergeCell ref="OCO47:OCP47"/>
    <mergeCell ref="OEY47:OEZ47"/>
    <mergeCell ref="OFA47:OFB47"/>
    <mergeCell ref="OFC47:OFD47"/>
    <mergeCell ref="OFE47:OFF47"/>
    <mergeCell ref="OFG47:OFH47"/>
    <mergeCell ref="OEO47:OEP47"/>
    <mergeCell ref="OEQ47:OER47"/>
    <mergeCell ref="OES47:OET47"/>
    <mergeCell ref="OEU47:OEV47"/>
    <mergeCell ref="OEW47:OEX47"/>
    <mergeCell ref="OEE47:OEF47"/>
    <mergeCell ref="OEG47:OEH47"/>
    <mergeCell ref="OEI47:OEJ47"/>
    <mergeCell ref="OEK47:OEL47"/>
    <mergeCell ref="OEM47:OEN47"/>
    <mergeCell ref="ODU47:ODV47"/>
    <mergeCell ref="ODW47:ODX47"/>
    <mergeCell ref="ODY47:ODZ47"/>
    <mergeCell ref="OEA47:OEB47"/>
    <mergeCell ref="OEC47:OED47"/>
    <mergeCell ref="OGM47:OGN47"/>
    <mergeCell ref="OGO47:OGP47"/>
    <mergeCell ref="OGQ47:OGR47"/>
    <mergeCell ref="OGS47:OGT47"/>
    <mergeCell ref="OGU47:OGV47"/>
    <mergeCell ref="OGC47:OGD47"/>
    <mergeCell ref="OGE47:OGF47"/>
    <mergeCell ref="OGG47:OGH47"/>
    <mergeCell ref="OGI47:OGJ47"/>
    <mergeCell ref="OGK47:OGL47"/>
    <mergeCell ref="OFS47:OFT47"/>
    <mergeCell ref="OFU47:OFV47"/>
    <mergeCell ref="OFW47:OFX47"/>
    <mergeCell ref="OFY47:OFZ47"/>
    <mergeCell ref="OGA47:OGB47"/>
    <mergeCell ref="OFI47:OFJ47"/>
    <mergeCell ref="OFK47:OFL47"/>
    <mergeCell ref="OFM47:OFN47"/>
    <mergeCell ref="OFO47:OFP47"/>
    <mergeCell ref="OFQ47:OFR47"/>
    <mergeCell ref="OIA47:OIB47"/>
    <mergeCell ref="OIC47:OID47"/>
    <mergeCell ref="OIE47:OIF47"/>
    <mergeCell ref="OIG47:OIH47"/>
    <mergeCell ref="OII47:OIJ47"/>
    <mergeCell ref="OHQ47:OHR47"/>
    <mergeCell ref="OHS47:OHT47"/>
    <mergeCell ref="OHU47:OHV47"/>
    <mergeCell ref="OHW47:OHX47"/>
    <mergeCell ref="OHY47:OHZ47"/>
    <mergeCell ref="OHG47:OHH47"/>
    <mergeCell ref="OHI47:OHJ47"/>
    <mergeCell ref="OHK47:OHL47"/>
    <mergeCell ref="OHM47:OHN47"/>
    <mergeCell ref="OHO47:OHP47"/>
    <mergeCell ref="OGW47:OGX47"/>
    <mergeCell ref="OGY47:OGZ47"/>
    <mergeCell ref="OHA47:OHB47"/>
    <mergeCell ref="OHC47:OHD47"/>
    <mergeCell ref="OHE47:OHF47"/>
    <mergeCell ref="OJO47:OJP47"/>
    <mergeCell ref="OJQ47:OJR47"/>
    <mergeCell ref="OJS47:OJT47"/>
    <mergeCell ref="OJU47:OJV47"/>
    <mergeCell ref="OJW47:OJX47"/>
    <mergeCell ref="OJE47:OJF47"/>
    <mergeCell ref="OJG47:OJH47"/>
    <mergeCell ref="OJI47:OJJ47"/>
    <mergeCell ref="OJK47:OJL47"/>
    <mergeCell ref="OJM47:OJN47"/>
    <mergeCell ref="OIU47:OIV47"/>
    <mergeCell ref="OIW47:OIX47"/>
    <mergeCell ref="OIY47:OIZ47"/>
    <mergeCell ref="OJA47:OJB47"/>
    <mergeCell ref="OJC47:OJD47"/>
    <mergeCell ref="OIK47:OIL47"/>
    <mergeCell ref="OIM47:OIN47"/>
    <mergeCell ref="OIO47:OIP47"/>
    <mergeCell ref="OIQ47:OIR47"/>
    <mergeCell ref="OIS47:OIT47"/>
    <mergeCell ref="OLC47:OLD47"/>
    <mergeCell ref="OLE47:OLF47"/>
    <mergeCell ref="OLG47:OLH47"/>
    <mergeCell ref="OLI47:OLJ47"/>
    <mergeCell ref="OLK47:OLL47"/>
    <mergeCell ref="OKS47:OKT47"/>
    <mergeCell ref="OKU47:OKV47"/>
    <mergeCell ref="OKW47:OKX47"/>
    <mergeCell ref="OKY47:OKZ47"/>
    <mergeCell ref="OLA47:OLB47"/>
    <mergeCell ref="OKI47:OKJ47"/>
    <mergeCell ref="OKK47:OKL47"/>
    <mergeCell ref="OKM47:OKN47"/>
    <mergeCell ref="OKO47:OKP47"/>
    <mergeCell ref="OKQ47:OKR47"/>
    <mergeCell ref="OJY47:OJZ47"/>
    <mergeCell ref="OKA47:OKB47"/>
    <mergeCell ref="OKC47:OKD47"/>
    <mergeCell ref="OKE47:OKF47"/>
    <mergeCell ref="OKG47:OKH47"/>
    <mergeCell ref="OMQ47:OMR47"/>
    <mergeCell ref="OMS47:OMT47"/>
    <mergeCell ref="OMU47:OMV47"/>
    <mergeCell ref="OMW47:OMX47"/>
    <mergeCell ref="OMY47:OMZ47"/>
    <mergeCell ref="OMG47:OMH47"/>
    <mergeCell ref="OMI47:OMJ47"/>
    <mergeCell ref="OMK47:OML47"/>
    <mergeCell ref="OMM47:OMN47"/>
    <mergeCell ref="OMO47:OMP47"/>
    <mergeCell ref="OLW47:OLX47"/>
    <mergeCell ref="OLY47:OLZ47"/>
    <mergeCell ref="OMA47:OMB47"/>
    <mergeCell ref="OMC47:OMD47"/>
    <mergeCell ref="OME47:OMF47"/>
    <mergeCell ref="OLM47:OLN47"/>
    <mergeCell ref="OLO47:OLP47"/>
    <mergeCell ref="OLQ47:OLR47"/>
    <mergeCell ref="OLS47:OLT47"/>
    <mergeCell ref="OLU47:OLV47"/>
    <mergeCell ref="OOE47:OOF47"/>
    <mergeCell ref="OOG47:OOH47"/>
    <mergeCell ref="OOI47:OOJ47"/>
    <mergeCell ref="OOK47:OOL47"/>
    <mergeCell ref="OOM47:OON47"/>
    <mergeCell ref="ONU47:ONV47"/>
    <mergeCell ref="ONW47:ONX47"/>
    <mergeCell ref="ONY47:ONZ47"/>
    <mergeCell ref="OOA47:OOB47"/>
    <mergeCell ref="OOC47:OOD47"/>
    <mergeCell ref="ONK47:ONL47"/>
    <mergeCell ref="ONM47:ONN47"/>
    <mergeCell ref="ONO47:ONP47"/>
    <mergeCell ref="ONQ47:ONR47"/>
    <mergeCell ref="ONS47:ONT47"/>
    <mergeCell ref="ONA47:ONB47"/>
    <mergeCell ref="ONC47:OND47"/>
    <mergeCell ref="ONE47:ONF47"/>
    <mergeCell ref="ONG47:ONH47"/>
    <mergeCell ref="ONI47:ONJ47"/>
    <mergeCell ref="OPS47:OPT47"/>
    <mergeCell ref="OPU47:OPV47"/>
    <mergeCell ref="OPW47:OPX47"/>
    <mergeCell ref="OPY47:OPZ47"/>
    <mergeCell ref="OQA47:OQB47"/>
    <mergeCell ref="OPI47:OPJ47"/>
    <mergeCell ref="OPK47:OPL47"/>
    <mergeCell ref="OPM47:OPN47"/>
    <mergeCell ref="OPO47:OPP47"/>
    <mergeCell ref="OPQ47:OPR47"/>
    <mergeCell ref="OOY47:OOZ47"/>
    <mergeCell ref="OPA47:OPB47"/>
    <mergeCell ref="OPC47:OPD47"/>
    <mergeCell ref="OPE47:OPF47"/>
    <mergeCell ref="OPG47:OPH47"/>
    <mergeCell ref="OOO47:OOP47"/>
    <mergeCell ref="OOQ47:OOR47"/>
    <mergeCell ref="OOS47:OOT47"/>
    <mergeCell ref="OOU47:OOV47"/>
    <mergeCell ref="OOW47:OOX47"/>
    <mergeCell ref="ORG47:ORH47"/>
    <mergeCell ref="ORI47:ORJ47"/>
    <mergeCell ref="ORK47:ORL47"/>
    <mergeCell ref="ORM47:ORN47"/>
    <mergeCell ref="ORO47:ORP47"/>
    <mergeCell ref="OQW47:OQX47"/>
    <mergeCell ref="OQY47:OQZ47"/>
    <mergeCell ref="ORA47:ORB47"/>
    <mergeCell ref="ORC47:ORD47"/>
    <mergeCell ref="ORE47:ORF47"/>
    <mergeCell ref="OQM47:OQN47"/>
    <mergeCell ref="OQO47:OQP47"/>
    <mergeCell ref="OQQ47:OQR47"/>
    <mergeCell ref="OQS47:OQT47"/>
    <mergeCell ref="OQU47:OQV47"/>
    <mergeCell ref="OQC47:OQD47"/>
    <mergeCell ref="OQE47:OQF47"/>
    <mergeCell ref="OQG47:OQH47"/>
    <mergeCell ref="OQI47:OQJ47"/>
    <mergeCell ref="OQK47:OQL47"/>
    <mergeCell ref="OSU47:OSV47"/>
    <mergeCell ref="OSW47:OSX47"/>
    <mergeCell ref="OSY47:OSZ47"/>
    <mergeCell ref="OTA47:OTB47"/>
    <mergeCell ref="OTC47:OTD47"/>
    <mergeCell ref="OSK47:OSL47"/>
    <mergeCell ref="OSM47:OSN47"/>
    <mergeCell ref="OSO47:OSP47"/>
    <mergeCell ref="OSQ47:OSR47"/>
    <mergeCell ref="OSS47:OST47"/>
    <mergeCell ref="OSA47:OSB47"/>
    <mergeCell ref="OSC47:OSD47"/>
    <mergeCell ref="OSE47:OSF47"/>
    <mergeCell ref="OSG47:OSH47"/>
    <mergeCell ref="OSI47:OSJ47"/>
    <mergeCell ref="ORQ47:ORR47"/>
    <mergeCell ref="ORS47:ORT47"/>
    <mergeCell ref="ORU47:ORV47"/>
    <mergeCell ref="ORW47:ORX47"/>
    <mergeCell ref="ORY47:ORZ47"/>
    <mergeCell ref="OUI47:OUJ47"/>
    <mergeCell ref="OUK47:OUL47"/>
    <mergeCell ref="OUM47:OUN47"/>
    <mergeCell ref="OUO47:OUP47"/>
    <mergeCell ref="OUQ47:OUR47"/>
    <mergeCell ref="OTY47:OTZ47"/>
    <mergeCell ref="OUA47:OUB47"/>
    <mergeCell ref="OUC47:OUD47"/>
    <mergeCell ref="OUE47:OUF47"/>
    <mergeCell ref="OUG47:OUH47"/>
    <mergeCell ref="OTO47:OTP47"/>
    <mergeCell ref="OTQ47:OTR47"/>
    <mergeCell ref="OTS47:OTT47"/>
    <mergeCell ref="OTU47:OTV47"/>
    <mergeCell ref="OTW47:OTX47"/>
    <mergeCell ref="OTE47:OTF47"/>
    <mergeCell ref="OTG47:OTH47"/>
    <mergeCell ref="OTI47:OTJ47"/>
    <mergeCell ref="OTK47:OTL47"/>
    <mergeCell ref="OTM47:OTN47"/>
    <mergeCell ref="OVW47:OVX47"/>
    <mergeCell ref="OVY47:OVZ47"/>
    <mergeCell ref="OWA47:OWB47"/>
    <mergeCell ref="OWC47:OWD47"/>
    <mergeCell ref="OWE47:OWF47"/>
    <mergeCell ref="OVM47:OVN47"/>
    <mergeCell ref="OVO47:OVP47"/>
    <mergeCell ref="OVQ47:OVR47"/>
    <mergeCell ref="OVS47:OVT47"/>
    <mergeCell ref="OVU47:OVV47"/>
    <mergeCell ref="OVC47:OVD47"/>
    <mergeCell ref="OVE47:OVF47"/>
    <mergeCell ref="OVG47:OVH47"/>
    <mergeCell ref="OVI47:OVJ47"/>
    <mergeCell ref="OVK47:OVL47"/>
    <mergeCell ref="OUS47:OUT47"/>
    <mergeCell ref="OUU47:OUV47"/>
    <mergeCell ref="OUW47:OUX47"/>
    <mergeCell ref="OUY47:OUZ47"/>
    <mergeCell ref="OVA47:OVB47"/>
    <mergeCell ref="OXK47:OXL47"/>
    <mergeCell ref="OXM47:OXN47"/>
    <mergeCell ref="OXO47:OXP47"/>
    <mergeCell ref="OXQ47:OXR47"/>
    <mergeCell ref="OXS47:OXT47"/>
    <mergeCell ref="OXA47:OXB47"/>
    <mergeCell ref="OXC47:OXD47"/>
    <mergeCell ref="OXE47:OXF47"/>
    <mergeCell ref="OXG47:OXH47"/>
    <mergeCell ref="OXI47:OXJ47"/>
    <mergeCell ref="OWQ47:OWR47"/>
    <mergeCell ref="OWS47:OWT47"/>
    <mergeCell ref="OWU47:OWV47"/>
    <mergeCell ref="OWW47:OWX47"/>
    <mergeCell ref="OWY47:OWZ47"/>
    <mergeCell ref="OWG47:OWH47"/>
    <mergeCell ref="OWI47:OWJ47"/>
    <mergeCell ref="OWK47:OWL47"/>
    <mergeCell ref="OWM47:OWN47"/>
    <mergeCell ref="OWO47:OWP47"/>
    <mergeCell ref="OYY47:OYZ47"/>
    <mergeCell ref="OZA47:OZB47"/>
    <mergeCell ref="OZC47:OZD47"/>
    <mergeCell ref="OZE47:OZF47"/>
    <mergeCell ref="OZG47:OZH47"/>
    <mergeCell ref="OYO47:OYP47"/>
    <mergeCell ref="OYQ47:OYR47"/>
    <mergeCell ref="OYS47:OYT47"/>
    <mergeCell ref="OYU47:OYV47"/>
    <mergeCell ref="OYW47:OYX47"/>
    <mergeCell ref="OYE47:OYF47"/>
    <mergeCell ref="OYG47:OYH47"/>
    <mergeCell ref="OYI47:OYJ47"/>
    <mergeCell ref="OYK47:OYL47"/>
    <mergeCell ref="OYM47:OYN47"/>
    <mergeCell ref="OXU47:OXV47"/>
    <mergeCell ref="OXW47:OXX47"/>
    <mergeCell ref="OXY47:OXZ47"/>
    <mergeCell ref="OYA47:OYB47"/>
    <mergeCell ref="OYC47:OYD47"/>
    <mergeCell ref="PAM47:PAN47"/>
    <mergeCell ref="PAO47:PAP47"/>
    <mergeCell ref="PAQ47:PAR47"/>
    <mergeCell ref="PAS47:PAT47"/>
    <mergeCell ref="PAU47:PAV47"/>
    <mergeCell ref="PAC47:PAD47"/>
    <mergeCell ref="PAE47:PAF47"/>
    <mergeCell ref="PAG47:PAH47"/>
    <mergeCell ref="PAI47:PAJ47"/>
    <mergeCell ref="PAK47:PAL47"/>
    <mergeCell ref="OZS47:OZT47"/>
    <mergeCell ref="OZU47:OZV47"/>
    <mergeCell ref="OZW47:OZX47"/>
    <mergeCell ref="OZY47:OZZ47"/>
    <mergeCell ref="PAA47:PAB47"/>
    <mergeCell ref="OZI47:OZJ47"/>
    <mergeCell ref="OZK47:OZL47"/>
    <mergeCell ref="OZM47:OZN47"/>
    <mergeCell ref="OZO47:OZP47"/>
    <mergeCell ref="OZQ47:OZR47"/>
    <mergeCell ref="PCA47:PCB47"/>
    <mergeCell ref="PCC47:PCD47"/>
    <mergeCell ref="PCE47:PCF47"/>
    <mergeCell ref="PCG47:PCH47"/>
    <mergeCell ref="PCI47:PCJ47"/>
    <mergeCell ref="PBQ47:PBR47"/>
    <mergeCell ref="PBS47:PBT47"/>
    <mergeCell ref="PBU47:PBV47"/>
    <mergeCell ref="PBW47:PBX47"/>
    <mergeCell ref="PBY47:PBZ47"/>
    <mergeCell ref="PBG47:PBH47"/>
    <mergeCell ref="PBI47:PBJ47"/>
    <mergeCell ref="PBK47:PBL47"/>
    <mergeCell ref="PBM47:PBN47"/>
    <mergeCell ref="PBO47:PBP47"/>
    <mergeCell ref="PAW47:PAX47"/>
    <mergeCell ref="PAY47:PAZ47"/>
    <mergeCell ref="PBA47:PBB47"/>
    <mergeCell ref="PBC47:PBD47"/>
    <mergeCell ref="PBE47:PBF47"/>
    <mergeCell ref="PDO47:PDP47"/>
    <mergeCell ref="PDQ47:PDR47"/>
    <mergeCell ref="PDS47:PDT47"/>
    <mergeCell ref="PDU47:PDV47"/>
    <mergeCell ref="PDW47:PDX47"/>
    <mergeCell ref="PDE47:PDF47"/>
    <mergeCell ref="PDG47:PDH47"/>
    <mergeCell ref="PDI47:PDJ47"/>
    <mergeCell ref="PDK47:PDL47"/>
    <mergeCell ref="PDM47:PDN47"/>
    <mergeCell ref="PCU47:PCV47"/>
    <mergeCell ref="PCW47:PCX47"/>
    <mergeCell ref="PCY47:PCZ47"/>
    <mergeCell ref="PDA47:PDB47"/>
    <mergeCell ref="PDC47:PDD47"/>
    <mergeCell ref="PCK47:PCL47"/>
    <mergeCell ref="PCM47:PCN47"/>
    <mergeCell ref="PCO47:PCP47"/>
    <mergeCell ref="PCQ47:PCR47"/>
    <mergeCell ref="PCS47:PCT47"/>
    <mergeCell ref="PFC47:PFD47"/>
    <mergeCell ref="PFE47:PFF47"/>
    <mergeCell ref="PFG47:PFH47"/>
    <mergeCell ref="PFI47:PFJ47"/>
    <mergeCell ref="PFK47:PFL47"/>
    <mergeCell ref="PES47:PET47"/>
    <mergeCell ref="PEU47:PEV47"/>
    <mergeCell ref="PEW47:PEX47"/>
    <mergeCell ref="PEY47:PEZ47"/>
    <mergeCell ref="PFA47:PFB47"/>
    <mergeCell ref="PEI47:PEJ47"/>
    <mergeCell ref="PEK47:PEL47"/>
    <mergeCell ref="PEM47:PEN47"/>
    <mergeCell ref="PEO47:PEP47"/>
    <mergeCell ref="PEQ47:PER47"/>
    <mergeCell ref="PDY47:PDZ47"/>
    <mergeCell ref="PEA47:PEB47"/>
    <mergeCell ref="PEC47:PED47"/>
    <mergeCell ref="PEE47:PEF47"/>
    <mergeCell ref="PEG47:PEH47"/>
    <mergeCell ref="PGQ47:PGR47"/>
    <mergeCell ref="PGS47:PGT47"/>
    <mergeCell ref="PGU47:PGV47"/>
    <mergeCell ref="PGW47:PGX47"/>
    <mergeCell ref="PGY47:PGZ47"/>
    <mergeCell ref="PGG47:PGH47"/>
    <mergeCell ref="PGI47:PGJ47"/>
    <mergeCell ref="PGK47:PGL47"/>
    <mergeCell ref="PGM47:PGN47"/>
    <mergeCell ref="PGO47:PGP47"/>
    <mergeCell ref="PFW47:PFX47"/>
    <mergeCell ref="PFY47:PFZ47"/>
    <mergeCell ref="PGA47:PGB47"/>
    <mergeCell ref="PGC47:PGD47"/>
    <mergeCell ref="PGE47:PGF47"/>
    <mergeCell ref="PFM47:PFN47"/>
    <mergeCell ref="PFO47:PFP47"/>
    <mergeCell ref="PFQ47:PFR47"/>
    <mergeCell ref="PFS47:PFT47"/>
    <mergeCell ref="PFU47:PFV47"/>
    <mergeCell ref="PIE47:PIF47"/>
    <mergeCell ref="PIG47:PIH47"/>
    <mergeCell ref="PII47:PIJ47"/>
    <mergeCell ref="PIK47:PIL47"/>
    <mergeCell ref="PIM47:PIN47"/>
    <mergeCell ref="PHU47:PHV47"/>
    <mergeCell ref="PHW47:PHX47"/>
    <mergeCell ref="PHY47:PHZ47"/>
    <mergeCell ref="PIA47:PIB47"/>
    <mergeCell ref="PIC47:PID47"/>
    <mergeCell ref="PHK47:PHL47"/>
    <mergeCell ref="PHM47:PHN47"/>
    <mergeCell ref="PHO47:PHP47"/>
    <mergeCell ref="PHQ47:PHR47"/>
    <mergeCell ref="PHS47:PHT47"/>
    <mergeCell ref="PHA47:PHB47"/>
    <mergeCell ref="PHC47:PHD47"/>
    <mergeCell ref="PHE47:PHF47"/>
    <mergeCell ref="PHG47:PHH47"/>
    <mergeCell ref="PHI47:PHJ47"/>
    <mergeCell ref="PJS47:PJT47"/>
    <mergeCell ref="PJU47:PJV47"/>
    <mergeCell ref="PJW47:PJX47"/>
    <mergeCell ref="PJY47:PJZ47"/>
    <mergeCell ref="PKA47:PKB47"/>
    <mergeCell ref="PJI47:PJJ47"/>
    <mergeCell ref="PJK47:PJL47"/>
    <mergeCell ref="PJM47:PJN47"/>
    <mergeCell ref="PJO47:PJP47"/>
    <mergeCell ref="PJQ47:PJR47"/>
    <mergeCell ref="PIY47:PIZ47"/>
    <mergeCell ref="PJA47:PJB47"/>
    <mergeCell ref="PJC47:PJD47"/>
    <mergeCell ref="PJE47:PJF47"/>
    <mergeCell ref="PJG47:PJH47"/>
    <mergeCell ref="PIO47:PIP47"/>
    <mergeCell ref="PIQ47:PIR47"/>
    <mergeCell ref="PIS47:PIT47"/>
    <mergeCell ref="PIU47:PIV47"/>
    <mergeCell ref="PIW47:PIX47"/>
    <mergeCell ref="PLG47:PLH47"/>
    <mergeCell ref="PLI47:PLJ47"/>
    <mergeCell ref="PLK47:PLL47"/>
    <mergeCell ref="PLM47:PLN47"/>
    <mergeCell ref="PLO47:PLP47"/>
    <mergeCell ref="PKW47:PKX47"/>
    <mergeCell ref="PKY47:PKZ47"/>
    <mergeCell ref="PLA47:PLB47"/>
    <mergeCell ref="PLC47:PLD47"/>
    <mergeCell ref="PLE47:PLF47"/>
    <mergeCell ref="PKM47:PKN47"/>
    <mergeCell ref="PKO47:PKP47"/>
    <mergeCell ref="PKQ47:PKR47"/>
    <mergeCell ref="PKS47:PKT47"/>
    <mergeCell ref="PKU47:PKV47"/>
    <mergeCell ref="PKC47:PKD47"/>
    <mergeCell ref="PKE47:PKF47"/>
    <mergeCell ref="PKG47:PKH47"/>
    <mergeCell ref="PKI47:PKJ47"/>
    <mergeCell ref="PKK47:PKL47"/>
    <mergeCell ref="PMU47:PMV47"/>
    <mergeCell ref="PMW47:PMX47"/>
    <mergeCell ref="PMY47:PMZ47"/>
    <mergeCell ref="PNA47:PNB47"/>
    <mergeCell ref="PNC47:PND47"/>
    <mergeCell ref="PMK47:PML47"/>
    <mergeCell ref="PMM47:PMN47"/>
    <mergeCell ref="PMO47:PMP47"/>
    <mergeCell ref="PMQ47:PMR47"/>
    <mergeCell ref="PMS47:PMT47"/>
    <mergeCell ref="PMA47:PMB47"/>
    <mergeCell ref="PMC47:PMD47"/>
    <mergeCell ref="PME47:PMF47"/>
    <mergeCell ref="PMG47:PMH47"/>
    <mergeCell ref="PMI47:PMJ47"/>
    <mergeCell ref="PLQ47:PLR47"/>
    <mergeCell ref="PLS47:PLT47"/>
    <mergeCell ref="PLU47:PLV47"/>
    <mergeCell ref="PLW47:PLX47"/>
    <mergeCell ref="PLY47:PLZ47"/>
    <mergeCell ref="POI47:POJ47"/>
    <mergeCell ref="POK47:POL47"/>
    <mergeCell ref="POM47:PON47"/>
    <mergeCell ref="POO47:POP47"/>
    <mergeCell ref="POQ47:POR47"/>
    <mergeCell ref="PNY47:PNZ47"/>
    <mergeCell ref="POA47:POB47"/>
    <mergeCell ref="POC47:POD47"/>
    <mergeCell ref="POE47:POF47"/>
    <mergeCell ref="POG47:POH47"/>
    <mergeCell ref="PNO47:PNP47"/>
    <mergeCell ref="PNQ47:PNR47"/>
    <mergeCell ref="PNS47:PNT47"/>
    <mergeCell ref="PNU47:PNV47"/>
    <mergeCell ref="PNW47:PNX47"/>
    <mergeCell ref="PNE47:PNF47"/>
    <mergeCell ref="PNG47:PNH47"/>
    <mergeCell ref="PNI47:PNJ47"/>
    <mergeCell ref="PNK47:PNL47"/>
    <mergeCell ref="PNM47:PNN47"/>
    <mergeCell ref="PPW47:PPX47"/>
    <mergeCell ref="PPY47:PPZ47"/>
    <mergeCell ref="PQA47:PQB47"/>
    <mergeCell ref="PQC47:PQD47"/>
    <mergeCell ref="PQE47:PQF47"/>
    <mergeCell ref="PPM47:PPN47"/>
    <mergeCell ref="PPO47:PPP47"/>
    <mergeCell ref="PPQ47:PPR47"/>
    <mergeCell ref="PPS47:PPT47"/>
    <mergeCell ref="PPU47:PPV47"/>
    <mergeCell ref="PPC47:PPD47"/>
    <mergeCell ref="PPE47:PPF47"/>
    <mergeCell ref="PPG47:PPH47"/>
    <mergeCell ref="PPI47:PPJ47"/>
    <mergeCell ref="PPK47:PPL47"/>
    <mergeCell ref="POS47:POT47"/>
    <mergeCell ref="POU47:POV47"/>
    <mergeCell ref="POW47:POX47"/>
    <mergeCell ref="POY47:POZ47"/>
    <mergeCell ref="PPA47:PPB47"/>
    <mergeCell ref="PRK47:PRL47"/>
    <mergeCell ref="PRM47:PRN47"/>
    <mergeCell ref="PRO47:PRP47"/>
    <mergeCell ref="PRQ47:PRR47"/>
    <mergeCell ref="PRS47:PRT47"/>
    <mergeCell ref="PRA47:PRB47"/>
    <mergeCell ref="PRC47:PRD47"/>
    <mergeCell ref="PRE47:PRF47"/>
    <mergeCell ref="PRG47:PRH47"/>
    <mergeCell ref="PRI47:PRJ47"/>
    <mergeCell ref="PQQ47:PQR47"/>
    <mergeCell ref="PQS47:PQT47"/>
    <mergeCell ref="PQU47:PQV47"/>
    <mergeCell ref="PQW47:PQX47"/>
    <mergeCell ref="PQY47:PQZ47"/>
    <mergeCell ref="PQG47:PQH47"/>
    <mergeCell ref="PQI47:PQJ47"/>
    <mergeCell ref="PQK47:PQL47"/>
    <mergeCell ref="PQM47:PQN47"/>
    <mergeCell ref="PQO47:PQP47"/>
    <mergeCell ref="PSY47:PSZ47"/>
    <mergeCell ref="PTA47:PTB47"/>
    <mergeCell ref="PTC47:PTD47"/>
    <mergeCell ref="PTE47:PTF47"/>
    <mergeCell ref="PTG47:PTH47"/>
    <mergeCell ref="PSO47:PSP47"/>
    <mergeCell ref="PSQ47:PSR47"/>
    <mergeCell ref="PSS47:PST47"/>
    <mergeCell ref="PSU47:PSV47"/>
    <mergeCell ref="PSW47:PSX47"/>
    <mergeCell ref="PSE47:PSF47"/>
    <mergeCell ref="PSG47:PSH47"/>
    <mergeCell ref="PSI47:PSJ47"/>
    <mergeCell ref="PSK47:PSL47"/>
    <mergeCell ref="PSM47:PSN47"/>
    <mergeCell ref="PRU47:PRV47"/>
    <mergeCell ref="PRW47:PRX47"/>
    <mergeCell ref="PRY47:PRZ47"/>
    <mergeCell ref="PSA47:PSB47"/>
    <mergeCell ref="PSC47:PSD47"/>
    <mergeCell ref="PUM47:PUN47"/>
    <mergeCell ref="PUO47:PUP47"/>
    <mergeCell ref="PUQ47:PUR47"/>
    <mergeCell ref="PUS47:PUT47"/>
    <mergeCell ref="PUU47:PUV47"/>
    <mergeCell ref="PUC47:PUD47"/>
    <mergeCell ref="PUE47:PUF47"/>
    <mergeCell ref="PUG47:PUH47"/>
    <mergeCell ref="PUI47:PUJ47"/>
    <mergeCell ref="PUK47:PUL47"/>
    <mergeCell ref="PTS47:PTT47"/>
    <mergeCell ref="PTU47:PTV47"/>
    <mergeCell ref="PTW47:PTX47"/>
    <mergeCell ref="PTY47:PTZ47"/>
    <mergeCell ref="PUA47:PUB47"/>
    <mergeCell ref="PTI47:PTJ47"/>
    <mergeCell ref="PTK47:PTL47"/>
    <mergeCell ref="PTM47:PTN47"/>
    <mergeCell ref="PTO47:PTP47"/>
    <mergeCell ref="PTQ47:PTR47"/>
    <mergeCell ref="PWA47:PWB47"/>
    <mergeCell ref="PWC47:PWD47"/>
    <mergeCell ref="PWE47:PWF47"/>
    <mergeCell ref="PWG47:PWH47"/>
    <mergeCell ref="PWI47:PWJ47"/>
    <mergeCell ref="PVQ47:PVR47"/>
    <mergeCell ref="PVS47:PVT47"/>
    <mergeCell ref="PVU47:PVV47"/>
    <mergeCell ref="PVW47:PVX47"/>
    <mergeCell ref="PVY47:PVZ47"/>
    <mergeCell ref="PVG47:PVH47"/>
    <mergeCell ref="PVI47:PVJ47"/>
    <mergeCell ref="PVK47:PVL47"/>
    <mergeCell ref="PVM47:PVN47"/>
    <mergeCell ref="PVO47:PVP47"/>
    <mergeCell ref="PUW47:PUX47"/>
    <mergeCell ref="PUY47:PUZ47"/>
    <mergeCell ref="PVA47:PVB47"/>
    <mergeCell ref="PVC47:PVD47"/>
    <mergeCell ref="PVE47:PVF47"/>
    <mergeCell ref="PXO47:PXP47"/>
    <mergeCell ref="PXQ47:PXR47"/>
    <mergeCell ref="PXS47:PXT47"/>
    <mergeCell ref="PXU47:PXV47"/>
    <mergeCell ref="PXW47:PXX47"/>
    <mergeCell ref="PXE47:PXF47"/>
    <mergeCell ref="PXG47:PXH47"/>
    <mergeCell ref="PXI47:PXJ47"/>
    <mergeCell ref="PXK47:PXL47"/>
    <mergeCell ref="PXM47:PXN47"/>
    <mergeCell ref="PWU47:PWV47"/>
    <mergeCell ref="PWW47:PWX47"/>
    <mergeCell ref="PWY47:PWZ47"/>
    <mergeCell ref="PXA47:PXB47"/>
    <mergeCell ref="PXC47:PXD47"/>
    <mergeCell ref="PWK47:PWL47"/>
    <mergeCell ref="PWM47:PWN47"/>
    <mergeCell ref="PWO47:PWP47"/>
    <mergeCell ref="PWQ47:PWR47"/>
    <mergeCell ref="PWS47:PWT47"/>
    <mergeCell ref="PZC47:PZD47"/>
    <mergeCell ref="PZE47:PZF47"/>
    <mergeCell ref="PZG47:PZH47"/>
    <mergeCell ref="PZI47:PZJ47"/>
    <mergeCell ref="PZK47:PZL47"/>
    <mergeCell ref="PYS47:PYT47"/>
    <mergeCell ref="PYU47:PYV47"/>
    <mergeCell ref="PYW47:PYX47"/>
    <mergeCell ref="PYY47:PYZ47"/>
    <mergeCell ref="PZA47:PZB47"/>
    <mergeCell ref="PYI47:PYJ47"/>
    <mergeCell ref="PYK47:PYL47"/>
    <mergeCell ref="PYM47:PYN47"/>
    <mergeCell ref="PYO47:PYP47"/>
    <mergeCell ref="PYQ47:PYR47"/>
    <mergeCell ref="PXY47:PXZ47"/>
    <mergeCell ref="PYA47:PYB47"/>
    <mergeCell ref="PYC47:PYD47"/>
    <mergeCell ref="PYE47:PYF47"/>
    <mergeCell ref="PYG47:PYH47"/>
    <mergeCell ref="QAQ47:QAR47"/>
    <mergeCell ref="QAS47:QAT47"/>
    <mergeCell ref="QAU47:QAV47"/>
    <mergeCell ref="QAW47:QAX47"/>
    <mergeCell ref="QAY47:QAZ47"/>
    <mergeCell ref="QAG47:QAH47"/>
    <mergeCell ref="QAI47:QAJ47"/>
    <mergeCell ref="QAK47:QAL47"/>
    <mergeCell ref="QAM47:QAN47"/>
    <mergeCell ref="QAO47:QAP47"/>
    <mergeCell ref="PZW47:PZX47"/>
    <mergeCell ref="PZY47:PZZ47"/>
    <mergeCell ref="QAA47:QAB47"/>
    <mergeCell ref="QAC47:QAD47"/>
    <mergeCell ref="QAE47:QAF47"/>
    <mergeCell ref="PZM47:PZN47"/>
    <mergeCell ref="PZO47:PZP47"/>
    <mergeCell ref="PZQ47:PZR47"/>
    <mergeCell ref="PZS47:PZT47"/>
    <mergeCell ref="PZU47:PZV47"/>
    <mergeCell ref="QCE47:QCF47"/>
    <mergeCell ref="QCG47:QCH47"/>
    <mergeCell ref="QCI47:QCJ47"/>
    <mergeCell ref="QCK47:QCL47"/>
    <mergeCell ref="QCM47:QCN47"/>
    <mergeCell ref="QBU47:QBV47"/>
    <mergeCell ref="QBW47:QBX47"/>
    <mergeCell ref="QBY47:QBZ47"/>
    <mergeCell ref="QCA47:QCB47"/>
    <mergeCell ref="QCC47:QCD47"/>
    <mergeCell ref="QBK47:QBL47"/>
    <mergeCell ref="QBM47:QBN47"/>
    <mergeCell ref="QBO47:QBP47"/>
    <mergeCell ref="QBQ47:QBR47"/>
    <mergeCell ref="QBS47:QBT47"/>
    <mergeCell ref="QBA47:QBB47"/>
    <mergeCell ref="QBC47:QBD47"/>
    <mergeCell ref="QBE47:QBF47"/>
    <mergeCell ref="QBG47:QBH47"/>
    <mergeCell ref="QBI47:QBJ47"/>
    <mergeCell ref="QDS47:QDT47"/>
    <mergeCell ref="QDU47:QDV47"/>
    <mergeCell ref="QDW47:QDX47"/>
    <mergeCell ref="QDY47:QDZ47"/>
    <mergeCell ref="QEA47:QEB47"/>
    <mergeCell ref="QDI47:QDJ47"/>
    <mergeCell ref="QDK47:QDL47"/>
    <mergeCell ref="QDM47:QDN47"/>
    <mergeCell ref="QDO47:QDP47"/>
    <mergeCell ref="QDQ47:QDR47"/>
    <mergeCell ref="QCY47:QCZ47"/>
    <mergeCell ref="QDA47:QDB47"/>
    <mergeCell ref="QDC47:QDD47"/>
    <mergeCell ref="QDE47:QDF47"/>
    <mergeCell ref="QDG47:QDH47"/>
    <mergeCell ref="QCO47:QCP47"/>
    <mergeCell ref="QCQ47:QCR47"/>
    <mergeCell ref="QCS47:QCT47"/>
    <mergeCell ref="QCU47:QCV47"/>
    <mergeCell ref="QCW47:QCX47"/>
    <mergeCell ref="QFG47:QFH47"/>
    <mergeCell ref="QFI47:QFJ47"/>
    <mergeCell ref="QFK47:QFL47"/>
    <mergeCell ref="QFM47:QFN47"/>
    <mergeCell ref="QFO47:QFP47"/>
    <mergeCell ref="QEW47:QEX47"/>
    <mergeCell ref="QEY47:QEZ47"/>
    <mergeCell ref="QFA47:QFB47"/>
    <mergeCell ref="QFC47:QFD47"/>
    <mergeCell ref="QFE47:QFF47"/>
    <mergeCell ref="QEM47:QEN47"/>
    <mergeCell ref="QEO47:QEP47"/>
    <mergeCell ref="QEQ47:QER47"/>
    <mergeCell ref="QES47:QET47"/>
    <mergeCell ref="QEU47:QEV47"/>
    <mergeCell ref="QEC47:QED47"/>
    <mergeCell ref="QEE47:QEF47"/>
    <mergeCell ref="QEG47:QEH47"/>
    <mergeCell ref="QEI47:QEJ47"/>
    <mergeCell ref="QEK47:QEL47"/>
    <mergeCell ref="QGU47:QGV47"/>
    <mergeCell ref="QGW47:QGX47"/>
    <mergeCell ref="QGY47:QGZ47"/>
    <mergeCell ref="QHA47:QHB47"/>
    <mergeCell ref="QHC47:QHD47"/>
    <mergeCell ref="QGK47:QGL47"/>
    <mergeCell ref="QGM47:QGN47"/>
    <mergeCell ref="QGO47:QGP47"/>
    <mergeCell ref="QGQ47:QGR47"/>
    <mergeCell ref="QGS47:QGT47"/>
    <mergeCell ref="QGA47:QGB47"/>
    <mergeCell ref="QGC47:QGD47"/>
    <mergeCell ref="QGE47:QGF47"/>
    <mergeCell ref="QGG47:QGH47"/>
    <mergeCell ref="QGI47:QGJ47"/>
    <mergeCell ref="QFQ47:QFR47"/>
    <mergeCell ref="QFS47:QFT47"/>
    <mergeCell ref="QFU47:QFV47"/>
    <mergeCell ref="QFW47:QFX47"/>
    <mergeCell ref="QFY47:QFZ47"/>
    <mergeCell ref="QII47:QIJ47"/>
    <mergeCell ref="QIK47:QIL47"/>
    <mergeCell ref="QIM47:QIN47"/>
    <mergeCell ref="QIO47:QIP47"/>
    <mergeCell ref="QIQ47:QIR47"/>
    <mergeCell ref="QHY47:QHZ47"/>
    <mergeCell ref="QIA47:QIB47"/>
    <mergeCell ref="QIC47:QID47"/>
    <mergeCell ref="QIE47:QIF47"/>
    <mergeCell ref="QIG47:QIH47"/>
    <mergeCell ref="QHO47:QHP47"/>
    <mergeCell ref="QHQ47:QHR47"/>
    <mergeCell ref="QHS47:QHT47"/>
    <mergeCell ref="QHU47:QHV47"/>
    <mergeCell ref="QHW47:QHX47"/>
    <mergeCell ref="QHE47:QHF47"/>
    <mergeCell ref="QHG47:QHH47"/>
    <mergeCell ref="QHI47:QHJ47"/>
    <mergeCell ref="QHK47:QHL47"/>
    <mergeCell ref="QHM47:QHN47"/>
    <mergeCell ref="QJW47:QJX47"/>
    <mergeCell ref="QJY47:QJZ47"/>
    <mergeCell ref="QKA47:QKB47"/>
    <mergeCell ref="QKC47:QKD47"/>
    <mergeCell ref="QKE47:QKF47"/>
    <mergeCell ref="QJM47:QJN47"/>
    <mergeCell ref="QJO47:QJP47"/>
    <mergeCell ref="QJQ47:QJR47"/>
    <mergeCell ref="QJS47:QJT47"/>
    <mergeCell ref="QJU47:QJV47"/>
    <mergeCell ref="QJC47:QJD47"/>
    <mergeCell ref="QJE47:QJF47"/>
    <mergeCell ref="QJG47:QJH47"/>
    <mergeCell ref="QJI47:QJJ47"/>
    <mergeCell ref="QJK47:QJL47"/>
    <mergeCell ref="QIS47:QIT47"/>
    <mergeCell ref="QIU47:QIV47"/>
    <mergeCell ref="QIW47:QIX47"/>
    <mergeCell ref="QIY47:QIZ47"/>
    <mergeCell ref="QJA47:QJB47"/>
    <mergeCell ref="QLK47:QLL47"/>
    <mergeCell ref="QLM47:QLN47"/>
    <mergeCell ref="QLO47:QLP47"/>
    <mergeCell ref="QLQ47:QLR47"/>
    <mergeCell ref="QLS47:QLT47"/>
    <mergeCell ref="QLA47:QLB47"/>
    <mergeCell ref="QLC47:QLD47"/>
    <mergeCell ref="QLE47:QLF47"/>
    <mergeCell ref="QLG47:QLH47"/>
    <mergeCell ref="QLI47:QLJ47"/>
    <mergeCell ref="QKQ47:QKR47"/>
    <mergeCell ref="QKS47:QKT47"/>
    <mergeCell ref="QKU47:QKV47"/>
    <mergeCell ref="QKW47:QKX47"/>
    <mergeCell ref="QKY47:QKZ47"/>
    <mergeCell ref="QKG47:QKH47"/>
    <mergeCell ref="QKI47:QKJ47"/>
    <mergeCell ref="QKK47:QKL47"/>
    <mergeCell ref="QKM47:QKN47"/>
    <mergeCell ref="QKO47:QKP47"/>
    <mergeCell ref="QMY47:QMZ47"/>
    <mergeCell ref="QNA47:QNB47"/>
    <mergeCell ref="QNC47:QND47"/>
    <mergeCell ref="QNE47:QNF47"/>
    <mergeCell ref="QNG47:QNH47"/>
    <mergeCell ref="QMO47:QMP47"/>
    <mergeCell ref="QMQ47:QMR47"/>
    <mergeCell ref="QMS47:QMT47"/>
    <mergeCell ref="QMU47:QMV47"/>
    <mergeCell ref="QMW47:QMX47"/>
    <mergeCell ref="QME47:QMF47"/>
    <mergeCell ref="QMG47:QMH47"/>
    <mergeCell ref="QMI47:QMJ47"/>
    <mergeCell ref="QMK47:QML47"/>
    <mergeCell ref="QMM47:QMN47"/>
    <mergeCell ref="QLU47:QLV47"/>
    <mergeCell ref="QLW47:QLX47"/>
    <mergeCell ref="QLY47:QLZ47"/>
    <mergeCell ref="QMA47:QMB47"/>
    <mergeCell ref="QMC47:QMD47"/>
    <mergeCell ref="QOM47:QON47"/>
    <mergeCell ref="QOO47:QOP47"/>
    <mergeCell ref="QOQ47:QOR47"/>
    <mergeCell ref="QOS47:QOT47"/>
    <mergeCell ref="QOU47:QOV47"/>
    <mergeCell ref="QOC47:QOD47"/>
    <mergeCell ref="QOE47:QOF47"/>
    <mergeCell ref="QOG47:QOH47"/>
    <mergeCell ref="QOI47:QOJ47"/>
    <mergeCell ref="QOK47:QOL47"/>
    <mergeCell ref="QNS47:QNT47"/>
    <mergeCell ref="QNU47:QNV47"/>
    <mergeCell ref="QNW47:QNX47"/>
    <mergeCell ref="QNY47:QNZ47"/>
    <mergeCell ref="QOA47:QOB47"/>
    <mergeCell ref="QNI47:QNJ47"/>
    <mergeCell ref="QNK47:QNL47"/>
    <mergeCell ref="QNM47:QNN47"/>
    <mergeCell ref="QNO47:QNP47"/>
    <mergeCell ref="QNQ47:QNR47"/>
    <mergeCell ref="QQA47:QQB47"/>
    <mergeCell ref="QQC47:QQD47"/>
    <mergeCell ref="QQE47:QQF47"/>
    <mergeCell ref="QQG47:QQH47"/>
    <mergeCell ref="QQI47:QQJ47"/>
    <mergeCell ref="QPQ47:QPR47"/>
    <mergeCell ref="QPS47:QPT47"/>
    <mergeCell ref="QPU47:QPV47"/>
    <mergeCell ref="QPW47:QPX47"/>
    <mergeCell ref="QPY47:QPZ47"/>
    <mergeCell ref="QPG47:QPH47"/>
    <mergeCell ref="QPI47:QPJ47"/>
    <mergeCell ref="QPK47:QPL47"/>
    <mergeCell ref="QPM47:QPN47"/>
    <mergeCell ref="QPO47:QPP47"/>
    <mergeCell ref="QOW47:QOX47"/>
    <mergeCell ref="QOY47:QOZ47"/>
    <mergeCell ref="QPA47:QPB47"/>
    <mergeCell ref="QPC47:QPD47"/>
    <mergeCell ref="QPE47:QPF47"/>
    <mergeCell ref="QRO47:QRP47"/>
    <mergeCell ref="QRQ47:QRR47"/>
    <mergeCell ref="QRS47:QRT47"/>
    <mergeCell ref="QRU47:QRV47"/>
    <mergeCell ref="QRW47:QRX47"/>
    <mergeCell ref="QRE47:QRF47"/>
    <mergeCell ref="QRG47:QRH47"/>
    <mergeCell ref="QRI47:QRJ47"/>
    <mergeCell ref="QRK47:QRL47"/>
    <mergeCell ref="QRM47:QRN47"/>
    <mergeCell ref="QQU47:QQV47"/>
    <mergeCell ref="QQW47:QQX47"/>
    <mergeCell ref="QQY47:QQZ47"/>
    <mergeCell ref="QRA47:QRB47"/>
    <mergeCell ref="QRC47:QRD47"/>
    <mergeCell ref="QQK47:QQL47"/>
    <mergeCell ref="QQM47:QQN47"/>
    <mergeCell ref="QQO47:QQP47"/>
    <mergeCell ref="QQQ47:QQR47"/>
    <mergeCell ref="QQS47:QQT47"/>
    <mergeCell ref="QTC47:QTD47"/>
    <mergeCell ref="QTE47:QTF47"/>
    <mergeCell ref="QTG47:QTH47"/>
    <mergeCell ref="QTI47:QTJ47"/>
    <mergeCell ref="QTK47:QTL47"/>
    <mergeCell ref="QSS47:QST47"/>
    <mergeCell ref="QSU47:QSV47"/>
    <mergeCell ref="QSW47:QSX47"/>
    <mergeCell ref="QSY47:QSZ47"/>
    <mergeCell ref="QTA47:QTB47"/>
    <mergeCell ref="QSI47:QSJ47"/>
    <mergeCell ref="QSK47:QSL47"/>
    <mergeCell ref="QSM47:QSN47"/>
    <mergeCell ref="QSO47:QSP47"/>
    <mergeCell ref="QSQ47:QSR47"/>
    <mergeCell ref="QRY47:QRZ47"/>
    <mergeCell ref="QSA47:QSB47"/>
    <mergeCell ref="QSC47:QSD47"/>
    <mergeCell ref="QSE47:QSF47"/>
    <mergeCell ref="QSG47:QSH47"/>
    <mergeCell ref="QUQ47:QUR47"/>
    <mergeCell ref="QUS47:QUT47"/>
    <mergeCell ref="QUU47:QUV47"/>
    <mergeCell ref="QUW47:QUX47"/>
    <mergeCell ref="QUY47:QUZ47"/>
    <mergeCell ref="QUG47:QUH47"/>
    <mergeCell ref="QUI47:QUJ47"/>
    <mergeCell ref="QUK47:QUL47"/>
    <mergeCell ref="QUM47:QUN47"/>
    <mergeCell ref="QUO47:QUP47"/>
    <mergeCell ref="QTW47:QTX47"/>
    <mergeCell ref="QTY47:QTZ47"/>
    <mergeCell ref="QUA47:QUB47"/>
    <mergeCell ref="QUC47:QUD47"/>
    <mergeCell ref="QUE47:QUF47"/>
    <mergeCell ref="QTM47:QTN47"/>
    <mergeCell ref="QTO47:QTP47"/>
    <mergeCell ref="QTQ47:QTR47"/>
    <mergeCell ref="QTS47:QTT47"/>
    <mergeCell ref="QTU47:QTV47"/>
    <mergeCell ref="QWE47:QWF47"/>
    <mergeCell ref="QWG47:QWH47"/>
    <mergeCell ref="QWI47:QWJ47"/>
    <mergeCell ref="QWK47:QWL47"/>
    <mergeCell ref="QWM47:QWN47"/>
    <mergeCell ref="QVU47:QVV47"/>
    <mergeCell ref="QVW47:QVX47"/>
    <mergeCell ref="QVY47:QVZ47"/>
    <mergeCell ref="QWA47:QWB47"/>
    <mergeCell ref="QWC47:QWD47"/>
    <mergeCell ref="QVK47:QVL47"/>
    <mergeCell ref="QVM47:QVN47"/>
    <mergeCell ref="QVO47:QVP47"/>
    <mergeCell ref="QVQ47:QVR47"/>
    <mergeCell ref="QVS47:QVT47"/>
    <mergeCell ref="QVA47:QVB47"/>
    <mergeCell ref="QVC47:QVD47"/>
    <mergeCell ref="QVE47:QVF47"/>
    <mergeCell ref="QVG47:QVH47"/>
    <mergeCell ref="QVI47:QVJ47"/>
    <mergeCell ref="QXS47:QXT47"/>
    <mergeCell ref="QXU47:QXV47"/>
    <mergeCell ref="QXW47:QXX47"/>
    <mergeCell ref="QXY47:QXZ47"/>
    <mergeCell ref="QYA47:QYB47"/>
    <mergeCell ref="QXI47:QXJ47"/>
    <mergeCell ref="QXK47:QXL47"/>
    <mergeCell ref="QXM47:QXN47"/>
    <mergeCell ref="QXO47:QXP47"/>
    <mergeCell ref="QXQ47:QXR47"/>
    <mergeCell ref="QWY47:QWZ47"/>
    <mergeCell ref="QXA47:QXB47"/>
    <mergeCell ref="QXC47:QXD47"/>
    <mergeCell ref="QXE47:QXF47"/>
    <mergeCell ref="QXG47:QXH47"/>
    <mergeCell ref="QWO47:QWP47"/>
    <mergeCell ref="QWQ47:QWR47"/>
    <mergeCell ref="QWS47:QWT47"/>
    <mergeCell ref="QWU47:QWV47"/>
    <mergeCell ref="QWW47:QWX47"/>
    <mergeCell ref="QZG47:QZH47"/>
    <mergeCell ref="QZI47:QZJ47"/>
    <mergeCell ref="QZK47:QZL47"/>
    <mergeCell ref="QZM47:QZN47"/>
    <mergeCell ref="QZO47:QZP47"/>
    <mergeCell ref="QYW47:QYX47"/>
    <mergeCell ref="QYY47:QYZ47"/>
    <mergeCell ref="QZA47:QZB47"/>
    <mergeCell ref="QZC47:QZD47"/>
    <mergeCell ref="QZE47:QZF47"/>
    <mergeCell ref="QYM47:QYN47"/>
    <mergeCell ref="QYO47:QYP47"/>
    <mergeCell ref="QYQ47:QYR47"/>
    <mergeCell ref="QYS47:QYT47"/>
    <mergeCell ref="QYU47:QYV47"/>
    <mergeCell ref="QYC47:QYD47"/>
    <mergeCell ref="QYE47:QYF47"/>
    <mergeCell ref="QYG47:QYH47"/>
    <mergeCell ref="QYI47:QYJ47"/>
    <mergeCell ref="QYK47:QYL47"/>
    <mergeCell ref="RAU47:RAV47"/>
    <mergeCell ref="RAW47:RAX47"/>
    <mergeCell ref="RAY47:RAZ47"/>
    <mergeCell ref="RBA47:RBB47"/>
    <mergeCell ref="RBC47:RBD47"/>
    <mergeCell ref="RAK47:RAL47"/>
    <mergeCell ref="RAM47:RAN47"/>
    <mergeCell ref="RAO47:RAP47"/>
    <mergeCell ref="RAQ47:RAR47"/>
    <mergeCell ref="RAS47:RAT47"/>
    <mergeCell ref="RAA47:RAB47"/>
    <mergeCell ref="RAC47:RAD47"/>
    <mergeCell ref="RAE47:RAF47"/>
    <mergeCell ref="RAG47:RAH47"/>
    <mergeCell ref="RAI47:RAJ47"/>
    <mergeCell ref="QZQ47:QZR47"/>
    <mergeCell ref="QZS47:QZT47"/>
    <mergeCell ref="QZU47:QZV47"/>
    <mergeCell ref="QZW47:QZX47"/>
    <mergeCell ref="QZY47:QZZ47"/>
    <mergeCell ref="RCI47:RCJ47"/>
    <mergeCell ref="RCK47:RCL47"/>
    <mergeCell ref="RCM47:RCN47"/>
    <mergeCell ref="RCO47:RCP47"/>
    <mergeCell ref="RCQ47:RCR47"/>
    <mergeCell ref="RBY47:RBZ47"/>
    <mergeCell ref="RCA47:RCB47"/>
    <mergeCell ref="RCC47:RCD47"/>
    <mergeCell ref="RCE47:RCF47"/>
    <mergeCell ref="RCG47:RCH47"/>
    <mergeCell ref="RBO47:RBP47"/>
    <mergeCell ref="RBQ47:RBR47"/>
    <mergeCell ref="RBS47:RBT47"/>
    <mergeCell ref="RBU47:RBV47"/>
    <mergeCell ref="RBW47:RBX47"/>
    <mergeCell ref="RBE47:RBF47"/>
    <mergeCell ref="RBG47:RBH47"/>
    <mergeCell ref="RBI47:RBJ47"/>
    <mergeCell ref="RBK47:RBL47"/>
    <mergeCell ref="RBM47:RBN47"/>
    <mergeCell ref="RDW47:RDX47"/>
    <mergeCell ref="RDY47:RDZ47"/>
    <mergeCell ref="REA47:REB47"/>
    <mergeCell ref="REC47:RED47"/>
    <mergeCell ref="REE47:REF47"/>
    <mergeCell ref="RDM47:RDN47"/>
    <mergeCell ref="RDO47:RDP47"/>
    <mergeCell ref="RDQ47:RDR47"/>
    <mergeCell ref="RDS47:RDT47"/>
    <mergeCell ref="RDU47:RDV47"/>
    <mergeCell ref="RDC47:RDD47"/>
    <mergeCell ref="RDE47:RDF47"/>
    <mergeCell ref="RDG47:RDH47"/>
    <mergeCell ref="RDI47:RDJ47"/>
    <mergeCell ref="RDK47:RDL47"/>
    <mergeCell ref="RCS47:RCT47"/>
    <mergeCell ref="RCU47:RCV47"/>
    <mergeCell ref="RCW47:RCX47"/>
    <mergeCell ref="RCY47:RCZ47"/>
    <mergeCell ref="RDA47:RDB47"/>
    <mergeCell ref="RFK47:RFL47"/>
    <mergeCell ref="RFM47:RFN47"/>
    <mergeCell ref="RFO47:RFP47"/>
    <mergeCell ref="RFQ47:RFR47"/>
    <mergeCell ref="RFS47:RFT47"/>
    <mergeCell ref="RFA47:RFB47"/>
    <mergeCell ref="RFC47:RFD47"/>
    <mergeCell ref="RFE47:RFF47"/>
    <mergeCell ref="RFG47:RFH47"/>
    <mergeCell ref="RFI47:RFJ47"/>
    <mergeCell ref="REQ47:RER47"/>
    <mergeCell ref="RES47:RET47"/>
    <mergeCell ref="REU47:REV47"/>
    <mergeCell ref="REW47:REX47"/>
    <mergeCell ref="REY47:REZ47"/>
    <mergeCell ref="REG47:REH47"/>
    <mergeCell ref="REI47:REJ47"/>
    <mergeCell ref="REK47:REL47"/>
    <mergeCell ref="REM47:REN47"/>
    <mergeCell ref="REO47:REP47"/>
    <mergeCell ref="RGY47:RGZ47"/>
    <mergeCell ref="RHA47:RHB47"/>
    <mergeCell ref="RHC47:RHD47"/>
    <mergeCell ref="RHE47:RHF47"/>
    <mergeCell ref="RHG47:RHH47"/>
    <mergeCell ref="RGO47:RGP47"/>
    <mergeCell ref="RGQ47:RGR47"/>
    <mergeCell ref="RGS47:RGT47"/>
    <mergeCell ref="RGU47:RGV47"/>
    <mergeCell ref="RGW47:RGX47"/>
    <mergeCell ref="RGE47:RGF47"/>
    <mergeCell ref="RGG47:RGH47"/>
    <mergeCell ref="RGI47:RGJ47"/>
    <mergeCell ref="RGK47:RGL47"/>
    <mergeCell ref="RGM47:RGN47"/>
    <mergeCell ref="RFU47:RFV47"/>
    <mergeCell ref="RFW47:RFX47"/>
    <mergeCell ref="RFY47:RFZ47"/>
    <mergeCell ref="RGA47:RGB47"/>
    <mergeCell ref="RGC47:RGD47"/>
    <mergeCell ref="RIM47:RIN47"/>
    <mergeCell ref="RIO47:RIP47"/>
    <mergeCell ref="RIQ47:RIR47"/>
    <mergeCell ref="RIS47:RIT47"/>
    <mergeCell ref="RIU47:RIV47"/>
    <mergeCell ref="RIC47:RID47"/>
    <mergeCell ref="RIE47:RIF47"/>
    <mergeCell ref="RIG47:RIH47"/>
    <mergeCell ref="RII47:RIJ47"/>
    <mergeCell ref="RIK47:RIL47"/>
    <mergeCell ref="RHS47:RHT47"/>
    <mergeCell ref="RHU47:RHV47"/>
    <mergeCell ref="RHW47:RHX47"/>
    <mergeCell ref="RHY47:RHZ47"/>
    <mergeCell ref="RIA47:RIB47"/>
    <mergeCell ref="RHI47:RHJ47"/>
    <mergeCell ref="RHK47:RHL47"/>
    <mergeCell ref="RHM47:RHN47"/>
    <mergeCell ref="RHO47:RHP47"/>
    <mergeCell ref="RHQ47:RHR47"/>
    <mergeCell ref="RKA47:RKB47"/>
    <mergeCell ref="RKC47:RKD47"/>
    <mergeCell ref="RKE47:RKF47"/>
    <mergeCell ref="RKG47:RKH47"/>
    <mergeCell ref="RKI47:RKJ47"/>
    <mergeCell ref="RJQ47:RJR47"/>
    <mergeCell ref="RJS47:RJT47"/>
    <mergeCell ref="RJU47:RJV47"/>
    <mergeCell ref="RJW47:RJX47"/>
    <mergeCell ref="RJY47:RJZ47"/>
    <mergeCell ref="RJG47:RJH47"/>
    <mergeCell ref="RJI47:RJJ47"/>
    <mergeCell ref="RJK47:RJL47"/>
    <mergeCell ref="RJM47:RJN47"/>
    <mergeCell ref="RJO47:RJP47"/>
    <mergeCell ref="RIW47:RIX47"/>
    <mergeCell ref="RIY47:RIZ47"/>
    <mergeCell ref="RJA47:RJB47"/>
    <mergeCell ref="RJC47:RJD47"/>
    <mergeCell ref="RJE47:RJF47"/>
    <mergeCell ref="RLO47:RLP47"/>
    <mergeCell ref="RLQ47:RLR47"/>
    <mergeCell ref="RLS47:RLT47"/>
    <mergeCell ref="RLU47:RLV47"/>
    <mergeCell ref="RLW47:RLX47"/>
    <mergeCell ref="RLE47:RLF47"/>
    <mergeCell ref="RLG47:RLH47"/>
    <mergeCell ref="RLI47:RLJ47"/>
    <mergeCell ref="RLK47:RLL47"/>
    <mergeCell ref="RLM47:RLN47"/>
    <mergeCell ref="RKU47:RKV47"/>
    <mergeCell ref="RKW47:RKX47"/>
    <mergeCell ref="RKY47:RKZ47"/>
    <mergeCell ref="RLA47:RLB47"/>
    <mergeCell ref="RLC47:RLD47"/>
    <mergeCell ref="RKK47:RKL47"/>
    <mergeCell ref="RKM47:RKN47"/>
    <mergeCell ref="RKO47:RKP47"/>
    <mergeCell ref="RKQ47:RKR47"/>
    <mergeCell ref="RKS47:RKT47"/>
    <mergeCell ref="RNC47:RND47"/>
    <mergeCell ref="RNE47:RNF47"/>
    <mergeCell ref="RNG47:RNH47"/>
    <mergeCell ref="RNI47:RNJ47"/>
    <mergeCell ref="RNK47:RNL47"/>
    <mergeCell ref="RMS47:RMT47"/>
    <mergeCell ref="RMU47:RMV47"/>
    <mergeCell ref="RMW47:RMX47"/>
    <mergeCell ref="RMY47:RMZ47"/>
    <mergeCell ref="RNA47:RNB47"/>
    <mergeCell ref="RMI47:RMJ47"/>
    <mergeCell ref="RMK47:RML47"/>
    <mergeCell ref="RMM47:RMN47"/>
    <mergeCell ref="RMO47:RMP47"/>
    <mergeCell ref="RMQ47:RMR47"/>
    <mergeCell ref="RLY47:RLZ47"/>
    <mergeCell ref="RMA47:RMB47"/>
    <mergeCell ref="RMC47:RMD47"/>
    <mergeCell ref="RME47:RMF47"/>
    <mergeCell ref="RMG47:RMH47"/>
    <mergeCell ref="ROQ47:ROR47"/>
    <mergeCell ref="ROS47:ROT47"/>
    <mergeCell ref="ROU47:ROV47"/>
    <mergeCell ref="ROW47:ROX47"/>
    <mergeCell ref="ROY47:ROZ47"/>
    <mergeCell ref="ROG47:ROH47"/>
    <mergeCell ref="ROI47:ROJ47"/>
    <mergeCell ref="ROK47:ROL47"/>
    <mergeCell ref="ROM47:RON47"/>
    <mergeCell ref="ROO47:ROP47"/>
    <mergeCell ref="RNW47:RNX47"/>
    <mergeCell ref="RNY47:RNZ47"/>
    <mergeCell ref="ROA47:ROB47"/>
    <mergeCell ref="ROC47:ROD47"/>
    <mergeCell ref="ROE47:ROF47"/>
    <mergeCell ref="RNM47:RNN47"/>
    <mergeCell ref="RNO47:RNP47"/>
    <mergeCell ref="RNQ47:RNR47"/>
    <mergeCell ref="RNS47:RNT47"/>
    <mergeCell ref="RNU47:RNV47"/>
    <mergeCell ref="RQE47:RQF47"/>
    <mergeCell ref="RQG47:RQH47"/>
    <mergeCell ref="RQI47:RQJ47"/>
    <mergeCell ref="RQK47:RQL47"/>
    <mergeCell ref="RQM47:RQN47"/>
    <mergeCell ref="RPU47:RPV47"/>
    <mergeCell ref="RPW47:RPX47"/>
    <mergeCell ref="RPY47:RPZ47"/>
    <mergeCell ref="RQA47:RQB47"/>
    <mergeCell ref="RQC47:RQD47"/>
    <mergeCell ref="RPK47:RPL47"/>
    <mergeCell ref="RPM47:RPN47"/>
    <mergeCell ref="RPO47:RPP47"/>
    <mergeCell ref="RPQ47:RPR47"/>
    <mergeCell ref="RPS47:RPT47"/>
    <mergeCell ref="RPA47:RPB47"/>
    <mergeCell ref="RPC47:RPD47"/>
    <mergeCell ref="RPE47:RPF47"/>
    <mergeCell ref="RPG47:RPH47"/>
    <mergeCell ref="RPI47:RPJ47"/>
    <mergeCell ref="RRS47:RRT47"/>
    <mergeCell ref="RRU47:RRV47"/>
    <mergeCell ref="RRW47:RRX47"/>
    <mergeCell ref="RRY47:RRZ47"/>
    <mergeCell ref="RSA47:RSB47"/>
    <mergeCell ref="RRI47:RRJ47"/>
    <mergeCell ref="RRK47:RRL47"/>
    <mergeCell ref="RRM47:RRN47"/>
    <mergeCell ref="RRO47:RRP47"/>
    <mergeCell ref="RRQ47:RRR47"/>
    <mergeCell ref="RQY47:RQZ47"/>
    <mergeCell ref="RRA47:RRB47"/>
    <mergeCell ref="RRC47:RRD47"/>
    <mergeCell ref="RRE47:RRF47"/>
    <mergeCell ref="RRG47:RRH47"/>
    <mergeCell ref="RQO47:RQP47"/>
    <mergeCell ref="RQQ47:RQR47"/>
    <mergeCell ref="RQS47:RQT47"/>
    <mergeCell ref="RQU47:RQV47"/>
    <mergeCell ref="RQW47:RQX47"/>
    <mergeCell ref="RTG47:RTH47"/>
    <mergeCell ref="RTI47:RTJ47"/>
    <mergeCell ref="RTK47:RTL47"/>
    <mergeCell ref="RTM47:RTN47"/>
    <mergeCell ref="RTO47:RTP47"/>
    <mergeCell ref="RSW47:RSX47"/>
    <mergeCell ref="RSY47:RSZ47"/>
    <mergeCell ref="RTA47:RTB47"/>
    <mergeCell ref="RTC47:RTD47"/>
    <mergeCell ref="RTE47:RTF47"/>
    <mergeCell ref="RSM47:RSN47"/>
    <mergeCell ref="RSO47:RSP47"/>
    <mergeCell ref="RSQ47:RSR47"/>
    <mergeCell ref="RSS47:RST47"/>
    <mergeCell ref="RSU47:RSV47"/>
    <mergeCell ref="RSC47:RSD47"/>
    <mergeCell ref="RSE47:RSF47"/>
    <mergeCell ref="RSG47:RSH47"/>
    <mergeCell ref="RSI47:RSJ47"/>
    <mergeCell ref="RSK47:RSL47"/>
    <mergeCell ref="RUU47:RUV47"/>
    <mergeCell ref="RUW47:RUX47"/>
    <mergeCell ref="RUY47:RUZ47"/>
    <mergeCell ref="RVA47:RVB47"/>
    <mergeCell ref="RVC47:RVD47"/>
    <mergeCell ref="RUK47:RUL47"/>
    <mergeCell ref="RUM47:RUN47"/>
    <mergeCell ref="RUO47:RUP47"/>
    <mergeCell ref="RUQ47:RUR47"/>
    <mergeCell ref="RUS47:RUT47"/>
    <mergeCell ref="RUA47:RUB47"/>
    <mergeCell ref="RUC47:RUD47"/>
    <mergeCell ref="RUE47:RUF47"/>
    <mergeCell ref="RUG47:RUH47"/>
    <mergeCell ref="RUI47:RUJ47"/>
    <mergeCell ref="RTQ47:RTR47"/>
    <mergeCell ref="RTS47:RTT47"/>
    <mergeCell ref="RTU47:RTV47"/>
    <mergeCell ref="RTW47:RTX47"/>
    <mergeCell ref="RTY47:RTZ47"/>
    <mergeCell ref="RWI47:RWJ47"/>
    <mergeCell ref="RWK47:RWL47"/>
    <mergeCell ref="RWM47:RWN47"/>
    <mergeCell ref="RWO47:RWP47"/>
    <mergeCell ref="RWQ47:RWR47"/>
    <mergeCell ref="RVY47:RVZ47"/>
    <mergeCell ref="RWA47:RWB47"/>
    <mergeCell ref="RWC47:RWD47"/>
    <mergeCell ref="RWE47:RWF47"/>
    <mergeCell ref="RWG47:RWH47"/>
    <mergeCell ref="RVO47:RVP47"/>
    <mergeCell ref="RVQ47:RVR47"/>
    <mergeCell ref="RVS47:RVT47"/>
    <mergeCell ref="RVU47:RVV47"/>
    <mergeCell ref="RVW47:RVX47"/>
    <mergeCell ref="RVE47:RVF47"/>
    <mergeCell ref="RVG47:RVH47"/>
    <mergeCell ref="RVI47:RVJ47"/>
    <mergeCell ref="RVK47:RVL47"/>
    <mergeCell ref="RVM47:RVN47"/>
    <mergeCell ref="RXW47:RXX47"/>
    <mergeCell ref="RXY47:RXZ47"/>
    <mergeCell ref="RYA47:RYB47"/>
    <mergeCell ref="RYC47:RYD47"/>
    <mergeCell ref="RYE47:RYF47"/>
    <mergeCell ref="RXM47:RXN47"/>
    <mergeCell ref="RXO47:RXP47"/>
    <mergeCell ref="RXQ47:RXR47"/>
    <mergeCell ref="RXS47:RXT47"/>
    <mergeCell ref="RXU47:RXV47"/>
    <mergeCell ref="RXC47:RXD47"/>
    <mergeCell ref="RXE47:RXF47"/>
    <mergeCell ref="RXG47:RXH47"/>
    <mergeCell ref="RXI47:RXJ47"/>
    <mergeCell ref="RXK47:RXL47"/>
    <mergeCell ref="RWS47:RWT47"/>
    <mergeCell ref="RWU47:RWV47"/>
    <mergeCell ref="RWW47:RWX47"/>
    <mergeCell ref="RWY47:RWZ47"/>
    <mergeCell ref="RXA47:RXB47"/>
    <mergeCell ref="RZK47:RZL47"/>
    <mergeCell ref="RZM47:RZN47"/>
    <mergeCell ref="RZO47:RZP47"/>
    <mergeCell ref="RZQ47:RZR47"/>
    <mergeCell ref="RZS47:RZT47"/>
    <mergeCell ref="RZA47:RZB47"/>
    <mergeCell ref="RZC47:RZD47"/>
    <mergeCell ref="RZE47:RZF47"/>
    <mergeCell ref="RZG47:RZH47"/>
    <mergeCell ref="RZI47:RZJ47"/>
    <mergeCell ref="RYQ47:RYR47"/>
    <mergeCell ref="RYS47:RYT47"/>
    <mergeCell ref="RYU47:RYV47"/>
    <mergeCell ref="RYW47:RYX47"/>
    <mergeCell ref="RYY47:RYZ47"/>
    <mergeCell ref="RYG47:RYH47"/>
    <mergeCell ref="RYI47:RYJ47"/>
    <mergeCell ref="RYK47:RYL47"/>
    <mergeCell ref="RYM47:RYN47"/>
    <mergeCell ref="RYO47:RYP47"/>
    <mergeCell ref="SAY47:SAZ47"/>
    <mergeCell ref="SBA47:SBB47"/>
    <mergeCell ref="SBC47:SBD47"/>
    <mergeCell ref="SBE47:SBF47"/>
    <mergeCell ref="SBG47:SBH47"/>
    <mergeCell ref="SAO47:SAP47"/>
    <mergeCell ref="SAQ47:SAR47"/>
    <mergeCell ref="SAS47:SAT47"/>
    <mergeCell ref="SAU47:SAV47"/>
    <mergeCell ref="SAW47:SAX47"/>
    <mergeCell ref="SAE47:SAF47"/>
    <mergeCell ref="SAG47:SAH47"/>
    <mergeCell ref="SAI47:SAJ47"/>
    <mergeCell ref="SAK47:SAL47"/>
    <mergeCell ref="SAM47:SAN47"/>
    <mergeCell ref="RZU47:RZV47"/>
    <mergeCell ref="RZW47:RZX47"/>
    <mergeCell ref="RZY47:RZZ47"/>
    <mergeCell ref="SAA47:SAB47"/>
    <mergeCell ref="SAC47:SAD47"/>
    <mergeCell ref="SCM47:SCN47"/>
    <mergeCell ref="SCO47:SCP47"/>
    <mergeCell ref="SCQ47:SCR47"/>
    <mergeCell ref="SCS47:SCT47"/>
    <mergeCell ref="SCU47:SCV47"/>
    <mergeCell ref="SCC47:SCD47"/>
    <mergeCell ref="SCE47:SCF47"/>
    <mergeCell ref="SCG47:SCH47"/>
    <mergeCell ref="SCI47:SCJ47"/>
    <mergeCell ref="SCK47:SCL47"/>
    <mergeCell ref="SBS47:SBT47"/>
    <mergeCell ref="SBU47:SBV47"/>
    <mergeCell ref="SBW47:SBX47"/>
    <mergeCell ref="SBY47:SBZ47"/>
    <mergeCell ref="SCA47:SCB47"/>
    <mergeCell ref="SBI47:SBJ47"/>
    <mergeCell ref="SBK47:SBL47"/>
    <mergeCell ref="SBM47:SBN47"/>
    <mergeCell ref="SBO47:SBP47"/>
    <mergeCell ref="SBQ47:SBR47"/>
    <mergeCell ref="SEA47:SEB47"/>
    <mergeCell ref="SEC47:SED47"/>
    <mergeCell ref="SEE47:SEF47"/>
    <mergeCell ref="SEG47:SEH47"/>
    <mergeCell ref="SEI47:SEJ47"/>
    <mergeCell ref="SDQ47:SDR47"/>
    <mergeCell ref="SDS47:SDT47"/>
    <mergeCell ref="SDU47:SDV47"/>
    <mergeCell ref="SDW47:SDX47"/>
    <mergeCell ref="SDY47:SDZ47"/>
    <mergeCell ref="SDG47:SDH47"/>
    <mergeCell ref="SDI47:SDJ47"/>
    <mergeCell ref="SDK47:SDL47"/>
    <mergeCell ref="SDM47:SDN47"/>
    <mergeCell ref="SDO47:SDP47"/>
    <mergeCell ref="SCW47:SCX47"/>
    <mergeCell ref="SCY47:SCZ47"/>
    <mergeCell ref="SDA47:SDB47"/>
    <mergeCell ref="SDC47:SDD47"/>
    <mergeCell ref="SDE47:SDF47"/>
    <mergeCell ref="SFO47:SFP47"/>
    <mergeCell ref="SFQ47:SFR47"/>
    <mergeCell ref="SFS47:SFT47"/>
    <mergeCell ref="SFU47:SFV47"/>
    <mergeCell ref="SFW47:SFX47"/>
    <mergeCell ref="SFE47:SFF47"/>
    <mergeCell ref="SFG47:SFH47"/>
    <mergeCell ref="SFI47:SFJ47"/>
    <mergeCell ref="SFK47:SFL47"/>
    <mergeCell ref="SFM47:SFN47"/>
    <mergeCell ref="SEU47:SEV47"/>
    <mergeCell ref="SEW47:SEX47"/>
    <mergeCell ref="SEY47:SEZ47"/>
    <mergeCell ref="SFA47:SFB47"/>
    <mergeCell ref="SFC47:SFD47"/>
    <mergeCell ref="SEK47:SEL47"/>
    <mergeCell ref="SEM47:SEN47"/>
    <mergeCell ref="SEO47:SEP47"/>
    <mergeCell ref="SEQ47:SER47"/>
    <mergeCell ref="SES47:SET47"/>
    <mergeCell ref="SHC47:SHD47"/>
    <mergeCell ref="SHE47:SHF47"/>
    <mergeCell ref="SHG47:SHH47"/>
    <mergeCell ref="SHI47:SHJ47"/>
    <mergeCell ref="SHK47:SHL47"/>
    <mergeCell ref="SGS47:SGT47"/>
    <mergeCell ref="SGU47:SGV47"/>
    <mergeCell ref="SGW47:SGX47"/>
    <mergeCell ref="SGY47:SGZ47"/>
    <mergeCell ref="SHA47:SHB47"/>
    <mergeCell ref="SGI47:SGJ47"/>
    <mergeCell ref="SGK47:SGL47"/>
    <mergeCell ref="SGM47:SGN47"/>
    <mergeCell ref="SGO47:SGP47"/>
    <mergeCell ref="SGQ47:SGR47"/>
    <mergeCell ref="SFY47:SFZ47"/>
    <mergeCell ref="SGA47:SGB47"/>
    <mergeCell ref="SGC47:SGD47"/>
    <mergeCell ref="SGE47:SGF47"/>
    <mergeCell ref="SGG47:SGH47"/>
    <mergeCell ref="SIQ47:SIR47"/>
    <mergeCell ref="SIS47:SIT47"/>
    <mergeCell ref="SIU47:SIV47"/>
    <mergeCell ref="SIW47:SIX47"/>
    <mergeCell ref="SIY47:SIZ47"/>
    <mergeCell ref="SIG47:SIH47"/>
    <mergeCell ref="SII47:SIJ47"/>
    <mergeCell ref="SIK47:SIL47"/>
    <mergeCell ref="SIM47:SIN47"/>
    <mergeCell ref="SIO47:SIP47"/>
    <mergeCell ref="SHW47:SHX47"/>
    <mergeCell ref="SHY47:SHZ47"/>
    <mergeCell ref="SIA47:SIB47"/>
    <mergeCell ref="SIC47:SID47"/>
    <mergeCell ref="SIE47:SIF47"/>
    <mergeCell ref="SHM47:SHN47"/>
    <mergeCell ref="SHO47:SHP47"/>
    <mergeCell ref="SHQ47:SHR47"/>
    <mergeCell ref="SHS47:SHT47"/>
    <mergeCell ref="SHU47:SHV47"/>
    <mergeCell ref="SKE47:SKF47"/>
    <mergeCell ref="SKG47:SKH47"/>
    <mergeCell ref="SKI47:SKJ47"/>
    <mergeCell ref="SKK47:SKL47"/>
    <mergeCell ref="SKM47:SKN47"/>
    <mergeCell ref="SJU47:SJV47"/>
    <mergeCell ref="SJW47:SJX47"/>
    <mergeCell ref="SJY47:SJZ47"/>
    <mergeCell ref="SKA47:SKB47"/>
    <mergeCell ref="SKC47:SKD47"/>
    <mergeCell ref="SJK47:SJL47"/>
    <mergeCell ref="SJM47:SJN47"/>
    <mergeCell ref="SJO47:SJP47"/>
    <mergeCell ref="SJQ47:SJR47"/>
    <mergeCell ref="SJS47:SJT47"/>
    <mergeCell ref="SJA47:SJB47"/>
    <mergeCell ref="SJC47:SJD47"/>
    <mergeCell ref="SJE47:SJF47"/>
    <mergeCell ref="SJG47:SJH47"/>
    <mergeCell ref="SJI47:SJJ47"/>
    <mergeCell ref="SLS47:SLT47"/>
    <mergeCell ref="SLU47:SLV47"/>
    <mergeCell ref="SLW47:SLX47"/>
    <mergeCell ref="SLY47:SLZ47"/>
    <mergeCell ref="SMA47:SMB47"/>
    <mergeCell ref="SLI47:SLJ47"/>
    <mergeCell ref="SLK47:SLL47"/>
    <mergeCell ref="SLM47:SLN47"/>
    <mergeCell ref="SLO47:SLP47"/>
    <mergeCell ref="SLQ47:SLR47"/>
    <mergeCell ref="SKY47:SKZ47"/>
    <mergeCell ref="SLA47:SLB47"/>
    <mergeCell ref="SLC47:SLD47"/>
    <mergeCell ref="SLE47:SLF47"/>
    <mergeCell ref="SLG47:SLH47"/>
    <mergeCell ref="SKO47:SKP47"/>
    <mergeCell ref="SKQ47:SKR47"/>
    <mergeCell ref="SKS47:SKT47"/>
    <mergeCell ref="SKU47:SKV47"/>
    <mergeCell ref="SKW47:SKX47"/>
    <mergeCell ref="SNG47:SNH47"/>
    <mergeCell ref="SNI47:SNJ47"/>
    <mergeCell ref="SNK47:SNL47"/>
    <mergeCell ref="SNM47:SNN47"/>
    <mergeCell ref="SNO47:SNP47"/>
    <mergeCell ref="SMW47:SMX47"/>
    <mergeCell ref="SMY47:SMZ47"/>
    <mergeCell ref="SNA47:SNB47"/>
    <mergeCell ref="SNC47:SND47"/>
    <mergeCell ref="SNE47:SNF47"/>
    <mergeCell ref="SMM47:SMN47"/>
    <mergeCell ref="SMO47:SMP47"/>
    <mergeCell ref="SMQ47:SMR47"/>
    <mergeCell ref="SMS47:SMT47"/>
    <mergeCell ref="SMU47:SMV47"/>
    <mergeCell ref="SMC47:SMD47"/>
    <mergeCell ref="SME47:SMF47"/>
    <mergeCell ref="SMG47:SMH47"/>
    <mergeCell ref="SMI47:SMJ47"/>
    <mergeCell ref="SMK47:SML47"/>
    <mergeCell ref="SOU47:SOV47"/>
    <mergeCell ref="SOW47:SOX47"/>
    <mergeCell ref="SOY47:SOZ47"/>
    <mergeCell ref="SPA47:SPB47"/>
    <mergeCell ref="SPC47:SPD47"/>
    <mergeCell ref="SOK47:SOL47"/>
    <mergeCell ref="SOM47:SON47"/>
    <mergeCell ref="SOO47:SOP47"/>
    <mergeCell ref="SOQ47:SOR47"/>
    <mergeCell ref="SOS47:SOT47"/>
    <mergeCell ref="SOA47:SOB47"/>
    <mergeCell ref="SOC47:SOD47"/>
    <mergeCell ref="SOE47:SOF47"/>
    <mergeCell ref="SOG47:SOH47"/>
    <mergeCell ref="SOI47:SOJ47"/>
    <mergeCell ref="SNQ47:SNR47"/>
    <mergeCell ref="SNS47:SNT47"/>
    <mergeCell ref="SNU47:SNV47"/>
    <mergeCell ref="SNW47:SNX47"/>
    <mergeCell ref="SNY47:SNZ47"/>
    <mergeCell ref="SQI47:SQJ47"/>
    <mergeCell ref="SQK47:SQL47"/>
    <mergeCell ref="SQM47:SQN47"/>
    <mergeCell ref="SQO47:SQP47"/>
    <mergeCell ref="SQQ47:SQR47"/>
    <mergeCell ref="SPY47:SPZ47"/>
    <mergeCell ref="SQA47:SQB47"/>
    <mergeCell ref="SQC47:SQD47"/>
    <mergeCell ref="SQE47:SQF47"/>
    <mergeCell ref="SQG47:SQH47"/>
    <mergeCell ref="SPO47:SPP47"/>
    <mergeCell ref="SPQ47:SPR47"/>
    <mergeCell ref="SPS47:SPT47"/>
    <mergeCell ref="SPU47:SPV47"/>
    <mergeCell ref="SPW47:SPX47"/>
    <mergeCell ref="SPE47:SPF47"/>
    <mergeCell ref="SPG47:SPH47"/>
    <mergeCell ref="SPI47:SPJ47"/>
    <mergeCell ref="SPK47:SPL47"/>
    <mergeCell ref="SPM47:SPN47"/>
    <mergeCell ref="SRW47:SRX47"/>
    <mergeCell ref="SRY47:SRZ47"/>
    <mergeCell ref="SSA47:SSB47"/>
    <mergeCell ref="SSC47:SSD47"/>
    <mergeCell ref="SSE47:SSF47"/>
    <mergeCell ref="SRM47:SRN47"/>
    <mergeCell ref="SRO47:SRP47"/>
    <mergeCell ref="SRQ47:SRR47"/>
    <mergeCell ref="SRS47:SRT47"/>
    <mergeCell ref="SRU47:SRV47"/>
    <mergeCell ref="SRC47:SRD47"/>
    <mergeCell ref="SRE47:SRF47"/>
    <mergeCell ref="SRG47:SRH47"/>
    <mergeCell ref="SRI47:SRJ47"/>
    <mergeCell ref="SRK47:SRL47"/>
    <mergeCell ref="SQS47:SQT47"/>
    <mergeCell ref="SQU47:SQV47"/>
    <mergeCell ref="SQW47:SQX47"/>
    <mergeCell ref="SQY47:SQZ47"/>
    <mergeCell ref="SRA47:SRB47"/>
    <mergeCell ref="STK47:STL47"/>
    <mergeCell ref="STM47:STN47"/>
    <mergeCell ref="STO47:STP47"/>
    <mergeCell ref="STQ47:STR47"/>
    <mergeCell ref="STS47:STT47"/>
    <mergeCell ref="STA47:STB47"/>
    <mergeCell ref="STC47:STD47"/>
    <mergeCell ref="STE47:STF47"/>
    <mergeCell ref="STG47:STH47"/>
    <mergeCell ref="STI47:STJ47"/>
    <mergeCell ref="SSQ47:SSR47"/>
    <mergeCell ref="SSS47:SST47"/>
    <mergeCell ref="SSU47:SSV47"/>
    <mergeCell ref="SSW47:SSX47"/>
    <mergeCell ref="SSY47:SSZ47"/>
    <mergeCell ref="SSG47:SSH47"/>
    <mergeCell ref="SSI47:SSJ47"/>
    <mergeCell ref="SSK47:SSL47"/>
    <mergeCell ref="SSM47:SSN47"/>
    <mergeCell ref="SSO47:SSP47"/>
    <mergeCell ref="SUY47:SUZ47"/>
    <mergeCell ref="SVA47:SVB47"/>
    <mergeCell ref="SVC47:SVD47"/>
    <mergeCell ref="SVE47:SVF47"/>
    <mergeCell ref="SVG47:SVH47"/>
    <mergeCell ref="SUO47:SUP47"/>
    <mergeCell ref="SUQ47:SUR47"/>
    <mergeCell ref="SUS47:SUT47"/>
    <mergeCell ref="SUU47:SUV47"/>
    <mergeCell ref="SUW47:SUX47"/>
    <mergeCell ref="SUE47:SUF47"/>
    <mergeCell ref="SUG47:SUH47"/>
    <mergeCell ref="SUI47:SUJ47"/>
    <mergeCell ref="SUK47:SUL47"/>
    <mergeCell ref="SUM47:SUN47"/>
    <mergeCell ref="STU47:STV47"/>
    <mergeCell ref="STW47:STX47"/>
    <mergeCell ref="STY47:STZ47"/>
    <mergeCell ref="SUA47:SUB47"/>
    <mergeCell ref="SUC47:SUD47"/>
    <mergeCell ref="SWM47:SWN47"/>
    <mergeCell ref="SWO47:SWP47"/>
    <mergeCell ref="SWQ47:SWR47"/>
    <mergeCell ref="SWS47:SWT47"/>
    <mergeCell ref="SWU47:SWV47"/>
    <mergeCell ref="SWC47:SWD47"/>
    <mergeCell ref="SWE47:SWF47"/>
    <mergeCell ref="SWG47:SWH47"/>
    <mergeCell ref="SWI47:SWJ47"/>
    <mergeCell ref="SWK47:SWL47"/>
    <mergeCell ref="SVS47:SVT47"/>
    <mergeCell ref="SVU47:SVV47"/>
    <mergeCell ref="SVW47:SVX47"/>
    <mergeCell ref="SVY47:SVZ47"/>
    <mergeCell ref="SWA47:SWB47"/>
    <mergeCell ref="SVI47:SVJ47"/>
    <mergeCell ref="SVK47:SVL47"/>
    <mergeCell ref="SVM47:SVN47"/>
    <mergeCell ref="SVO47:SVP47"/>
    <mergeCell ref="SVQ47:SVR47"/>
    <mergeCell ref="SYA47:SYB47"/>
    <mergeCell ref="SYC47:SYD47"/>
    <mergeCell ref="SYE47:SYF47"/>
    <mergeCell ref="SYG47:SYH47"/>
    <mergeCell ref="SYI47:SYJ47"/>
    <mergeCell ref="SXQ47:SXR47"/>
    <mergeCell ref="SXS47:SXT47"/>
    <mergeCell ref="SXU47:SXV47"/>
    <mergeCell ref="SXW47:SXX47"/>
    <mergeCell ref="SXY47:SXZ47"/>
    <mergeCell ref="SXG47:SXH47"/>
    <mergeCell ref="SXI47:SXJ47"/>
    <mergeCell ref="SXK47:SXL47"/>
    <mergeCell ref="SXM47:SXN47"/>
    <mergeCell ref="SXO47:SXP47"/>
    <mergeCell ref="SWW47:SWX47"/>
    <mergeCell ref="SWY47:SWZ47"/>
    <mergeCell ref="SXA47:SXB47"/>
    <mergeCell ref="SXC47:SXD47"/>
    <mergeCell ref="SXE47:SXF47"/>
    <mergeCell ref="SZO47:SZP47"/>
    <mergeCell ref="SZQ47:SZR47"/>
    <mergeCell ref="SZS47:SZT47"/>
    <mergeCell ref="SZU47:SZV47"/>
    <mergeCell ref="SZW47:SZX47"/>
    <mergeCell ref="SZE47:SZF47"/>
    <mergeCell ref="SZG47:SZH47"/>
    <mergeCell ref="SZI47:SZJ47"/>
    <mergeCell ref="SZK47:SZL47"/>
    <mergeCell ref="SZM47:SZN47"/>
    <mergeCell ref="SYU47:SYV47"/>
    <mergeCell ref="SYW47:SYX47"/>
    <mergeCell ref="SYY47:SYZ47"/>
    <mergeCell ref="SZA47:SZB47"/>
    <mergeCell ref="SZC47:SZD47"/>
    <mergeCell ref="SYK47:SYL47"/>
    <mergeCell ref="SYM47:SYN47"/>
    <mergeCell ref="SYO47:SYP47"/>
    <mergeCell ref="SYQ47:SYR47"/>
    <mergeCell ref="SYS47:SYT47"/>
    <mergeCell ref="TBC47:TBD47"/>
    <mergeCell ref="TBE47:TBF47"/>
    <mergeCell ref="TBG47:TBH47"/>
    <mergeCell ref="TBI47:TBJ47"/>
    <mergeCell ref="TBK47:TBL47"/>
    <mergeCell ref="TAS47:TAT47"/>
    <mergeCell ref="TAU47:TAV47"/>
    <mergeCell ref="TAW47:TAX47"/>
    <mergeCell ref="TAY47:TAZ47"/>
    <mergeCell ref="TBA47:TBB47"/>
    <mergeCell ref="TAI47:TAJ47"/>
    <mergeCell ref="TAK47:TAL47"/>
    <mergeCell ref="TAM47:TAN47"/>
    <mergeCell ref="TAO47:TAP47"/>
    <mergeCell ref="TAQ47:TAR47"/>
    <mergeCell ref="SZY47:SZZ47"/>
    <mergeCell ref="TAA47:TAB47"/>
    <mergeCell ref="TAC47:TAD47"/>
    <mergeCell ref="TAE47:TAF47"/>
    <mergeCell ref="TAG47:TAH47"/>
    <mergeCell ref="TCQ47:TCR47"/>
    <mergeCell ref="TCS47:TCT47"/>
    <mergeCell ref="TCU47:TCV47"/>
    <mergeCell ref="TCW47:TCX47"/>
    <mergeCell ref="TCY47:TCZ47"/>
    <mergeCell ref="TCG47:TCH47"/>
    <mergeCell ref="TCI47:TCJ47"/>
    <mergeCell ref="TCK47:TCL47"/>
    <mergeCell ref="TCM47:TCN47"/>
    <mergeCell ref="TCO47:TCP47"/>
    <mergeCell ref="TBW47:TBX47"/>
    <mergeCell ref="TBY47:TBZ47"/>
    <mergeCell ref="TCA47:TCB47"/>
    <mergeCell ref="TCC47:TCD47"/>
    <mergeCell ref="TCE47:TCF47"/>
    <mergeCell ref="TBM47:TBN47"/>
    <mergeCell ref="TBO47:TBP47"/>
    <mergeCell ref="TBQ47:TBR47"/>
    <mergeCell ref="TBS47:TBT47"/>
    <mergeCell ref="TBU47:TBV47"/>
    <mergeCell ref="TEE47:TEF47"/>
    <mergeCell ref="TEG47:TEH47"/>
    <mergeCell ref="TEI47:TEJ47"/>
    <mergeCell ref="TEK47:TEL47"/>
    <mergeCell ref="TEM47:TEN47"/>
    <mergeCell ref="TDU47:TDV47"/>
    <mergeCell ref="TDW47:TDX47"/>
    <mergeCell ref="TDY47:TDZ47"/>
    <mergeCell ref="TEA47:TEB47"/>
    <mergeCell ref="TEC47:TED47"/>
    <mergeCell ref="TDK47:TDL47"/>
    <mergeCell ref="TDM47:TDN47"/>
    <mergeCell ref="TDO47:TDP47"/>
    <mergeCell ref="TDQ47:TDR47"/>
    <mergeCell ref="TDS47:TDT47"/>
    <mergeCell ref="TDA47:TDB47"/>
    <mergeCell ref="TDC47:TDD47"/>
    <mergeCell ref="TDE47:TDF47"/>
    <mergeCell ref="TDG47:TDH47"/>
    <mergeCell ref="TDI47:TDJ47"/>
    <mergeCell ref="TFS47:TFT47"/>
    <mergeCell ref="TFU47:TFV47"/>
    <mergeCell ref="TFW47:TFX47"/>
    <mergeCell ref="TFY47:TFZ47"/>
    <mergeCell ref="TGA47:TGB47"/>
    <mergeCell ref="TFI47:TFJ47"/>
    <mergeCell ref="TFK47:TFL47"/>
    <mergeCell ref="TFM47:TFN47"/>
    <mergeCell ref="TFO47:TFP47"/>
    <mergeCell ref="TFQ47:TFR47"/>
    <mergeCell ref="TEY47:TEZ47"/>
    <mergeCell ref="TFA47:TFB47"/>
    <mergeCell ref="TFC47:TFD47"/>
    <mergeCell ref="TFE47:TFF47"/>
    <mergeCell ref="TFG47:TFH47"/>
    <mergeCell ref="TEO47:TEP47"/>
    <mergeCell ref="TEQ47:TER47"/>
    <mergeCell ref="TES47:TET47"/>
    <mergeCell ref="TEU47:TEV47"/>
    <mergeCell ref="TEW47:TEX47"/>
    <mergeCell ref="THG47:THH47"/>
    <mergeCell ref="THI47:THJ47"/>
    <mergeCell ref="THK47:THL47"/>
    <mergeCell ref="THM47:THN47"/>
    <mergeCell ref="THO47:THP47"/>
    <mergeCell ref="TGW47:TGX47"/>
    <mergeCell ref="TGY47:TGZ47"/>
    <mergeCell ref="THA47:THB47"/>
    <mergeCell ref="THC47:THD47"/>
    <mergeCell ref="THE47:THF47"/>
    <mergeCell ref="TGM47:TGN47"/>
    <mergeCell ref="TGO47:TGP47"/>
    <mergeCell ref="TGQ47:TGR47"/>
    <mergeCell ref="TGS47:TGT47"/>
    <mergeCell ref="TGU47:TGV47"/>
    <mergeCell ref="TGC47:TGD47"/>
    <mergeCell ref="TGE47:TGF47"/>
    <mergeCell ref="TGG47:TGH47"/>
    <mergeCell ref="TGI47:TGJ47"/>
    <mergeCell ref="TGK47:TGL47"/>
    <mergeCell ref="TIU47:TIV47"/>
    <mergeCell ref="TIW47:TIX47"/>
    <mergeCell ref="TIY47:TIZ47"/>
    <mergeCell ref="TJA47:TJB47"/>
    <mergeCell ref="TJC47:TJD47"/>
    <mergeCell ref="TIK47:TIL47"/>
    <mergeCell ref="TIM47:TIN47"/>
    <mergeCell ref="TIO47:TIP47"/>
    <mergeCell ref="TIQ47:TIR47"/>
    <mergeCell ref="TIS47:TIT47"/>
    <mergeCell ref="TIA47:TIB47"/>
    <mergeCell ref="TIC47:TID47"/>
    <mergeCell ref="TIE47:TIF47"/>
    <mergeCell ref="TIG47:TIH47"/>
    <mergeCell ref="TII47:TIJ47"/>
    <mergeCell ref="THQ47:THR47"/>
    <mergeCell ref="THS47:THT47"/>
    <mergeCell ref="THU47:THV47"/>
    <mergeCell ref="THW47:THX47"/>
    <mergeCell ref="THY47:THZ47"/>
    <mergeCell ref="TKI47:TKJ47"/>
    <mergeCell ref="TKK47:TKL47"/>
    <mergeCell ref="TKM47:TKN47"/>
    <mergeCell ref="TKO47:TKP47"/>
    <mergeCell ref="TKQ47:TKR47"/>
    <mergeCell ref="TJY47:TJZ47"/>
    <mergeCell ref="TKA47:TKB47"/>
    <mergeCell ref="TKC47:TKD47"/>
    <mergeCell ref="TKE47:TKF47"/>
    <mergeCell ref="TKG47:TKH47"/>
    <mergeCell ref="TJO47:TJP47"/>
    <mergeCell ref="TJQ47:TJR47"/>
    <mergeCell ref="TJS47:TJT47"/>
    <mergeCell ref="TJU47:TJV47"/>
    <mergeCell ref="TJW47:TJX47"/>
    <mergeCell ref="TJE47:TJF47"/>
    <mergeCell ref="TJG47:TJH47"/>
    <mergeCell ref="TJI47:TJJ47"/>
    <mergeCell ref="TJK47:TJL47"/>
    <mergeCell ref="TJM47:TJN47"/>
    <mergeCell ref="TLW47:TLX47"/>
    <mergeCell ref="TLY47:TLZ47"/>
    <mergeCell ref="TMA47:TMB47"/>
    <mergeCell ref="TMC47:TMD47"/>
    <mergeCell ref="TME47:TMF47"/>
    <mergeCell ref="TLM47:TLN47"/>
    <mergeCell ref="TLO47:TLP47"/>
    <mergeCell ref="TLQ47:TLR47"/>
    <mergeCell ref="TLS47:TLT47"/>
    <mergeCell ref="TLU47:TLV47"/>
    <mergeCell ref="TLC47:TLD47"/>
    <mergeCell ref="TLE47:TLF47"/>
    <mergeCell ref="TLG47:TLH47"/>
    <mergeCell ref="TLI47:TLJ47"/>
    <mergeCell ref="TLK47:TLL47"/>
    <mergeCell ref="TKS47:TKT47"/>
    <mergeCell ref="TKU47:TKV47"/>
    <mergeCell ref="TKW47:TKX47"/>
    <mergeCell ref="TKY47:TKZ47"/>
    <mergeCell ref="TLA47:TLB47"/>
    <mergeCell ref="TNK47:TNL47"/>
    <mergeCell ref="TNM47:TNN47"/>
    <mergeCell ref="TNO47:TNP47"/>
    <mergeCell ref="TNQ47:TNR47"/>
    <mergeCell ref="TNS47:TNT47"/>
    <mergeCell ref="TNA47:TNB47"/>
    <mergeCell ref="TNC47:TND47"/>
    <mergeCell ref="TNE47:TNF47"/>
    <mergeCell ref="TNG47:TNH47"/>
    <mergeCell ref="TNI47:TNJ47"/>
    <mergeCell ref="TMQ47:TMR47"/>
    <mergeCell ref="TMS47:TMT47"/>
    <mergeCell ref="TMU47:TMV47"/>
    <mergeCell ref="TMW47:TMX47"/>
    <mergeCell ref="TMY47:TMZ47"/>
    <mergeCell ref="TMG47:TMH47"/>
    <mergeCell ref="TMI47:TMJ47"/>
    <mergeCell ref="TMK47:TML47"/>
    <mergeCell ref="TMM47:TMN47"/>
    <mergeCell ref="TMO47:TMP47"/>
    <mergeCell ref="TOY47:TOZ47"/>
    <mergeCell ref="TPA47:TPB47"/>
    <mergeCell ref="TPC47:TPD47"/>
    <mergeCell ref="TPE47:TPF47"/>
    <mergeCell ref="TPG47:TPH47"/>
    <mergeCell ref="TOO47:TOP47"/>
    <mergeCell ref="TOQ47:TOR47"/>
    <mergeCell ref="TOS47:TOT47"/>
    <mergeCell ref="TOU47:TOV47"/>
    <mergeCell ref="TOW47:TOX47"/>
    <mergeCell ref="TOE47:TOF47"/>
    <mergeCell ref="TOG47:TOH47"/>
    <mergeCell ref="TOI47:TOJ47"/>
    <mergeCell ref="TOK47:TOL47"/>
    <mergeCell ref="TOM47:TON47"/>
    <mergeCell ref="TNU47:TNV47"/>
    <mergeCell ref="TNW47:TNX47"/>
    <mergeCell ref="TNY47:TNZ47"/>
    <mergeCell ref="TOA47:TOB47"/>
    <mergeCell ref="TOC47:TOD47"/>
    <mergeCell ref="TQM47:TQN47"/>
    <mergeCell ref="TQO47:TQP47"/>
    <mergeCell ref="TQQ47:TQR47"/>
    <mergeCell ref="TQS47:TQT47"/>
    <mergeCell ref="TQU47:TQV47"/>
    <mergeCell ref="TQC47:TQD47"/>
    <mergeCell ref="TQE47:TQF47"/>
    <mergeCell ref="TQG47:TQH47"/>
    <mergeCell ref="TQI47:TQJ47"/>
    <mergeCell ref="TQK47:TQL47"/>
    <mergeCell ref="TPS47:TPT47"/>
    <mergeCell ref="TPU47:TPV47"/>
    <mergeCell ref="TPW47:TPX47"/>
    <mergeCell ref="TPY47:TPZ47"/>
    <mergeCell ref="TQA47:TQB47"/>
    <mergeCell ref="TPI47:TPJ47"/>
    <mergeCell ref="TPK47:TPL47"/>
    <mergeCell ref="TPM47:TPN47"/>
    <mergeCell ref="TPO47:TPP47"/>
    <mergeCell ref="TPQ47:TPR47"/>
    <mergeCell ref="TSA47:TSB47"/>
    <mergeCell ref="TSC47:TSD47"/>
    <mergeCell ref="TSE47:TSF47"/>
    <mergeCell ref="TSG47:TSH47"/>
    <mergeCell ref="TSI47:TSJ47"/>
    <mergeCell ref="TRQ47:TRR47"/>
    <mergeCell ref="TRS47:TRT47"/>
    <mergeCell ref="TRU47:TRV47"/>
    <mergeCell ref="TRW47:TRX47"/>
    <mergeCell ref="TRY47:TRZ47"/>
    <mergeCell ref="TRG47:TRH47"/>
    <mergeCell ref="TRI47:TRJ47"/>
    <mergeCell ref="TRK47:TRL47"/>
    <mergeCell ref="TRM47:TRN47"/>
    <mergeCell ref="TRO47:TRP47"/>
    <mergeCell ref="TQW47:TQX47"/>
    <mergeCell ref="TQY47:TQZ47"/>
    <mergeCell ref="TRA47:TRB47"/>
    <mergeCell ref="TRC47:TRD47"/>
    <mergeCell ref="TRE47:TRF47"/>
    <mergeCell ref="TTO47:TTP47"/>
    <mergeCell ref="TTQ47:TTR47"/>
    <mergeCell ref="TTS47:TTT47"/>
    <mergeCell ref="TTU47:TTV47"/>
    <mergeCell ref="TTW47:TTX47"/>
    <mergeCell ref="TTE47:TTF47"/>
    <mergeCell ref="TTG47:TTH47"/>
    <mergeCell ref="TTI47:TTJ47"/>
    <mergeCell ref="TTK47:TTL47"/>
    <mergeCell ref="TTM47:TTN47"/>
    <mergeCell ref="TSU47:TSV47"/>
    <mergeCell ref="TSW47:TSX47"/>
    <mergeCell ref="TSY47:TSZ47"/>
    <mergeCell ref="TTA47:TTB47"/>
    <mergeCell ref="TTC47:TTD47"/>
    <mergeCell ref="TSK47:TSL47"/>
    <mergeCell ref="TSM47:TSN47"/>
    <mergeCell ref="TSO47:TSP47"/>
    <mergeCell ref="TSQ47:TSR47"/>
    <mergeCell ref="TSS47:TST47"/>
    <mergeCell ref="TVC47:TVD47"/>
    <mergeCell ref="TVE47:TVF47"/>
    <mergeCell ref="TVG47:TVH47"/>
    <mergeCell ref="TVI47:TVJ47"/>
    <mergeCell ref="TVK47:TVL47"/>
    <mergeCell ref="TUS47:TUT47"/>
    <mergeCell ref="TUU47:TUV47"/>
    <mergeCell ref="TUW47:TUX47"/>
    <mergeCell ref="TUY47:TUZ47"/>
    <mergeCell ref="TVA47:TVB47"/>
    <mergeCell ref="TUI47:TUJ47"/>
    <mergeCell ref="TUK47:TUL47"/>
    <mergeCell ref="TUM47:TUN47"/>
    <mergeCell ref="TUO47:TUP47"/>
    <mergeCell ref="TUQ47:TUR47"/>
    <mergeCell ref="TTY47:TTZ47"/>
    <mergeCell ref="TUA47:TUB47"/>
    <mergeCell ref="TUC47:TUD47"/>
    <mergeCell ref="TUE47:TUF47"/>
    <mergeCell ref="TUG47:TUH47"/>
    <mergeCell ref="TWQ47:TWR47"/>
    <mergeCell ref="TWS47:TWT47"/>
    <mergeCell ref="TWU47:TWV47"/>
    <mergeCell ref="TWW47:TWX47"/>
    <mergeCell ref="TWY47:TWZ47"/>
    <mergeCell ref="TWG47:TWH47"/>
    <mergeCell ref="TWI47:TWJ47"/>
    <mergeCell ref="TWK47:TWL47"/>
    <mergeCell ref="TWM47:TWN47"/>
    <mergeCell ref="TWO47:TWP47"/>
    <mergeCell ref="TVW47:TVX47"/>
    <mergeCell ref="TVY47:TVZ47"/>
    <mergeCell ref="TWA47:TWB47"/>
    <mergeCell ref="TWC47:TWD47"/>
    <mergeCell ref="TWE47:TWF47"/>
    <mergeCell ref="TVM47:TVN47"/>
    <mergeCell ref="TVO47:TVP47"/>
    <mergeCell ref="TVQ47:TVR47"/>
    <mergeCell ref="TVS47:TVT47"/>
    <mergeCell ref="TVU47:TVV47"/>
    <mergeCell ref="TYE47:TYF47"/>
    <mergeCell ref="TYG47:TYH47"/>
    <mergeCell ref="TYI47:TYJ47"/>
    <mergeCell ref="TYK47:TYL47"/>
    <mergeCell ref="TYM47:TYN47"/>
    <mergeCell ref="TXU47:TXV47"/>
    <mergeCell ref="TXW47:TXX47"/>
    <mergeCell ref="TXY47:TXZ47"/>
    <mergeCell ref="TYA47:TYB47"/>
    <mergeCell ref="TYC47:TYD47"/>
    <mergeCell ref="TXK47:TXL47"/>
    <mergeCell ref="TXM47:TXN47"/>
    <mergeCell ref="TXO47:TXP47"/>
    <mergeCell ref="TXQ47:TXR47"/>
    <mergeCell ref="TXS47:TXT47"/>
    <mergeCell ref="TXA47:TXB47"/>
    <mergeCell ref="TXC47:TXD47"/>
    <mergeCell ref="TXE47:TXF47"/>
    <mergeCell ref="TXG47:TXH47"/>
    <mergeCell ref="TXI47:TXJ47"/>
    <mergeCell ref="TZS47:TZT47"/>
    <mergeCell ref="TZU47:TZV47"/>
    <mergeCell ref="TZW47:TZX47"/>
    <mergeCell ref="TZY47:TZZ47"/>
    <mergeCell ref="UAA47:UAB47"/>
    <mergeCell ref="TZI47:TZJ47"/>
    <mergeCell ref="TZK47:TZL47"/>
    <mergeCell ref="TZM47:TZN47"/>
    <mergeCell ref="TZO47:TZP47"/>
    <mergeCell ref="TZQ47:TZR47"/>
    <mergeCell ref="TYY47:TYZ47"/>
    <mergeCell ref="TZA47:TZB47"/>
    <mergeCell ref="TZC47:TZD47"/>
    <mergeCell ref="TZE47:TZF47"/>
    <mergeCell ref="TZG47:TZH47"/>
    <mergeCell ref="TYO47:TYP47"/>
    <mergeCell ref="TYQ47:TYR47"/>
    <mergeCell ref="TYS47:TYT47"/>
    <mergeCell ref="TYU47:TYV47"/>
    <mergeCell ref="TYW47:TYX47"/>
    <mergeCell ref="UBG47:UBH47"/>
    <mergeCell ref="UBI47:UBJ47"/>
    <mergeCell ref="UBK47:UBL47"/>
    <mergeCell ref="UBM47:UBN47"/>
    <mergeCell ref="UBO47:UBP47"/>
    <mergeCell ref="UAW47:UAX47"/>
    <mergeCell ref="UAY47:UAZ47"/>
    <mergeCell ref="UBA47:UBB47"/>
    <mergeCell ref="UBC47:UBD47"/>
    <mergeCell ref="UBE47:UBF47"/>
    <mergeCell ref="UAM47:UAN47"/>
    <mergeCell ref="UAO47:UAP47"/>
    <mergeCell ref="UAQ47:UAR47"/>
    <mergeCell ref="UAS47:UAT47"/>
    <mergeCell ref="UAU47:UAV47"/>
    <mergeCell ref="UAC47:UAD47"/>
    <mergeCell ref="UAE47:UAF47"/>
    <mergeCell ref="UAG47:UAH47"/>
    <mergeCell ref="UAI47:UAJ47"/>
    <mergeCell ref="UAK47:UAL47"/>
    <mergeCell ref="UCU47:UCV47"/>
    <mergeCell ref="UCW47:UCX47"/>
    <mergeCell ref="UCY47:UCZ47"/>
    <mergeCell ref="UDA47:UDB47"/>
    <mergeCell ref="UDC47:UDD47"/>
    <mergeCell ref="UCK47:UCL47"/>
    <mergeCell ref="UCM47:UCN47"/>
    <mergeCell ref="UCO47:UCP47"/>
    <mergeCell ref="UCQ47:UCR47"/>
    <mergeCell ref="UCS47:UCT47"/>
    <mergeCell ref="UCA47:UCB47"/>
    <mergeCell ref="UCC47:UCD47"/>
    <mergeCell ref="UCE47:UCF47"/>
    <mergeCell ref="UCG47:UCH47"/>
    <mergeCell ref="UCI47:UCJ47"/>
    <mergeCell ref="UBQ47:UBR47"/>
    <mergeCell ref="UBS47:UBT47"/>
    <mergeCell ref="UBU47:UBV47"/>
    <mergeCell ref="UBW47:UBX47"/>
    <mergeCell ref="UBY47:UBZ47"/>
    <mergeCell ref="UEI47:UEJ47"/>
    <mergeCell ref="UEK47:UEL47"/>
    <mergeCell ref="UEM47:UEN47"/>
    <mergeCell ref="UEO47:UEP47"/>
    <mergeCell ref="UEQ47:UER47"/>
    <mergeCell ref="UDY47:UDZ47"/>
    <mergeCell ref="UEA47:UEB47"/>
    <mergeCell ref="UEC47:UED47"/>
    <mergeCell ref="UEE47:UEF47"/>
    <mergeCell ref="UEG47:UEH47"/>
    <mergeCell ref="UDO47:UDP47"/>
    <mergeCell ref="UDQ47:UDR47"/>
    <mergeCell ref="UDS47:UDT47"/>
    <mergeCell ref="UDU47:UDV47"/>
    <mergeCell ref="UDW47:UDX47"/>
    <mergeCell ref="UDE47:UDF47"/>
    <mergeCell ref="UDG47:UDH47"/>
    <mergeCell ref="UDI47:UDJ47"/>
    <mergeCell ref="UDK47:UDL47"/>
    <mergeCell ref="UDM47:UDN47"/>
    <mergeCell ref="UFW47:UFX47"/>
    <mergeCell ref="UFY47:UFZ47"/>
    <mergeCell ref="UGA47:UGB47"/>
    <mergeCell ref="UGC47:UGD47"/>
    <mergeCell ref="UGE47:UGF47"/>
    <mergeCell ref="UFM47:UFN47"/>
    <mergeCell ref="UFO47:UFP47"/>
    <mergeCell ref="UFQ47:UFR47"/>
    <mergeCell ref="UFS47:UFT47"/>
    <mergeCell ref="UFU47:UFV47"/>
    <mergeCell ref="UFC47:UFD47"/>
    <mergeCell ref="UFE47:UFF47"/>
    <mergeCell ref="UFG47:UFH47"/>
    <mergeCell ref="UFI47:UFJ47"/>
    <mergeCell ref="UFK47:UFL47"/>
    <mergeCell ref="UES47:UET47"/>
    <mergeCell ref="UEU47:UEV47"/>
    <mergeCell ref="UEW47:UEX47"/>
    <mergeCell ref="UEY47:UEZ47"/>
    <mergeCell ref="UFA47:UFB47"/>
    <mergeCell ref="UHK47:UHL47"/>
    <mergeCell ref="UHM47:UHN47"/>
    <mergeCell ref="UHO47:UHP47"/>
    <mergeCell ref="UHQ47:UHR47"/>
    <mergeCell ref="UHS47:UHT47"/>
    <mergeCell ref="UHA47:UHB47"/>
    <mergeCell ref="UHC47:UHD47"/>
    <mergeCell ref="UHE47:UHF47"/>
    <mergeCell ref="UHG47:UHH47"/>
    <mergeCell ref="UHI47:UHJ47"/>
    <mergeCell ref="UGQ47:UGR47"/>
    <mergeCell ref="UGS47:UGT47"/>
    <mergeCell ref="UGU47:UGV47"/>
    <mergeCell ref="UGW47:UGX47"/>
    <mergeCell ref="UGY47:UGZ47"/>
    <mergeCell ref="UGG47:UGH47"/>
    <mergeCell ref="UGI47:UGJ47"/>
    <mergeCell ref="UGK47:UGL47"/>
    <mergeCell ref="UGM47:UGN47"/>
    <mergeCell ref="UGO47:UGP47"/>
    <mergeCell ref="UIY47:UIZ47"/>
    <mergeCell ref="UJA47:UJB47"/>
    <mergeCell ref="UJC47:UJD47"/>
    <mergeCell ref="UJE47:UJF47"/>
    <mergeCell ref="UJG47:UJH47"/>
    <mergeCell ref="UIO47:UIP47"/>
    <mergeCell ref="UIQ47:UIR47"/>
    <mergeCell ref="UIS47:UIT47"/>
    <mergeCell ref="UIU47:UIV47"/>
    <mergeCell ref="UIW47:UIX47"/>
    <mergeCell ref="UIE47:UIF47"/>
    <mergeCell ref="UIG47:UIH47"/>
    <mergeCell ref="UII47:UIJ47"/>
    <mergeCell ref="UIK47:UIL47"/>
    <mergeCell ref="UIM47:UIN47"/>
    <mergeCell ref="UHU47:UHV47"/>
    <mergeCell ref="UHW47:UHX47"/>
    <mergeCell ref="UHY47:UHZ47"/>
    <mergeCell ref="UIA47:UIB47"/>
    <mergeCell ref="UIC47:UID47"/>
    <mergeCell ref="UKM47:UKN47"/>
    <mergeCell ref="UKO47:UKP47"/>
    <mergeCell ref="UKQ47:UKR47"/>
    <mergeCell ref="UKS47:UKT47"/>
    <mergeCell ref="UKU47:UKV47"/>
    <mergeCell ref="UKC47:UKD47"/>
    <mergeCell ref="UKE47:UKF47"/>
    <mergeCell ref="UKG47:UKH47"/>
    <mergeCell ref="UKI47:UKJ47"/>
    <mergeCell ref="UKK47:UKL47"/>
    <mergeCell ref="UJS47:UJT47"/>
    <mergeCell ref="UJU47:UJV47"/>
    <mergeCell ref="UJW47:UJX47"/>
    <mergeCell ref="UJY47:UJZ47"/>
    <mergeCell ref="UKA47:UKB47"/>
    <mergeCell ref="UJI47:UJJ47"/>
    <mergeCell ref="UJK47:UJL47"/>
    <mergeCell ref="UJM47:UJN47"/>
    <mergeCell ref="UJO47:UJP47"/>
    <mergeCell ref="UJQ47:UJR47"/>
    <mergeCell ref="UMA47:UMB47"/>
    <mergeCell ref="UMC47:UMD47"/>
    <mergeCell ref="UME47:UMF47"/>
    <mergeCell ref="UMG47:UMH47"/>
    <mergeCell ref="UMI47:UMJ47"/>
    <mergeCell ref="ULQ47:ULR47"/>
    <mergeCell ref="ULS47:ULT47"/>
    <mergeCell ref="ULU47:ULV47"/>
    <mergeCell ref="ULW47:ULX47"/>
    <mergeCell ref="ULY47:ULZ47"/>
    <mergeCell ref="ULG47:ULH47"/>
    <mergeCell ref="ULI47:ULJ47"/>
    <mergeCell ref="ULK47:ULL47"/>
    <mergeCell ref="ULM47:ULN47"/>
    <mergeCell ref="ULO47:ULP47"/>
    <mergeCell ref="UKW47:UKX47"/>
    <mergeCell ref="UKY47:UKZ47"/>
    <mergeCell ref="ULA47:ULB47"/>
    <mergeCell ref="ULC47:ULD47"/>
    <mergeCell ref="ULE47:ULF47"/>
    <mergeCell ref="UNO47:UNP47"/>
    <mergeCell ref="UNQ47:UNR47"/>
    <mergeCell ref="UNS47:UNT47"/>
    <mergeCell ref="UNU47:UNV47"/>
    <mergeCell ref="UNW47:UNX47"/>
    <mergeCell ref="UNE47:UNF47"/>
    <mergeCell ref="UNG47:UNH47"/>
    <mergeCell ref="UNI47:UNJ47"/>
    <mergeCell ref="UNK47:UNL47"/>
    <mergeCell ref="UNM47:UNN47"/>
    <mergeCell ref="UMU47:UMV47"/>
    <mergeCell ref="UMW47:UMX47"/>
    <mergeCell ref="UMY47:UMZ47"/>
    <mergeCell ref="UNA47:UNB47"/>
    <mergeCell ref="UNC47:UND47"/>
    <mergeCell ref="UMK47:UML47"/>
    <mergeCell ref="UMM47:UMN47"/>
    <mergeCell ref="UMO47:UMP47"/>
    <mergeCell ref="UMQ47:UMR47"/>
    <mergeCell ref="UMS47:UMT47"/>
    <mergeCell ref="UPC47:UPD47"/>
    <mergeCell ref="UPE47:UPF47"/>
    <mergeCell ref="UPG47:UPH47"/>
    <mergeCell ref="UPI47:UPJ47"/>
    <mergeCell ref="UPK47:UPL47"/>
    <mergeCell ref="UOS47:UOT47"/>
    <mergeCell ref="UOU47:UOV47"/>
    <mergeCell ref="UOW47:UOX47"/>
    <mergeCell ref="UOY47:UOZ47"/>
    <mergeCell ref="UPA47:UPB47"/>
    <mergeCell ref="UOI47:UOJ47"/>
    <mergeCell ref="UOK47:UOL47"/>
    <mergeCell ref="UOM47:UON47"/>
    <mergeCell ref="UOO47:UOP47"/>
    <mergeCell ref="UOQ47:UOR47"/>
    <mergeCell ref="UNY47:UNZ47"/>
    <mergeCell ref="UOA47:UOB47"/>
    <mergeCell ref="UOC47:UOD47"/>
    <mergeCell ref="UOE47:UOF47"/>
    <mergeCell ref="UOG47:UOH47"/>
    <mergeCell ref="UQQ47:UQR47"/>
    <mergeCell ref="UQS47:UQT47"/>
    <mergeCell ref="UQU47:UQV47"/>
    <mergeCell ref="UQW47:UQX47"/>
    <mergeCell ref="UQY47:UQZ47"/>
    <mergeCell ref="UQG47:UQH47"/>
    <mergeCell ref="UQI47:UQJ47"/>
    <mergeCell ref="UQK47:UQL47"/>
    <mergeCell ref="UQM47:UQN47"/>
    <mergeCell ref="UQO47:UQP47"/>
    <mergeCell ref="UPW47:UPX47"/>
    <mergeCell ref="UPY47:UPZ47"/>
    <mergeCell ref="UQA47:UQB47"/>
    <mergeCell ref="UQC47:UQD47"/>
    <mergeCell ref="UQE47:UQF47"/>
    <mergeCell ref="UPM47:UPN47"/>
    <mergeCell ref="UPO47:UPP47"/>
    <mergeCell ref="UPQ47:UPR47"/>
    <mergeCell ref="UPS47:UPT47"/>
    <mergeCell ref="UPU47:UPV47"/>
    <mergeCell ref="USE47:USF47"/>
    <mergeCell ref="USG47:USH47"/>
    <mergeCell ref="USI47:USJ47"/>
    <mergeCell ref="USK47:USL47"/>
    <mergeCell ref="USM47:USN47"/>
    <mergeCell ref="URU47:URV47"/>
    <mergeCell ref="URW47:URX47"/>
    <mergeCell ref="URY47:URZ47"/>
    <mergeCell ref="USA47:USB47"/>
    <mergeCell ref="USC47:USD47"/>
    <mergeCell ref="URK47:URL47"/>
    <mergeCell ref="URM47:URN47"/>
    <mergeCell ref="URO47:URP47"/>
    <mergeCell ref="URQ47:URR47"/>
    <mergeCell ref="URS47:URT47"/>
    <mergeCell ref="URA47:URB47"/>
    <mergeCell ref="URC47:URD47"/>
    <mergeCell ref="URE47:URF47"/>
    <mergeCell ref="URG47:URH47"/>
    <mergeCell ref="URI47:URJ47"/>
    <mergeCell ref="UTS47:UTT47"/>
    <mergeCell ref="UTU47:UTV47"/>
    <mergeCell ref="UTW47:UTX47"/>
    <mergeCell ref="UTY47:UTZ47"/>
    <mergeCell ref="UUA47:UUB47"/>
    <mergeCell ref="UTI47:UTJ47"/>
    <mergeCell ref="UTK47:UTL47"/>
    <mergeCell ref="UTM47:UTN47"/>
    <mergeCell ref="UTO47:UTP47"/>
    <mergeCell ref="UTQ47:UTR47"/>
    <mergeCell ref="USY47:USZ47"/>
    <mergeCell ref="UTA47:UTB47"/>
    <mergeCell ref="UTC47:UTD47"/>
    <mergeCell ref="UTE47:UTF47"/>
    <mergeCell ref="UTG47:UTH47"/>
    <mergeCell ref="USO47:USP47"/>
    <mergeCell ref="USQ47:USR47"/>
    <mergeCell ref="USS47:UST47"/>
    <mergeCell ref="USU47:USV47"/>
    <mergeCell ref="USW47:USX47"/>
    <mergeCell ref="UVG47:UVH47"/>
    <mergeCell ref="UVI47:UVJ47"/>
    <mergeCell ref="UVK47:UVL47"/>
    <mergeCell ref="UVM47:UVN47"/>
    <mergeCell ref="UVO47:UVP47"/>
    <mergeCell ref="UUW47:UUX47"/>
    <mergeCell ref="UUY47:UUZ47"/>
    <mergeCell ref="UVA47:UVB47"/>
    <mergeCell ref="UVC47:UVD47"/>
    <mergeCell ref="UVE47:UVF47"/>
    <mergeCell ref="UUM47:UUN47"/>
    <mergeCell ref="UUO47:UUP47"/>
    <mergeCell ref="UUQ47:UUR47"/>
    <mergeCell ref="UUS47:UUT47"/>
    <mergeCell ref="UUU47:UUV47"/>
    <mergeCell ref="UUC47:UUD47"/>
    <mergeCell ref="UUE47:UUF47"/>
    <mergeCell ref="UUG47:UUH47"/>
    <mergeCell ref="UUI47:UUJ47"/>
    <mergeCell ref="UUK47:UUL47"/>
    <mergeCell ref="UWU47:UWV47"/>
    <mergeCell ref="UWW47:UWX47"/>
    <mergeCell ref="UWY47:UWZ47"/>
    <mergeCell ref="UXA47:UXB47"/>
    <mergeCell ref="UXC47:UXD47"/>
    <mergeCell ref="UWK47:UWL47"/>
    <mergeCell ref="UWM47:UWN47"/>
    <mergeCell ref="UWO47:UWP47"/>
    <mergeCell ref="UWQ47:UWR47"/>
    <mergeCell ref="UWS47:UWT47"/>
    <mergeCell ref="UWA47:UWB47"/>
    <mergeCell ref="UWC47:UWD47"/>
    <mergeCell ref="UWE47:UWF47"/>
    <mergeCell ref="UWG47:UWH47"/>
    <mergeCell ref="UWI47:UWJ47"/>
    <mergeCell ref="UVQ47:UVR47"/>
    <mergeCell ref="UVS47:UVT47"/>
    <mergeCell ref="UVU47:UVV47"/>
    <mergeCell ref="UVW47:UVX47"/>
    <mergeCell ref="UVY47:UVZ47"/>
    <mergeCell ref="UYI47:UYJ47"/>
    <mergeCell ref="UYK47:UYL47"/>
    <mergeCell ref="UYM47:UYN47"/>
    <mergeCell ref="UYO47:UYP47"/>
    <mergeCell ref="UYQ47:UYR47"/>
    <mergeCell ref="UXY47:UXZ47"/>
    <mergeCell ref="UYA47:UYB47"/>
    <mergeCell ref="UYC47:UYD47"/>
    <mergeCell ref="UYE47:UYF47"/>
    <mergeCell ref="UYG47:UYH47"/>
    <mergeCell ref="UXO47:UXP47"/>
    <mergeCell ref="UXQ47:UXR47"/>
    <mergeCell ref="UXS47:UXT47"/>
    <mergeCell ref="UXU47:UXV47"/>
    <mergeCell ref="UXW47:UXX47"/>
    <mergeCell ref="UXE47:UXF47"/>
    <mergeCell ref="UXG47:UXH47"/>
    <mergeCell ref="UXI47:UXJ47"/>
    <mergeCell ref="UXK47:UXL47"/>
    <mergeCell ref="UXM47:UXN47"/>
    <mergeCell ref="UZW47:UZX47"/>
    <mergeCell ref="UZY47:UZZ47"/>
    <mergeCell ref="VAA47:VAB47"/>
    <mergeCell ref="VAC47:VAD47"/>
    <mergeCell ref="VAE47:VAF47"/>
    <mergeCell ref="UZM47:UZN47"/>
    <mergeCell ref="UZO47:UZP47"/>
    <mergeCell ref="UZQ47:UZR47"/>
    <mergeCell ref="UZS47:UZT47"/>
    <mergeCell ref="UZU47:UZV47"/>
    <mergeCell ref="UZC47:UZD47"/>
    <mergeCell ref="UZE47:UZF47"/>
    <mergeCell ref="UZG47:UZH47"/>
    <mergeCell ref="UZI47:UZJ47"/>
    <mergeCell ref="UZK47:UZL47"/>
    <mergeCell ref="UYS47:UYT47"/>
    <mergeCell ref="UYU47:UYV47"/>
    <mergeCell ref="UYW47:UYX47"/>
    <mergeCell ref="UYY47:UYZ47"/>
    <mergeCell ref="UZA47:UZB47"/>
    <mergeCell ref="VBK47:VBL47"/>
    <mergeCell ref="VBM47:VBN47"/>
    <mergeCell ref="VBO47:VBP47"/>
    <mergeCell ref="VBQ47:VBR47"/>
    <mergeCell ref="VBS47:VBT47"/>
    <mergeCell ref="VBA47:VBB47"/>
    <mergeCell ref="VBC47:VBD47"/>
    <mergeCell ref="VBE47:VBF47"/>
    <mergeCell ref="VBG47:VBH47"/>
    <mergeCell ref="VBI47:VBJ47"/>
    <mergeCell ref="VAQ47:VAR47"/>
    <mergeCell ref="VAS47:VAT47"/>
    <mergeCell ref="VAU47:VAV47"/>
    <mergeCell ref="VAW47:VAX47"/>
    <mergeCell ref="VAY47:VAZ47"/>
    <mergeCell ref="VAG47:VAH47"/>
    <mergeCell ref="VAI47:VAJ47"/>
    <mergeCell ref="VAK47:VAL47"/>
    <mergeCell ref="VAM47:VAN47"/>
    <mergeCell ref="VAO47:VAP47"/>
    <mergeCell ref="VCY47:VCZ47"/>
    <mergeCell ref="VDA47:VDB47"/>
    <mergeCell ref="VDC47:VDD47"/>
    <mergeCell ref="VDE47:VDF47"/>
    <mergeCell ref="VDG47:VDH47"/>
    <mergeCell ref="VCO47:VCP47"/>
    <mergeCell ref="VCQ47:VCR47"/>
    <mergeCell ref="VCS47:VCT47"/>
    <mergeCell ref="VCU47:VCV47"/>
    <mergeCell ref="VCW47:VCX47"/>
    <mergeCell ref="VCE47:VCF47"/>
    <mergeCell ref="VCG47:VCH47"/>
    <mergeCell ref="VCI47:VCJ47"/>
    <mergeCell ref="VCK47:VCL47"/>
    <mergeCell ref="VCM47:VCN47"/>
    <mergeCell ref="VBU47:VBV47"/>
    <mergeCell ref="VBW47:VBX47"/>
    <mergeCell ref="VBY47:VBZ47"/>
    <mergeCell ref="VCA47:VCB47"/>
    <mergeCell ref="VCC47:VCD47"/>
    <mergeCell ref="VEM47:VEN47"/>
    <mergeCell ref="VEO47:VEP47"/>
    <mergeCell ref="VEQ47:VER47"/>
    <mergeCell ref="VES47:VET47"/>
    <mergeCell ref="VEU47:VEV47"/>
    <mergeCell ref="VEC47:VED47"/>
    <mergeCell ref="VEE47:VEF47"/>
    <mergeCell ref="VEG47:VEH47"/>
    <mergeCell ref="VEI47:VEJ47"/>
    <mergeCell ref="VEK47:VEL47"/>
    <mergeCell ref="VDS47:VDT47"/>
    <mergeCell ref="VDU47:VDV47"/>
    <mergeCell ref="VDW47:VDX47"/>
    <mergeCell ref="VDY47:VDZ47"/>
    <mergeCell ref="VEA47:VEB47"/>
    <mergeCell ref="VDI47:VDJ47"/>
    <mergeCell ref="VDK47:VDL47"/>
    <mergeCell ref="VDM47:VDN47"/>
    <mergeCell ref="VDO47:VDP47"/>
    <mergeCell ref="VDQ47:VDR47"/>
    <mergeCell ref="VGA47:VGB47"/>
    <mergeCell ref="VGC47:VGD47"/>
    <mergeCell ref="VGE47:VGF47"/>
    <mergeCell ref="VGG47:VGH47"/>
    <mergeCell ref="VGI47:VGJ47"/>
    <mergeCell ref="VFQ47:VFR47"/>
    <mergeCell ref="VFS47:VFT47"/>
    <mergeCell ref="VFU47:VFV47"/>
    <mergeCell ref="VFW47:VFX47"/>
    <mergeCell ref="VFY47:VFZ47"/>
    <mergeCell ref="VFG47:VFH47"/>
    <mergeCell ref="VFI47:VFJ47"/>
    <mergeCell ref="VFK47:VFL47"/>
    <mergeCell ref="VFM47:VFN47"/>
    <mergeCell ref="VFO47:VFP47"/>
    <mergeCell ref="VEW47:VEX47"/>
    <mergeCell ref="VEY47:VEZ47"/>
    <mergeCell ref="VFA47:VFB47"/>
    <mergeCell ref="VFC47:VFD47"/>
    <mergeCell ref="VFE47:VFF47"/>
    <mergeCell ref="VHO47:VHP47"/>
    <mergeCell ref="VHQ47:VHR47"/>
    <mergeCell ref="VHS47:VHT47"/>
    <mergeCell ref="VHU47:VHV47"/>
    <mergeCell ref="VHW47:VHX47"/>
    <mergeCell ref="VHE47:VHF47"/>
    <mergeCell ref="VHG47:VHH47"/>
    <mergeCell ref="VHI47:VHJ47"/>
    <mergeCell ref="VHK47:VHL47"/>
    <mergeCell ref="VHM47:VHN47"/>
    <mergeCell ref="VGU47:VGV47"/>
    <mergeCell ref="VGW47:VGX47"/>
    <mergeCell ref="VGY47:VGZ47"/>
    <mergeCell ref="VHA47:VHB47"/>
    <mergeCell ref="VHC47:VHD47"/>
    <mergeCell ref="VGK47:VGL47"/>
    <mergeCell ref="VGM47:VGN47"/>
    <mergeCell ref="VGO47:VGP47"/>
    <mergeCell ref="VGQ47:VGR47"/>
    <mergeCell ref="VGS47:VGT47"/>
    <mergeCell ref="VJC47:VJD47"/>
    <mergeCell ref="VJE47:VJF47"/>
    <mergeCell ref="VJG47:VJH47"/>
    <mergeCell ref="VJI47:VJJ47"/>
    <mergeCell ref="VJK47:VJL47"/>
    <mergeCell ref="VIS47:VIT47"/>
    <mergeCell ref="VIU47:VIV47"/>
    <mergeCell ref="VIW47:VIX47"/>
    <mergeCell ref="VIY47:VIZ47"/>
    <mergeCell ref="VJA47:VJB47"/>
    <mergeCell ref="VII47:VIJ47"/>
    <mergeCell ref="VIK47:VIL47"/>
    <mergeCell ref="VIM47:VIN47"/>
    <mergeCell ref="VIO47:VIP47"/>
    <mergeCell ref="VIQ47:VIR47"/>
    <mergeCell ref="VHY47:VHZ47"/>
    <mergeCell ref="VIA47:VIB47"/>
    <mergeCell ref="VIC47:VID47"/>
    <mergeCell ref="VIE47:VIF47"/>
    <mergeCell ref="VIG47:VIH47"/>
    <mergeCell ref="VKQ47:VKR47"/>
    <mergeCell ref="VKS47:VKT47"/>
    <mergeCell ref="VKU47:VKV47"/>
    <mergeCell ref="VKW47:VKX47"/>
    <mergeCell ref="VKY47:VKZ47"/>
    <mergeCell ref="VKG47:VKH47"/>
    <mergeCell ref="VKI47:VKJ47"/>
    <mergeCell ref="VKK47:VKL47"/>
    <mergeCell ref="VKM47:VKN47"/>
    <mergeCell ref="VKO47:VKP47"/>
    <mergeCell ref="VJW47:VJX47"/>
    <mergeCell ref="VJY47:VJZ47"/>
    <mergeCell ref="VKA47:VKB47"/>
    <mergeCell ref="VKC47:VKD47"/>
    <mergeCell ref="VKE47:VKF47"/>
    <mergeCell ref="VJM47:VJN47"/>
    <mergeCell ref="VJO47:VJP47"/>
    <mergeCell ref="VJQ47:VJR47"/>
    <mergeCell ref="VJS47:VJT47"/>
    <mergeCell ref="VJU47:VJV47"/>
    <mergeCell ref="VME47:VMF47"/>
    <mergeCell ref="VMG47:VMH47"/>
    <mergeCell ref="VMI47:VMJ47"/>
    <mergeCell ref="VMK47:VML47"/>
    <mergeCell ref="VMM47:VMN47"/>
    <mergeCell ref="VLU47:VLV47"/>
    <mergeCell ref="VLW47:VLX47"/>
    <mergeCell ref="VLY47:VLZ47"/>
    <mergeCell ref="VMA47:VMB47"/>
    <mergeCell ref="VMC47:VMD47"/>
    <mergeCell ref="VLK47:VLL47"/>
    <mergeCell ref="VLM47:VLN47"/>
    <mergeCell ref="VLO47:VLP47"/>
    <mergeCell ref="VLQ47:VLR47"/>
    <mergeCell ref="VLS47:VLT47"/>
    <mergeCell ref="VLA47:VLB47"/>
    <mergeCell ref="VLC47:VLD47"/>
    <mergeCell ref="VLE47:VLF47"/>
    <mergeCell ref="VLG47:VLH47"/>
    <mergeCell ref="VLI47:VLJ47"/>
    <mergeCell ref="VNS47:VNT47"/>
    <mergeCell ref="VNU47:VNV47"/>
    <mergeCell ref="VNW47:VNX47"/>
    <mergeCell ref="VNY47:VNZ47"/>
    <mergeCell ref="VOA47:VOB47"/>
    <mergeCell ref="VNI47:VNJ47"/>
    <mergeCell ref="VNK47:VNL47"/>
    <mergeCell ref="VNM47:VNN47"/>
    <mergeCell ref="VNO47:VNP47"/>
    <mergeCell ref="VNQ47:VNR47"/>
    <mergeCell ref="VMY47:VMZ47"/>
    <mergeCell ref="VNA47:VNB47"/>
    <mergeCell ref="VNC47:VND47"/>
    <mergeCell ref="VNE47:VNF47"/>
    <mergeCell ref="VNG47:VNH47"/>
    <mergeCell ref="VMO47:VMP47"/>
    <mergeCell ref="VMQ47:VMR47"/>
    <mergeCell ref="VMS47:VMT47"/>
    <mergeCell ref="VMU47:VMV47"/>
    <mergeCell ref="VMW47:VMX47"/>
    <mergeCell ref="VPG47:VPH47"/>
    <mergeCell ref="VPI47:VPJ47"/>
    <mergeCell ref="VPK47:VPL47"/>
    <mergeCell ref="VPM47:VPN47"/>
    <mergeCell ref="VPO47:VPP47"/>
    <mergeCell ref="VOW47:VOX47"/>
    <mergeCell ref="VOY47:VOZ47"/>
    <mergeCell ref="VPA47:VPB47"/>
    <mergeCell ref="VPC47:VPD47"/>
    <mergeCell ref="VPE47:VPF47"/>
    <mergeCell ref="VOM47:VON47"/>
    <mergeCell ref="VOO47:VOP47"/>
    <mergeCell ref="VOQ47:VOR47"/>
    <mergeCell ref="VOS47:VOT47"/>
    <mergeCell ref="VOU47:VOV47"/>
    <mergeCell ref="VOC47:VOD47"/>
    <mergeCell ref="VOE47:VOF47"/>
    <mergeCell ref="VOG47:VOH47"/>
    <mergeCell ref="VOI47:VOJ47"/>
    <mergeCell ref="VOK47:VOL47"/>
    <mergeCell ref="VQU47:VQV47"/>
    <mergeCell ref="VQW47:VQX47"/>
    <mergeCell ref="VQY47:VQZ47"/>
    <mergeCell ref="VRA47:VRB47"/>
    <mergeCell ref="VRC47:VRD47"/>
    <mergeCell ref="VQK47:VQL47"/>
    <mergeCell ref="VQM47:VQN47"/>
    <mergeCell ref="VQO47:VQP47"/>
    <mergeCell ref="VQQ47:VQR47"/>
    <mergeCell ref="VQS47:VQT47"/>
    <mergeCell ref="VQA47:VQB47"/>
    <mergeCell ref="VQC47:VQD47"/>
    <mergeCell ref="VQE47:VQF47"/>
    <mergeCell ref="VQG47:VQH47"/>
    <mergeCell ref="VQI47:VQJ47"/>
    <mergeCell ref="VPQ47:VPR47"/>
    <mergeCell ref="VPS47:VPT47"/>
    <mergeCell ref="VPU47:VPV47"/>
    <mergeCell ref="VPW47:VPX47"/>
    <mergeCell ref="VPY47:VPZ47"/>
    <mergeCell ref="VSI47:VSJ47"/>
    <mergeCell ref="VSK47:VSL47"/>
    <mergeCell ref="VSM47:VSN47"/>
    <mergeCell ref="VSO47:VSP47"/>
    <mergeCell ref="VSQ47:VSR47"/>
    <mergeCell ref="VRY47:VRZ47"/>
    <mergeCell ref="VSA47:VSB47"/>
    <mergeCell ref="VSC47:VSD47"/>
    <mergeCell ref="VSE47:VSF47"/>
    <mergeCell ref="VSG47:VSH47"/>
    <mergeCell ref="VRO47:VRP47"/>
    <mergeCell ref="VRQ47:VRR47"/>
    <mergeCell ref="VRS47:VRT47"/>
    <mergeCell ref="VRU47:VRV47"/>
    <mergeCell ref="VRW47:VRX47"/>
    <mergeCell ref="VRE47:VRF47"/>
    <mergeCell ref="VRG47:VRH47"/>
    <mergeCell ref="VRI47:VRJ47"/>
    <mergeCell ref="VRK47:VRL47"/>
    <mergeCell ref="VRM47:VRN47"/>
    <mergeCell ref="VTW47:VTX47"/>
    <mergeCell ref="VTY47:VTZ47"/>
    <mergeCell ref="VUA47:VUB47"/>
    <mergeCell ref="VUC47:VUD47"/>
    <mergeCell ref="VUE47:VUF47"/>
    <mergeCell ref="VTM47:VTN47"/>
    <mergeCell ref="VTO47:VTP47"/>
    <mergeCell ref="VTQ47:VTR47"/>
    <mergeCell ref="VTS47:VTT47"/>
    <mergeCell ref="VTU47:VTV47"/>
    <mergeCell ref="VTC47:VTD47"/>
    <mergeCell ref="VTE47:VTF47"/>
    <mergeCell ref="VTG47:VTH47"/>
    <mergeCell ref="VTI47:VTJ47"/>
    <mergeCell ref="VTK47:VTL47"/>
    <mergeCell ref="VSS47:VST47"/>
    <mergeCell ref="VSU47:VSV47"/>
    <mergeCell ref="VSW47:VSX47"/>
    <mergeCell ref="VSY47:VSZ47"/>
    <mergeCell ref="VTA47:VTB47"/>
    <mergeCell ref="VVK47:VVL47"/>
    <mergeCell ref="VVM47:VVN47"/>
    <mergeCell ref="VVO47:VVP47"/>
    <mergeCell ref="VVQ47:VVR47"/>
    <mergeCell ref="VVS47:VVT47"/>
    <mergeCell ref="VVA47:VVB47"/>
    <mergeCell ref="VVC47:VVD47"/>
    <mergeCell ref="VVE47:VVF47"/>
    <mergeCell ref="VVG47:VVH47"/>
    <mergeCell ref="VVI47:VVJ47"/>
    <mergeCell ref="VUQ47:VUR47"/>
    <mergeCell ref="VUS47:VUT47"/>
    <mergeCell ref="VUU47:VUV47"/>
    <mergeCell ref="VUW47:VUX47"/>
    <mergeCell ref="VUY47:VUZ47"/>
    <mergeCell ref="VUG47:VUH47"/>
    <mergeCell ref="VUI47:VUJ47"/>
    <mergeCell ref="VUK47:VUL47"/>
    <mergeCell ref="VUM47:VUN47"/>
    <mergeCell ref="VUO47:VUP47"/>
    <mergeCell ref="VWY47:VWZ47"/>
    <mergeCell ref="VXA47:VXB47"/>
    <mergeCell ref="VXC47:VXD47"/>
    <mergeCell ref="VXE47:VXF47"/>
    <mergeCell ref="VXG47:VXH47"/>
    <mergeCell ref="VWO47:VWP47"/>
    <mergeCell ref="VWQ47:VWR47"/>
    <mergeCell ref="VWS47:VWT47"/>
    <mergeCell ref="VWU47:VWV47"/>
    <mergeCell ref="VWW47:VWX47"/>
    <mergeCell ref="VWE47:VWF47"/>
    <mergeCell ref="VWG47:VWH47"/>
    <mergeCell ref="VWI47:VWJ47"/>
    <mergeCell ref="VWK47:VWL47"/>
    <mergeCell ref="VWM47:VWN47"/>
    <mergeCell ref="VVU47:VVV47"/>
    <mergeCell ref="VVW47:VVX47"/>
    <mergeCell ref="VVY47:VVZ47"/>
    <mergeCell ref="VWA47:VWB47"/>
    <mergeCell ref="VWC47:VWD47"/>
    <mergeCell ref="VYM47:VYN47"/>
    <mergeCell ref="VYO47:VYP47"/>
    <mergeCell ref="VYQ47:VYR47"/>
    <mergeCell ref="VYS47:VYT47"/>
    <mergeCell ref="VYU47:VYV47"/>
    <mergeCell ref="VYC47:VYD47"/>
    <mergeCell ref="VYE47:VYF47"/>
    <mergeCell ref="VYG47:VYH47"/>
    <mergeCell ref="VYI47:VYJ47"/>
    <mergeCell ref="VYK47:VYL47"/>
    <mergeCell ref="VXS47:VXT47"/>
    <mergeCell ref="VXU47:VXV47"/>
    <mergeCell ref="VXW47:VXX47"/>
    <mergeCell ref="VXY47:VXZ47"/>
    <mergeCell ref="VYA47:VYB47"/>
    <mergeCell ref="VXI47:VXJ47"/>
    <mergeCell ref="VXK47:VXL47"/>
    <mergeCell ref="VXM47:VXN47"/>
    <mergeCell ref="VXO47:VXP47"/>
    <mergeCell ref="VXQ47:VXR47"/>
    <mergeCell ref="WAA47:WAB47"/>
    <mergeCell ref="WAC47:WAD47"/>
    <mergeCell ref="WAE47:WAF47"/>
    <mergeCell ref="WAG47:WAH47"/>
    <mergeCell ref="WAI47:WAJ47"/>
    <mergeCell ref="VZQ47:VZR47"/>
    <mergeCell ref="VZS47:VZT47"/>
    <mergeCell ref="VZU47:VZV47"/>
    <mergeCell ref="VZW47:VZX47"/>
    <mergeCell ref="VZY47:VZZ47"/>
    <mergeCell ref="VZG47:VZH47"/>
    <mergeCell ref="VZI47:VZJ47"/>
    <mergeCell ref="VZK47:VZL47"/>
    <mergeCell ref="VZM47:VZN47"/>
    <mergeCell ref="VZO47:VZP47"/>
    <mergeCell ref="VYW47:VYX47"/>
    <mergeCell ref="VYY47:VYZ47"/>
    <mergeCell ref="VZA47:VZB47"/>
    <mergeCell ref="VZC47:VZD47"/>
    <mergeCell ref="VZE47:VZF47"/>
    <mergeCell ref="WBO47:WBP47"/>
    <mergeCell ref="WBQ47:WBR47"/>
    <mergeCell ref="WBS47:WBT47"/>
    <mergeCell ref="WBU47:WBV47"/>
    <mergeCell ref="WBW47:WBX47"/>
    <mergeCell ref="WBE47:WBF47"/>
    <mergeCell ref="WBG47:WBH47"/>
    <mergeCell ref="WBI47:WBJ47"/>
    <mergeCell ref="WBK47:WBL47"/>
    <mergeCell ref="WBM47:WBN47"/>
    <mergeCell ref="WAU47:WAV47"/>
    <mergeCell ref="WAW47:WAX47"/>
    <mergeCell ref="WAY47:WAZ47"/>
    <mergeCell ref="WBA47:WBB47"/>
    <mergeCell ref="WBC47:WBD47"/>
    <mergeCell ref="WAK47:WAL47"/>
    <mergeCell ref="WAM47:WAN47"/>
    <mergeCell ref="WAO47:WAP47"/>
    <mergeCell ref="WAQ47:WAR47"/>
    <mergeCell ref="WAS47:WAT47"/>
    <mergeCell ref="WDC47:WDD47"/>
    <mergeCell ref="WDE47:WDF47"/>
    <mergeCell ref="WDG47:WDH47"/>
    <mergeCell ref="WDI47:WDJ47"/>
    <mergeCell ref="WDK47:WDL47"/>
    <mergeCell ref="WCS47:WCT47"/>
    <mergeCell ref="WCU47:WCV47"/>
    <mergeCell ref="WCW47:WCX47"/>
    <mergeCell ref="WCY47:WCZ47"/>
    <mergeCell ref="WDA47:WDB47"/>
    <mergeCell ref="WCI47:WCJ47"/>
    <mergeCell ref="WCK47:WCL47"/>
    <mergeCell ref="WCM47:WCN47"/>
    <mergeCell ref="WCO47:WCP47"/>
    <mergeCell ref="WCQ47:WCR47"/>
    <mergeCell ref="WBY47:WBZ47"/>
    <mergeCell ref="WCA47:WCB47"/>
    <mergeCell ref="WCC47:WCD47"/>
    <mergeCell ref="WCE47:WCF47"/>
    <mergeCell ref="WCG47:WCH47"/>
    <mergeCell ref="WEQ47:WER47"/>
    <mergeCell ref="WES47:WET47"/>
    <mergeCell ref="WEU47:WEV47"/>
    <mergeCell ref="WEW47:WEX47"/>
    <mergeCell ref="WEY47:WEZ47"/>
    <mergeCell ref="WEG47:WEH47"/>
    <mergeCell ref="WEI47:WEJ47"/>
    <mergeCell ref="WEK47:WEL47"/>
    <mergeCell ref="WEM47:WEN47"/>
    <mergeCell ref="WEO47:WEP47"/>
    <mergeCell ref="WDW47:WDX47"/>
    <mergeCell ref="WDY47:WDZ47"/>
    <mergeCell ref="WEA47:WEB47"/>
    <mergeCell ref="WEC47:WED47"/>
    <mergeCell ref="WEE47:WEF47"/>
    <mergeCell ref="WDM47:WDN47"/>
    <mergeCell ref="WDO47:WDP47"/>
    <mergeCell ref="WDQ47:WDR47"/>
    <mergeCell ref="WDS47:WDT47"/>
    <mergeCell ref="WDU47:WDV47"/>
    <mergeCell ref="WGE47:WGF47"/>
    <mergeCell ref="WGG47:WGH47"/>
    <mergeCell ref="WGI47:WGJ47"/>
    <mergeCell ref="WGK47:WGL47"/>
    <mergeCell ref="WGM47:WGN47"/>
    <mergeCell ref="WFU47:WFV47"/>
    <mergeCell ref="WFW47:WFX47"/>
    <mergeCell ref="WFY47:WFZ47"/>
    <mergeCell ref="WGA47:WGB47"/>
    <mergeCell ref="WGC47:WGD47"/>
    <mergeCell ref="WFK47:WFL47"/>
    <mergeCell ref="WFM47:WFN47"/>
    <mergeCell ref="WFO47:WFP47"/>
    <mergeCell ref="WFQ47:WFR47"/>
    <mergeCell ref="WFS47:WFT47"/>
    <mergeCell ref="WFA47:WFB47"/>
    <mergeCell ref="WFC47:WFD47"/>
    <mergeCell ref="WFE47:WFF47"/>
    <mergeCell ref="WFG47:WFH47"/>
    <mergeCell ref="WFI47:WFJ47"/>
    <mergeCell ref="WHS47:WHT47"/>
    <mergeCell ref="WHU47:WHV47"/>
    <mergeCell ref="WHW47:WHX47"/>
    <mergeCell ref="WHY47:WHZ47"/>
    <mergeCell ref="WIA47:WIB47"/>
    <mergeCell ref="WHI47:WHJ47"/>
    <mergeCell ref="WHK47:WHL47"/>
    <mergeCell ref="WHM47:WHN47"/>
    <mergeCell ref="WHO47:WHP47"/>
    <mergeCell ref="WHQ47:WHR47"/>
    <mergeCell ref="WGY47:WGZ47"/>
    <mergeCell ref="WHA47:WHB47"/>
    <mergeCell ref="WHC47:WHD47"/>
    <mergeCell ref="WHE47:WHF47"/>
    <mergeCell ref="WHG47:WHH47"/>
    <mergeCell ref="WGO47:WGP47"/>
    <mergeCell ref="WGQ47:WGR47"/>
    <mergeCell ref="WGS47:WGT47"/>
    <mergeCell ref="WGU47:WGV47"/>
    <mergeCell ref="WGW47:WGX47"/>
    <mergeCell ref="WJG47:WJH47"/>
    <mergeCell ref="WJI47:WJJ47"/>
    <mergeCell ref="WJK47:WJL47"/>
    <mergeCell ref="WJM47:WJN47"/>
    <mergeCell ref="WJO47:WJP47"/>
    <mergeCell ref="WIW47:WIX47"/>
    <mergeCell ref="WIY47:WIZ47"/>
    <mergeCell ref="WJA47:WJB47"/>
    <mergeCell ref="WJC47:WJD47"/>
    <mergeCell ref="WJE47:WJF47"/>
    <mergeCell ref="WIM47:WIN47"/>
    <mergeCell ref="WIO47:WIP47"/>
    <mergeCell ref="WIQ47:WIR47"/>
    <mergeCell ref="WIS47:WIT47"/>
    <mergeCell ref="WIU47:WIV47"/>
    <mergeCell ref="WIC47:WID47"/>
    <mergeCell ref="WIE47:WIF47"/>
    <mergeCell ref="WIG47:WIH47"/>
    <mergeCell ref="WII47:WIJ47"/>
    <mergeCell ref="WIK47:WIL47"/>
    <mergeCell ref="WKU47:WKV47"/>
    <mergeCell ref="WKW47:WKX47"/>
    <mergeCell ref="WKY47:WKZ47"/>
    <mergeCell ref="WLA47:WLB47"/>
    <mergeCell ref="WLC47:WLD47"/>
    <mergeCell ref="WKK47:WKL47"/>
    <mergeCell ref="WKM47:WKN47"/>
    <mergeCell ref="WKO47:WKP47"/>
    <mergeCell ref="WKQ47:WKR47"/>
    <mergeCell ref="WKS47:WKT47"/>
    <mergeCell ref="WKA47:WKB47"/>
    <mergeCell ref="WKC47:WKD47"/>
    <mergeCell ref="WKE47:WKF47"/>
    <mergeCell ref="WKG47:WKH47"/>
    <mergeCell ref="WKI47:WKJ47"/>
    <mergeCell ref="WJQ47:WJR47"/>
    <mergeCell ref="WJS47:WJT47"/>
    <mergeCell ref="WJU47:WJV47"/>
    <mergeCell ref="WJW47:WJX47"/>
    <mergeCell ref="WJY47:WJZ47"/>
    <mergeCell ref="WMI47:WMJ47"/>
    <mergeCell ref="WMK47:WML47"/>
    <mergeCell ref="WMM47:WMN47"/>
    <mergeCell ref="WMO47:WMP47"/>
    <mergeCell ref="WMQ47:WMR47"/>
    <mergeCell ref="WLY47:WLZ47"/>
    <mergeCell ref="WMA47:WMB47"/>
    <mergeCell ref="WMC47:WMD47"/>
    <mergeCell ref="WME47:WMF47"/>
    <mergeCell ref="WMG47:WMH47"/>
    <mergeCell ref="WLO47:WLP47"/>
    <mergeCell ref="WLQ47:WLR47"/>
    <mergeCell ref="WLS47:WLT47"/>
    <mergeCell ref="WLU47:WLV47"/>
    <mergeCell ref="WLW47:WLX47"/>
    <mergeCell ref="WLE47:WLF47"/>
    <mergeCell ref="WLG47:WLH47"/>
    <mergeCell ref="WLI47:WLJ47"/>
    <mergeCell ref="WLK47:WLL47"/>
    <mergeCell ref="WLM47:WLN47"/>
    <mergeCell ref="WNW47:WNX47"/>
    <mergeCell ref="WNY47:WNZ47"/>
    <mergeCell ref="WOA47:WOB47"/>
    <mergeCell ref="WOC47:WOD47"/>
    <mergeCell ref="WOE47:WOF47"/>
    <mergeCell ref="WNM47:WNN47"/>
    <mergeCell ref="WNO47:WNP47"/>
    <mergeCell ref="WNQ47:WNR47"/>
    <mergeCell ref="WNS47:WNT47"/>
    <mergeCell ref="WNU47:WNV47"/>
    <mergeCell ref="WNC47:WND47"/>
    <mergeCell ref="WNE47:WNF47"/>
    <mergeCell ref="WNG47:WNH47"/>
    <mergeCell ref="WNI47:WNJ47"/>
    <mergeCell ref="WNK47:WNL47"/>
    <mergeCell ref="WMS47:WMT47"/>
    <mergeCell ref="WMU47:WMV47"/>
    <mergeCell ref="WMW47:WMX47"/>
    <mergeCell ref="WMY47:WMZ47"/>
    <mergeCell ref="WNA47:WNB47"/>
    <mergeCell ref="WPK47:WPL47"/>
    <mergeCell ref="WPM47:WPN47"/>
    <mergeCell ref="WPO47:WPP47"/>
    <mergeCell ref="WPQ47:WPR47"/>
    <mergeCell ref="WPS47:WPT47"/>
    <mergeCell ref="WPA47:WPB47"/>
    <mergeCell ref="WPC47:WPD47"/>
    <mergeCell ref="WPE47:WPF47"/>
    <mergeCell ref="WPG47:WPH47"/>
    <mergeCell ref="WPI47:WPJ47"/>
    <mergeCell ref="WOQ47:WOR47"/>
    <mergeCell ref="WOS47:WOT47"/>
    <mergeCell ref="WOU47:WOV47"/>
    <mergeCell ref="WOW47:WOX47"/>
    <mergeCell ref="WOY47:WOZ47"/>
    <mergeCell ref="WOG47:WOH47"/>
    <mergeCell ref="WOI47:WOJ47"/>
    <mergeCell ref="WOK47:WOL47"/>
    <mergeCell ref="WOM47:WON47"/>
    <mergeCell ref="WOO47:WOP47"/>
    <mergeCell ref="WQY47:WQZ47"/>
    <mergeCell ref="WRA47:WRB47"/>
    <mergeCell ref="WRC47:WRD47"/>
    <mergeCell ref="WRE47:WRF47"/>
    <mergeCell ref="WRG47:WRH47"/>
    <mergeCell ref="WQO47:WQP47"/>
    <mergeCell ref="WQQ47:WQR47"/>
    <mergeCell ref="WQS47:WQT47"/>
    <mergeCell ref="WQU47:WQV47"/>
    <mergeCell ref="WQW47:WQX47"/>
    <mergeCell ref="WQE47:WQF47"/>
    <mergeCell ref="WQG47:WQH47"/>
    <mergeCell ref="WQI47:WQJ47"/>
    <mergeCell ref="WQK47:WQL47"/>
    <mergeCell ref="WQM47:WQN47"/>
    <mergeCell ref="WPU47:WPV47"/>
    <mergeCell ref="WPW47:WPX47"/>
    <mergeCell ref="WPY47:WPZ47"/>
    <mergeCell ref="WQA47:WQB47"/>
    <mergeCell ref="WQC47:WQD47"/>
    <mergeCell ref="WSM47:WSN47"/>
    <mergeCell ref="WSO47:WSP47"/>
    <mergeCell ref="WSQ47:WSR47"/>
    <mergeCell ref="WSS47:WST47"/>
    <mergeCell ref="WSU47:WSV47"/>
    <mergeCell ref="WSC47:WSD47"/>
    <mergeCell ref="WSE47:WSF47"/>
    <mergeCell ref="WSG47:WSH47"/>
    <mergeCell ref="WSI47:WSJ47"/>
    <mergeCell ref="WSK47:WSL47"/>
    <mergeCell ref="WRS47:WRT47"/>
    <mergeCell ref="WRU47:WRV47"/>
    <mergeCell ref="WRW47:WRX47"/>
    <mergeCell ref="WRY47:WRZ47"/>
    <mergeCell ref="WSA47:WSB47"/>
    <mergeCell ref="WRI47:WRJ47"/>
    <mergeCell ref="WRK47:WRL47"/>
    <mergeCell ref="WRM47:WRN47"/>
    <mergeCell ref="WRO47:WRP47"/>
    <mergeCell ref="WRQ47:WRR47"/>
    <mergeCell ref="WUA47:WUB47"/>
    <mergeCell ref="WUC47:WUD47"/>
    <mergeCell ref="WUE47:WUF47"/>
    <mergeCell ref="WUG47:WUH47"/>
    <mergeCell ref="WUI47:WUJ47"/>
    <mergeCell ref="WTQ47:WTR47"/>
    <mergeCell ref="WTS47:WTT47"/>
    <mergeCell ref="WTU47:WTV47"/>
    <mergeCell ref="WTW47:WTX47"/>
    <mergeCell ref="WTY47:WTZ47"/>
    <mergeCell ref="WTG47:WTH47"/>
    <mergeCell ref="WTI47:WTJ47"/>
    <mergeCell ref="WTK47:WTL47"/>
    <mergeCell ref="WTM47:WTN47"/>
    <mergeCell ref="WTO47:WTP47"/>
    <mergeCell ref="WSW47:WSX47"/>
    <mergeCell ref="WSY47:WSZ47"/>
    <mergeCell ref="WTA47:WTB47"/>
    <mergeCell ref="WTC47:WTD47"/>
    <mergeCell ref="WTE47:WTF47"/>
    <mergeCell ref="WVO47:WVP47"/>
    <mergeCell ref="WVQ47:WVR47"/>
    <mergeCell ref="WVS47:WVT47"/>
    <mergeCell ref="WVU47:WVV47"/>
    <mergeCell ref="WVW47:WVX47"/>
    <mergeCell ref="WVE47:WVF47"/>
    <mergeCell ref="WVG47:WVH47"/>
    <mergeCell ref="WVI47:WVJ47"/>
    <mergeCell ref="WVK47:WVL47"/>
    <mergeCell ref="WVM47:WVN47"/>
    <mergeCell ref="WUU47:WUV47"/>
    <mergeCell ref="WUW47:WUX47"/>
    <mergeCell ref="WUY47:WUZ47"/>
    <mergeCell ref="WVA47:WVB47"/>
    <mergeCell ref="WVC47:WVD47"/>
    <mergeCell ref="WUK47:WUL47"/>
    <mergeCell ref="WUM47:WUN47"/>
    <mergeCell ref="WUO47:WUP47"/>
    <mergeCell ref="WUQ47:WUR47"/>
    <mergeCell ref="WUS47:WUT47"/>
    <mergeCell ref="WXC47:WXD47"/>
    <mergeCell ref="WXE47:WXF47"/>
    <mergeCell ref="WXG47:WXH47"/>
    <mergeCell ref="WXI47:WXJ47"/>
    <mergeCell ref="WXK47:WXL47"/>
    <mergeCell ref="WWS47:WWT47"/>
    <mergeCell ref="WWU47:WWV47"/>
    <mergeCell ref="WWW47:WWX47"/>
    <mergeCell ref="WWY47:WWZ47"/>
    <mergeCell ref="WXA47:WXB47"/>
    <mergeCell ref="WWI47:WWJ47"/>
    <mergeCell ref="WWK47:WWL47"/>
    <mergeCell ref="WWM47:WWN47"/>
    <mergeCell ref="WWO47:WWP47"/>
    <mergeCell ref="WWQ47:WWR47"/>
    <mergeCell ref="WVY47:WVZ47"/>
    <mergeCell ref="WWA47:WWB47"/>
    <mergeCell ref="WWC47:WWD47"/>
    <mergeCell ref="WWE47:WWF47"/>
    <mergeCell ref="WWG47:WWH47"/>
    <mergeCell ref="WYQ47:WYR47"/>
    <mergeCell ref="WYS47:WYT47"/>
    <mergeCell ref="WYU47:WYV47"/>
    <mergeCell ref="WYW47:WYX47"/>
    <mergeCell ref="WYY47:WYZ47"/>
    <mergeCell ref="WYG47:WYH47"/>
    <mergeCell ref="WYI47:WYJ47"/>
    <mergeCell ref="WYK47:WYL47"/>
    <mergeCell ref="WYM47:WYN47"/>
    <mergeCell ref="WYO47:WYP47"/>
    <mergeCell ref="WXW47:WXX47"/>
    <mergeCell ref="WXY47:WXZ47"/>
    <mergeCell ref="WYA47:WYB47"/>
    <mergeCell ref="WYC47:WYD47"/>
    <mergeCell ref="WYE47:WYF47"/>
    <mergeCell ref="WXM47:WXN47"/>
    <mergeCell ref="WXO47:WXP47"/>
    <mergeCell ref="WXQ47:WXR47"/>
    <mergeCell ref="WXS47:WXT47"/>
    <mergeCell ref="WXU47:WXV47"/>
    <mergeCell ref="XAE47:XAF47"/>
    <mergeCell ref="XAG47:XAH47"/>
    <mergeCell ref="XAI47:XAJ47"/>
    <mergeCell ref="XAK47:XAL47"/>
    <mergeCell ref="XAM47:XAN47"/>
    <mergeCell ref="WZU47:WZV47"/>
    <mergeCell ref="WZW47:WZX47"/>
    <mergeCell ref="WZY47:WZZ47"/>
    <mergeCell ref="XAA47:XAB47"/>
    <mergeCell ref="XAC47:XAD47"/>
    <mergeCell ref="WZK47:WZL47"/>
    <mergeCell ref="WZM47:WZN47"/>
    <mergeCell ref="WZO47:WZP47"/>
    <mergeCell ref="WZQ47:WZR47"/>
    <mergeCell ref="WZS47:WZT47"/>
    <mergeCell ref="WZA47:WZB47"/>
    <mergeCell ref="WZC47:WZD47"/>
    <mergeCell ref="WZE47:WZF47"/>
    <mergeCell ref="WZG47:WZH47"/>
    <mergeCell ref="WZI47:WZJ47"/>
    <mergeCell ref="XBS47:XBT47"/>
    <mergeCell ref="XBU47:XBV47"/>
    <mergeCell ref="XBW47:XBX47"/>
    <mergeCell ref="XBY47:XBZ47"/>
    <mergeCell ref="XCA47:XCB47"/>
    <mergeCell ref="XBI47:XBJ47"/>
    <mergeCell ref="XBK47:XBL47"/>
    <mergeCell ref="XBM47:XBN47"/>
    <mergeCell ref="XBO47:XBP47"/>
    <mergeCell ref="XBQ47:XBR47"/>
    <mergeCell ref="XAY47:XAZ47"/>
    <mergeCell ref="XBA47:XBB47"/>
    <mergeCell ref="XBC47:XBD47"/>
    <mergeCell ref="XBE47:XBF47"/>
    <mergeCell ref="XBG47:XBH47"/>
    <mergeCell ref="XAO47:XAP47"/>
    <mergeCell ref="XAQ47:XAR47"/>
    <mergeCell ref="XAS47:XAT47"/>
    <mergeCell ref="XAU47:XAV47"/>
    <mergeCell ref="XAW47:XAX47"/>
    <mergeCell ref="XDG47:XDH47"/>
    <mergeCell ref="XDI47:XDJ47"/>
    <mergeCell ref="XDK47:XDL47"/>
    <mergeCell ref="XDM47:XDN47"/>
    <mergeCell ref="XDO47:XDP47"/>
    <mergeCell ref="XCW47:XCX47"/>
    <mergeCell ref="XCY47:XCZ47"/>
    <mergeCell ref="XDA47:XDB47"/>
    <mergeCell ref="XDC47:XDD47"/>
    <mergeCell ref="XDE47:XDF47"/>
    <mergeCell ref="XCM47:XCN47"/>
    <mergeCell ref="XCO47:XCP47"/>
    <mergeCell ref="XCQ47:XCR47"/>
    <mergeCell ref="XCS47:XCT47"/>
    <mergeCell ref="XCU47:XCV47"/>
    <mergeCell ref="XCC47:XCD47"/>
    <mergeCell ref="XCE47:XCF47"/>
    <mergeCell ref="XCG47:XCH47"/>
    <mergeCell ref="XCI47:XCJ47"/>
    <mergeCell ref="XCK47:XCL47"/>
    <mergeCell ref="XEU47:XEV47"/>
    <mergeCell ref="XEW47:XEX47"/>
    <mergeCell ref="XEY47:XEZ47"/>
    <mergeCell ref="XFA47:XFB47"/>
    <mergeCell ref="XFC47:XFD47"/>
    <mergeCell ref="XEK47:XEL47"/>
    <mergeCell ref="XEM47:XEN47"/>
    <mergeCell ref="XEO47:XEP47"/>
    <mergeCell ref="XEQ47:XER47"/>
    <mergeCell ref="XES47:XET47"/>
    <mergeCell ref="XEA47:XEB47"/>
    <mergeCell ref="XEC47:XED47"/>
    <mergeCell ref="XEE47:XEF47"/>
    <mergeCell ref="XEG47:XEH47"/>
    <mergeCell ref="XEI47:XEJ47"/>
    <mergeCell ref="XDQ47:XDR47"/>
    <mergeCell ref="XDS47:XDT47"/>
    <mergeCell ref="XDU47:XDV47"/>
    <mergeCell ref="XDW47:XDX47"/>
    <mergeCell ref="XDY47:XDZ47"/>
  </mergeCells>
  <pageMargins left="0.7" right="0.7" top="1.0520833333333333" bottom="0.75" header="0.3" footer="0.3"/>
  <pageSetup paperSize="3" scale="79" orientation="portrait" r:id="rId1"/>
  <headerFooter>
    <oddHeader>&amp;L&amp;G&amp;C(ENTER PROJECT NAME)&amp;R&amp;D</oddHeader>
    <oddFooter>&amp;C&amp;P OF &amp;N</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4B044-24D7-4DB5-BF86-2C41C37DA37A}">
  <dimension ref="A1:C74"/>
  <sheetViews>
    <sheetView view="pageBreakPreview" zoomScale="60" zoomScaleNormal="100" workbookViewId="0">
      <selection activeCell="B47" sqref="B47"/>
    </sheetView>
  </sheetViews>
  <sheetFormatPr defaultRowHeight="15" x14ac:dyDescent="0.25"/>
  <cols>
    <col min="1" max="1" width="4" bestFit="1" customWidth="1"/>
    <col min="2" max="2" width="136" style="2" customWidth="1"/>
    <col min="3" max="3" width="16.28515625" style="17" customWidth="1"/>
  </cols>
  <sheetData>
    <row r="1" spans="1:3" ht="15.75" x14ac:dyDescent="0.25">
      <c r="A1" s="1056" t="s">
        <v>14</v>
      </c>
      <c r="B1" s="1056"/>
      <c r="C1" s="442"/>
    </row>
    <row r="2" spans="1:3" ht="15.75" x14ac:dyDescent="0.25">
      <c r="A2" s="1163"/>
      <c r="B2" s="1164"/>
      <c r="C2" s="93" t="s">
        <v>17</v>
      </c>
    </row>
    <row r="3" spans="1:3" x14ac:dyDescent="0.25">
      <c r="A3" s="1155" t="s">
        <v>831</v>
      </c>
      <c r="B3" s="1155"/>
      <c r="C3" s="253" t="s">
        <v>65</v>
      </c>
    </row>
    <row r="4" spans="1:3" x14ac:dyDescent="0.25">
      <c r="A4" s="1155"/>
      <c r="B4" s="1155"/>
      <c r="C4" s="253" t="s">
        <v>18</v>
      </c>
    </row>
    <row r="5" spans="1:3" ht="15" customHeight="1" x14ac:dyDescent="0.25">
      <c r="A5" s="1155"/>
      <c r="B5" s="1155"/>
      <c r="C5" s="253" t="s">
        <v>19</v>
      </c>
    </row>
    <row r="6" spans="1:3" x14ac:dyDescent="0.25">
      <c r="A6" s="1155"/>
      <c r="B6" s="1155"/>
      <c r="C6" s="1165" t="s">
        <v>832</v>
      </c>
    </row>
    <row r="7" spans="1:3" x14ac:dyDescent="0.25">
      <c r="A7" s="1154" t="s">
        <v>20</v>
      </c>
      <c r="B7" s="1154"/>
      <c r="C7" s="1166"/>
    </row>
    <row r="8" spans="1:3" x14ac:dyDescent="0.25">
      <c r="A8" s="1155"/>
      <c r="B8" s="1155"/>
      <c r="C8" s="1166"/>
    </row>
    <row r="9" spans="1:3" ht="15" customHeight="1" x14ac:dyDescent="0.25">
      <c r="A9" s="248">
        <v>1</v>
      </c>
      <c r="B9" s="252" t="s">
        <v>21</v>
      </c>
      <c r="C9" s="255"/>
    </row>
    <row r="10" spans="1:3" ht="15" customHeight="1" x14ac:dyDescent="0.25">
      <c r="A10" s="248">
        <v>2</v>
      </c>
      <c r="B10" s="251" t="s">
        <v>22</v>
      </c>
      <c r="C10" s="255"/>
    </row>
    <row r="11" spans="1:3" x14ac:dyDescent="0.25">
      <c r="A11" s="248">
        <v>3</v>
      </c>
      <c r="B11" s="249" t="s">
        <v>23</v>
      </c>
      <c r="C11" s="255"/>
    </row>
    <row r="12" spans="1:3" x14ac:dyDescent="0.25">
      <c r="A12" s="248">
        <v>4</v>
      </c>
      <c r="B12" s="249" t="s">
        <v>24</v>
      </c>
      <c r="C12" s="255"/>
    </row>
    <row r="13" spans="1:3" x14ac:dyDescent="0.25">
      <c r="A13" s="248">
        <v>5</v>
      </c>
      <c r="B13" s="249" t="s">
        <v>25</v>
      </c>
      <c r="C13" s="255"/>
    </row>
    <row r="14" spans="1:3" x14ac:dyDescent="0.25">
      <c r="A14" s="248">
        <v>6</v>
      </c>
      <c r="B14" s="249" t="s">
        <v>26</v>
      </c>
      <c r="C14" s="255"/>
    </row>
    <row r="15" spans="1:3" ht="15" customHeight="1" x14ac:dyDescent="0.25">
      <c r="A15" s="248">
        <v>7</v>
      </c>
      <c r="B15" s="249" t="s">
        <v>27</v>
      </c>
      <c r="C15" s="255"/>
    </row>
    <row r="16" spans="1:3" ht="15" customHeight="1" x14ac:dyDescent="0.25">
      <c r="A16" s="248">
        <v>8</v>
      </c>
      <c r="B16" s="249" t="s">
        <v>28</v>
      </c>
      <c r="C16" s="255"/>
    </row>
    <row r="17" spans="1:3" x14ac:dyDescent="0.25">
      <c r="A17" s="248">
        <v>9</v>
      </c>
      <c r="B17" s="249" t="s">
        <v>29</v>
      </c>
      <c r="C17" s="255"/>
    </row>
    <row r="18" spans="1:3" x14ac:dyDescent="0.25">
      <c r="A18" s="248">
        <v>10</v>
      </c>
      <c r="B18" s="249" t="s">
        <v>30</v>
      </c>
      <c r="C18" s="255"/>
    </row>
    <row r="19" spans="1:3" x14ac:dyDescent="0.25">
      <c r="A19" s="248">
        <v>11</v>
      </c>
      <c r="B19" s="249" t="s">
        <v>833</v>
      </c>
      <c r="C19" s="255"/>
    </row>
    <row r="20" spans="1:3" x14ac:dyDescent="0.25">
      <c r="A20" s="248">
        <v>12</v>
      </c>
      <c r="B20" s="249" t="s">
        <v>834</v>
      </c>
      <c r="C20" s="255"/>
    </row>
    <row r="21" spans="1:3" x14ac:dyDescent="0.25">
      <c r="A21" s="248">
        <v>13</v>
      </c>
      <c r="B21" s="254" t="s">
        <v>835</v>
      </c>
      <c r="C21" s="255"/>
    </row>
    <row r="22" spans="1:3" x14ac:dyDescent="0.25">
      <c r="A22" s="248">
        <v>14</v>
      </c>
      <c r="B22" s="249" t="s">
        <v>836</v>
      </c>
      <c r="C22" s="255"/>
    </row>
    <row r="23" spans="1:3" ht="15" customHeight="1" x14ac:dyDescent="0.25">
      <c r="A23" s="248">
        <v>15</v>
      </c>
      <c r="B23" s="249" t="s">
        <v>837</v>
      </c>
      <c r="C23" s="255"/>
    </row>
    <row r="24" spans="1:3" x14ac:dyDescent="0.25">
      <c r="A24" s="248">
        <v>16</v>
      </c>
      <c r="B24" s="249"/>
      <c r="C24" s="255"/>
    </row>
    <row r="25" spans="1:3" x14ac:dyDescent="0.25">
      <c r="A25" s="248">
        <v>17</v>
      </c>
      <c r="B25" s="249" t="s">
        <v>838</v>
      </c>
      <c r="C25" s="255"/>
    </row>
    <row r="26" spans="1:3" x14ac:dyDescent="0.25">
      <c r="A26" s="248">
        <v>18</v>
      </c>
      <c r="B26" s="249" t="s">
        <v>839</v>
      </c>
      <c r="C26" s="255"/>
    </row>
    <row r="27" spans="1:3" x14ac:dyDescent="0.25">
      <c r="A27" s="248">
        <v>19</v>
      </c>
      <c r="B27" s="249" t="s">
        <v>840</v>
      </c>
      <c r="C27" s="255"/>
    </row>
    <row r="28" spans="1:3" x14ac:dyDescent="0.25">
      <c r="A28" s="248">
        <v>20</v>
      </c>
      <c r="B28" s="249" t="s">
        <v>841</v>
      </c>
      <c r="C28" s="255"/>
    </row>
    <row r="29" spans="1:3" x14ac:dyDescent="0.25">
      <c r="A29" s="248">
        <v>21</v>
      </c>
      <c r="B29" s="249" t="s">
        <v>842</v>
      </c>
      <c r="C29" s="255"/>
    </row>
    <row r="30" spans="1:3" x14ac:dyDescent="0.25">
      <c r="A30" s="248">
        <v>22</v>
      </c>
      <c r="B30" s="249" t="s">
        <v>843</v>
      </c>
      <c r="C30" s="255"/>
    </row>
    <row r="31" spans="1:3" x14ac:dyDescent="0.25">
      <c r="A31" s="248">
        <v>23</v>
      </c>
      <c r="B31" s="249" t="s">
        <v>844</v>
      </c>
      <c r="C31" s="255"/>
    </row>
    <row r="32" spans="1:3" x14ac:dyDescent="0.25">
      <c r="A32" s="248">
        <v>24</v>
      </c>
      <c r="B32" s="254" t="s">
        <v>845</v>
      </c>
      <c r="C32" s="255"/>
    </row>
    <row r="33" spans="1:3" x14ac:dyDescent="0.25">
      <c r="A33" s="248">
        <v>25</v>
      </c>
      <c r="B33" s="701" t="s">
        <v>137</v>
      </c>
      <c r="C33" s="701"/>
    </row>
    <row r="34" spans="1:3" x14ac:dyDescent="0.25">
      <c r="A34" s="248">
        <v>26</v>
      </c>
      <c r="B34" s="191" t="s">
        <v>846</v>
      </c>
      <c r="C34" s="191"/>
    </row>
    <row r="35" spans="1:3" x14ac:dyDescent="0.25">
      <c r="A35" s="248">
        <v>27</v>
      </c>
      <c r="B35" s="249" t="s">
        <v>848</v>
      </c>
      <c r="C35" s="255"/>
    </row>
    <row r="36" spans="1:3" x14ac:dyDescent="0.25">
      <c r="A36" s="248">
        <v>28</v>
      </c>
      <c r="B36" s="249" t="s">
        <v>849</v>
      </c>
      <c r="C36" s="255"/>
    </row>
    <row r="37" spans="1:3" x14ac:dyDescent="0.25">
      <c r="A37" s="248">
        <v>29</v>
      </c>
      <c r="B37" s="249"/>
      <c r="C37" s="255"/>
    </row>
    <row r="38" spans="1:3" x14ac:dyDescent="0.25">
      <c r="A38" s="248">
        <v>30</v>
      </c>
      <c r="B38" s="249" t="s">
        <v>850</v>
      </c>
      <c r="C38" s="255"/>
    </row>
    <row r="39" spans="1:3" x14ac:dyDescent="0.25">
      <c r="A39" s="248">
        <v>31</v>
      </c>
      <c r="B39" s="249" t="s">
        <v>851</v>
      </c>
      <c r="C39" s="255"/>
    </row>
    <row r="40" spans="1:3" x14ac:dyDescent="0.25">
      <c r="A40" s="248">
        <v>32</v>
      </c>
      <c r="B40" s="701"/>
      <c r="C40" s="701"/>
    </row>
    <row r="41" spans="1:3" x14ac:dyDescent="0.25">
      <c r="A41" s="248">
        <v>33</v>
      </c>
      <c r="B41" s="191" t="s">
        <v>852</v>
      </c>
      <c r="C41" s="702"/>
    </row>
    <row r="42" spans="1:3" x14ac:dyDescent="0.25">
      <c r="A42" s="248">
        <v>34</v>
      </c>
      <c r="B42" s="249" t="s">
        <v>848</v>
      </c>
      <c r="C42" s="255"/>
    </row>
    <row r="43" spans="1:3" x14ac:dyDescent="0.25">
      <c r="A43" s="248">
        <v>35</v>
      </c>
      <c r="B43" s="249" t="s">
        <v>853</v>
      </c>
      <c r="C43" s="255"/>
    </row>
    <row r="44" spans="1:3" x14ac:dyDescent="0.25">
      <c r="A44" s="248">
        <v>36</v>
      </c>
      <c r="B44" s="250" t="s">
        <v>854</v>
      </c>
      <c r="C44" s="255"/>
    </row>
    <row r="45" spans="1:3" x14ac:dyDescent="0.25">
      <c r="A45" s="248">
        <v>37</v>
      </c>
      <c r="B45" s="249" t="s">
        <v>855</v>
      </c>
      <c r="C45" s="255"/>
    </row>
    <row r="46" spans="1:3" x14ac:dyDescent="0.25">
      <c r="A46" s="248">
        <v>38</v>
      </c>
      <c r="B46" s="249" t="s">
        <v>856</v>
      </c>
      <c r="C46" s="255"/>
    </row>
    <row r="47" spans="1:3" x14ac:dyDescent="0.25">
      <c r="A47" s="248">
        <v>39</v>
      </c>
      <c r="B47" s="249" t="s">
        <v>857</v>
      </c>
      <c r="C47" s="255"/>
    </row>
    <row r="48" spans="1:3" x14ac:dyDescent="0.25">
      <c r="A48" s="248">
        <v>40</v>
      </c>
      <c r="B48" s="249" t="s">
        <v>858</v>
      </c>
      <c r="C48" s="255"/>
    </row>
    <row r="49" spans="1:3" x14ac:dyDescent="0.25">
      <c r="A49" s="248">
        <v>41</v>
      </c>
      <c r="B49" s="249" t="s">
        <v>859</v>
      </c>
      <c r="C49" s="255"/>
    </row>
    <row r="50" spans="1:3" x14ac:dyDescent="0.25">
      <c r="A50" s="248">
        <v>42</v>
      </c>
      <c r="B50" s="249" t="s">
        <v>860</v>
      </c>
      <c r="C50" s="255"/>
    </row>
    <row r="51" spans="1:3" x14ac:dyDescent="0.25">
      <c r="A51" s="248">
        <v>43</v>
      </c>
      <c r="B51" s="249" t="s">
        <v>861</v>
      </c>
      <c r="C51" s="255"/>
    </row>
    <row r="52" spans="1:3" x14ac:dyDescent="0.25">
      <c r="A52" s="248">
        <v>44</v>
      </c>
      <c r="B52" s="249" t="s">
        <v>862</v>
      </c>
      <c r="C52" s="255"/>
    </row>
    <row r="53" spans="1:3" x14ac:dyDescent="0.25">
      <c r="A53" s="248">
        <v>45</v>
      </c>
      <c r="B53" s="249" t="s">
        <v>863</v>
      </c>
      <c r="C53" s="255"/>
    </row>
    <row r="54" spans="1:3" x14ac:dyDescent="0.25">
      <c r="A54" s="248">
        <v>46</v>
      </c>
      <c r="B54" s="249" t="s">
        <v>864</v>
      </c>
      <c r="C54" s="255"/>
    </row>
    <row r="55" spans="1:3" x14ac:dyDescent="0.25">
      <c r="A55" s="248">
        <v>47</v>
      </c>
      <c r="B55" s="249" t="s">
        <v>865</v>
      </c>
      <c r="C55" s="255"/>
    </row>
    <row r="56" spans="1:3" x14ac:dyDescent="0.25">
      <c r="A56" s="248">
        <v>48</v>
      </c>
      <c r="B56" s="249" t="s">
        <v>866</v>
      </c>
      <c r="C56" s="255"/>
    </row>
    <row r="57" spans="1:3" x14ac:dyDescent="0.25">
      <c r="A57" s="248">
        <v>49</v>
      </c>
      <c r="B57" s="249" t="s">
        <v>867</v>
      </c>
      <c r="C57" s="255"/>
    </row>
    <row r="58" spans="1:3" x14ac:dyDescent="0.25">
      <c r="A58" s="248">
        <v>50</v>
      </c>
      <c r="B58" s="249" t="s">
        <v>868</v>
      </c>
      <c r="C58" s="255"/>
    </row>
    <row r="59" spans="1:3" x14ac:dyDescent="0.25">
      <c r="A59" s="248">
        <v>51</v>
      </c>
      <c r="B59" s="249" t="s">
        <v>869</v>
      </c>
      <c r="C59" s="255"/>
    </row>
    <row r="60" spans="1:3" x14ac:dyDescent="0.25">
      <c r="A60" s="248">
        <v>52</v>
      </c>
      <c r="B60" s="249" t="s">
        <v>870</v>
      </c>
      <c r="C60" s="255"/>
    </row>
    <row r="61" spans="1:3" x14ac:dyDescent="0.25">
      <c r="A61" s="248">
        <v>53</v>
      </c>
      <c r="B61" s="249" t="s">
        <v>871</v>
      </c>
      <c r="C61" s="255"/>
    </row>
    <row r="62" spans="1:3" x14ac:dyDescent="0.25">
      <c r="A62" s="248">
        <v>54</v>
      </c>
      <c r="B62" s="249" t="s">
        <v>872</v>
      </c>
      <c r="C62" s="255"/>
    </row>
    <row r="63" spans="1:3" x14ac:dyDescent="0.25">
      <c r="A63" s="248">
        <v>55</v>
      </c>
      <c r="B63" s="249" t="s">
        <v>873</v>
      </c>
      <c r="C63" s="255"/>
    </row>
    <row r="64" spans="1:3" x14ac:dyDescent="0.25">
      <c r="A64" s="248">
        <v>56</v>
      </c>
      <c r="B64" s="249" t="s">
        <v>874</v>
      </c>
      <c r="C64" s="255"/>
    </row>
    <row r="65" spans="1:3" x14ac:dyDescent="0.25">
      <c r="A65" s="248">
        <v>57</v>
      </c>
      <c r="B65" s="249" t="s">
        <v>875</v>
      </c>
      <c r="C65" s="255"/>
    </row>
    <row r="66" spans="1:3" x14ac:dyDescent="0.25">
      <c r="A66" s="248">
        <v>58</v>
      </c>
      <c r="B66" s="249" t="s">
        <v>876</v>
      </c>
      <c r="C66" s="255"/>
    </row>
    <row r="67" spans="1:3" x14ac:dyDescent="0.25">
      <c r="A67" s="248">
        <v>59</v>
      </c>
      <c r="B67" s="267" t="s">
        <v>877</v>
      </c>
      <c r="C67" s="302"/>
    </row>
    <row r="68" spans="1:3" x14ac:dyDescent="0.25">
      <c r="A68" s="265">
        <v>60</v>
      </c>
      <c r="B68" s="422" t="s">
        <v>878</v>
      </c>
      <c r="C68" s="255"/>
    </row>
    <row r="69" spans="1:3" x14ac:dyDescent="0.25">
      <c r="A69" s="265">
        <v>61</v>
      </c>
      <c r="B69" s="422"/>
      <c r="C69" s="255"/>
    </row>
    <row r="70" spans="1:3" x14ac:dyDescent="0.25">
      <c r="A70" s="248">
        <v>62</v>
      </c>
      <c r="B70" s="603" t="s">
        <v>829</v>
      </c>
      <c r="C70" s="604"/>
    </row>
    <row r="71" spans="1:3" x14ac:dyDescent="0.25">
      <c r="A71" s="265">
        <v>63</v>
      </c>
      <c r="B71" s="601"/>
      <c r="C71" s="602"/>
    </row>
    <row r="72" spans="1:3" x14ac:dyDescent="0.25">
      <c r="A72" s="248">
        <v>64</v>
      </c>
      <c r="B72" s="600" t="s">
        <v>747</v>
      </c>
      <c r="C72" s="191"/>
    </row>
    <row r="73" spans="1:3" ht="15.75" x14ac:dyDescent="0.25">
      <c r="A73" s="248">
        <v>65</v>
      </c>
      <c r="B73" s="599"/>
      <c r="C73" s="266"/>
    </row>
    <row r="74" spans="1:3" ht="15.75" x14ac:dyDescent="0.25">
      <c r="A74" s="248">
        <v>66</v>
      </c>
      <c r="B74" s="264" t="s">
        <v>137</v>
      </c>
      <c r="C74" s="266"/>
    </row>
  </sheetData>
  <mergeCells count="5">
    <mergeCell ref="A2:B2"/>
    <mergeCell ref="C6:C8"/>
    <mergeCell ref="A3:B6"/>
    <mergeCell ref="A7:B8"/>
    <mergeCell ref="A1:B1"/>
  </mergeCells>
  <pageMargins left="0.7" right="0.7" top="1.0520833333333333" bottom="0.75" header="0.3" footer="0.3"/>
  <pageSetup scale="57" orientation="portrait" r:id="rId1"/>
  <headerFooter>
    <oddHeader>&amp;L&amp;G&amp;C(ENTER PROJECT NAME)&amp;R&amp;D</oddHeader>
    <oddFooter>&amp;C&amp;P OF &amp;N</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BDEB2-690F-4596-8F37-AEAE164677D3}">
  <dimension ref="A1:C349"/>
  <sheetViews>
    <sheetView view="pageBreakPreview" topLeftCell="A297" zoomScale="60" zoomScaleNormal="100" workbookViewId="0">
      <selection activeCell="B49" sqref="B49"/>
    </sheetView>
  </sheetViews>
  <sheetFormatPr defaultRowHeight="15" x14ac:dyDescent="0.25"/>
  <cols>
    <col min="1" max="1" width="4.7109375" customWidth="1"/>
    <col min="2" max="2" width="104" customWidth="1"/>
    <col min="3" max="3" width="27.42578125" customWidth="1"/>
  </cols>
  <sheetData>
    <row r="1" spans="1:3" ht="15.75" x14ac:dyDescent="0.25">
      <c r="A1" s="1056" t="s">
        <v>14</v>
      </c>
      <c r="B1" s="1056"/>
      <c r="C1" s="476"/>
    </row>
    <row r="2" spans="1:3" ht="15" customHeight="1" x14ac:dyDescent="0.25">
      <c r="A2" s="1167" t="s">
        <v>879</v>
      </c>
      <c r="B2" s="1168"/>
      <c r="C2" s="238" t="s">
        <v>17</v>
      </c>
    </row>
    <row r="3" spans="1:3" ht="15" customHeight="1" x14ac:dyDescent="0.25">
      <c r="A3" s="1169"/>
      <c r="B3" s="1170"/>
      <c r="C3" s="238" t="s">
        <v>65</v>
      </c>
    </row>
    <row r="4" spans="1:3" ht="15" customHeight="1" x14ac:dyDescent="0.25">
      <c r="A4" s="1169"/>
      <c r="B4" s="1170"/>
      <c r="C4" s="608" t="s">
        <v>18</v>
      </c>
    </row>
    <row r="5" spans="1:3" ht="15" customHeight="1" x14ac:dyDescent="0.25">
      <c r="A5" s="443"/>
      <c r="B5" s="609"/>
      <c r="C5" s="608" t="s">
        <v>19</v>
      </c>
    </row>
    <row r="6" spans="1:3" ht="38.25" customHeight="1" x14ac:dyDescent="0.25">
      <c r="A6" s="443"/>
      <c r="B6" s="609" t="s">
        <v>20</v>
      </c>
      <c r="C6" s="617" t="s">
        <v>832</v>
      </c>
    </row>
    <row r="7" spans="1:3" ht="27" customHeight="1" x14ac:dyDescent="0.25">
      <c r="A7" s="234"/>
      <c r="B7" s="616"/>
      <c r="C7" s="617"/>
    </row>
    <row r="8" spans="1:3" x14ac:dyDescent="0.25">
      <c r="A8" s="338">
        <v>1</v>
      </c>
      <c r="B8" s="527" t="s">
        <v>21</v>
      </c>
      <c r="C8" s="565"/>
    </row>
    <row r="9" spans="1:3" x14ac:dyDescent="0.25">
      <c r="A9" s="235">
        <v>2</v>
      </c>
      <c r="B9" s="429" t="s">
        <v>22</v>
      </c>
      <c r="C9" s="565"/>
    </row>
    <row r="10" spans="1:3" x14ac:dyDescent="0.25">
      <c r="A10" s="235">
        <v>3</v>
      </c>
      <c r="B10" s="235" t="s">
        <v>23</v>
      </c>
      <c r="C10" s="338"/>
    </row>
    <row r="11" spans="1:3" x14ac:dyDescent="0.25">
      <c r="A11" s="235">
        <v>4</v>
      </c>
      <c r="B11" s="235" t="s">
        <v>24</v>
      </c>
      <c r="C11" s="235"/>
    </row>
    <row r="12" spans="1:3" x14ac:dyDescent="0.25">
      <c r="A12" s="235">
        <v>5</v>
      </c>
      <c r="B12" s="235" t="s">
        <v>25</v>
      </c>
      <c r="C12" s="235"/>
    </row>
    <row r="13" spans="1:3" x14ac:dyDescent="0.25">
      <c r="A13" s="235">
        <v>6</v>
      </c>
      <c r="B13" s="235" t="s">
        <v>26</v>
      </c>
      <c r="C13" s="235"/>
    </row>
    <row r="14" spans="1:3" x14ac:dyDescent="0.25">
      <c r="A14" s="235">
        <v>7</v>
      </c>
      <c r="B14" s="235" t="s">
        <v>27</v>
      </c>
      <c r="C14" s="235"/>
    </row>
    <row r="15" spans="1:3" x14ac:dyDescent="0.25">
      <c r="A15" s="235">
        <v>8</v>
      </c>
      <c r="B15" s="235" t="s">
        <v>28</v>
      </c>
      <c r="C15" s="235"/>
    </row>
    <row r="16" spans="1:3" x14ac:dyDescent="0.25">
      <c r="A16" s="235">
        <v>9</v>
      </c>
      <c r="B16" s="235" t="s">
        <v>29</v>
      </c>
      <c r="C16" s="235"/>
    </row>
    <row r="17" spans="1:3" x14ac:dyDescent="0.25">
      <c r="A17" s="235">
        <v>10</v>
      </c>
      <c r="B17" s="235" t="s">
        <v>69</v>
      </c>
      <c r="C17" s="235"/>
    </row>
    <row r="18" spans="1:3" ht="25.5" customHeight="1" x14ac:dyDescent="0.25">
      <c r="A18" s="235">
        <v>11</v>
      </c>
      <c r="B18" s="420" t="s">
        <v>434</v>
      </c>
      <c r="C18" s="235"/>
    </row>
    <row r="19" spans="1:3" x14ac:dyDescent="0.25">
      <c r="A19" s="235">
        <v>12</v>
      </c>
      <c r="B19" s="420" t="s">
        <v>880</v>
      </c>
      <c r="C19" s="235"/>
    </row>
    <row r="20" spans="1:3" x14ac:dyDescent="0.25">
      <c r="A20" s="235">
        <v>13</v>
      </c>
      <c r="B20" s="421" t="s">
        <v>881</v>
      </c>
      <c r="C20" s="235"/>
    </row>
    <row r="21" spans="1:3" x14ac:dyDescent="0.25">
      <c r="A21" s="235">
        <v>14</v>
      </c>
      <c r="B21" s="422" t="s">
        <v>882</v>
      </c>
      <c r="C21" s="235"/>
    </row>
    <row r="22" spans="1:3" x14ac:dyDescent="0.25">
      <c r="A22" s="235">
        <v>15</v>
      </c>
      <c r="B22" s="235"/>
      <c r="C22" s="235"/>
    </row>
    <row r="23" spans="1:3" x14ac:dyDescent="0.25">
      <c r="A23" s="235">
        <v>16</v>
      </c>
      <c r="B23" s="606" t="s">
        <v>883</v>
      </c>
      <c r="C23" s="607"/>
    </row>
    <row r="24" spans="1:3" x14ac:dyDescent="0.25">
      <c r="A24" s="235">
        <v>17</v>
      </c>
      <c r="B24" s="613" t="s">
        <v>884</v>
      </c>
      <c r="C24" s="607"/>
    </row>
    <row r="25" spans="1:3" x14ac:dyDescent="0.25">
      <c r="A25" s="235">
        <v>18</v>
      </c>
      <c r="B25" s="245" t="s">
        <v>885</v>
      </c>
      <c r="C25" s="423"/>
    </row>
    <row r="26" spans="1:3" x14ac:dyDescent="0.25">
      <c r="A26" s="235">
        <v>19</v>
      </c>
      <c r="B26" s="235" t="s">
        <v>886</v>
      </c>
      <c r="C26" s="423"/>
    </row>
    <row r="27" spans="1:3" x14ac:dyDescent="0.25">
      <c r="A27" s="235">
        <v>20</v>
      </c>
      <c r="B27" s="235" t="s">
        <v>887</v>
      </c>
      <c r="C27" s="423"/>
    </row>
    <row r="28" spans="1:3" x14ac:dyDescent="0.25">
      <c r="A28" s="235">
        <v>21</v>
      </c>
      <c r="B28" s="424" t="s">
        <v>888</v>
      </c>
      <c r="C28" s="423"/>
    </row>
    <row r="29" spans="1:3" x14ac:dyDescent="0.25">
      <c r="A29" s="235">
        <v>22</v>
      </c>
      <c r="B29" s="424" t="s">
        <v>889</v>
      </c>
      <c r="C29" s="423"/>
    </row>
    <row r="30" spans="1:3" x14ac:dyDescent="0.25">
      <c r="A30" s="235">
        <v>23</v>
      </c>
      <c r="B30" s="235" t="s">
        <v>890</v>
      </c>
      <c r="C30" s="423"/>
    </row>
    <row r="31" spans="1:3" x14ac:dyDescent="0.25">
      <c r="A31" s="235">
        <v>24</v>
      </c>
      <c r="B31" s="613" t="s">
        <v>891</v>
      </c>
      <c r="C31" s="607"/>
    </row>
    <row r="32" spans="1:3" x14ac:dyDescent="0.25">
      <c r="A32" s="235">
        <v>25</v>
      </c>
      <c r="B32" s="245" t="s">
        <v>885</v>
      </c>
      <c r="C32" s="423"/>
    </row>
    <row r="33" spans="1:3" x14ac:dyDescent="0.25">
      <c r="A33" s="235">
        <v>26</v>
      </c>
      <c r="B33" s="235" t="s">
        <v>886</v>
      </c>
      <c r="C33" s="423"/>
    </row>
    <row r="34" spans="1:3" x14ac:dyDescent="0.25">
      <c r="A34" s="235">
        <v>27</v>
      </c>
      <c r="B34" s="235" t="s">
        <v>887</v>
      </c>
      <c r="C34" s="423"/>
    </row>
    <row r="35" spans="1:3" x14ac:dyDescent="0.25">
      <c r="A35" s="235">
        <v>28</v>
      </c>
      <c r="B35" s="424" t="s">
        <v>888</v>
      </c>
      <c r="C35" s="423"/>
    </row>
    <row r="36" spans="1:3" x14ac:dyDescent="0.25">
      <c r="A36" s="235">
        <v>29</v>
      </c>
      <c r="B36" s="424" t="s">
        <v>889</v>
      </c>
      <c r="C36" s="423"/>
    </row>
    <row r="37" spans="1:3" x14ac:dyDescent="0.25">
      <c r="A37" s="235">
        <v>30</v>
      </c>
      <c r="B37" s="235" t="s">
        <v>890</v>
      </c>
      <c r="C37" s="423"/>
    </row>
    <row r="38" spans="1:3" x14ac:dyDescent="0.25">
      <c r="A38" s="235">
        <v>31</v>
      </c>
      <c r="B38" s="613" t="s">
        <v>892</v>
      </c>
      <c r="C38" s="607"/>
    </row>
    <row r="39" spans="1:3" x14ac:dyDescent="0.25">
      <c r="A39" s="235">
        <v>32</v>
      </c>
      <c r="B39" s="245" t="s">
        <v>885</v>
      </c>
      <c r="C39" s="423"/>
    </row>
    <row r="40" spans="1:3" x14ac:dyDescent="0.25">
      <c r="A40" s="235">
        <v>33</v>
      </c>
      <c r="B40" s="235" t="s">
        <v>886</v>
      </c>
      <c r="C40" s="423"/>
    </row>
    <row r="41" spans="1:3" x14ac:dyDescent="0.25">
      <c r="A41" s="235">
        <v>34</v>
      </c>
      <c r="B41" s="235" t="s">
        <v>887</v>
      </c>
      <c r="C41" s="423"/>
    </row>
    <row r="42" spans="1:3" x14ac:dyDescent="0.25">
      <c r="A42" s="235">
        <v>35</v>
      </c>
      <c r="B42" s="424" t="s">
        <v>888</v>
      </c>
      <c r="C42" s="423"/>
    </row>
    <row r="43" spans="1:3" ht="15" customHeight="1" x14ac:dyDescent="0.25">
      <c r="A43" s="235">
        <v>36</v>
      </c>
      <c r="B43" s="424" t="s">
        <v>889</v>
      </c>
      <c r="C43" s="423"/>
    </row>
    <row r="44" spans="1:3" ht="15" customHeight="1" x14ac:dyDescent="0.25">
      <c r="A44" s="235">
        <v>37</v>
      </c>
      <c r="B44" s="235" t="s">
        <v>890</v>
      </c>
      <c r="C44" s="423"/>
    </row>
    <row r="45" spans="1:3" ht="15" customHeight="1" x14ac:dyDescent="0.25">
      <c r="A45" s="235">
        <v>38</v>
      </c>
      <c r="B45" s="613" t="s">
        <v>893</v>
      </c>
      <c r="C45" s="607"/>
    </row>
    <row r="46" spans="1:3" x14ac:dyDescent="0.25">
      <c r="A46" s="235">
        <v>39</v>
      </c>
      <c r="B46" s="245" t="s">
        <v>885</v>
      </c>
      <c r="C46" s="423"/>
    </row>
    <row r="47" spans="1:3" x14ac:dyDescent="0.25">
      <c r="A47" s="235">
        <v>40</v>
      </c>
      <c r="B47" s="235" t="s">
        <v>886</v>
      </c>
      <c r="C47" s="423"/>
    </row>
    <row r="48" spans="1:3" x14ac:dyDescent="0.25">
      <c r="A48" s="235">
        <v>41</v>
      </c>
      <c r="B48" s="235" t="s">
        <v>887</v>
      </c>
      <c r="C48" s="423"/>
    </row>
    <row r="49" spans="1:3" x14ac:dyDescent="0.25">
      <c r="A49" s="235">
        <v>42</v>
      </c>
      <c r="B49" s="424" t="s">
        <v>888</v>
      </c>
      <c r="C49" s="423"/>
    </row>
    <row r="50" spans="1:3" x14ac:dyDescent="0.25">
      <c r="A50" s="235">
        <v>43</v>
      </c>
      <c r="B50" s="424" t="s">
        <v>889</v>
      </c>
      <c r="C50" s="423"/>
    </row>
    <row r="51" spans="1:3" x14ac:dyDescent="0.25">
      <c r="A51" s="235">
        <v>44</v>
      </c>
      <c r="B51" s="235" t="s">
        <v>890</v>
      </c>
      <c r="C51" s="423"/>
    </row>
    <row r="52" spans="1:3" x14ac:dyDescent="0.25">
      <c r="A52" s="235">
        <v>45</v>
      </c>
      <c r="B52" s="613" t="s">
        <v>894</v>
      </c>
      <c r="C52" s="607"/>
    </row>
    <row r="53" spans="1:3" x14ac:dyDescent="0.25">
      <c r="A53" s="235">
        <v>46</v>
      </c>
      <c r="B53" s="245" t="s">
        <v>885</v>
      </c>
      <c r="C53" s="423"/>
    </row>
    <row r="54" spans="1:3" x14ac:dyDescent="0.25">
      <c r="A54" s="235">
        <v>47</v>
      </c>
      <c r="B54" s="235" t="s">
        <v>886</v>
      </c>
      <c r="C54" s="423"/>
    </row>
    <row r="55" spans="1:3" x14ac:dyDescent="0.25">
      <c r="A55" s="235">
        <v>48</v>
      </c>
      <c r="B55" s="235" t="s">
        <v>887</v>
      </c>
      <c r="C55" s="423"/>
    </row>
    <row r="56" spans="1:3" x14ac:dyDescent="0.25">
      <c r="A56" s="235">
        <v>49</v>
      </c>
      <c r="B56" s="424" t="s">
        <v>888</v>
      </c>
      <c r="C56" s="423"/>
    </row>
    <row r="57" spans="1:3" ht="18" customHeight="1" x14ac:dyDescent="0.25">
      <c r="A57" s="235">
        <v>50</v>
      </c>
      <c r="B57" s="424" t="s">
        <v>889</v>
      </c>
      <c r="C57" s="423"/>
    </row>
    <row r="58" spans="1:3" ht="12" customHeight="1" x14ac:dyDescent="0.25">
      <c r="A58" s="235">
        <v>51</v>
      </c>
      <c r="B58" s="235" t="s">
        <v>890</v>
      </c>
      <c r="C58" s="423"/>
    </row>
    <row r="59" spans="1:3" x14ac:dyDescent="0.25">
      <c r="A59" s="235">
        <v>52</v>
      </c>
      <c r="B59" s="613" t="s">
        <v>895</v>
      </c>
      <c r="C59" s="607"/>
    </row>
    <row r="60" spans="1:3" x14ac:dyDescent="0.25">
      <c r="A60" s="235">
        <v>53</v>
      </c>
      <c r="B60" s="245" t="s">
        <v>885</v>
      </c>
      <c r="C60" s="423"/>
    </row>
    <row r="61" spans="1:3" x14ac:dyDescent="0.25">
      <c r="A61" s="235">
        <v>54</v>
      </c>
      <c r="B61" s="235" t="s">
        <v>886</v>
      </c>
      <c r="C61" s="423"/>
    </row>
    <row r="62" spans="1:3" x14ac:dyDescent="0.25">
      <c r="A62" s="235">
        <v>55</v>
      </c>
      <c r="B62" s="235" t="s">
        <v>887</v>
      </c>
      <c r="C62" s="423"/>
    </row>
    <row r="63" spans="1:3" x14ac:dyDescent="0.25">
      <c r="A63" s="235">
        <v>56</v>
      </c>
      <c r="B63" s="424" t="s">
        <v>888</v>
      </c>
      <c r="C63" s="423"/>
    </row>
    <row r="64" spans="1:3" x14ac:dyDescent="0.25">
      <c r="A64" s="235">
        <v>57</v>
      </c>
      <c r="B64" s="424" t="s">
        <v>889</v>
      </c>
      <c r="C64" s="423"/>
    </row>
    <row r="65" spans="1:3" x14ac:dyDescent="0.25">
      <c r="A65" s="235">
        <v>58</v>
      </c>
      <c r="B65" s="235" t="s">
        <v>890</v>
      </c>
      <c r="C65" s="423"/>
    </row>
    <row r="66" spans="1:3" x14ac:dyDescent="0.25">
      <c r="A66" s="235">
        <v>59</v>
      </c>
      <c r="B66" s="613" t="s">
        <v>896</v>
      </c>
      <c r="C66" s="607"/>
    </row>
    <row r="67" spans="1:3" x14ac:dyDescent="0.25">
      <c r="A67" s="235">
        <v>60</v>
      </c>
      <c r="B67" s="245" t="s">
        <v>885</v>
      </c>
      <c r="C67" s="423"/>
    </row>
    <row r="68" spans="1:3" x14ac:dyDescent="0.25">
      <c r="A68" s="235">
        <v>61</v>
      </c>
      <c r="B68" s="235" t="s">
        <v>886</v>
      </c>
      <c r="C68" s="423"/>
    </row>
    <row r="69" spans="1:3" x14ac:dyDescent="0.25">
      <c r="A69" s="235">
        <v>62</v>
      </c>
      <c r="B69" s="235" t="s">
        <v>887</v>
      </c>
      <c r="C69" s="423"/>
    </row>
    <row r="70" spans="1:3" x14ac:dyDescent="0.25">
      <c r="A70" s="235">
        <v>63</v>
      </c>
      <c r="B70" s="424" t="s">
        <v>888</v>
      </c>
      <c r="C70" s="423"/>
    </row>
    <row r="71" spans="1:3" x14ac:dyDescent="0.25">
      <c r="A71" s="235">
        <v>64</v>
      </c>
      <c r="B71" s="424" t="s">
        <v>889</v>
      </c>
      <c r="C71" s="423"/>
    </row>
    <row r="72" spans="1:3" x14ac:dyDescent="0.25">
      <c r="A72" s="235">
        <v>65</v>
      </c>
      <c r="B72" s="235" t="s">
        <v>890</v>
      </c>
      <c r="C72" s="423"/>
    </row>
    <row r="73" spans="1:3" x14ac:dyDescent="0.25">
      <c r="A73" s="235">
        <v>66</v>
      </c>
      <c r="B73" s="613" t="s">
        <v>897</v>
      </c>
      <c r="C73" s="607"/>
    </row>
    <row r="74" spans="1:3" x14ac:dyDescent="0.25">
      <c r="A74" s="235">
        <v>67</v>
      </c>
      <c r="B74" s="245" t="s">
        <v>885</v>
      </c>
      <c r="C74" s="423"/>
    </row>
    <row r="75" spans="1:3" x14ac:dyDescent="0.25">
      <c r="A75" s="235">
        <v>68</v>
      </c>
      <c r="B75" s="235" t="s">
        <v>886</v>
      </c>
      <c r="C75" s="423"/>
    </row>
    <row r="76" spans="1:3" x14ac:dyDescent="0.25">
      <c r="A76" s="235">
        <v>69</v>
      </c>
      <c r="B76" s="235" t="s">
        <v>887</v>
      </c>
      <c r="C76" s="423"/>
    </row>
    <row r="77" spans="1:3" x14ac:dyDescent="0.25">
      <c r="A77" s="235">
        <v>70</v>
      </c>
      <c r="B77" s="424" t="s">
        <v>888</v>
      </c>
      <c r="C77" s="423"/>
    </row>
    <row r="78" spans="1:3" x14ac:dyDescent="0.25">
      <c r="A78" s="235">
        <v>71</v>
      </c>
      <c r="B78" s="424" t="s">
        <v>889</v>
      </c>
      <c r="C78" s="423"/>
    </row>
    <row r="79" spans="1:3" x14ac:dyDescent="0.25">
      <c r="A79" s="235">
        <v>72</v>
      </c>
      <c r="B79" s="235" t="s">
        <v>890</v>
      </c>
      <c r="C79" s="423"/>
    </row>
    <row r="80" spans="1:3" x14ac:dyDescent="0.25">
      <c r="A80" s="235">
        <v>73</v>
      </c>
      <c r="B80" s="613" t="s">
        <v>898</v>
      </c>
      <c r="C80" s="607"/>
    </row>
    <row r="81" spans="1:3" x14ac:dyDescent="0.25">
      <c r="A81" s="235">
        <v>74</v>
      </c>
      <c r="B81" s="425" t="s">
        <v>885</v>
      </c>
      <c r="C81" s="423"/>
    </row>
    <row r="82" spans="1:3" x14ac:dyDescent="0.25">
      <c r="A82" s="235">
        <v>75</v>
      </c>
      <c r="B82" s="235" t="s">
        <v>886</v>
      </c>
      <c r="C82" s="423"/>
    </row>
    <row r="83" spans="1:3" x14ac:dyDescent="0.25">
      <c r="A83" s="235">
        <v>76</v>
      </c>
      <c r="B83" s="235" t="s">
        <v>887</v>
      </c>
      <c r="C83" s="423"/>
    </row>
    <row r="84" spans="1:3" x14ac:dyDescent="0.25">
      <c r="A84" s="235">
        <v>77</v>
      </c>
      <c r="B84" s="424" t="s">
        <v>888</v>
      </c>
      <c r="C84" s="423"/>
    </row>
    <row r="85" spans="1:3" x14ac:dyDescent="0.25">
      <c r="A85" s="235">
        <v>78</v>
      </c>
      <c r="B85" s="424" t="s">
        <v>889</v>
      </c>
      <c r="C85" s="423"/>
    </row>
    <row r="86" spans="1:3" x14ac:dyDescent="0.25">
      <c r="A86" s="235">
        <v>79</v>
      </c>
      <c r="B86" s="235" t="s">
        <v>890</v>
      </c>
      <c r="C86" s="423"/>
    </row>
    <row r="87" spans="1:3" x14ac:dyDescent="0.25">
      <c r="A87" s="235">
        <v>80</v>
      </c>
      <c r="B87" s="613" t="s">
        <v>899</v>
      </c>
      <c r="C87" s="607"/>
    </row>
    <row r="88" spans="1:3" x14ac:dyDescent="0.25">
      <c r="A88" s="235">
        <v>81</v>
      </c>
      <c r="B88" s="245" t="s">
        <v>885</v>
      </c>
      <c r="C88" s="423"/>
    </row>
    <row r="89" spans="1:3" x14ac:dyDescent="0.25">
      <c r="A89" s="235">
        <v>82</v>
      </c>
      <c r="B89" s="235" t="s">
        <v>886</v>
      </c>
      <c r="C89" s="423"/>
    </row>
    <row r="90" spans="1:3" x14ac:dyDescent="0.25">
      <c r="A90" s="235">
        <v>83</v>
      </c>
      <c r="B90" s="235" t="s">
        <v>887</v>
      </c>
      <c r="C90" s="423"/>
    </row>
    <row r="91" spans="1:3" x14ac:dyDescent="0.25">
      <c r="A91" s="235">
        <v>84</v>
      </c>
      <c r="B91" s="424" t="s">
        <v>888</v>
      </c>
      <c r="C91" s="423"/>
    </row>
    <row r="92" spans="1:3" x14ac:dyDescent="0.25">
      <c r="A92" s="235">
        <v>85</v>
      </c>
      <c r="B92" s="424" t="s">
        <v>889</v>
      </c>
      <c r="C92" s="423"/>
    </row>
    <row r="93" spans="1:3" x14ac:dyDescent="0.25">
      <c r="A93" s="235">
        <v>86</v>
      </c>
      <c r="B93" s="235" t="s">
        <v>890</v>
      </c>
      <c r="C93" s="423"/>
    </row>
    <row r="94" spans="1:3" x14ac:dyDescent="0.25">
      <c r="A94" s="235">
        <v>87</v>
      </c>
      <c r="B94" s="426"/>
      <c r="C94" s="423"/>
    </row>
    <row r="95" spans="1:3" x14ac:dyDescent="0.25">
      <c r="A95" s="235">
        <v>88</v>
      </c>
      <c r="B95" s="605" t="s">
        <v>900</v>
      </c>
      <c r="C95" s="423"/>
    </row>
    <row r="96" spans="1:3" x14ac:dyDescent="0.25">
      <c r="A96" s="235">
        <v>89</v>
      </c>
      <c r="B96" s="613" t="s">
        <v>53</v>
      </c>
      <c r="C96" s="607"/>
    </row>
    <row r="97" spans="1:3" x14ac:dyDescent="0.25">
      <c r="A97" s="235">
        <v>90</v>
      </c>
      <c r="B97" s="245" t="s">
        <v>885</v>
      </c>
      <c r="C97" s="235"/>
    </row>
    <row r="98" spans="1:3" x14ac:dyDescent="0.25">
      <c r="A98" s="235">
        <v>91</v>
      </c>
      <c r="B98" s="235" t="s">
        <v>886</v>
      </c>
      <c r="C98" s="235"/>
    </row>
    <row r="99" spans="1:3" x14ac:dyDescent="0.25">
      <c r="A99" s="235">
        <v>92</v>
      </c>
      <c r="B99" s="235" t="s">
        <v>887</v>
      </c>
      <c r="C99" s="235"/>
    </row>
    <row r="100" spans="1:3" x14ac:dyDescent="0.25">
      <c r="A100" s="235">
        <v>93</v>
      </c>
      <c r="B100" s="424" t="s">
        <v>888</v>
      </c>
      <c r="C100" s="235"/>
    </row>
    <row r="101" spans="1:3" x14ac:dyDescent="0.25">
      <c r="A101" s="235">
        <v>94</v>
      </c>
      <c r="B101" s="424" t="s">
        <v>889</v>
      </c>
      <c r="C101" s="235"/>
    </row>
    <row r="102" spans="1:3" x14ac:dyDescent="0.25">
      <c r="A102" s="235">
        <v>95</v>
      </c>
      <c r="B102" s="235" t="s">
        <v>890</v>
      </c>
      <c r="C102" s="235"/>
    </row>
    <row r="103" spans="1:3" x14ac:dyDescent="0.25">
      <c r="A103" s="235">
        <v>96</v>
      </c>
      <c r="B103" s="613" t="s">
        <v>901</v>
      </c>
      <c r="C103" s="612"/>
    </row>
    <row r="104" spans="1:3" x14ac:dyDescent="0.25">
      <c r="A104" s="235">
        <v>97</v>
      </c>
      <c r="B104" s="245" t="s">
        <v>885</v>
      </c>
      <c r="C104" s="235"/>
    </row>
    <row r="105" spans="1:3" x14ac:dyDescent="0.25">
      <c r="A105" s="235">
        <v>98</v>
      </c>
      <c r="B105" s="235" t="s">
        <v>886</v>
      </c>
      <c r="C105" s="235"/>
    </row>
    <row r="106" spans="1:3" x14ac:dyDescent="0.25">
      <c r="A106" s="235">
        <v>99</v>
      </c>
      <c r="B106" s="235" t="s">
        <v>887</v>
      </c>
      <c r="C106" s="235"/>
    </row>
    <row r="107" spans="1:3" x14ac:dyDescent="0.25">
      <c r="A107" s="235">
        <v>100</v>
      </c>
      <c r="B107" s="424" t="s">
        <v>888</v>
      </c>
      <c r="C107" s="235"/>
    </row>
    <row r="108" spans="1:3" x14ac:dyDescent="0.25">
      <c r="A108" s="235">
        <v>101</v>
      </c>
      <c r="B108" s="424" t="s">
        <v>889</v>
      </c>
      <c r="C108" s="235"/>
    </row>
    <row r="109" spans="1:3" x14ac:dyDescent="0.25">
      <c r="A109" s="235">
        <v>102</v>
      </c>
      <c r="B109" s="235" t="s">
        <v>890</v>
      </c>
      <c r="C109" s="235"/>
    </row>
    <row r="110" spans="1:3" x14ac:dyDescent="0.25">
      <c r="A110" s="235">
        <v>103</v>
      </c>
      <c r="B110" s="613" t="s">
        <v>902</v>
      </c>
      <c r="C110" s="612"/>
    </row>
    <row r="111" spans="1:3" x14ac:dyDescent="0.25">
      <c r="A111" s="235">
        <v>104</v>
      </c>
      <c r="B111" s="427" t="s">
        <v>903</v>
      </c>
      <c r="C111" s="235"/>
    </row>
    <row r="112" spans="1:3" x14ac:dyDescent="0.25">
      <c r="A112" s="235">
        <v>105</v>
      </c>
      <c r="B112" s="428"/>
      <c r="C112" s="235"/>
    </row>
    <row r="113" spans="1:3" x14ac:dyDescent="0.25">
      <c r="A113" s="235">
        <v>106</v>
      </c>
      <c r="B113" s="606" t="s">
        <v>904</v>
      </c>
      <c r="C113" s="612"/>
    </row>
    <row r="114" spans="1:3" x14ac:dyDescent="0.25">
      <c r="A114" s="235">
        <v>107</v>
      </c>
      <c r="B114" s="613" t="s">
        <v>891</v>
      </c>
      <c r="C114" s="612"/>
    </row>
    <row r="115" spans="1:3" x14ac:dyDescent="0.25">
      <c r="A115" s="235">
        <v>108</v>
      </c>
      <c r="B115" s="245" t="s">
        <v>885</v>
      </c>
      <c r="C115" s="235"/>
    </row>
    <row r="116" spans="1:3" x14ac:dyDescent="0.25">
      <c r="A116" s="235">
        <v>109</v>
      </c>
      <c r="B116" s="235" t="s">
        <v>886</v>
      </c>
      <c r="C116" s="235"/>
    </row>
    <row r="117" spans="1:3" x14ac:dyDescent="0.25">
      <c r="A117" s="235">
        <v>110</v>
      </c>
      <c r="B117" s="235" t="s">
        <v>887</v>
      </c>
      <c r="C117" s="235"/>
    </row>
    <row r="118" spans="1:3" x14ac:dyDescent="0.25">
      <c r="A118" s="235">
        <v>111</v>
      </c>
      <c r="B118" s="424" t="s">
        <v>888</v>
      </c>
      <c r="C118" s="235"/>
    </row>
    <row r="119" spans="1:3" x14ac:dyDescent="0.25">
      <c r="A119" s="235">
        <v>112</v>
      </c>
      <c r="B119" s="424" t="s">
        <v>889</v>
      </c>
      <c r="C119" s="235"/>
    </row>
    <row r="120" spans="1:3" x14ac:dyDescent="0.25">
      <c r="A120" s="235">
        <v>113</v>
      </c>
      <c r="B120" s="235" t="s">
        <v>890</v>
      </c>
      <c r="C120" s="235"/>
    </row>
    <row r="121" spans="1:3" x14ac:dyDescent="0.25">
      <c r="A121" s="235">
        <v>114</v>
      </c>
      <c r="B121" s="613" t="s">
        <v>905</v>
      </c>
      <c r="C121" s="612"/>
    </row>
    <row r="122" spans="1:3" x14ac:dyDescent="0.25">
      <c r="A122" s="235">
        <v>115</v>
      </c>
      <c r="B122" s="235" t="s">
        <v>886</v>
      </c>
      <c r="C122" s="235"/>
    </row>
    <row r="123" spans="1:3" x14ac:dyDescent="0.25">
      <c r="A123" s="235">
        <v>116</v>
      </c>
      <c r="B123" s="235" t="s">
        <v>887</v>
      </c>
      <c r="C123" s="235"/>
    </row>
    <row r="124" spans="1:3" x14ac:dyDescent="0.25">
      <c r="A124" s="235">
        <v>117</v>
      </c>
      <c r="B124" s="424" t="s">
        <v>888</v>
      </c>
      <c r="C124" s="235"/>
    </row>
    <row r="125" spans="1:3" x14ac:dyDescent="0.25">
      <c r="A125" s="235">
        <v>118</v>
      </c>
      <c r="B125" s="424" t="s">
        <v>889</v>
      </c>
      <c r="C125" s="235"/>
    </row>
    <row r="126" spans="1:3" x14ac:dyDescent="0.25">
      <c r="A126" s="235">
        <v>119</v>
      </c>
      <c r="B126" s="235" t="s">
        <v>890</v>
      </c>
      <c r="C126" s="235"/>
    </row>
    <row r="127" spans="1:3" x14ac:dyDescent="0.25">
      <c r="A127" s="235">
        <v>120</v>
      </c>
      <c r="B127" s="613" t="s">
        <v>906</v>
      </c>
      <c r="C127" s="612"/>
    </row>
    <row r="128" spans="1:3" x14ac:dyDescent="0.25">
      <c r="A128" s="235">
        <v>121</v>
      </c>
      <c r="B128" s="235" t="s">
        <v>886</v>
      </c>
      <c r="C128" s="235"/>
    </row>
    <row r="129" spans="1:3" x14ac:dyDescent="0.25">
      <c r="A129" s="235">
        <v>122</v>
      </c>
      <c r="B129" s="235" t="s">
        <v>887</v>
      </c>
      <c r="C129" s="235"/>
    </row>
    <row r="130" spans="1:3" x14ac:dyDescent="0.25">
      <c r="A130" s="235">
        <v>123</v>
      </c>
      <c r="B130" s="424" t="s">
        <v>888</v>
      </c>
      <c r="C130" s="235"/>
    </row>
    <row r="131" spans="1:3" x14ac:dyDescent="0.25">
      <c r="A131" s="235">
        <v>124</v>
      </c>
      <c r="B131" s="424" t="s">
        <v>889</v>
      </c>
      <c r="C131" s="235"/>
    </row>
    <row r="132" spans="1:3" x14ac:dyDescent="0.25">
      <c r="A132" s="235">
        <v>125</v>
      </c>
      <c r="B132" s="235" t="s">
        <v>890</v>
      </c>
      <c r="C132" s="235"/>
    </row>
    <row r="133" spans="1:3" x14ac:dyDescent="0.25">
      <c r="A133" s="235">
        <v>126</v>
      </c>
      <c r="B133" s="613" t="s">
        <v>907</v>
      </c>
      <c r="C133" s="612"/>
    </row>
    <row r="134" spans="1:3" x14ac:dyDescent="0.25">
      <c r="A134" s="235">
        <v>127</v>
      </c>
      <c r="B134" s="235" t="s">
        <v>886</v>
      </c>
      <c r="C134" s="235"/>
    </row>
    <row r="135" spans="1:3" x14ac:dyDescent="0.25">
      <c r="A135" s="235">
        <v>128</v>
      </c>
      <c r="B135" s="235" t="s">
        <v>887</v>
      </c>
      <c r="C135" s="235"/>
    </row>
    <row r="136" spans="1:3" x14ac:dyDescent="0.25">
      <c r="A136" s="235">
        <v>129</v>
      </c>
      <c r="B136" s="424" t="s">
        <v>888</v>
      </c>
      <c r="C136" s="235"/>
    </row>
    <row r="137" spans="1:3" x14ac:dyDescent="0.25">
      <c r="A137" s="235">
        <v>130</v>
      </c>
      <c r="B137" s="424" t="s">
        <v>889</v>
      </c>
      <c r="C137" s="235"/>
    </row>
    <row r="138" spans="1:3" x14ac:dyDescent="0.25">
      <c r="A138" s="235">
        <v>131</v>
      </c>
      <c r="B138" s="235" t="s">
        <v>890</v>
      </c>
      <c r="C138" s="235"/>
    </row>
    <row r="139" spans="1:3" x14ac:dyDescent="0.25">
      <c r="A139" s="235">
        <v>132</v>
      </c>
      <c r="B139" s="613" t="s">
        <v>907</v>
      </c>
      <c r="C139" s="612"/>
    </row>
    <row r="140" spans="1:3" x14ac:dyDescent="0.25">
      <c r="A140" s="235">
        <v>133</v>
      </c>
      <c r="B140" s="235" t="s">
        <v>886</v>
      </c>
      <c r="C140" s="235"/>
    </row>
    <row r="141" spans="1:3" x14ac:dyDescent="0.25">
      <c r="A141" s="235">
        <v>134</v>
      </c>
      <c r="B141" s="235" t="s">
        <v>887</v>
      </c>
      <c r="C141" s="235"/>
    </row>
    <row r="142" spans="1:3" x14ac:dyDescent="0.25">
      <c r="A142" s="235">
        <v>135</v>
      </c>
      <c r="B142" s="424" t="s">
        <v>888</v>
      </c>
      <c r="C142" s="235"/>
    </row>
    <row r="143" spans="1:3" x14ac:dyDescent="0.25">
      <c r="A143" s="235">
        <v>136</v>
      </c>
      <c r="B143" s="424" t="s">
        <v>889</v>
      </c>
      <c r="C143" s="235"/>
    </row>
    <row r="144" spans="1:3" x14ac:dyDescent="0.25">
      <c r="A144" s="235">
        <v>137</v>
      </c>
      <c r="B144" s="235" t="s">
        <v>890</v>
      </c>
      <c r="C144" s="235"/>
    </row>
    <row r="145" spans="1:3" x14ac:dyDescent="0.25">
      <c r="A145" s="235">
        <v>138</v>
      </c>
      <c r="B145" s="613" t="s">
        <v>908</v>
      </c>
      <c r="C145" s="612"/>
    </row>
    <row r="146" spans="1:3" x14ac:dyDescent="0.25">
      <c r="A146" s="235">
        <v>139</v>
      </c>
      <c r="B146" s="235" t="s">
        <v>886</v>
      </c>
      <c r="C146" s="235"/>
    </row>
    <row r="147" spans="1:3" x14ac:dyDescent="0.25">
      <c r="A147" s="235">
        <v>140</v>
      </c>
      <c r="B147" s="235" t="s">
        <v>887</v>
      </c>
      <c r="C147" s="235"/>
    </row>
    <row r="148" spans="1:3" x14ac:dyDescent="0.25">
      <c r="A148" s="235">
        <v>141</v>
      </c>
      <c r="B148" s="424" t="s">
        <v>888</v>
      </c>
      <c r="C148" s="235"/>
    </row>
    <row r="149" spans="1:3" x14ac:dyDescent="0.25">
      <c r="A149" s="235">
        <v>142</v>
      </c>
      <c r="B149" s="424" t="s">
        <v>889</v>
      </c>
      <c r="C149" s="235"/>
    </row>
    <row r="150" spans="1:3" x14ac:dyDescent="0.25">
      <c r="A150" s="235">
        <v>143</v>
      </c>
      <c r="B150" s="235" t="s">
        <v>890</v>
      </c>
      <c r="C150" s="235"/>
    </row>
    <row r="151" spans="1:3" x14ac:dyDescent="0.25">
      <c r="A151" s="235">
        <v>144</v>
      </c>
      <c r="B151" s="613" t="s">
        <v>909</v>
      </c>
      <c r="C151" s="612"/>
    </row>
    <row r="152" spans="1:3" x14ac:dyDescent="0.25">
      <c r="A152" s="235">
        <v>145</v>
      </c>
      <c r="B152" s="235" t="s">
        <v>886</v>
      </c>
      <c r="C152" s="235"/>
    </row>
    <row r="153" spans="1:3" x14ac:dyDescent="0.25">
      <c r="A153" s="235">
        <v>146</v>
      </c>
      <c r="B153" s="235" t="s">
        <v>887</v>
      </c>
      <c r="C153" s="235"/>
    </row>
    <row r="154" spans="1:3" x14ac:dyDescent="0.25">
      <c r="A154" s="235">
        <v>147</v>
      </c>
      <c r="B154" s="424" t="s">
        <v>888</v>
      </c>
      <c r="C154" s="235"/>
    </row>
    <row r="155" spans="1:3" x14ac:dyDescent="0.25">
      <c r="A155" s="235">
        <v>148</v>
      </c>
      <c r="B155" s="424" t="s">
        <v>889</v>
      </c>
      <c r="C155" s="235"/>
    </row>
    <row r="156" spans="1:3" x14ac:dyDescent="0.25">
      <c r="A156" s="235">
        <v>149</v>
      </c>
      <c r="B156" s="235" t="s">
        <v>890</v>
      </c>
      <c r="C156" s="235"/>
    </row>
    <row r="157" spans="1:3" x14ac:dyDescent="0.25">
      <c r="A157" s="235">
        <v>150</v>
      </c>
      <c r="B157" s="613" t="s">
        <v>910</v>
      </c>
      <c r="C157" s="612"/>
    </row>
    <row r="158" spans="1:3" x14ac:dyDescent="0.25">
      <c r="A158" s="235">
        <v>151</v>
      </c>
      <c r="B158" s="235" t="s">
        <v>886</v>
      </c>
      <c r="C158" s="235"/>
    </row>
    <row r="159" spans="1:3" x14ac:dyDescent="0.25">
      <c r="A159" s="235">
        <v>152</v>
      </c>
      <c r="B159" s="235" t="s">
        <v>887</v>
      </c>
      <c r="C159" s="235"/>
    </row>
    <row r="160" spans="1:3" x14ac:dyDescent="0.25">
      <c r="A160" s="235">
        <v>153</v>
      </c>
      <c r="B160" s="424" t="s">
        <v>888</v>
      </c>
      <c r="C160" s="235"/>
    </row>
    <row r="161" spans="1:3" x14ac:dyDescent="0.25">
      <c r="A161" s="235">
        <v>154</v>
      </c>
      <c r="B161" s="424" t="s">
        <v>889</v>
      </c>
      <c r="C161" s="235"/>
    </row>
    <row r="162" spans="1:3" x14ac:dyDescent="0.25">
      <c r="A162" s="235">
        <v>155</v>
      </c>
      <c r="B162" s="235" t="s">
        <v>890</v>
      </c>
      <c r="C162" s="235"/>
    </row>
    <row r="163" spans="1:3" x14ac:dyDescent="0.25">
      <c r="A163" s="235">
        <v>156</v>
      </c>
      <c r="B163" s="613" t="s">
        <v>911</v>
      </c>
      <c r="C163" s="612"/>
    </row>
    <row r="164" spans="1:3" x14ac:dyDescent="0.25">
      <c r="A164" s="235">
        <v>157</v>
      </c>
      <c r="B164" s="235" t="s">
        <v>886</v>
      </c>
      <c r="C164" s="235"/>
    </row>
    <row r="165" spans="1:3" x14ac:dyDescent="0.25">
      <c r="A165" s="235">
        <v>158</v>
      </c>
      <c r="B165" s="235" t="s">
        <v>887</v>
      </c>
      <c r="C165" s="235"/>
    </row>
    <row r="166" spans="1:3" x14ac:dyDescent="0.25">
      <c r="A166" s="235">
        <v>159</v>
      </c>
      <c r="B166" s="424" t="s">
        <v>888</v>
      </c>
      <c r="C166" s="235"/>
    </row>
    <row r="167" spans="1:3" x14ac:dyDescent="0.25">
      <c r="A167" s="235">
        <v>160</v>
      </c>
      <c r="B167" s="424" t="s">
        <v>889</v>
      </c>
      <c r="C167" s="235"/>
    </row>
    <row r="168" spans="1:3" x14ac:dyDescent="0.25">
      <c r="A168" s="235">
        <v>161</v>
      </c>
      <c r="B168" s="235" t="s">
        <v>890</v>
      </c>
      <c r="C168" s="235"/>
    </row>
    <row r="169" spans="1:3" x14ac:dyDescent="0.25">
      <c r="A169" s="235">
        <v>162</v>
      </c>
      <c r="B169" s="613" t="s">
        <v>912</v>
      </c>
      <c r="C169" s="612"/>
    </row>
    <row r="170" spans="1:3" x14ac:dyDescent="0.25">
      <c r="A170" s="235">
        <v>163</v>
      </c>
      <c r="B170" s="235" t="s">
        <v>886</v>
      </c>
      <c r="C170" s="235"/>
    </row>
    <row r="171" spans="1:3" x14ac:dyDescent="0.25">
      <c r="A171" s="235">
        <v>164</v>
      </c>
      <c r="B171" s="235" t="s">
        <v>887</v>
      </c>
      <c r="C171" s="235"/>
    </row>
    <row r="172" spans="1:3" x14ac:dyDescent="0.25">
      <c r="A172" s="235">
        <v>165</v>
      </c>
      <c r="B172" s="424" t="s">
        <v>888</v>
      </c>
      <c r="C172" s="235"/>
    </row>
    <row r="173" spans="1:3" x14ac:dyDescent="0.25">
      <c r="A173" s="235">
        <v>166</v>
      </c>
      <c r="B173" s="424" t="s">
        <v>889</v>
      </c>
      <c r="C173" s="235"/>
    </row>
    <row r="174" spans="1:3" x14ac:dyDescent="0.25">
      <c r="A174" s="235">
        <v>167</v>
      </c>
      <c r="B174" s="235" t="s">
        <v>890</v>
      </c>
      <c r="C174" s="235"/>
    </row>
    <row r="175" spans="1:3" x14ac:dyDescent="0.25">
      <c r="A175" s="235">
        <v>168</v>
      </c>
      <c r="B175" s="613" t="s">
        <v>913</v>
      </c>
      <c r="C175" s="612"/>
    </row>
    <row r="176" spans="1:3" x14ac:dyDescent="0.25">
      <c r="A176" s="235">
        <v>169</v>
      </c>
      <c r="B176" s="235" t="s">
        <v>886</v>
      </c>
      <c r="C176" s="235"/>
    </row>
    <row r="177" spans="1:3" x14ac:dyDescent="0.25">
      <c r="A177" s="235">
        <v>170</v>
      </c>
      <c r="B177" s="235" t="s">
        <v>887</v>
      </c>
      <c r="C177" s="235"/>
    </row>
    <row r="178" spans="1:3" x14ac:dyDescent="0.25">
      <c r="A178" s="235">
        <v>171</v>
      </c>
      <c r="B178" s="424" t="s">
        <v>888</v>
      </c>
      <c r="C178" s="235"/>
    </row>
    <row r="179" spans="1:3" x14ac:dyDescent="0.25">
      <c r="A179" s="235">
        <v>172</v>
      </c>
      <c r="B179" s="424" t="s">
        <v>889</v>
      </c>
      <c r="C179" s="235"/>
    </row>
    <row r="180" spans="1:3" x14ac:dyDescent="0.25">
      <c r="A180" s="235">
        <v>173</v>
      </c>
      <c r="B180" s="235" t="s">
        <v>890</v>
      </c>
      <c r="C180" s="235"/>
    </row>
    <row r="181" spans="1:3" x14ac:dyDescent="0.25">
      <c r="A181" s="235">
        <v>174</v>
      </c>
      <c r="B181" s="613" t="s">
        <v>914</v>
      </c>
      <c r="C181" s="612"/>
    </row>
    <row r="182" spans="1:3" x14ac:dyDescent="0.25">
      <c r="A182" s="235">
        <v>175</v>
      </c>
      <c r="B182" s="235" t="s">
        <v>886</v>
      </c>
      <c r="C182" s="235"/>
    </row>
    <row r="183" spans="1:3" x14ac:dyDescent="0.25">
      <c r="A183" s="235">
        <v>176</v>
      </c>
      <c r="B183" s="235" t="s">
        <v>887</v>
      </c>
      <c r="C183" s="235"/>
    </row>
    <row r="184" spans="1:3" x14ac:dyDescent="0.25">
      <c r="A184" s="235">
        <v>177</v>
      </c>
      <c r="B184" s="424" t="s">
        <v>888</v>
      </c>
      <c r="C184" s="235"/>
    </row>
    <row r="185" spans="1:3" x14ac:dyDescent="0.25">
      <c r="A185" s="235">
        <v>178</v>
      </c>
      <c r="B185" s="424" t="s">
        <v>889</v>
      </c>
      <c r="C185" s="235"/>
    </row>
    <row r="186" spans="1:3" x14ac:dyDescent="0.25">
      <c r="A186" s="235">
        <v>179</v>
      </c>
      <c r="B186" s="235" t="s">
        <v>890</v>
      </c>
      <c r="C186" s="235"/>
    </row>
    <row r="187" spans="1:3" x14ac:dyDescent="0.25">
      <c r="A187" s="235">
        <v>180</v>
      </c>
      <c r="B187" s="613" t="s">
        <v>914</v>
      </c>
      <c r="C187" s="612"/>
    </row>
    <row r="188" spans="1:3" x14ac:dyDescent="0.25">
      <c r="A188" s="235">
        <v>181</v>
      </c>
      <c r="B188" s="235" t="s">
        <v>886</v>
      </c>
      <c r="C188" s="235"/>
    </row>
    <row r="189" spans="1:3" x14ac:dyDescent="0.25">
      <c r="A189" s="235">
        <v>182</v>
      </c>
      <c r="B189" s="235" t="s">
        <v>887</v>
      </c>
      <c r="C189" s="235"/>
    </row>
    <row r="190" spans="1:3" x14ac:dyDescent="0.25">
      <c r="A190" s="235">
        <v>183</v>
      </c>
      <c r="B190" s="424" t="s">
        <v>888</v>
      </c>
      <c r="C190" s="235"/>
    </row>
    <row r="191" spans="1:3" x14ac:dyDescent="0.25">
      <c r="A191" s="235">
        <v>184</v>
      </c>
      <c r="B191" s="424" t="s">
        <v>889</v>
      </c>
      <c r="C191" s="235"/>
    </row>
    <row r="192" spans="1:3" x14ac:dyDescent="0.25">
      <c r="A192" s="235">
        <v>185</v>
      </c>
      <c r="B192" s="235" t="s">
        <v>890</v>
      </c>
      <c r="C192" s="235"/>
    </row>
    <row r="193" spans="1:3" x14ac:dyDescent="0.25">
      <c r="A193" s="235">
        <v>186</v>
      </c>
      <c r="B193" s="613" t="s">
        <v>915</v>
      </c>
      <c r="C193" s="612"/>
    </row>
    <row r="194" spans="1:3" x14ac:dyDescent="0.25">
      <c r="A194" s="235">
        <v>187</v>
      </c>
      <c r="B194" s="235" t="s">
        <v>886</v>
      </c>
      <c r="C194" s="235"/>
    </row>
    <row r="195" spans="1:3" x14ac:dyDescent="0.25">
      <c r="A195" s="235">
        <v>188</v>
      </c>
      <c r="B195" s="235" t="s">
        <v>887</v>
      </c>
      <c r="C195" s="235"/>
    </row>
    <row r="196" spans="1:3" x14ac:dyDescent="0.25">
      <c r="A196" s="235">
        <v>189</v>
      </c>
      <c r="B196" s="424" t="s">
        <v>888</v>
      </c>
      <c r="C196" s="235"/>
    </row>
    <row r="197" spans="1:3" x14ac:dyDescent="0.25">
      <c r="A197" s="235">
        <v>190</v>
      </c>
      <c r="B197" s="424" t="s">
        <v>889</v>
      </c>
      <c r="C197" s="235"/>
    </row>
    <row r="198" spans="1:3" x14ac:dyDescent="0.25">
      <c r="A198" s="235">
        <v>191</v>
      </c>
      <c r="B198" s="235" t="s">
        <v>890</v>
      </c>
      <c r="C198" s="235"/>
    </row>
    <row r="199" spans="1:3" x14ac:dyDescent="0.25">
      <c r="A199" s="235">
        <v>192</v>
      </c>
      <c r="B199" s="613" t="s">
        <v>916</v>
      </c>
      <c r="C199" s="612"/>
    </row>
    <row r="200" spans="1:3" x14ac:dyDescent="0.25">
      <c r="A200" s="235">
        <v>193</v>
      </c>
      <c r="B200" s="235" t="s">
        <v>886</v>
      </c>
      <c r="C200" s="235"/>
    </row>
    <row r="201" spans="1:3" x14ac:dyDescent="0.25">
      <c r="A201" s="235">
        <v>194</v>
      </c>
      <c r="B201" s="235" t="s">
        <v>887</v>
      </c>
      <c r="C201" s="235"/>
    </row>
    <row r="202" spans="1:3" x14ac:dyDescent="0.25">
      <c r="A202" s="235">
        <v>195</v>
      </c>
      <c r="B202" s="424" t="s">
        <v>888</v>
      </c>
      <c r="C202" s="235"/>
    </row>
    <row r="203" spans="1:3" x14ac:dyDescent="0.25">
      <c r="A203" s="235">
        <v>196</v>
      </c>
      <c r="B203" s="424" t="s">
        <v>889</v>
      </c>
      <c r="C203" s="235"/>
    </row>
    <row r="204" spans="1:3" x14ac:dyDescent="0.25">
      <c r="A204" s="235">
        <v>197</v>
      </c>
      <c r="B204" s="235" t="s">
        <v>890</v>
      </c>
      <c r="C204" s="235"/>
    </row>
    <row r="205" spans="1:3" x14ac:dyDescent="0.25">
      <c r="A205" s="235">
        <v>198</v>
      </c>
      <c r="B205" s="613" t="s">
        <v>917</v>
      </c>
      <c r="C205" s="612"/>
    </row>
    <row r="206" spans="1:3" x14ac:dyDescent="0.25">
      <c r="A206" s="235">
        <v>199</v>
      </c>
      <c r="B206" s="235" t="s">
        <v>886</v>
      </c>
      <c r="C206" s="235"/>
    </row>
    <row r="207" spans="1:3" x14ac:dyDescent="0.25">
      <c r="A207" s="235">
        <v>200</v>
      </c>
      <c r="B207" s="235" t="s">
        <v>887</v>
      </c>
      <c r="C207" s="235"/>
    </row>
    <row r="208" spans="1:3" x14ac:dyDescent="0.25">
      <c r="A208" s="235">
        <v>201</v>
      </c>
      <c r="B208" s="424" t="s">
        <v>888</v>
      </c>
      <c r="C208" s="235"/>
    </row>
    <row r="209" spans="1:3" x14ac:dyDescent="0.25">
      <c r="A209" s="235">
        <v>202</v>
      </c>
      <c r="B209" s="424" t="s">
        <v>889</v>
      </c>
      <c r="C209" s="235"/>
    </row>
    <row r="210" spans="1:3" x14ac:dyDescent="0.25">
      <c r="A210" s="235">
        <v>203</v>
      </c>
      <c r="B210" s="235" t="s">
        <v>890</v>
      </c>
      <c r="C210" s="235"/>
    </row>
    <row r="211" spans="1:3" x14ac:dyDescent="0.25">
      <c r="A211" s="235">
        <v>204</v>
      </c>
      <c r="B211" s="428"/>
      <c r="C211" s="235"/>
    </row>
    <row r="212" spans="1:3" x14ac:dyDescent="0.25">
      <c r="A212" s="235">
        <v>205</v>
      </c>
      <c r="B212" s="698" t="s">
        <v>918</v>
      </c>
      <c r="C212" s="612"/>
    </row>
    <row r="213" spans="1:3" x14ac:dyDescent="0.25">
      <c r="A213" s="235">
        <v>206</v>
      </c>
      <c r="B213" s="613" t="s">
        <v>919</v>
      </c>
      <c r="C213" s="612"/>
    </row>
    <row r="214" spans="1:3" x14ac:dyDescent="0.25">
      <c r="A214" s="235">
        <v>207</v>
      </c>
      <c r="B214" s="235" t="s">
        <v>886</v>
      </c>
      <c r="C214" s="235"/>
    </row>
    <row r="215" spans="1:3" x14ac:dyDescent="0.25">
      <c r="A215" s="235">
        <v>208</v>
      </c>
      <c r="B215" s="235" t="s">
        <v>887</v>
      </c>
      <c r="C215" s="235"/>
    </row>
    <row r="216" spans="1:3" x14ac:dyDescent="0.25">
      <c r="A216" s="235">
        <v>209</v>
      </c>
      <c r="B216" s="424" t="s">
        <v>888</v>
      </c>
      <c r="C216" s="235"/>
    </row>
    <row r="217" spans="1:3" x14ac:dyDescent="0.25">
      <c r="A217" s="235">
        <v>210</v>
      </c>
      <c r="B217" s="424" t="s">
        <v>889</v>
      </c>
      <c r="C217" s="235"/>
    </row>
    <row r="218" spans="1:3" x14ac:dyDescent="0.25">
      <c r="A218" s="235">
        <v>211</v>
      </c>
      <c r="B218" s="235" t="s">
        <v>890</v>
      </c>
      <c r="C218" s="235"/>
    </row>
    <row r="219" spans="1:3" x14ac:dyDescent="0.25">
      <c r="A219" s="235">
        <v>212</v>
      </c>
      <c r="B219" s="613" t="s">
        <v>920</v>
      </c>
      <c r="C219" s="612"/>
    </row>
    <row r="220" spans="1:3" x14ac:dyDescent="0.25">
      <c r="A220" s="235">
        <v>213</v>
      </c>
      <c r="B220" s="235" t="s">
        <v>886</v>
      </c>
      <c r="C220" s="235"/>
    </row>
    <row r="221" spans="1:3" x14ac:dyDescent="0.25">
      <c r="A221" s="235">
        <v>214</v>
      </c>
      <c r="B221" s="235" t="s">
        <v>887</v>
      </c>
      <c r="C221" s="235"/>
    </row>
    <row r="222" spans="1:3" x14ac:dyDescent="0.25">
      <c r="A222" s="235">
        <v>215</v>
      </c>
      <c r="B222" s="424" t="s">
        <v>888</v>
      </c>
      <c r="C222" s="235"/>
    </row>
    <row r="223" spans="1:3" x14ac:dyDescent="0.25">
      <c r="A223" s="235">
        <v>216</v>
      </c>
      <c r="B223" s="424" t="s">
        <v>889</v>
      </c>
      <c r="C223" s="235"/>
    </row>
    <row r="224" spans="1:3" x14ac:dyDescent="0.25">
      <c r="A224" s="235">
        <v>217</v>
      </c>
      <c r="B224" s="235" t="s">
        <v>890</v>
      </c>
      <c r="C224" s="235"/>
    </row>
    <row r="225" spans="1:3" x14ac:dyDescent="0.25">
      <c r="A225" s="235">
        <v>218</v>
      </c>
      <c r="B225" s="613" t="s">
        <v>907</v>
      </c>
      <c r="C225" s="612"/>
    </row>
    <row r="226" spans="1:3" x14ac:dyDescent="0.25">
      <c r="A226" s="235">
        <v>219</v>
      </c>
      <c r="B226" s="235" t="s">
        <v>886</v>
      </c>
      <c r="C226" s="235"/>
    </row>
    <row r="227" spans="1:3" x14ac:dyDescent="0.25">
      <c r="A227" s="235">
        <v>220</v>
      </c>
      <c r="B227" s="235" t="s">
        <v>887</v>
      </c>
      <c r="C227" s="235"/>
    </row>
    <row r="228" spans="1:3" x14ac:dyDescent="0.25">
      <c r="A228" s="235">
        <v>221</v>
      </c>
      <c r="B228" s="424" t="s">
        <v>888</v>
      </c>
      <c r="C228" s="235"/>
    </row>
    <row r="229" spans="1:3" x14ac:dyDescent="0.25">
      <c r="A229" s="235">
        <v>222</v>
      </c>
      <c r="B229" s="424" t="s">
        <v>889</v>
      </c>
      <c r="C229" s="235"/>
    </row>
    <row r="230" spans="1:3" x14ac:dyDescent="0.25">
      <c r="A230" s="235">
        <v>223</v>
      </c>
      <c r="B230" s="235" t="s">
        <v>890</v>
      </c>
      <c r="C230" s="235"/>
    </row>
    <row r="231" spans="1:3" x14ac:dyDescent="0.25">
      <c r="A231" s="235">
        <v>224</v>
      </c>
      <c r="B231" s="613" t="s">
        <v>921</v>
      </c>
      <c r="C231" s="612"/>
    </row>
    <row r="232" spans="1:3" x14ac:dyDescent="0.25">
      <c r="A232" s="235">
        <v>225</v>
      </c>
      <c r="B232" s="235" t="s">
        <v>886</v>
      </c>
      <c r="C232" s="235"/>
    </row>
    <row r="233" spans="1:3" x14ac:dyDescent="0.25">
      <c r="A233" s="235">
        <v>226</v>
      </c>
      <c r="B233" s="235" t="s">
        <v>887</v>
      </c>
      <c r="C233" s="235"/>
    </row>
    <row r="234" spans="1:3" x14ac:dyDescent="0.25">
      <c r="A234" s="235">
        <v>227</v>
      </c>
      <c r="B234" s="424" t="s">
        <v>888</v>
      </c>
      <c r="C234" s="235"/>
    </row>
    <row r="235" spans="1:3" x14ac:dyDescent="0.25">
      <c r="A235" s="235">
        <v>228</v>
      </c>
      <c r="B235" s="424" t="s">
        <v>889</v>
      </c>
      <c r="C235" s="235"/>
    </row>
    <row r="236" spans="1:3" x14ac:dyDescent="0.25">
      <c r="A236" s="235">
        <v>229</v>
      </c>
      <c r="B236" s="235" t="s">
        <v>890</v>
      </c>
      <c r="C236" s="235"/>
    </row>
    <row r="237" spans="1:3" x14ac:dyDescent="0.25">
      <c r="A237" s="235">
        <v>230</v>
      </c>
      <c r="B237" s="613" t="s">
        <v>922</v>
      </c>
      <c r="C237" s="612"/>
    </row>
    <row r="238" spans="1:3" x14ac:dyDescent="0.25">
      <c r="A238" s="235">
        <v>231</v>
      </c>
      <c r="B238" s="235" t="s">
        <v>886</v>
      </c>
      <c r="C238" s="235"/>
    </row>
    <row r="239" spans="1:3" x14ac:dyDescent="0.25">
      <c r="A239" s="235">
        <v>232</v>
      </c>
      <c r="B239" s="235" t="s">
        <v>887</v>
      </c>
      <c r="C239" s="235"/>
    </row>
    <row r="240" spans="1:3" x14ac:dyDescent="0.25">
      <c r="A240" s="235">
        <v>233</v>
      </c>
      <c r="B240" s="424" t="s">
        <v>888</v>
      </c>
      <c r="C240" s="235"/>
    </row>
    <row r="241" spans="1:3" x14ac:dyDescent="0.25">
      <c r="A241" s="235">
        <v>234</v>
      </c>
      <c r="B241" s="424" t="s">
        <v>889</v>
      </c>
      <c r="C241" s="235"/>
    </row>
    <row r="242" spans="1:3" x14ac:dyDescent="0.25">
      <c r="A242" s="235">
        <v>235</v>
      </c>
      <c r="B242" s="235" t="s">
        <v>890</v>
      </c>
      <c r="C242" s="235"/>
    </row>
    <row r="243" spans="1:3" x14ac:dyDescent="0.25">
      <c r="A243" s="235">
        <v>236</v>
      </c>
      <c r="B243" s="613" t="s">
        <v>914</v>
      </c>
      <c r="C243" s="612"/>
    </row>
    <row r="244" spans="1:3" x14ac:dyDescent="0.25">
      <c r="A244" s="235">
        <v>237</v>
      </c>
      <c r="B244" s="235" t="s">
        <v>886</v>
      </c>
      <c r="C244" s="235"/>
    </row>
    <row r="245" spans="1:3" x14ac:dyDescent="0.25">
      <c r="A245" s="235">
        <v>238</v>
      </c>
      <c r="B245" s="235" t="s">
        <v>887</v>
      </c>
      <c r="C245" s="235"/>
    </row>
    <row r="246" spans="1:3" x14ac:dyDescent="0.25">
      <c r="A246" s="235">
        <v>239</v>
      </c>
      <c r="B246" s="424" t="s">
        <v>888</v>
      </c>
      <c r="C246" s="235"/>
    </row>
    <row r="247" spans="1:3" x14ac:dyDescent="0.25">
      <c r="A247" s="235">
        <v>240</v>
      </c>
      <c r="B247" s="424" t="s">
        <v>889</v>
      </c>
      <c r="C247" s="235"/>
    </row>
    <row r="248" spans="1:3" x14ac:dyDescent="0.25">
      <c r="A248" s="235">
        <v>241</v>
      </c>
      <c r="B248" s="235" t="s">
        <v>890</v>
      </c>
      <c r="C248" s="235"/>
    </row>
    <row r="249" spans="1:3" x14ac:dyDescent="0.25">
      <c r="A249" s="235">
        <v>242</v>
      </c>
      <c r="B249" s="613" t="s">
        <v>923</v>
      </c>
      <c r="C249" s="612"/>
    </row>
    <row r="250" spans="1:3" x14ac:dyDescent="0.25">
      <c r="A250" s="235">
        <v>243</v>
      </c>
      <c r="B250" s="235" t="s">
        <v>886</v>
      </c>
      <c r="C250" s="235"/>
    </row>
    <row r="251" spans="1:3" x14ac:dyDescent="0.25">
      <c r="A251" s="235">
        <v>244</v>
      </c>
      <c r="B251" s="235" t="s">
        <v>887</v>
      </c>
      <c r="C251" s="235"/>
    </row>
    <row r="252" spans="1:3" x14ac:dyDescent="0.25">
      <c r="A252" s="235">
        <v>245</v>
      </c>
      <c r="B252" s="424" t="s">
        <v>888</v>
      </c>
      <c r="C252" s="235"/>
    </row>
    <row r="253" spans="1:3" x14ac:dyDescent="0.25">
      <c r="A253" s="235">
        <v>246</v>
      </c>
      <c r="B253" s="424" t="s">
        <v>889</v>
      </c>
      <c r="C253" s="235"/>
    </row>
    <row r="254" spans="1:3" x14ac:dyDescent="0.25">
      <c r="A254" s="235">
        <v>247</v>
      </c>
      <c r="B254" s="235" t="s">
        <v>890</v>
      </c>
      <c r="C254" s="235"/>
    </row>
    <row r="255" spans="1:3" x14ac:dyDescent="0.25">
      <c r="A255" s="235">
        <v>248</v>
      </c>
      <c r="B255" s="613" t="s">
        <v>923</v>
      </c>
      <c r="C255" s="612"/>
    </row>
    <row r="256" spans="1:3" x14ac:dyDescent="0.25">
      <c r="A256" s="235">
        <v>249</v>
      </c>
      <c r="B256" s="235" t="s">
        <v>886</v>
      </c>
      <c r="C256" s="235"/>
    </row>
    <row r="257" spans="1:3" x14ac:dyDescent="0.25">
      <c r="A257" s="235">
        <v>250</v>
      </c>
      <c r="B257" s="235" t="s">
        <v>887</v>
      </c>
      <c r="C257" s="235"/>
    </row>
    <row r="258" spans="1:3" x14ac:dyDescent="0.25">
      <c r="A258" s="235">
        <v>251</v>
      </c>
      <c r="B258" s="424" t="s">
        <v>888</v>
      </c>
      <c r="C258" s="235"/>
    </row>
    <row r="259" spans="1:3" x14ac:dyDescent="0.25">
      <c r="A259" s="235">
        <v>252</v>
      </c>
      <c r="B259" s="424" t="s">
        <v>889</v>
      </c>
      <c r="C259" s="235"/>
    </row>
    <row r="260" spans="1:3" x14ac:dyDescent="0.25">
      <c r="A260" s="235">
        <v>253</v>
      </c>
      <c r="B260" s="235" t="s">
        <v>890</v>
      </c>
      <c r="C260" s="235"/>
    </row>
    <row r="261" spans="1:3" x14ac:dyDescent="0.25">
      <c r="A261" s="235">
        <v>254</v>
      </c>
      <c r="B261" s="613" t="s">
        <v>924</v>
      </c>
      <c r="C261" s="612"/>
    </row>
    <row r="262" spans="1:3" x14ac:dyDescent="0.25">
      <c r="A262" s="235">
        <v>255</v>
      </c>
      <c r="B262" s="235" t="s">
        <v>886</v>
      </c>
      <c r="C262" s="235"/>
    </row>
    <row r="263" spans="1:3" x14ac:dyDescent="0.25">
      <c r="A263" s="235">
        <v>256</v>
      </c>
      <c r="B263" s="235" t="s">
        <v>887</v>
      </c>
      <c r="C263" s="235"/>
    </row>
    <row r="264" spans="1:3" x14ac:dyDescent="0.25">
      <c r="A264" s="235">
        <v>257</v>
      </c>
      <c r="B264" s="424" t="s">
        <v>888</v>
      </c>
      <c r="C264" s="235"/>
    </row>
    <row r="265" spans="1:3" x14ac:dyDescent="0.25">
      <c r="A265" s="235">
        <v>258</v>
      </c>
      <c r="B265" s="424" t="s">
        <v>889</v>
      </c>
      <c r="C265" s="235"/>
    </row>
    <row r="266" spans="1:3" x14ac:dyDescent="0.25">
      <c r="A266" s="235">
        <v>259</v>
      </c>
      <c r="B266" s="235" t="s">
        <v>890</v>
      </c>
      <c r="C266" s="235"/>
    </row>
    <row r="267" spans="1:3" x14ac:dyDescent="0.25">
      <c r="A267" s="235">
        <v>260</v>
      </c>
      <c r="B267" s="613" t="s">
        <v>925</v>
      </c>
      <c r="C267" s="612"/>
    </row>
    <row r="268" spans="1:3" x14ac:dyDescent="0.25">
      <c r="A268" s="235">
        <v>261</v>
      </c>
      <c r="B268" s="235" t="s">
        <v>886</v>
      </c>
      <c r="C268" s="235"/>
    </row>
    <row r="269" spans="1:3" x14ac:dyDescent="0.25">
      <c r="A269" s="235">
        <v>262</v>
      </c>
      <c r="B269" s="235" t="s">
        <v>887</v>
      </c>
      <c r="C269" s="235"/>
    </row>
    <row r="270" spans="1:3" x14ac:dyDescent="0.25">
      <c r="A270" s="235">
        <v>263</v>
      </c>
      <c r="B270" s="424" t="s">
        <v>888</v>
      </c>
      <c r="C270" s="235"/>
    </row>
    <row r="271" spans="1:3" x14ac:dyDescent="0.25">
      <c r="A271" s="235">
        <v>264</v>
      </c>
      <c r="B271" s="424" t="s">
        <v>889</v>
      </c>
      <c r="C271" s="235"/>
    </row>
    <row r="272" spans="1:3" x14ac:dyDescent="0.25">
      <c r="A272" s="235">
        <v>265</v>
      </c>
      <c r="B272" s="235" t="s">
        <v>890</v>
      </c>
      <c r="C272" s="235"/>
    </row>
    <row r="273" spans="1:3" x14ac:dyDescent="0.25">
      <c r="A273" s="235">
        <v>266</v>
      </c>
      <c r="B273" s="605" t="s">
        <v>926</v>
      </c>
      <c r="C273" s="235"/>
    </row>
    <row r="274" spans="1:3" x14ac:dyDescent="0.25">
      <c r="A274" s="235">
        <v>267</v>
      </c>
      <c r="B274" s="613" t="s">
        <v>924</v>
      </c>
      <c r="C274" s="612"/>
    </row>
    <row r="275" spans="1:3" x14ac:dyDescent="0.25">
      <c r="A275" s="235">
        <v>268</v>
      </c>
      <c r="B275" s="235" t="s">
        <v>886</v>
      </c>
      <c r="C275" s="235"/>
    </row>
    <row r="276" spans="1:3" x14ac:dyDescent="0.25">
      <c r="A276" s="235">
        <v>269</v>
      </c>
      <c r="B276" s="235" t="s">
        <v>887</v>
      </c>
      <c r="C276" s="235"/>
    </row>
    <row r="277" spans="1:3" x14ac:dyDescent="0.25">
      <c r="A277" s="235">
        <v>270</v>
      </c>
      <c r="B277" s="424" t="s">
        <v>888</v>
      </c>
      <c r="C277" s="235"/>
    </row>
    <row r="278" spans="1:3" x14ac:dyDescent="0.25">
      <c r="A278" s="235">
        <v>271</v>
      </c>
      <c r="B278" s="424" t="s">
        <v>889</v>
      </c>
      <c r="C278" s="235"/>
    </row>
    <row r="279" spans="1:3" x14ac:dyDescent="0.25">
      <c r="A279" s="235">
        <v>272</v>
      </c>
      <c r="B279" s="235" t="s">
        <v>890</v>
      </c>
      <c r="C279" s="235"/>
    </row>
    <row r="280" spans="1:3" x14ac:dyDescent="0.25">
      <c r="A280" s="235">
        <v>273</v>
      </c>
      <c r="B280" s="613" t="s">
        <v>927</v>
      </c>
      <c r="C280" s="612"/>
    </row>
    <row r="281" spans="1:3" x14ac:dyDescent="0.25">
      <c r="A281" s="235">
        <v>274</v>
      </c>
      <c r="B281" s="235" t="s">
        <v>886</v>
      </c>
      <c r="C281" s="235"/>
    </row>
    <row r="282" spans="1:3" x14ac:dyDescent="0.25">
      <c r="A282" s="235">
        <v>275</v>
      </c>
      <c r="B282" s="235" t="s">
        <v>887</v>
      </c>
      <c r="C282" s="235"/>
    </row>
    <row r="283" spans="1:3" x14ac:dyDescent="0.25">
      <c r="A283" s="235">
        <v>276</v>
      </c>
      <c r="B283" s="424" t="s">
        <v>888</v>
      </c>
      <c r="C283" s="235"/>
    </row>
    <row r="284" spans="1:3" x14ac:dyDescent="0.25">
      <c r="A284" s="235">
        <v>277</v>
      </c>
      <c r="B284" s="424" t="s">
        <v>889</v>
      </c>
      <c r="C284" s="235"/>
    </row>
    <row r="285" spans="1:3" x14ac:dyDescent="0.25">
      <c r="A285" s="235">
        <v>278</v>
      </c>
      <c r="B285" s="235" t="s">
        <v>890</v>
      </c>
      <c r="C285" s="235"/>
    </row>
    <row r="286" spans="1:3" x14ac:dyDescent="0.25">
      <c r="A286" s="235">
        <v>279</v>
      </c>
      <c r="B286" s="613" t="s">
        <v>928</v>
      </c>
      <c r="C286" s="612"/>
    </row>
    <row r="287" spans="1:3" x14ac:dyDescent="0.25">
      <c r="A287" s="235">
        <v>280</v>
      </c>
      <c r="B287" s="235" t="s">
        <v>886</v>
      </c>
      <c r="C287" s="235"/>
    </row>
    <row r="288" spans="1:3" x14ac:dyDescent="0.25">
      <c r="A288" s="235">
        <v>281</v>
      </c>
      <c r="B288" s="235" t="s">
        <v>887</v>
      </c>
      <c r="C288" s="235"/>
    </row>
    <row r="289" spans="1:3" x14ac:dyDescent="0.25">
      <c r="A289" s="235">
        <v>282</v>
      </c>
      <c r="B289" s="424" t="s">
        <v>888</v>
      </c>
      <c r="C289" s="235"/>
    </row>
    <row r="290" spans="1:3" x14ac:dyDescent="0.25">
      <c r="A290" s="235">
        <v>283</v>
      </c>
      <c r="B290" s="424" t="s">
        <v>889</v>
      </c>
      <c r="C290" s="235"/>
    </row>
    <row r="291" spans="1:3" x14ac:dyDescent="0.25">
      <c r="A291" s="235">
        <v>284</v>
      </c>
      <c r="B291" s="235" t="s">
        <v>890</v>
      </c>
      <c r="C291" s="235"/>
    </row>
    <row r="292" spans="1:3" x14ac:dyDescent="0.25">
      <c r="A292" s="235">
        <v>285</v>
      </c>
      <c r="B292" s="613" t="s">
        <v>929</v>
      </c>
      <c r="C292" s="612"/>
    </row>
    <row r="293" spans="1:3" x14ac:dyDescent="0.25">
      <c r="A293" s="235">
        <v>286</v>
      </c>
      <c r="B293" s="235" t="s">
        <v>886</v>
      </c>
      <c r="C293" s="235"/>
    </row>
    <row r="294" spans="1:3" x14ac:dyDescent="0.25">
      <c r="A294" s="235">
        <v>287</v>
      </c>
      <c r="B294" s="235" t="s">
        <v>887</v>
      </c>
      <c r="C294" s="235"/>
    </row>
    <row r="295" spans="1:3" x14ac:dyDescent="0.25">
      <c r="A295" s="235">
        <v>288</v>
      </c>
      <c r="B295" s="424" t="s">
        <v>888</v>
      </c>
      <c r="C295" s="235"/>
    </row>
    <row r="296" spans="1:3" x14ac:dyDescent="0.25">
      <c r="A296" s="235">
        <v>289</v>
      </c>
      <c r="B296" s="424" t="s">
        <v>889</v>
      </c>
      <c r="C296" s="235"/>
    </row>
    <row r="297" spans="1:3" x14ac:dyDescent="0.25">
      <c r="A297" s="235">
        <v>290</v>
      </c>
      <c r="B297" s="235" t="s">
        <v>890</v>
      </c>
      <c r="C297" s="235"/>
    </row>
    <row r="298" spans="1:3" x14ac:dyDescent="0.25">
      <c r="A298" s="235">
        <v>291</v>
      </c>
      <c r="B298" s="613" t="s">
        <v>930</v>
      </c>
      <c r="C298" s="612"/>
    </row>
    <row r="299" spans="1:3" x14ac:dyDescent="0.25">
      <c r="A299" s="235">
        <v>292</v>
      </c>
      <c r="B299" s="235" t="s">
        <v>886</v>
      </c>
      <c r="C299" s="235"/>
    </row>
    <row r="300" spans="1:3" x14ac:dyDescent="0.25">
      <c r="A300" s="235">
        <v>293</v>
      </c>
      <c r="B300" s="235" t="s">
        <v>887</v>
      </c>
      <c r="C300" s="235"/>
    </row>
    <row r="301" spans="1:3" x14ac:dyDescent="0.25">
      <c r="A301" s="235">
        <v>294</v>
      </c>
      <c r="B301" s="424" t="s">
        <v>888</v>
      </c>
      <c r="C301" s="235"/>
    </row>
    <row r="302" spans="1:3" x14ac:dyDescent="0.25">
      <c r="A302" s="235">
        <v>295</v>
      </c>
      <c r="B302" s="424" t="s">
        <v>889</v>
      </c>
      <c r="C302" s="235"/>
    </row>
    <row r="303" spans="1:3" x14ac:dyDescent="0.25">
      <c r="A303" s="235">
        <v>296</v>
      </c>
      <c r="B303" s="235" t="s">
        <v>890</v>
      </c>
      <c r="C303" s="235"/>
    </row>
    <row r="304" spans="1:3" x14ac:dyDescent="0.25">
      <c r="A304" s="235">
        <v>297</v>
      </c>
      <c r="B304" s="235"/>
      <c r="C304" s="235"/>
    </row>
    <row r="305" spans="1:3" x14ac:dyDescent="0.25">
      <c r="A305" s="235">
        <v>298</v>
      </c>
      <c r="B305" s="235"/>
      <c r="C305" s="235"/>
    </row>
    <row r="306" spans="1:3" x14ac:dyDescent="0.25">
      <c r="A306" s="235">
        <v>299</v>
      </c>
      <c r="B306" s="235"/>
      <c r="C306" s="235"/>
    </row>
    <row r="307" spans="1:3" x14ac:dyDescent="0.25">
      <c r="A307" s="235">
        <v>300</v>
      </c>
      <c r="B307" s="490" t="s">
        <v>59</v>
      </c>
      <c r="C307" s="612"/>
    </row>
    <row r="308" spans="1:3" x14ac:dyDescent="0.25">
      <c r="A308" s="235">
        <v>301</v>
      </c>
      <c r="B308" s="430" t="s">
        <v>931</v>
      </c>
      <c r="C308" s="235"/>
    </row>
    <row r="309" spans="1:3" x14ac:dyDescent="0.25">
      <c r="A309" s="235">
        <v>302</v>
      </c>
      <c r="B309" s="431"/>
      <c r="C309" s="404"/>
    </row>
    <row r="310" spans="1:3" x14ac:dyDescent="0.25">
      <c r="A310" s="235">
        <v>303</v>
      </c>
      <c r="B310" s="614" t="s">
        <v>932</v>
      </c>
      <c r="C310" s="612"/>
    </row>
    <row r="311" spans="1:3" ht="26.25" x14ac:dyDescent="0.25">
      <c r="A311" s="235">
        <v>304</v>
      </c>
      <c r="B311" s="432" t="s">
        <v>933</v>
      </c>
      <c r="C311" s="235"/>
    </row>
    <row r="312" spans="1:3" x14ac:dyDescent="0.25">
      <c r="A312" s="235">
        <v>305</v>
      </c>
      <c r="B312" s="235" t="s">
        <v>934</v>
      </c>
      <c r="C312" s="235"/>
    </row>
    <row r="313" spans="1:3" x14ac:dyDescent="0.25">
      <c r="A313" s="235">
        <v>306</v>
      </c>
      <c r="B313" s="388"/>
      <c r="C313" s="235"/>
    </row>
    <row r="314" spans="1:3" x14ac:dyDescent="0.25">
      <c r="A314" s="235">
        <v>307</v>
      </c>
      <c r="B314" s="613" t="s">
        <v>61</v>
      </c>
      <c r="C314" s="612"/>
    </row>
    <row r="315" spans="1:3" x14ac:dyDescent="0.25">
      <c r="A315" s="235">
        <v>308</v>
      </c>
      <c r="B315" s="235" t="s">
        <v>935</v>
      </c>
      <c r="C315" s="235"/>
    </row>
    <row r="316" spans="1:3" x14ac:dyDescent="0.25">
      <c r="A316" s="235">
        <v>309</v>
      </c>
      <c r="B316" s="235"/>
      <c r="C316" s="235"/>
    </row>
    <row r="317" spans="1:3" x14ac:dyDescent="0.25">
      <c r="A317" s="235">
        <v>310</v>
      </c>
      <c r="B317" s="613" t="s">
        <v>899</v>
      </c>
      <c r="C317" s="612"/>
    </row>
    <row r="318" spans="1:3" x14ac:dyDescent="0.25">
      <c r="A318" s="235">
        <v>311</v>
      </c>
      <c r="B318" s="235" t="s">
        <v>936</v>
      </c>
      <c r="C318" s="235"/>
    </row>
    <row r="319" spans="1:3" x14ac:dyDescent="0.25">
      <c r="A319" s="235">
        <v>312</v>
      </c>
      <c r="B319" s="235"/>
      <c r="C319" s="235"/>
    </row>
    <row r="320" spans="1:3" x14ac:dyDescent="0.25">
      <c r="A320" s="235">
        <v>313</v>
      </c>
      <c r="B320" s="613" t="s">
        <v>937</v>
      </c>
      <c r="C320" s="612"/>
    </row>
    <row r="321" spans="1:3" x14ac:dyDescent="0.25">
      <c r="A321" s="235">
        <v>314</v>
      </c>
      <c r="B321" s="235" t="s">
        <v>938</v>
      </c>
      <c r="C321" s="235"/>
    </row>
    <row r="322" spans="1:3" x14ac:dyDescent="0.25">
      <c r="A322" s="235">
        <v>315</v>
      </c>
      <c r="B322" s="235"/>
      <c r="C322" s="235"/>
    </row>
    <row r="323" spans="1:3" x14ac:dyDescent="0.25">
      <c r="A323" s="235">
        <v>316</v>
      </c>
      <c r="B323" s="613" t="s">
        <v>939</v>
      </c>
      <c r="C323" s="612"/>
    </row>
    <row r="324" spans="1:3" x14ac:dyDescent="0.25">
      <c r="A324" s="235">
        <v>317</v>
      </c>
      <c r="B324" s="267" t="s">
        <v>940</v>
      </c>
      <c r="C324" s="433"/>
    </row>
    <row r="325" spans="1:3" x14ac:dyDescent="0.25">
      <c r="A325" s="235">
        <v>318</v>
      </c>
      <c r="B325" s="434" t="s">
        <v>941</v>
      </c>
      <c r="C325" s="235"/>
    </row>
    <row r="326" spans="1:3" x14ac:dyDescent="0.25">
      <c r="A326" s="235">
        <v>319</v>
      </c>
      <c r="B326" s="422" t="s">
        <v>942</v>
      </c>
      <c r="C326" s="423"/>
    </row>
    <row r="327" spans="1:3" x14ac:dyDescent="0.25">
      <c r="A327" s="235">
        <v>320</v>
      </c>
      <c r="B327" s="388"/>
      <c r="C327" s="235"/>
    </row>
    <row r="328" spans="1:3" x14ac:dyDescent="0.25">
      <c r="A328" s="235">
        <v>321</v>
      </c>
      <c r="B328" s="613" t="s">
        <v>943</v>
      </c>
      <c r="C328" s="607"/>
    </row>
    <row r="329" spans="1:3" x14ac:dyDescent="0.25">
      <c r="A329" s="235">
        <v>322</v>
      </c>
      <c r="B329" s="235" t="s">
        <v>944</v>
      </c>
      <c r="C329" s="235"/>
    </row>
    <row r="330" spans="1:3" x14ac:dyDescent="0.25">
      <c r="A330" s="235">
        <v>323</v>
      </c>
      <c r="B330" s="435" t="s">
        <v>62</v>
      </c>
      <c r="C330" s="699"/>
    </row>
    <row r="331" spans="1:3" x14ac:dyDescent="0.25">
      <c r="A331" s="235">
        <v>324</v>
      </c>
      <c r="B331" s="436" t="s">
        <v>945</v>
      </c>
      <c r="C331" s="699"/>
    </row>
    <row r="332" spans="1:3" x14ac:dyDescent="0.25">
      <c r="A332" s="235">
        <v>325</v>
      </c>
      <c r="B332" s="437" t="s">
        <v>946</v>
      </c>
      <c r="C332" s="699"/>
    </row>
    <row r="333" spans="1:3" x14ac:dyDescent="0.25">
      <c r="A333" s="235">
        <v>326</v>
      </c>
      <c r="B333" s="438"/>
      <c r="C333" s="235"/>
    </row>
    <row r="334" spans="1:3" x14ac:dyDescent="0.25">
      <c r="A334" s="235">
        <v>327</v>
      </c>
      <c r="B334" s="611" t="s">
        <v>947</v>
      </c>
      <c r="C334" s="612"/>
    </row>
    <row r="335" spans="1:3" x14ac:dyDescent="0.25">
      <c r="A335" s="235">
        <v>328</v>
      </c>
      <c r="B335" s="432" t="s">
        <v>948</v>
      </c>
      <c r="C335" s="235"/>
    </row>
    <row r="336" spans="1:3" x14ac:dyDescent="0.25">
      <c r="A336" s="235">
        <v>329</v>
      </c>
      <c r="B336" s="235" t="s">
        <v>949</v>
      </c>
      <c r="C336" s="235"/>
    </row>
    <row r="337" spans="1:3" x14ac:dyDescent="0.25">
      <c r="A337" s="235">
        <v>330</v>
      </c>
      <c r="B337" s="235" t="s">
        <v>950</v>
      </c>
      <c r="C337" s="235"/>
    </row>
    <row r="338" spans="1:3" x14ac:dyDescent="0.25">
      <c r="A338" s="235">
        <v>331</v>
      </c>
      <c r="B338" s="235" t="s">
        <v>951</v>
      </c>
      <c r="C338" s="433"/>
    </row>
    <row r="339" spans="1:3" x14ac:dyDescent="0.25">
      <c r="A339" s="235">
        <v>332</v>
      </c>
      <c r="B339" s="235" t="s">
        <v>941</v>
      </c>
      <c r="C339" s="235"/>
    </row>
    <row r="340" spans="1:3" x14ac:dyDescent="0.25">
      <c r="A340" s="235">
        <v>333</v>
      </c>
      <c r="B340" s="235" t="s">
        <v>952</v>
      </c>
      <c r="C340" s="235"/>
    </row>
    <row r="341" spans="1:3" x14ac:dyDescent="0.25">
      <c r="A341" s="235">
        <v>334</v>
      </c>
      <c r="B341" s="439" t="s">
        <v>953</v>
      </c>
      <c r="C341" s="440"/>
    </row>
    <row r="342" spans="1:3" x14ac:dyDescent="0.25">
      <c r="A342" s="235">
        <v>335</v>
      </c>
      <c r="B342" s="267"/>
      <c r="C342" s="235"/>
    </row>
    <row r="343" spans="1:3" x14ac:dyDescent="0.25">
      <c r="A343" s="235">
        <v>336</v>
      </c>
      <c r="B343" s="615" t="s">
        <v>954</v>
      </c>
      <c r="C343" s="610"/>
    </row>
    <row r="344" spans="1:3" x14ac:dyDescent="0.25">
      <c r="A344" s="235">
        <v>337</v>
      </c>
      <c r="B344" s="693"/>
      <c r="C344" s="700"/>
    </row>
    <row r="345" spans="1:3" x14ac:dyDescent="0.25">
      <c r="A345" s="235">
        <v>338</v>
      </c>
      <c r="B345" s="490" t="s">
        <v>43</v>
      </c>
      <c r="C345" s="490"/>
    </row>
    <row r="346" spans="1:3" x14ac:dyDescent="0.25">
      <c r="A346" s="235">
        <v>339</v>
      </c>
      <c r="B346" s="235" t="s">
        <v>955</v>
      </c>
      <c r="C346" s="338"/>
    </row>
    <row r="347" spans="1:3" x14ac:dyDescent="0.25">
      <c r="A347" s="235">
        <v>340</v>
      </c>
      <c r="B347" s="245"/>
      <c r="C347" s="235"/>
    </row>
    <row r="348" spans="1:3" x14ac:dyDescent="0.25">
      <c r="A348" s="235">
        <v>341</v>
      </c>
      <c r="B348" s="388"/>
      <c r="C348" s="235"/>
    </row>
    <row r="349" spans="1:3" x14ac:dyDescent="0.25">
      <c r="A349" s="235">
        <v>342</v>
      </c>
      <c r="B349" s="235"/>
      <c r="C349" s="235"/>
    </row>
  </sheetData>
  <mergeCells count="2">
    <mergeCell ref="A1:B1"/>
    <mergeCell ref="A2:B4"/>
  </mergeCells>
  <pageMargins left="0.7" right="0.7" top="1.0520833333333333" bottom="0.75" header="0.3" footer="0.3"/>
  <pageSetup scale="62" orientation="portrait" r:id="rId1"/>
  <headerFooter>
    <oddHeader>&amp;L&amp;G&amp;C(ENTER PROJECT NAME)&amp;R&amp;D</oddHeader>
    <oddFooter>&amp;C&amp;P OF &amp;N</oddFooter>
  </headerFooter>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7C315-F563-4254-9BC6-492C4068AF6E}">
  <dimension ref="A1"/>
  <sheetViews>
    <sheetView view="pageBreakPreview" zoomScale="60" zoomScaleNormal="100" workbookViewId="0">
      <selection activeCell="E69" sqref="E69"/>
    </sheetView>
  </sheetViews>
  <sheetFormatPr defaultRowHeight="15" x14ac:dyDescent="0.25"/>
  <sheetData/>
  <pageMargins left="0.7" right="0.7" top="1.0520833333333333" bottom="0.75" header="0.3" footer="0.3"/>
  <pageSetup orientation="portrait" r:id="rId1"/>
  <headerFooter>
    <oddHeader>&amp;L&amp;G&amp;C(ENTER PROJECT NAME)&amp;R&amp;D</oddHeader>
    <oddFooter>&amp;C&amp;P OF &amp;N</oddFooter>
  </headerFooter>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FB89B-F267-483F-866B-EEEB6050FF6F}">
  <dimension ref="A1:C38"/>
  <sheetViews>
    <sheetView view="pageBreakPreview" zoomScale="60" zoomScaleNormal="100" workbookViewId="0">
      <selection activeCell="C22" sqref="C22"/>
    </sheetView>
  </sheetViews>
  <sheetFormatPr defaultRowHeight="15" x14ac:dyDescent="0.25"/>
  <cols>
    <col min="1" max="1" width="8.5703125" customWidth="1"/>
    <col min="2" max="2" width="67.140625" customWidth="1"/>
    <col min="3" max="3" width="36.7109375" customWidth="1"/>
    <col min="15" max="15" width="56.28515625" customWidth="1"/>
    <col min="16" max="16" width="36.7109375" customWidth="1"/>
  </cols>
  <sheetData>
    <row r="1" spans="1:3" ht="15.75" x14ac:dyDescent="0.25">
      <c r="A1" s="1056" t="s">
        <v>14</v>
      </c>
      <c r="B1" s="1171"/>
      <c r="C1" s="442"/>
    </row>
    <row r="2" spans="1:3" x14ac:dyDescent="0.25">
      <c r="A2" s="1172" t="s">
        <v>956</v>
      </c>
      <c r="B2" s="1173"/>
      <c r="C2" s="618" t="s">
        <v>365</v>
      </c>
    </row>
    <row r="3" spans="1:3" x14ac:dyDescent="0.25">
      <c r="A3" s="1173"/>
      <c r="B3" s="1174"/>
      <c r="C3" s="618" t="s">
        <v>474</v>
      </c>
    </row>
    <row r="4" spans="1:3" x14ac:dyDescent="0.25">
      <c r="A4" s="1175"/>
      <c r="B4" s="1176"/>
      <c r="C4" s="619" t="s">
        <v>475</v>
      </c>
    </row>
    <row r="5" spans="1:3" x14ac:dyDescent="0.25">
      <c r="A5" s="620"/>
      <c r="B5" s="159"/>
      <c r="C5" s="621" t="s">
        <v>368</v>
      </c>
    </row>
    <row r="6" spans="1:3" ht="38.25" x14ac:dyDescent="0.25">
      <c r="A6" s="622"/>
      <c r="B6" s="623" t="s">
        <v>20</v>
      </c>
      <c r="C6" s="500" t="s">
        <v>369</v>
      </c>
    </row>
    <row r="7" spans="1:3" ht="16.5" customHeight="1" x14ac:dyDescent="0.25">
      <c r="A7" s="392">
        <v>1</v>
      </c>
      <c r="B7" s="393" t="s">
        <v>21</v>
      </c>
      <c r="C7" s="394"/>
    </row>
    <row r="8" spans="1:3" x14ac:dyDescent="0.25">
      <c r="A8" s="395">
        <f t="shared" ref="A8:A17" si="0">A7+1</f>
        <v>2</v>
      </c>
      <c r="B8" s="396" t="s">
        <v>22</v>
      </c>
      <c r="C8" s="394"/>
    </row>
    <row r="9" spans="1:3" x14ac:dyDescent="0.25">
      <c r="A9" s="395">
        <f t="shared" si="0"/>
        <v>3</v>
      </c>
      <c r="B9" s="396" t="s">
        <v>23</v>
      </c>
      <c r="C9" s="394"/>
    </row>
    <row r="10" spans="1:3" x14ac:dyDescent="0.25">
      <c r="A10" s="395">
        <f t="shared" si="0"/>
        <v>4</v>
      </c>
      <c r="B10" s="396" t="s">
        <v>24</v>
      </c>
      <c r="C10" s="394"/>
    </row>
    <row r="11" spans="1:3" x14ac:dyDescent="0.25">
      <c r="A11" s="395">
        <f t="shared" si="0"/>
        <v>5</v>
      </c>
      <c r="B11" s="396" t="s">
        <v>25</v>
      </c>
      <c r="C11" s="394"/>
    </row>
    <row r="12" spans="1:3" x14ac:dyDescent="0.25">
      <c r="A12" s="395">
        <f t="shared" si="0"/>
        <v>6</v>
      </c>
      <c r="B12" s="397" t="s">
        <v>26</v>
      </c>
      <c r="C12" s="394"/>
    </row>
    <row r="13" spans="1:3" x14ac:dyDescent="0.25">
      <c r="A13" s="395">
        <f t="shared" si="0"/>
        <v>7</v>
      </c>
      <c r="B13" s="398" t="s">
        <v>27</v>
      </c>
      <c r="C13" s="394"/>
    </row>
    <row r="14" spans="1:3" x14ac:dyDescent="0.25">
      <c r="A14" s="395">
        <f t="shared" si="0"/>
        <v>8</v>
      </c>
      <c r="B14" s="396" t="s">
        <v>28</v>
      </c>
      <c r="C14" s="394"/>
    </row>
    <row r="15" spans="1:3" x14ac:dyDescent="0.25">
      <c r="A15" s="395">
        <f t="shared" si="0"/>
        <v>9</v>
      </c>
      <c r="B15" s="396" t="s">
        <v>29</v>
      </c>
      <c r="C15" s="394"/>
    </row>
    <row r="16" spans="1:3" x14ac:dyDescent="0.25">
      <c r="A16" s="395">
        <f t="shared" si="0"/>
        <v>10</v>
      </c>
      <c r="B16" s="396" t="s">
        <v>30</v>
      </c>
      <c r="C16" s="394"/>
    </row>
    <row r="17" spans="1:3" x14ac:dyDescent="0.25">
      <c r="A17" s="395">
        <f t="shared" si="0"/>
        <v>11</v>
      </c>
      <c r="B17" s="401" t="s">
        <v>476</v>
      </c>
      <c r="C17" s="536"/>
    </row>
    <row r="18" spans="1:3" x14ac:dyDescent="0.25">
      <c r="A18" s="395">
        <f t="shared" ref="A18:A38" si="1">A17+1</f>
        <v>12</v>
      </c>
      <c r="B18" s="401" t="s">
        <v>477</v>
      </c>
      <c r="C18" s="536"/>
    </row>
    <row r="19" spans="1:3" ht="15" customHeight="1" x14ac:dyDescent="0.25">
      <c r="A19" s="395">
        <f t="shared" si="1"/>
        <v>13</v>
      </c>
      <c r="B19" s="624" t="s">
        <v>478</v>
      </c>
      <c r="C19" s="536"/>
    </row>
    <row r="20" spans="1:3" ht="15.75" customHeight="1" x14ac:dyDescent="0.25">
      <c r="A20" s="395">
        <f t="shared" si="1"/>
        <v>14</v>
      </c>
      <c r="B20" s="625" t="s">
        <v>479</v>
      </c>
      <c r="C20" s="626"/>
    </row>
    <row r="21" spans="1:3" x14ac:dyDescent="0.25">
      <c r="A21" s="395">
        <f t="shared" si="1"/>
        <v>15</v>
      </c>
      <c r="B21" s="627" t="s">
        <v>480</v>
      </c>
      <c r="C21" s="628"/>
    </row>
    <row r="22" spans="1:3" x14ac:dyDescent="0.25">
      <c r="A22" s="395">
        <f t="shared" si="1"/>
        <v>16</v>
      </c>
      <c r="B22" s="627" t="s">
        <v>481</v>
      </c>
      <c r="C22" s="536"/>
    </row>
    <row r="23" spans="1:3" ht="25.5" x14ac:dyDescent="0.25">
      <c r="A23" s="395">
        <f t="shared" si="1"/>
        <v>17</v>
      </c>
      <c r="B23" s="629" t="s">
        <v>482</v>
      </c>
      <c r="C23" s="536"/>
    </row>
    <row r="24" spans="1:3" x14ac:dyDescent="0.25">
      <c r="A24" s="395">
        <f t="shared" si="1"/>
        <v>18</v>
      </c>
      <c r="B24" s="396"/>
      <c r="C24" s="394"/>
    </row>
    <row r="25" spans="1:3" x14ac:dyDescent="0.25">
      <c r="A25" s="395">
        <f t="shared" si="1"/>
        <v>19</v>
      </c>
      <c r="B25" s="502" t="s">
        <v>957</v>
      </c>
      <c r="C25" s="503"/>
    </row>
    <row r="26" spans="1:3" x14ac:dyDescent="0.25">
      <c r="A26" s="395">
        <f t="shared" si="1"/>
        <v>20</v>
      </c>
      <c r="B26" s="403" t="s">
        <v>958</v>
      </c>
      <c r="C26" s="294"/>
    </row>
    <row r="27" spans="1:3" x14ac:dyDescent="0.25">
      <c r="A27" s="395">
        <f t="shared" si="1"/>
        <v>21</v>
      </c>
      <c r="B27" s="403" t="s">
        <v>483</v>
      </c>
      <c r="C27" s="295"/>
    </row>
    <row r="28" spans="1:3" x14ac:dyDescent="0.25">
      <c r="A28" s="395">
        <f t="shared" si="1"/>
        <v>22</v>
      </c>
      <c r="B28" s="400" t="s">
        <v>485</v>
      </c>
      <c r="C28" s="295"/>
    </row>
    <row r="29" spans="1:3" x14ac:dyDescent="0.25">
      <c r="A29" s="395">
        <f t="shared" si="1"/>
        <v>23</v>
      </c>
      <c r="B29" s="412" t="s">
        <v>959</v>
      </c>
      <c r="C29" s="295"/>
    </row>
    <row r="30" spans="1:3" x14ac:dyDescent="0.25">
      <c r="A30" s="395">
        <f t="shared" si="1"/>
        <v>24</v>
      </c>
      <c r="B30" s="403" t="s">
        <v>484</v>
      </c>
      <c r="C30" s="293"/>
    </row>
    <row r="31" spans="1:3" x14ac:dyDescent="0.25">
      <c r="A31" s="395">
        <f t="shared" si="1"/>
        <v>25</v>
      </c>
      <c r="B31" s="305" t="s">
        <v>960</v>
      </c>
      <c r="C31" s="399"/>
    </row>
    <row r="32" spans="1:3" x14ac:dyDescent="0.25">
      <c r="A32" s="395">
        <f t="shared" si="1"/>
        <v>26</v>
      </c>
      <c r="B32" s="396"/>
      <c r="C32" s="399"/>
    </row>
    <row r="33" spans="1:3" x14ac:dyDescent="0.25">
      <c r="A33" s="395">
        <f t="shared" si="1"/>
        <v>27</v>
      </c>
      <c r="B33" s="694" t="s">
        <v>961</v>
      </c>
      <c r="C33" s="697"/>
    </row>
    <row r="34" spans="1:3" x14ac:dyDescent="0.25">
      <c r="A34" s="395">
        <f t="shared" si="1"/>
        <v>28</v>
      </c>
      <c r="B34" s="696"/>
      <c r="C34" s="695"/>
    </row>
    <row r="35" spans="1:3" ht="15.75" customHeight="1" x14ac:dyDescent="0.25">
      <c r="A35" s="395">
        <f t="shared" si="1"/>
        <v>29</v>
      </c>
      <c r="B35" s="684" t="s">
        <v>962</v>
      </c>
      <c r="C35" s="503"/>
    </row>
    <row r="36" spans="1:3" x14ac:dyDescent="0.25">
      <c r="A36" s="395">
        <f t="shared" si="1"/>
        <v>30</v>
      </c>
      <c r="B36" s="401"/>
      <c r="C36" s="399"/>
    </row>
    <row r="37" spans="1:3" x14ac:dyDescent="0.25">
      <c r="A37" s="395">
        <f t="shared" si="1"/>
        <v>31</v>
      </c>
      <c r="B37" s="402"/>
      <c r="C37" s="399"/>
    </row>
    <row r="38" spans="1:3" x14ac:dyDescent="0.25">
      <c r="A38" s="395">
        <f t="shared" si="1"/>
        <v>32</v>
      </c>
      <c r="B38" s="413"/>
      <c r="C38" s="399"/>
    </row>
  </sheetData>
  <mergeCells count="2">
    <mergeCell ref="A1:B1"/>
    <mergeCell ref="A2:B4"/>
  </mergeCells>
  <pageMargins left="0.7" right="0.7" top="1.0520833333333333" bottom="0.75" header="0.3" footer="0.3"/>
  <pageSetup scale="78" orientation="portrait" r:id="rId1"/>
  <headerFooter>
    <oddHeader>&amp;L&amp;G&amp;C(ENTER PROJECT NAME)&amp;R&amp;D</oddHeader>
    <oddFooter>&amp;C&amp;P OF &amp;N</oddFooter>
  </headerFooter>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255B-D0C9-4C31-8356-D47D2B6E0298}">
  <dimension ref="A1:C59"/>
  <sheetViews>
    <sheetView view="pageBreakPreview" zoomScale="60" zoomScaleNormal="100" workbookViewId="0">
      <selection activeCell="B62" sqref="B62"/>
    </sheetView>
  </sheetViews>
  <sheetFormatPr defaultRowHeight="15" x14ac:dyDescent="0.25"/>
  <cols>
    <col min="1" max="1" width="4" bestFit="1" customWidth="1"/>
    <col min="2" max="2" width="83.5703125" customWidth="1"/>
    <col min="3" max="3" width="21.5703125" customWidth="1"/>
  </cols>
  <sheetData>
    <row r="1" spans="1:3" ht="15.75" x14ac:dyDescent="0.25">
      <c r="A1" s="1056" t="s">
        <v>14</v>
      </c>
      <c r="B1" s="1171"/>
      <c r="C1" s="442"/>
    </row>
    <row r="2" spans="1:3" ht="15.75" x14ac:dyDescent="0.25">
      <c r="A2" s="1179"/>
      <c r="B2" s="1180"/>
      <c r="C2" s="94" t="s">
        <v>17</v>
      </c>
    </row>
    <row r="3" spans="1:3" ht="15" customHeight="1" x14ac:dyDescent="0.25">
      <c r="A3" s="1155" t="s">
        <v>963</v>
      </c>
      <c r="B3" s="1155"/>
      <c r="C3" s="253" t="s">
        <v>65</v>
      </c>
    </row>
    <row r="4" spans="1:3" ht="15" customHeight="1" x14ac:dyDescent="0.25">
      <c r="A4" s="1155"/>
      <c r="B4" s="1155"/>
      <c r="C4" s="253" t="s">
        <v>18</v>
      </c>
    </row>
    <row r="5" spans="1:3" ht="15" customHeight="1" x14ac:dyDescent="0.25">
      <c r="A5" s="1155"/>
      <c r="B5" s="1155"/>
      <c r="C5" s="253" t="s">
        <v>19</v>
      </c>
    </row>
    <row r="6" spans="1:3" ht="15" customHeight="1" x14ac:dyDescent="0.25">
      <c r="A6" s="1155"/>
      <c r="B6" s="1155"/>
      <c r="C6" s="1165" t="s">
        <v>832</v>
      </c>
    </row>
    <row r="7" spans="1:3" ht="15" customHeight="1" x14ac:dyDescent="0.25">
      <c r="A7" s="1154" t="s">
        <v>20</v>
      </c>
      <c r="B7" s="1154"/>
      <c r="C7" s="1166"/>
    </row>
    <row r="8" spans="1:3" ht="15" customHeight="1" x14ac:dyDescent="0.25">
      <c r="A8" s="1155"/>
      <c r="B8" s="1155"/>
      <c r="C8" s="1166"/>
    </row>
    <row r="9" spans="1:3" x14ac:dyDescent="0.25">
      <c r="A9" s="118">
        <v>1</v>
      </c>
      <c r="B9" s="286" t="s">
        <v>21</v>
      </c>
      <c r="C9" s="255"/>
    </row>
    <row r="10" spans="1:3" x14ac:dyDescent="0.25">
      <c r="A10" s="118">
        <v>2</v>
      </c>
      <c r="B10" s="265" t="s">
        <v>22</v>
      </c>
      <c r="C10" s="255"/>
    </row>
    <row r="11" spans="1:3" x14ac:dyDescent="0.25">
      <c r="A11" s="118">
        <v>3</v>
      </c>
      <c r="B11" s="265" t="s">
        <v>23</v>
      </c>
      <c r="C11" s="255"/>
    </row>
    <row r="12" spans="1:3" x14ac:dyDescent="0.25">
      <c r="A12" s="118">
        <v>4</v>
      </c>
      <c r="B12" s="265" t="s">
        <v>24</v>
      </c>
      <c r="C12" s="255"/>
    </row>
    <row r="13" spans="1:3" x14ac:dyDescent="0.25">
      <c r="A13" s="118">
        <v>5</v>
      </c>
      <c r="B13" s="265" t="s">
        <v>25</v>
      </c>
      <c r="C13" s="255"/>
    </row>
    <row r="14" spans="1:3" x14ac:dyDescent="0.25">
      <c r="A14" s="118">
        <v>6</v>
      </c>
      <c r="B14" s="299" t="s">
        <v>26</v>
      </c>
      <c r="C14" s="255"/>
    </row>
    <row r="15" spans="1:3" x14ac:dyDescent="0.25">
      <c r="A15" s="118">
        <v>7</v>
      </c>
      <c r="B15" s="265" t="s">
        <v>27</v>
      </c>
      <c r="C15" s="255"/>
    </row>
    <row r="16" spans="1:3" x14ac:dyDescent="0.25">
      <c r="A16" s="118">
        <v>8</v>
      </c>
      <c r="B16" s="265" t="s">
        <v>28</v>
      </c>
      <c r="C16" s="255"/>
    </row>
    <row r="17" spans="1:3" x14ac:dyDescent="0.25">
      <c r="A17" s="118">
        <v>9</v>
      </c>
      <c r="B17" s="121" t="s">
        <v>964</v>
      </c>
      <c r="C17" s="255"/>
    </row>
    <row r="18" spans="1:3" x14ac:dyDescent="0.25">
      <c r="A18" s="118">
        <v>10</v>
      </c>
      <c r="B18" s="121" t="s">
        <v>965</v>
      </c>
      <c r="C18" s="255"/>
    </row>
    <row r="19" spans="1:3" x14ac:dyDescent="0.25">
      <c r="A19" s="118">
        <v>11</v>
      </c>
      <c r="B19" s="300" t="s">
        <v>29</v>
      </c>
      <c r="C19" s="302"/>
    </row>
    <row r="20" spans="1:3" x14ac:dyDescent="0.25">
      <c r="A20" s="301">
        <v>12</v>
      </c>
      <c r="B20" s="496" t="s">
        <v>30</v>
      </c>
      <c r="C20" s="255"/>
    </row>
    <row r="21" spans="1:3" x14ac:dyDescent="0.25">
      <c r="A21" s="301">
        <v>13</v>
      </c>
      <c r="B21" s="422"/>
      <c r="C21" s="630"/>
    </row>
    <row r="22" spans="1:3" x14ac:dyDescent="0.25">
      <c r="A22" s="118">
        <v>14</v>
      </c>
      <c r="B22" s="631" t="s">
        <v>966</v>
      </c>
      <c r="C22" s="304"/>
    </row>
    <row r="23" spans="1:3" x14ac:dyDescent="0.25">
      <c r="A23" s="118">
        <v>15</v>
      </c>
      <c r="B23" s="414" t="s">
        <v>967</v>
      </c>
      <c r="C23" s="303"/>
    </row>
    <row r="24" spans="1:3" x14ac:dyDescent="0.25">
      <c r="A24" s="118">
        <v>16</v>
      </c>
      <c r="B24" s="414" t="s">
        <v>968</v>
      </c>
      <c r="C24" s="255"/>
    </row>
    <row r="25" spans="1:3" x14ac:dyDescent="0.25">
      <c r="A25" s="118">
        <v>17</v>
      </c>
      <c r="B25" s="265" t="s">
        <v>969</v>
      </c>
      <c r="C25" s="255"/>
    </row>
    <row r="26" spans="1:3" x14ac:dyDescent="0.25">
      <c r="A26" s="118">
        <v>18</v>
      </c>
      <c r="B26" s="265" t="s">
        <v>970</v>
      </c>
      <c r="C26" s="255"/>
    </row>
    <row r="27" spans="1:3" x14ac:dyDescent="0.25">
      <c r="A27" s="118">
        <v>19</v>
      </c>
      <c r="B27" s="248" t="s">
        <v>971</v>
      </c>
      <c r="C27" s="255"/>
    </row>
    <row r="28" spans="1:3" x14ac:dyDescent="0.25">
      <c r="A28" s="118">
        <v>20</v>
      </c>
      <c r="B28" s="265" t="s">
        <v>972</v>
      </c>
      <c r="C28" s="255"/>
    </row>
    <row r="29" spans="1:3" x14ac:dyDescent="0.25">
      <c r="A29" s="118">
        <v>21</v>
      </c>
      <c r="B29" s="265" t="s">
        <v>973</v>
      </c>
      <c r="C29" s="255"/>
    </row>
    <row r="30" spans="1:3" x14ac:dyDescent="0.25">
      <c r="A30" s="118">
        <v>22</v>
      </c>
      <c r="B30" s="248" t="s">
        <v>974</v>
      </c>
      <c r="C30" s="255"/>
    </row>
    <row r="31" spans="1:3" x14ac:dyDescent="0.25">
      <c r="A31" s="118">
        <v>23</v>
      </c>
      <c r="B31" s="248" t="s">
        <v>975</v>
      </c>
      <c r="C31" s="255"/>
    </row>
    <row r="32" spans="1:3" x14ac:dyDescent="0.25">
      <c r="A32" s="118">
        <v>24</v>
      </c>
      <c r="B32" s="248" t="s">
        <v>976</v>
      </c>
      <c r="C32" s="255"/>
    </row>
    <row r="33" spans="1:3" x14ac:dyDescent="0.25">
      <c r="A33" s="118">
        <v>25</v>
      </c>
      <c r="B33" s="248" t="s">
        <v>977</v>
      </c>
      <c r="C33" s="255"/>
    </row>
    <row r="34" spans="1:3" x14ac:dyDescent="0.25">
      <c r="A34" s="118">
        <v>26</v>
      </c>
      <c r="B34" s="248" t="s">
        <v>978</v>
      </c>
      <c r="C34" s="255"/>
    </row>
    <row r="35" spans="1:3" x14ac:dyDescent="0.25">
      <c r="A35" s="118">
        <v>27</v>
      </c>
      <c r="B35" s="415" t="s">
        <v>979</v>
      </c>
      <c r="C35" s="255"/>
    </row>
    <row r="36" spans="1:3" x14ac:dyDescent="0.25">
      <c r="A36" s="118">
        <v>28</v>
      </c>
      <c r="B36" s="265" t="s">
        <v>980</v>
      </c>
      <c r="C36" s="255"/>
    </row>
    <row r="37" spans="1:3" x14ac:dyDescent="0.25">
      <c r="A37" s="118">
        <v>29</v>
      </c>
      <c r="B37" s="248" t="s">
        <v>981</v>
      </c>
      <c r="C37" s="255"/>
    </row>
    <row r="38" spans="1:3" x14ac:dyDescent="0.25">
      <c r="A38" s="118">
        <v>30</v>
      </c>
      <c r="B38" s="248" t="s">
        <v>982</v>
      </c>
      <c r="C38" s="255"/>
    </row>
    <row r="39" spans="1:3" x14ac:dyDescent="0.25">
      <c r="A39" s="118">
        <v>31</v>
      </c>
      <c r="B39" s="248" t="s">
        <v>983</v>
      </c>
      <c r="C39" s="255"/>
    </row>
    <row r="40" spans="1:3" x14ac:dyDescent="0.25">
      <c r="A40" s="118">
        <v>32</v>
      </c>
      <c r="B40" s="265" t="s">
        <v>984</v>
      </c>
      <c r="C40" s="255"/>
    </row>
    <row r="41" spans="1:3" x14ac:dyDescent="0.25">
      <c r="A41" s="118">
        <v>33</v>
      </c>
      <c r="B41" s="265" t="s">
        <v>985</v>
      </c>
      <c r="C41" s="255"/>
    </row>
    <row r="42" spans="1:3" x14ac:dyDescent="0.25">
      <c r="A42" s="118">
        <v>34</v>
      </c>
      <c r="B42" s="265" t="s">
        <v>986</v>
      </c>
      <c r="C42" s="255"/>
    </row>
    <row r="43" spans="1:3" x14ac:dyDescent="0.25">
      <c r="A43" s="118">
        <v>35</v>
      </c>
      <c r="B43" s="265" t="s">
        <v>987</v>
      </c>
      <c r="C43" s="255"/>
    </row>
    <row r="44" spans="1:3" x14ac:dyDescent="0.25">
      <c r="A44" s="118">
        <v>36</v>
      </c>
      <c r="B44" s="248" t="s">
        <v>988</v>
      </c>
      <c r="C44" s="255"/>
    </row>
    <row r="45" spans="1:3" x14ac:dyDescent="0.25">
      <c r="A45" s="118">
        <v>37</v>
      </c>
      <c r="B45" s="248" t="s">
        <v>989</v>
      </c>
      <c r="C45" s="255"/>
    </row>
    <row r="46" spans="1:3" x14ac:dyDescent="0.25">
      <c r="A46" s="118">
        <v>38</v>
      </c>
      <c r="B46" s="248" t="s">
        <v>990</v>
      </c>
      <c r="C46" s="255"/>
    </row>
    <row r="47" spans="1:3" x14ac:dyDescent="0.25">
      <c r="A47" s="118">
        <v>39</v>
      </c>
      <c r="B47" s="265" t="s">
        <v>991</v>
      </c>
      <c r="C47" s="255"/>
    </row>
    <row r="48" spans="1:3" x14ac:dyDescent="0.25">
      <c r="A48" s="118">
        <v>40</v>
      </c>
      <c r="B48" s="252" t="s">
        <v>992</v>
      </c>
      <c r="C48" s="255"/>
    </row>
    <row r="49" spans="1:3" x14ac:dyDescent="0.25">
      <c r="A49" s="118">
        <v>41</v>
      </c>
      <c r="B49" s="252" t="s">
        <v>993</v>
      </c>
      <c r="C49" s="255"/>
    </row>
    <row r="50" spans="1:3" x14ac:dyDescent="0.25">
      <c r="A50" s="118">
        <v>42</v>
      </c>
      <c r="B50" s="283" t="s">
        <v>994</v>
      </c>
      <c r="C50" s="255"/>
    </row>
    <row r="51" spans="1:3" x14ac:dyDescent="0.25">
      <c r="A51" s="118">
        <v>43</v>
      </c>
      <c r="B51" s="633" t="s">
        <v>995</v>
      </c>
      <c r="C51" s="302"/>
    </row>
    <row r="52" spans="1:3" x14ac:dyDescent="0.25">
      <c r="A52" s="301">
        <v>44</v>
      </c>
      <c r="B52" s="422" t="s">
        <v>996</v>
      </c>
      <c r="C52" s="255"/>
    </row>
    <row r="53" spans="1:3" x14ac:dyDescent="0.25">
      <c r="A53" s="301">
        <v>45</v>
      </c>
      <c r="B53" s="276" t="s">
        <v>997</v>
      </c>
      <c r="C53" s="632"/>
    </row>
    <row r="54" spans="1:3" x14ac:dyDescent="0.25">
      <c r="A54" s="692">
        <v>46</v>
      </c>
      <c r="B54" s="687" t="s">
        <v>431</v>
      </c>
      <c r="C54" s="686">
        <f>SUM(C9:C53)</f>
        <v>0</v>
      </c>
    </row>
    <row r="55" spans="1:3" x14ac:dyDescent="0.25">
      <c r="A55" s="691">
        <v>47</v>
      </c>
      <c r="B55" s="689"/>
      <c r="C55" s="685"/>
    </row>
    <row r="56" spans="1:3" x14ac:dyDescent="0.25">
      <c r="A56" s="118">
        <v>48</v>
      </c>
      <c r="B56" s="1177" t="s">
        <v>962</v>
      </c>
      <c r="C56" s="1178"/>
    </row>
    <row r="57" spans="1:3" x14ac:dyDescent="0.25">
      <c r="A57" s="301">
        <v>49</v>
      </c>
      <c r="B57" s="401"/>
      <c r="C57" s="399"/>
    </row>
    <row r="58" spans="1:3" x14ac:dyDescent="0.25">
      <c r="A58" s="690">
        <v>50</v>
      </c>
      <c r="B58" s="402"/>
      <c r="C58" s="399"/>
    </row>
    <row r="59" spans="1:3" x14ac:dyDescent="0.25">
      <c r="A59" s="632">
        <v>51</v>
      </c>
      <c r="B59" s="413"/>
      <c r="C59" s="399"/>
    </row>
  </sheetData>
  <mergeCells count="6">
    <mergeCell ref="A1:B1"/>
    <mergeCell ref="B56:C56"/>
    <mergeCell ref="A2:B2"/>
    <mergeCell ref="A3:B6"/>
    <mergeCell ref="C6:C8"/>
    <mergeCell ref="A7:B8"/>
  </mergeCells>
  <pageMargins left="0.7" right="0.7" top="1.0520833333333333" bottom="0.75" header="0.3" footer="0.3"/>
  <pageSetup scale="76" orientation="portrait" r:id="rId1"/>
  <headerFooter>
    <oddHeader>&amp;L&amp;G&amp;C(ENTER PROJECT NAME)&amp;R&amp;D</oddHeader>
    <oddFooter>&amp;C&amp;P OF &amp;N</oddFooter>
  </headerFooter>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DD3D-A6F4-43D2-85DC-4D0A19E3BCAB}">
  <dimension ref="A1:C46"/>
  <sheetViews>
    <sheetView view="pageBreakPreview" zoomScale="60" zoomScaleNormal="100" workbookViewId="0">
      <selection activeCell="K62" sqref="K62"/>
    </sheetView>
  </sheetViews>
  <sheetFormatPr defaultRowHeight="15" x14ac:dyDescent="0.25"/>
  <cols>
    <col min="1" max="1" width="9.42578125" customWidth="1"/>
    <col min="2" max="2" width="79.85546875" customWidth="1"/>
    <col min="3" max="3" width="36.5703125" customWidth="1"/>
  </cols>
  <sheetData>
    <row r="1" spans="1:3" ht="15.75" x14ac:dyDescent="0.25">
      <c r="A1" s="1056" t="s">
        <v>14</v>
      </c>
      <c r="B1" s="1171"/>
      <c r="C1" s="442"/>
    </row>
    <row r="2" spans="1:3" ht="15.75" x14ac:dyDescent="0.25">
      <c r="A2" s="1181"/>
      <c r="B2" s="1182"/>
      <c r="C2" s="93" t="s">
        <v>17</v>
      </c>
    </row>
    <row r="3" spans="1:3" ht="15" customHeight="1" x14ac:dyDescent="0.25">
      <c r="A3" s="1183" t="s">
        <v>998</v>
      </c>
      <c r="B3" s="1184"/>
      <c r="C3" s="253" t="s">
        <v>65</v>
      </c>
    </row>
    <row r="4" spans="1:3" ht="15" customHeight="1" x14ac:dyDescent="0.25">
      <c r="A4" s="1185"/>
      <c r="B4" s="1186"/>
      <c r="C4" s="253" t="s">
        <v>18</v>
      </c>
    </row>
    <row r="5" spans="1:3" ht="15" customHeight="1" x14ac:dyDescent="0.25">
      <c r="A5" s="1185"/>
      <c r="B5" s="1186"/>
      <c r="C5" s="253" t="s">
        <v>19</v>
      </c>
    </row>
    <row r="6" spans="1:3" ht="15" customHeight="1" x14ac:dyDescent="0.25">
      <c r="A6" s="1187"/>
      <c r="B6" s="1188"/>
      <c r="C6" s="1189" t="s">
        <v>832</v>
      </c>
    </row>
    <row r="7" spans="1:3" ht="15" customHeight="1" x14ac:dyDescent="0.25">
      <c r="A7" s="1183" t="s">
        <v>20</v>
      </c>
      <c r="B7" s="1184"/>
      <c r="C7" s="1190"/>
    </row>
    <row r="8" spans="1:3" ht="15" customHeight="1" x14ac:dyDescent="0.25">
      <c r="A8" s="1187"/>
      <c r="B8" s="1186"/>
      <c r="C8" s="1191"/>
    </row>
    <row r="9" spans="1:3" ht="15.75" customHeight="1" x14ac:dyDescent="0.25">
      <c r="A9" s="360">
        <v>1</v>
      </c>
      <c r="B9" s="359" t="s">
        <v>21</v>
      </c>
      <c r="C9" s="361"/>
    </row>
    <row r="10" spans="1:3" x14ac:dyDescent="0.25">
      <c r="A10" s="358">
        <f>A9+1</f>
        <v>2</v>
      </c>
      <c r="B10" s="164" t="s">
        <v>22</v>
      </c>
      <c r="C10" s="362"/>
    </row>
    <row r="11" spans="1:3" x14ac:dyDescent="0.25">
      <c r="A11" s="358">
        <f t="shared" ref="A11:A44" si="0">A10+1</f>
        <v>3</v>
      </c>
      <c r="B11" s="164" t="s">
        <v>23</v>
      </c>
      <c r="C11" s="362"/>
    </row>
    <row r="12" spans="1:3" x14ac:dyDescent="0.25">
      <c r="A12" s="358">
        <f t="shared" si="0"/>
        <v>4</v>
      </c>
      <c r="B12" s="164" t="s">
        <v>24</v>
      </c>
      <c r="C12" s="362"/>
    </row>
    <row r="13" spans="1:3" x14ac:dyDescent="0.25">
      <c r="A13" s="358">
        <f t="shared" si="0"/>
        <v>5</v>
      </c>
      <c r="B13" s="164" t="s">
        <v>25</v>
      </c>
      <c r="C13" s="362"/>
    </row>
    <row r="14" spans="1:3" x14ac:dyDescent="0.25">
      <c r="A14" s="358">
        <f t="shared" si="0"/>
        <v>6</v>
      </c>
      <c r="B14" s="164" t="s">
        <v>26</v>
      </c>
      <c r="C14" s="362"/>
    </row>
    <row r="15" spans="1:3" x14ac:dyDescent="0.25">
      <c r="A15" s="358">
        <f t="shared" si="0"/>
        <v>7</v>
      </c>
      <c r="B15" s="164" t="s">
        <v>27</v>
      </c>
      <c r="C15" s="362"/>
    </row>
    <row r="16" spans="1:3" x14ac:dyDescent="0.25">
      <c r="A16" s="358">
        <f t="shared" si="0"/>
        <v>8</v>
      </c>
      <c r="B16" s="164" t="s">
        <v>28</v>
      </c>
      <c r="C16" s="362"/>
    </row>
    <row r="17" spans="1:3" x14ac:dyDescent="0.25">
      <c r="A17" s="358">
        <f t="shared" si="0"/>
        <v>9</v>
      </c>
      <c r="B17" s="164" t="s">
        <v>29</v>
      </c>
      <c r="C17" s="362"/>
    </row>
    <row r="18" spans="1:3" x14ac:dyDescent="0.25">
      <c r="A18" s="358">
        <f t="shared" si="0"/>
        <v>10</v>
      </c>
      <c r="B18" s="164" t="s">
        <v>30</v>
      </c>
      <c r="C18" s="362"/>
    </row>
    <row r="19" spans="1:3" x14ac:dyDescent="0.25">
      <c r="A19" s="358">
        <f t="shared" si="0"/>
        <v>11</v>
      </c>
      <c r="B19" s="164" t="s">
        <v>999</v>
      </c>
      <c r="C19" s="284"/>
    </row>
    <row r="20" spans="1:3" x14ac:dyDescent="0.25">
      <c r="A20" s="358">
        <f t="shared" si="0"/>
        <v>12</v>
      </c>
      <c r="B20" s="164"/>
      <c r="C20" s="363"/>
    </row>
    <row r="21" spans="1:3" x14ac:dyDescent="0.25">
      <c r="A21" s="358">
        <f t="shared" si="0"/>
        <v>13</v>
      </c>
      <c r="B21" s="164" t="s">
        <v>1000</v>
      </c>
      <c r="C21" s="284"/>
    </row>
    <row r="22" spans="1:3" x14ac:dyDescent="0.25">
      <c r="A22" s="358">
        <f t="shared" si="0"/>
        <v>14</v>
      </c>
      <c r="B22" s="164" t="s">
        <v>1001</v>
      </c>
      <c r="C22" s="284"/>
    </row>
    <row r="23" spans="1:3" x14ac:dyDescent="0.25">
      <c r="A23" s="358">
        <f t="shared" si="0"/>
        <v>15</v>
      </c>
      <c r="B23" s="164" t="s">
        <v>1002</v>
      </c>
      <c r="C23" s="284"/>
    </row>
    <row r="24" spans="1:3" x14ac:dyDescent="0.25">
      <c r="A24" s="358">
        <f t="shared" si="0"/>
        <v>16</v>
      </c>
      <c r="B24" s="164" t="s">
        <v>1003</v>
      </c>
      <c r="C24" s="284"/>
    </row>
    <row r="25" spans="1:3" x14ac:dyDescent="0.25">
      <c r="A25" s="358">
        <f t="shared" si="0"/>
        <v>17</v>
      </c>
      <c r="B25" s="164" t="s">
        <v>1004</v>
      </c>
      <c r="C25" s="284"/>
    </row>
    <row r="26" spans="1:3" x14ac:dyDescent="0.25">
      <c r="A26" s="358">
        <f t="shared" si="0"/>
        <v>18</v>
      </c>
      <c r="B26" s="164" t="s">
        <v>1005</v>
      </c>
      <c r="C26" s="284"/>
    </row>
    <row r="27" spans="1:3" x14ac:dyDescent="0.25">
      <c r="A27" s="358">
        <f t="shared" si="0"/>
        <v>19</v>
      </c>
      <c r="B27" s="164" t="s">
        <v>1006</v>
      </c>
      <c r="C27" s="284"/>
    </row>
    <row r="28" spans="1:3" x14ac:dyDescent="0.25">
      <c r="A28" s="358">
        <f t="shared" si="0"/>
        <v>20</v>
      </c>
      <c r="B28" s="164" t="s">
        <v>1007</v>
      </c>
      <c r="C28" s="284"/>
    </row>
    <row r="29" spans="1:3" x14ac:dyDescent="0.25">
      <c r="A29" s="358">
        <f t="shared" si="0"/>
        <v>21</v>
      </c>
      <c r="B29" s="164" t="s">
        <v>1008</v>
      </c>
      <c r="C29" s="284"/>
    </row>
    <row r="30" spans="1:3" x14ac:dyDescent="0.25">
      <c r="A30" s="358">
        <f t="shared" si="0"/>
        <v>22</v>
      </c>
      <c r="B30" s="367" t="s">
        <v>1009</v>
      </c>
      <c r="C30" s="284"/>
    </row>
    <row r="31" spans="1:3" x14ac:dyDescent="0.25">
      <c r="A31" s="358">
        <f t="shared" si="0"/>
        <v>23</v>
      </c>
      <c r="B31" s="164" t="s">
        <v>1010</v>
      </c>
      <c r="C31" s="284"/>
    </row>
    <row r="32" spans="1:3" x14ac:dyDescent="0.25">
      <c r="A32" s="358">
        <f t="shared" si="0"/>
        <v>24</v>
      </c>
      <c r="B32" s="164" t="s">
        <v>1011</v>
      </c>
      <c r="C32" s="284"/>
    </row>
    <row r="33" spans="1:3" x14ac:dyDescent="0.25">
      <c r="A33" s="358">
        <f t="shared" si="0"/>
        <v>25</v>
      </c>
      <c r="B33" s="164" t="s">
        <v>1012</v>
      </c>
      <c r="C33" s="284"/>
    </row>
    <row r="34" spans="1:3" x14ac:dyDescent="0.25">
      <c r="A34" s="358">
        <f t="shared" si="0"/>
        <v>26</v>
      </c>
      <c r="B34" s="164" t="s">
        <v>1013</v>
      </c>
      <c r="C34" s="284"/>
    </row>
    <row r="35" spans="1:3" x14ac:dyDescent="0.25">
      <c r="A35" s="358">
        <f t="shared" si="0"/>
        <v>27</v>
      </c>
      <c r="B35" s="517" t="s">
        <v>1014</v>
      </c>
      <c r="C35" s="284"/>
    </row>
    <row r="36" spans="1:3" x14ac:dyDescent="0.25">
      <c r="A36" s="358">
        <f t="shared" si="0"/>
        <v>28</v>
      </c>
      <c r="B36" s="164" t="s">
        <v>1015</v>
      </c>
      <c r="C36" s="284"/>
    </row>
    <row r="37" spans="1:3" x14ac:dyDescent="0.25">
      <c r="A37" s="358">
        <f t="shared" si="0"/>
        <v>29</v>
      </c>
      <c r="B37" s="164" t="s">
        <v>1016</v>
      </c>
      <c r="C37" s="284"/>
    </row>
    <row r="38" spans="1:3" x14ac:dyDescent="0.25">
      <c r="A38" s="358">
        <f t="shared" si="0"/>
        <v>30</v>
      </c>
      <c r="B38" s="164" t="s">
        <v>1017</v>
      </c>
      <c r="C38" s="284"/>
    </row>
    <row r="39" spans="1:3" ht="16.5" customHeight="1" x14ac:dyDescent="0.25">
      <c r="A39" s="358">
        <f t="shared" si="0"/>
        <v>31</v>
      </c>
      <c r="B39" s="164" t="s">
        <v>1018</v>
      </c>
      <c r="C39" s="284"/>
    </row>
    <row r="40" spans="1:3" ht="15" customHeight="1" x14ac:dyDescent="0.25">
      <c r="A40" s="358">
        <f t="shared" si="0"/>
        <v>32</v>
      </c>
      <c r="B40" s="366" t="s">
        <v>1019</v>
      </c>
      <c r="C40" s="284"/>
    </row>
    <row r="41" spans="1:3" x14ac:dyDescent="0.25">
      <c r="A41" s="358">
        <f t="shared" si="0"/>
        <v>33</v>
      </c>
      <c r="B41" s="332" t="s">
        <v>1020</v>
      </c>
      <c r="C41" s="284"/>
    </row>
    <row r="42" spans="1:3" x14ac:dyDescent="0.25">
      <c r="A42" s="358">
        <f t="shared" si="0"/>
        <v>34</v>
      </c>
      <c r="B42" s="376" t="s">
        <v>1021</v>
      </c>
      <c r="C42" s="365"/>
    </row>
    <row r="43" spans="1:3" x14ac:dyDescent="0.25">
      <c r="A43" s="358">
        <f t="shared" si="0"/>
        <v>35</v>
      </c>
      <c r="B43" s="688" t="s">
        <v>1022</v>
      </c>
      <c r="C43" s="364"/>
    </row>
    <row r="44" spans="1:3" x14ac:dyDescent="0.25">
      <c r="A44" s="358">
        <f t="shared" si="0"/>
        <v>36</v>
      </c>
      <c r="B44" s="687" t="s">
        <v>430</v>
      </c>
      <c r="C44" s="686">
        <f>SUM(C9:C39)</f>
        <v>0</v>
      </c>
    </row>
    <row r="45" spans="1:3" x14ac:dyDescent="0.25">
      <c r="A45" s="358">
        <v>37</v>
      </c>
      <c r="B45" s="689"/>
      <c r="C45" s="685"/>
    </row>
    <row r="46" spans="1:3" x14ac:dyDescent="0.25">
      <c r="A46" s="358">
        <v>38</v>
      </c>
      <c r="B46" s="1177" t="s">
        <v>962</v>
      </c>
      <c r="C46" s="1178"/>
    </row>
  </sheetData>
  <mergeCells count="6">
    <mergeCell ref="A1:B1"/>
    <mergeCell ref="B46:C46"/>
    <mergeCell ref="A2:B2"/>
    <mergeCell ref="A3:B6"/>
    <mergeCell ref="C6:C8"/>
    <mergeCell ref="A7:B8"/>
  </mergeCells>
  <pageMargins left="0.7" right="0.7" top="1.0520833333333333" bottom="0.75" header="0.3" footer="0.3"/>
  <pageSetup scale="69" orientation="landscape" r:id="rId1"/>
  <headerFooter>
    <oddHeader>&amp;L&amp;G&amp;C(ENTER PROJECT NAME)&amp;R&amp;D</oddHeader>
    <oddFooter>&amp;C&amp;P OF &amp;N</oddFooter>
  </headerFooter>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B0264-0D15-4ADC-902E-11C50B16B413}">
  <dimension ref="A1:C124"/>
  <sheetViews>
    <sheetView view="pageBreakPreview" zoomScale="60" zoomScaleNormal="100" workbookViewId="0">
      <selection activeCell="E69" sqref="E69"/>
    </sheetView>
  </sheetViews>
  <sheetFormatPr defaultRowHeight="15" x14ac:dyDescent="0.25"/>
  <cols>
    <col min="1" max="1" width="4.140625" bestFit="1" customWidth="1"/>
    <col min="2" max="2" width="97.42578125" customWidth="1"/>
    <col min="3" max="3" width="17.28515625" style="78" customWidth="1"/>
  </cols>
  <sheetData>
    <row r="1" spans="1:3" ht="15.75" x14ac:dyDescent="0.25">
      <c r="A1" s="1056" t="s">
        <v>14</v>
      </c>
      <c r="B1" s="1171"/>
      <c r="C1" s="442"/>
    </row>
    <row r="2" spans="1:3" ht="15.75" customHeight="1" x14ac:dyDescent="0.25">
      <c r="A2" s="1181"/>
      <c r="B2" s="1182"/>
      <c r="C2" s="238" t="s">
        <v>17</v>
      </c>
    </row>
    <row r="3" spans="1:3" x14ac:dyDescent="0.25">
      <c r="A3" s="1167" t="s">
        <v>1023</v>
      </c>
      <c r="B3" s="1167"/>
      <c r="C3" s="238" t="s">
        <v>65</v>
      </c>
    </row>
    <row r="4" spans="1:3" x14ac:dyDescent="0.25">
      <c r="A4" s="1167"/>
      <c r="B4" s="1167"/>
      <c r="C4" s="238" t="s">
        <v>18</v>
      </c>
    </row>
    <row r="5" spans="1:3" x14ac:dyDescent="0.25">
      <c r="A5" s="1167"/>
      <c r="B5" s="1167"/>
      <c r="C5" s="608" t="s">
        <v>19</v>
      </c>
    </row>
    <row r="6" spans="1:3" ht="18.75" customHeight="1" x14ac:dyDescent="0.25">
      <c r="A6" s="1193" t="s">
        <v>20</v>
      </c>
      <c r="B6" s="1194"/>
      <c r="C6" s="1192" t="s">
        <v>832</v>
      </c>
    </row>
    <row r="7" spans="1:3" ht="18.75" customHeight="1" x14ac:dyDescent="0.25">
      <c r="A7" s="1193"/>
      <c r="B7" s="1194"/>
      <c r="C7" s="1192"/>
    </row>
    <row r="8" spans="1:3" x14ac:dyDescent="0.25">
      <c r="A8" s="634">
        <v>1</v>
      </c>
      <c r="B8" s="222" t="s">
        <v>21</v>
      </c>
      <c r="C8" s="227"/>
    </row>
    <row r="9" spans="1:3" x14ac:dyDescent="0.25">
      <c r="A9" s="229">
        <v>2</v>
      </c>
      <c r="B9" s="222" t="s">
        <v>22</v>
      </c>
      <c r="C9" s="223" t="s">
        <v>137</v>
      </c>
    </row>
    <row r="10" spans="1:3" x14ac:dyDescent="0.25">
      <c r="A10" s="229">
        <v>3</v>
      </c>
      <c r="B10" s="222" t="s">
        <v>23</v>
      </c>
      <c r="C10" s="223" t="s">
        <v>137</v>
      </c>
    </row>
    <row r="11" spans="1:3" x14ac:dyDescent="0.25">
      <c r="A11" s="229">
        <v>4</v>
      </c>
      <c r="B11" s="222" t="s">
        <v>24</v>
      </c>
      <c r="C11" s="223" t="s">
        <v>137</v>
      </c>
    </row>
    <row r="12" spans="1:3" x14ac:dyDescent="0.25">
      <c r="A12" s="228">
        <v>5</v>
      </c>
      <c r="B12" s="222" t="s">
        <v>25</v>
      </c>
      <c r="C12" s="223" t="s">
        <v>137</v>
      </c>
    </row>
    <row r="13" spans="1:3" x14ac:dyDescent="0.25">
      <c r="A13" s="229">
        <v>6</v>
      </c>
      <c r="B13" s="222" t="s">
        <v>26</v>
      </c>
      <c r="C13" s="223" t="s">
        <v>137</v>
      </c>
    </row>
    <row r="14" spans="1:3" x14ac:dyDescent="0.25">
      <c r="A14" s="229">
        <v>7</v>
      </c>
      <c r="B14" s="222" t="s">
        <v>27</v>
      </c>
      <c r="C14" s="223" t="s">
        <v>137</v>
      </c>
    </row>
    <row r="15" spans="1:3" x14ac:dyDescent="0.25">
      <c r="A15" s="228">
        <v>8</v>
      </c>
      <c r="B15" s="222" t="s">
        <v>28</v>
      </c>
      <c r="C15" s="223" t="s">
        <v>137</v>
      </c>
    </row>
    <row r="16" spans="1:3" x14ac:dyDescent="0.25">
      <c r="A16" s="229">
        <v>9</v>
      </c>
      <c r="B16" s="222" t="s">
        <v>29</v>
      </c>
      <c r="C16" s="223" t="s">
        <v>137</v>
      </c>
    </row>
    <row r="17" spans="1:3" x14ac:dyDescent="0.25">
      <c r="A17" s="229">
        <v>10</v>
      </c>
      <c r="B17" s="222" t="s">
        <v>30</v>
      </c>
      <c r="C17" s="223" t="s">
        <v>137</v>
      </c>
    </row>
    <row r="18" spans="1:3" x14ac:dyDescent="0.25">
      <c r="A18" s="228">
        <v>11</v>
      </c>
      <c r="B18" s="239" t="s">
        <v>138</v>
      </c>
      <c r="C18" s="231" t="s">
        <v>137</v>
      </c>
    </row>
    <row r="19" spans="1:3" x14ac:dyDescent="0.25">
      <c r="A19" s="229">
        <v>12</v>
      </c>
      <c r="B19" s="279" t="s">
        <v>1024</v>
      </c>
      <c r="C19" s="280" t="s">
        <v>137</v>
      </c>
    </row>
    <row r="20" spans="1:3" x14ac:dyDescent="0.25">
      <c r="A20" s="229">
        <v>13</v>
      </c>
      <c r="B20" s="679" t="s">
        <v>1025</v>
      </c>
      <c r="C20" s="256"/>
    </row>
    <row r="21" spans="1:3" x14ac:dyDescent="0.25">
      <c r="A21" s="672">
        <v>14</v>
      </c>
      <c r="B21" s="683" t="s">
        <v>137</v>
      </c>
      <c r="C21" s="676" t="s">
        <v>137</v>
      </c>
    </row>
    <row r="22" spans="1:3" x14ac:dyDescent="0.25">
      <c r="A22" s="674">
        <v>15</v>
      </c>
      <c r="B22" s="682" t="s">
        <v>1026</v>
      </c>
      <c r="C22" s="281" t="s">
        <v>137</v>
      </c>
    </row>
    <row r="23" spans="1:3" x14ac:dyDescent="0.25">
      <c r="A23" s="229">
        <v>16</v>
      </c>
      <c r="B23" s="225" t="s">
        <v>1027</v>
      </c>
      <c r="C23" s="223" t="s">
        <v>137</v>
      </c>
    </row>
    <row r="24" spans="1:3" x14ac:dyDescent="0.25">
      <c r="A24" s="228">
        <v>17</v>
      </c>
      <c r="B24" s="680" t="s">
        <v>1028</v>
      </c>
      <c r="C24" s="681" t="s">
        <v>137</v>
      </c>
    </row>
    <row r="25" spans="1:3" x14ac:dyDescent="0.25">
      <c r="A25" s="229">
        <v>18</v>
      </c>
      <c r="B25" s="226" t="s">
        <v>1029</v>
      </c>
      <c r="C25" s="223" t="s">
        <v>137</v>
      </c>
    </row>
    <row r="26" spans="1:3" x14ac:dyDescent="0.25">
      <c r="A26" s="229">
        <v>19</v>
      </c>
      <c r="B26" s="226" t="s">
        <v>1030</v>
      </c>
      <c r="C26" s="223" t="s">
        <v>137</v>
      </c>
    </row>
    <row r="27" spans="1:3" x14ac:dyDescent="0.25">
      <c r="A27" s="228">
        <v>20</v>
      </c>
      <c r="B27" s="225" t="s">
        <v>1031</v>
      </c>
      <c r="C27" s="223"/>
    </row>
    <row r="28" spans="1:3" x14ac:dyDescent="0.25">
      <c r="A28" s="229">
        <v>21</v>
      </c>
      <c r="B28" s="225" t="s">
        <v>1032</v>
      </c>
      <c r="C28" s="223" t="s">
        <v>137</v>
      </c>
    </row>
    <row r="29" spans="1:3" x14ac:dyDescent="0.25">
      <c r="A29" s="229">
        <v>22</v>
      </c>
      <c r="B29" s="225" t="s">
        <v>1033</v>
      </c>
      <c r="C29" s="223" t="s">
        <v>137</v>
      </c>
    </row>
    <row r="30" spans="1:3" x14ac:dyDescent="0.25">
      <c r="A30" s="228">
        <v>23</v>
      </c>
      <c r="B30" s="225" t="s">
        <v>1034</v>
      </c>
      <c r="C30" s="223"/>
    </row>
    <row r="31" spans="1:3" x14ac:dyDescent="0.25">
      <c r="A31" s="229">
        <v>24</v>
      </c>
      <c r="B31" s="226" t="s">
        <v>1035</v>
      </c>
      <c r="C31" s="223" t="s">
        <v>137</v>
      </c>
    </row>
    <row r="32" spans="1:3" x14ac:dyDescent="0.25">
      <c r="A32" s="229">
        <v>25</v>
      </c>
      <c r="B32" s="225" t="s">
        <v>1036</v>
      </c>
      <c r="C32" s="223" t="s">
        <v>137</v>
      </c>
    </row>
    <row r="33" spans="1:3" x14ac:dyDescent="0.25">
      <c r="A33" s="228">
        <v>26</v>
      </c>
      <c r="B33" s="226" t="s">
        <v>1037</v>
      </c>
      <c r="C33" s="223" t="s">
        <v>137</v>
      </c>
    </row>
    <row r="34" spans="1:3" x14ac:dyDescent="0.25">
      <c r="A34" s="229">
        <v>27</v>
      </c>
      <c r="B34" s="226" t="s">
        <v>1038</v>
      </c>
      <c r="C34" s="223" t="s">
        <v>137</v>
      </c>
    </row>
    <row r="35" spans="1:3" x14ac:dyDescent="0.25">
      <c r="A35" s="229">
        <v>28</v>
      </c>
      <c r="B35" s="225" t="s">
        <v>1039</v>
      </c>
      <c r="C35" s="223" t="s">
        <v>137</v>
      </c>
    </row>
    <row r="36" spans="1:3" x14ac:dyDescent="0.25">
      <c r="A36" s="228">
        <v>29</v>
      </c>
      <c r="B36" s="260" t="s">
        <v>1040</v>
      </c>
      <c r="C36" s="223" t="s">
        <v>137</v>
      </c>
    </row>
    <row r="37" spans="1:3" x14ac:dyDescent="0.25">
      <c r="A37" s="674">
        <v>30</v>
      </c>
      <c r="B37" s="683" t="s">
        <v>137</v>
      </c>
      <c r="C37" s="671" t="s">
        <v>137</v>
      </c>
    </row>
    <row r="38" spans="1:3" x14ac:dyDescent="0.25">
      <c r="A38" s="674">
        <v>31</v>
      </c>
      <c r="B38" s="682" t="s">
        <v>1041</v>
      </c>
      <c r="C38" s="416" t="s">
        <v>137</v>
      </c>
    </row>
    <row r="39" spans="1:3" x14ac:dyDescent="0.25">
      <c r="A39" s="228">
        <v>32</v>
      </c>
      <c r="B39" s="225" t="s">
        <v>1042</v>
      </c>
      <c r="C39" s="224" t="s">
        <v>137</v>
      </c>
    </row>
    <row r="40" spans="1:3" x14ac:dyDescent="0.25">
      <c r="A40" s="229">
        <v>33</v>
      </c>
      <c r="B40" s="246" t="s">
        <v>1043</v>
      </c>
      <c r="C40" s="223" t="s">
        <v>137</v>
      </c>
    </row>
    <row r="41" spans="1:3" x14ac:dyDescent="0.25">
      <c r="A41" s="229">
        <v>34</v>
      </c>
      <c r="B41" s="225" t="s">
        <v>1044</v>
      </c>
      <c r="C41" s="223" t="s">
        <v>137</v>
      </c>
    </row>
    <row r="42" spans="1:3" x14ac:dyDescent="0.25">
      <c r="A42" s="228">
        <v>35</v>
      </c>
      <c r="B42" s="260" t="s">
        <v>1045</v>
      </c>
      <c r="C42" s="231" t="s">
        <v>137</v>
      </c>
    </row>
    <row r="43" spans="1:3" x14ac:dyDescent="0.25">
      <c r="A43" s="229">
        <v>36</v>
      </c>
      <c r="B43" s="258" t="s">
        <v>1046</v>
      </c>
      <c r="C43" s="259"/>
    </row>
    <row r="44" spans="1:3" x14ac:dyDescent="0.25">
      <c r="A44" s="229">
        <v>37</v>
      </c>
      <c r="B44" s="678" t="s">
        <v>1047</v>
      </c>
      <c r="C44" s="259"/>
    </row>
    <row r="45" spans="1:3" x14ac:dyDescent="0.25">
      <c r="A45" s="672">
        <v>38</v>
      </c>
      <c r="B45" s="683" t="s">
        <v>137</v>
      </c>
      <c r="C45" s="676" t="s">
        <v>137</v>
      </c>
    </row>
    <row r="46" spans="1:3" x14ac:dyDescent="0.25">
      <c r="A46" s="674">
        <v>39</v>
      </c>
      <c r="B46" s="682" t="s">
        <v>1048</v>
      </c>
      <c r="C46" s="281" t="s">
        <v>137</v>
      </c>
    </row>
    <row r="47" spans="1:3" x14ac:dyDescent="0.25">
      <c r="A47" s="229">
        <v>40</v>
      </c>
      <c r="B47" s="262" t="s">
        <v>1049</v>
      </c>
      <c r="C47" s="223" t="s">
        <v>137</v>
      </c>
    </row>
    <row r="48" spans="1:3" x14ac:dyDescent="0.25">
      <c r="A48" s="228">
        <v>41</v>
      </c>
      <c r="B48" s="262" t="s">
        <v>1050</v>
      </c>
      <c r="C48" s="223" t="s">
        <v>137</v>
      </c>
    </row>
    <row r="49" spans="1:3" x14ac:dyDescent="0.25">
      <c r="A49" s="229">
        <v>42</v>
      </c>
      <c r="B49" s="262" t="s">
        <v>1051</v>
      </c>
      <c r="C49" s="223" t="s">
        <v>137</v>
      </c>
    </row>
    <row r="50" spans="1:3" x14ac:dyDescent="0.25">
      <c r="A50" s="229">
        <v>43</v>
      </c>
      <c r="B50" s="262" t="s">
        <v>1052</v>
      </c>
      <c r="C50" s="223" t="s">
        <v>137</v>
      </c>
    </row>
    <row r="51" spans="1:3" s="13" customFormat="1" ht="30" customHeight="1" x14ac:dyDescent="0.25">
      <c r="A51" s="228">
        <v>44</v>
      </c>
      <c r="B51" s="262" t="s">
        <v>1053</v>
      </c>
      <c r="C51" s="223" t="s">
        <v>137</v>
      </c>
    </row>
    <row r="52" spans="1:3" x14ac:dyDescent="0.25">
      <c r="A52" s="229">
        <v>45</v>
      </c>
      <c r="B52" s="262" t="s">
        <v>1054</v>
      </c>
      <c r="C52" s="223" t="s">
        <v>137</v>
      </c>
    </row>
    <row r="53" spans="1:3" ht="30.75" customHeight="1" x14ac:dyDescent="0.25">
      <c r="A53" s="229">
        <v>46</v>
      </c>
      <c r="B53" s="262" t="s">
        <v>1055</v>
      </c>
      <c r="C53" s="223" t="s">
        <v>137</v>
      </c>
    </row>
    <row r="54" spans="1:3" x14ac:dyDescent="0.25">
      <c r="A54" s="228">
        <v>47</v>
      </c>
      <c r="B54" s="262" t="s">
        <v>1056</v>
      </c>
      <c r="C54" s="223" t="s">
        <v>137</v>
      </c>
    </row>
    <row r="55" spans="1:3" x14ac:dyDescent="0.25">
      <c r="A55" s="229">
        <v>48</v>
      </c>
      <c r="B55" s="263" t="s">
        <v>1057</v>
      </c>
      <c r="C55" s="223" t="s">
        <v>137</v>
      </c>
    </row>
    <row r="56" spans="1:3" x14ac:dyDescent="0.25">
      <c r="A56" s="229">
        <v>49</v>
      </c>
      <c r="B56" s="677" t="s">
        <v>1058</v>
      </c>
      <c r="C56" s="223" t="s">
        <v>137</v>
      </c>
    </row>
    <row r="57" spans="1:3" x14ac:dyDescent="0.25">
      <c r="A57" s="672">
        <v>50</v>
      </c>
      <c r="B57" s="683" t="s">
        <v>137</v>
      </c>
      <c r="C57" s="671" t="s">
        <v>137</v>
      </c>
    </row>
    <row r="58" spans="1:3" x14ac:dyDescent="0.25">
      <c r="A58" s="674">
        <v>51</v>
      </c>
      <c r="B58" s="682" t="s">
        <v>1059</v>
      </c>
      <c r="C58" s="416" t="s">
        <v>137</v>
      </c>
    </row>
    <row r="59" spans="1:3" x14ac:dyDescent="0.25">
      <c r="A59" s="229">
        <v>52</v>
      </c>
      <c r="B59" s="225" t="s">
        <v>1060</v>
      </c>
      <c r="C59" s="223" t="s">
        <v>137</v>
      </c>
    </row>
    <row r="60" spans="1:3" x14ac:dyDescent="0.25">
      <c r="A60" s="228">
        <v>53</v>
      </c>
      <c r="B60" s="225" t="s">
        <v>1061</v>
      </c>
      <c r="C60" s="223" t="s">
        <v>137</v>
      </c>
    </row>
    <row r="61" spans="1:3" x14ac:dyDescent="0.25">
      <c r="A61" s="229">
        <v>54</v>
      </c>
      <c r="B61" s="225" t="s">
        <v>1062</v>
      </c>
      <c r="C61" s="224" t="s">
        <v>137</v>
      </c>
    </row>
    <row r="62" spans="1:3" x14ac:dyDescent="0.25">
      <c r="A62" s="229">
        <v>55</v>
      </c>
      <c r="B62" s="226" t="s">
        <v>1063</v>
      </c>
      <c r="C62" s="224" t="s">
        <v>137</v>
      </c>
    </row>
    <row r="63" spans="1:3" x14ac:dyDescent="0.25">
      <c r="A63" s="228">
        <v>56</v>
      </c>
      <c r="B63" s="225" t="s">
        <v>1064</v>
      </c>
      <c r="C63" s="223" t="s">
        <v>137</v>
      </c>
    </row>
    <row r="64" spans="1:3" x14ac:dyDescent="0.25">
      <c r="A64" s="229">
        <v>57</v>
      </c>
      <c r="B64" s="225" t="s">
        <v>1065</v>
      </c>
      <c r="C64" s="223" t="s">
        <v>137</v>
      </c>
    </row>
    <row r="65" spans="1:3" x14ac:dyDescent="0.25">
      <c r="A65" s="229">
        <v>58</v>
      </c>
      <c r="B65" s="225" t="s">
        <v>1066</v>
      </c>
      <c r="C65" s="223" t="s">
        <v>137</v>
      </c>
    </row>
    <row r="66" spans="1:3" x14ac:dyDescent="0.25">
      <c r="A66" s="228">
        <v>59</v>
      </c>
      <c r="B66" s="225" t="s">
        <v>1067</v>
      </c>
      <c r="C66" s="224" t="s">
        <v>137</v>
      </c>
    </row>
    <row r="67" spans="1:3" x14ac:dyDescent="0.25">
      <c r="A67" s="229">
        <v>60</v>
      </c>
      <c r="B67" s="225" t="s">
        <v>1068</v>
      </c>
      <c r="C67" s="223" t="s">
        <v>137</v>
      </c>
    </row>
    <row r="68" spans="1:3" x14ac:dyDescent="0.25">
      <c r="A68" s="229">
        <v>61</v>
      </c>
      <c r="B68" s="417" t="s">
        <v>1069</v>
      </c>
      <c r="C68" s="223" t="s">
        <v>137</v>
      </c>
    </row>
    <row r="69" spans="1:3" x14ac:dyDescent="0.25">
      <c r="A69" s="228">
        <v>62</v>
      </c>
      <c r="B69" s="675" t="s">
        <v>1070</v>
      </c>
      <c r="C69" s="223" t="s">
        <v>137</v>
      </c>
    </row>
    <row r="70" spans="1:3" x14ac:dyDescent="0.25">
      <c r="A70" s="674">
        <v>63</v>
      </c>
      <c r="B70" s="683" t="s">
        <v>137</v>
      </c>
      <c r="C70" s="671" t="s">
        <v>137</v>
      </c>
    </row>
    <row r="71" spans="1:3" x14ac:dyDescent="0.25">
      <c r="A71" s="674">
        <v>64</v>
      </c>
      <c r="B71" s="682" t="s">
        <v>1071</v>
      </c>
      <c r="C71" s="416" t="s">
        <v>137</v>
      </c>
    </row>
    <row r="72" spans="1:3" x14ac:dyDescent="0.25">
      <c r="A72" s="228">
        <v>65</v>
      </c>
      <c r="B72" s="417" t="s">
        <v>1072</v>
      </c>
      <c r="C72" s="223" t="s">
        <v>137</v>
      </c>
    </row>
    <row r="73" spans="1:3" x14ac:dyDescent="0.25">
      <c r="A73" s="229">
        <v>66</v>
      </c>
      <c r="B73" s="417" t="s">
        <v>1073</v>
      </c>
      <c r="C73" s="223" t="s">
        <v>137</v>
      </c>
    </row>
    <row r="74" spans="1:3" x14ac:dyDescent="0.25">
      <c r="A74" s="229">
        <v>67</v>
      </c>
      <c r="B74" s="417" t="s">
        <v>1074</v>
      </c>
      <c r="C74" s="223" t="s">
        <v>137</v>
      </c>
    </row>
    <row r="75" spans="1:3" x14ac:dyDescent="0.25">
      <c r="A75" s="228">
        <v>68</v>
      </c>
      <c r="B75" s="417" t="s">
        <v>1075</v>
      </c>
      <c r="C75" s="223" t="s">
        <v>137</v>
      </c>
    </row>
    <row r="76" spans="1:3" x14ac:dyDescent="0.25">
      <c r="A76" s="229">
        <v>69</v>
      </c>
      <c r="B76" s="417" t="s">
        <v>1076</v>
      </c>
      <c r="C76" s="223" t="s">
        <v>137</v>
      </c>
    </row>
    <row r="77" spans="1:3" x14ac:dyDescent="0.25">
      <c r="A77" s="229">
        <v>70</v>
      </c>
      <c r="B77" s="417" t="s">
        <v>1077</v>
      </c>
      <c r="C77" s="223" t="s">
        <v>137</v>
      </c>
    </row>
    <row r="78" spans="1:3" x14ac:dyDescent="0.25">
      <c r="A78" s="228">
        <v>71</v>
      </c>
      <c r="B78" s="417" t="s">
        <v>1078</v>
      </c>
      <c r="C78" s="231" t="s">
        <v>137</v>
      </c>
    </row>
    <row r="79" spans="1:3" x14ac:dyDescent="0.25">
      <c r="A79" s="229">
        <v>72</v>
      </c>
      <c r="B79" s="247" t="s">
        <v>1079</v>
      </c>
      <c r="C79" s="256"/>
    </row>
    <row r="80" spans="1:3" x14ac:dyDescent="0.25">
      <c r="A80" s="674">
        <v>73</v>
      </c>
      <c r="B80" s="683" t="s">
        <v>137</v>
      </c>
      <c r="C80" s="676" t="s">
        <v>137</v>
      </c>
    </row>
    <row r="81" spans="1:3" x14ac:dyDescent="0.25">
      <c r="A81" s="672">
        <v>74</v>
      </c>
      <c r="B81" s="682" t="s">
        <v>1080</v>
      </c>
      <c r="C81" s="281" t="s">
        <v>137</v>
      </c>
    </row>
    <row r="82" spans="1:3" x14ac:dyDescent="0.25">
      <c r="A82" s="229">
        <v>75</v>
      </c>
      <c r="B82" s="417" t="s">
        <v>1072</v>
      </c>
      <c r="C82" s="224" t="s">
        <v>137</v>
      </c>
    </row>
    <row r="83" spans="1:3" x14ac:dyDescent="0.25">
      <c r="A83" s="229">
        <v>76</v>
      </c>
      <c r="B83" s="417" t="s">
        <v>1081</v>
      </c>
      <c r="C83" s="224" t="s">
        <v>137</v>
      </c>
    </row>
    <row r="84" spans="1:3" x14ac:dyDescent="0.25">
      <c r="A84" s="228">
        <v>77</v>
      </c>
      <c r="B84" s="417" t="s">
        <v>1082</v>
      </c>
      <c r="C84" s="224" t="s">
        <v>137</v>
      </c>
    </row>
    <row r="85" spans="1:3" x14ac:dyDescent="0.25">
      <c r="A85" s="229">
        <v>78</v>
      </c>
      <c r="B85" s="675" t="s">
        <v>1083</v>
      </c>
      <c r="C85" s="224" t="s">
        <v>137</v>
      </c>
    </row>
    <row r="86" spans="1:3" x14ac:dyDescent="0.25">
      <c r="A86" s="674">
        <v>79</v>
      </c>
      <c r="B86" s="683" t="s">
        <v>137</v>
      </c>
      <c r="C86" s="671" t="s">
        <v>137</v>
      </c>
    </row>
    <row r="87" spans="1:3" x14ac:dyDescent="0.25">
      <c r="A87" s="672">
        <v>80</v>
      </c>
      <c r="B87" s="682" t="s">
        <v>1084</v>
      </c>
      <c r="C87" s="416" t="s">
        <v>137</v>
      </c>
    </row>
    <row r="88" spans="1:3" x14ac:dyDescent="0.25">
      <c r="A88" s="229">
        <v>81</v>
      </c>
      <c r="B88" s="339" t="s">
        <v>1085</v>
      </c>
      <c r="C88" s="224" t="s">
        <v>137</v>
      </c>
    </row>
    <row r="89" spans="1:3" x14ac:dyDescent="0.25">
      <c r="A89" s="229">
        <v>82</v>
      </c>
      <c r="B89" s="673" t="s">
        <v>1086</v>
      </c>
      <c r="C89" s="224" t="s">
        <v>137</v>
      </c>
    </row>
    <row r="90" spans="1:3" x14ac:dyDescent="0.25">
      <c r="A90" s="672">
        <v>83</v>
      </c>
      <c r="B90" s="683" t="s">
        <v>137</v>
      </c>
      <c r="C90" s="671" t="s">
        <v>137</v>
      </c>
    </row>
    <row r="91" spans="1:3" x14ac:dyDescent="0.25">
      <c r="A91" s="674">
        <v>84</v>
      </c>
      <c r="B91" s="682" t="s">
        <v>1087</v>
      </c>
      <c r="C91" s="416" t="s">
        <v>137</v>
      </c>
    </row>
    <row r="92" spans="1:3" x14ac:dyDescent="0.25">
      <c r="A92" s="229">
        <v>85</v>
      </c>
      <c r="B92" s="418" t="s">
        <v>1088</v>
      </c>
      <c r="C92" s="224" t="s">
        <v>137</v>
      </c>
    </row>
    <row r="93" spans="1:3" x14ac:dyDescent="0.25">
      <c r="A93" s="228">
        <v>86</v>
      </c>
      <c r="B93" s="418" t="s">
        <v>1089</v>
      </c>
      <c r="C93" s="224" t="s">
        <v>137</v>
      </c>
    </row>
    <row r="94" spans="1:3" x14ac:dyDescent="0.25">
      <c r="A94" s="229">
        <v>87</v>
      </c>
      <c r="B94" s="225" t="s">
        <v>1090</v>
      </c>
      <c r="C94" s="224" t="s">
        <v>137</v>
      </c>
    </row>
    <row r="95" spans="1:3" x14ac:dyDescent="0.25">
      <c r="A95" s="229">
        <v>88</v>
      </c>
      <c r="B95" s="260" t="s">
        <v>1091</v>
      </c>
      <c r="C95" s="224" t="s">
        <v>137</v>
      </c>
    </row>
    <row r="96" spans="1:3" x14ac:dyDescent="0.25">
      <c r="A96" s="672">
        <v>89</v>
      </c>
      <c r="B96" s="683" t="s">
        <v>137</v>
      </c>
      <c r="C96" s="671" t="s">
        <v>137</v>
      </c>
    </row>
    <row r="97" spans="1:3" x14ac:dyDescent="0.25">
      <c r="A97" s="674">
        <v>90</v>
      </c>
      <c r="B97" s="682" t="s">
        <v>1092</v>
      </c>
      <c r="C97" s="416" t="s">
        <v>137</v>
      </c>
    </row>
    <row r="98" spans="1:3" x14ac:dyDescent="0.25">
      <c r="A98" s="229">
        <v>91</v>
      </c>
      <c r="B98" s="225" t="s">
        <v>1093</v>
      </c>
      <c r="C98" s="223" t="s">
        <v>137</v>
      </c>
    </row>
    <row r="99" spans="1:3" x14ac:dyDescent="0.25">
      <c r="A99" s="228">
        <v>92</v>
      </c>
      <c r="B99" s="225" t="s">
        <v>1094</v>
      </c>
      <c r="C99" s="223" t="s">
        <v>137</v>
      </c>
    </row>
    <row r="100" spans="1:3" x14ac:dyDescent="0.25">
      <c r="A100" s="229">
        <v>93</v>
      </c>
      <c r="B100" s="225" t="s">
        <v>1095</v>
      </c>
      <c r="C100" s="223" t="s">
        <v>137</v>
      </c>
    </row>
    <row r="101" spans="1:3" x14ac:dyDescent="0.25">
      <c r="A101" s="229">
        <v>94</v>
      </c>
      <c r="B101" s="225" t="s">
        <v>1096</v>
      </c>
      <c r="C101" s="223" t="s">
        <v>137</v>
      </c>
    </row>
    <row r="102" spans="1:3" x14ac:dyDescent="0.25">
      <c r="A102" s="228">
        <v>95</v>
      </c>
      <c r="B102" s="225" t="s">
        <v>1097</v>
      </c>
      <c r="C102" s="223" t="s">
        <v>137</v>
      </c>
    </row>
    <row r="103" spans="1:3" x14ac:dyDescent="0.25">
      <c r="A103" s="229">
        <v>96</v>
      </c>
      <c r="B103" s="225" t="s">
        <v>1098</v>
      </c>
      <c r="C103" s="223"/>
    </row>
    <row r="104" spans="1:3" x14ac:dyDescent="0.25">
      <c r="A104" s="229">
        <v>97</v>
      </c>
      <c r="B104" s="225" t="s">
        <v>1099</v>
      </c>
      <c r="C104" s="223" t="s">
        <v>137</v>
      </c>
    </row>
    <row r="105" spans="1:3" x14ac:dyDescent="0.25">
      <c r="A105" s="228">
        <v>98</v>
      </c>
      <c r="B105" s="225" t="s">
        <v>1100</v>
      </c>
      <c r="C105" s="223" t="s">
        <v>137</v>
      </c>
    </row>
    <row r="106" spans="1:3" x14ac:dyDescent="0.25">
      <c r="A106" s="229">
        <v>99</v>
      </c>
      <c r="B106" s="225" t="s">
        <v>1101</v>
      </c>
      <c r="C106" s="223" t="s">
        <v>137</v>
      </c>
    </row>
    <row r="107" spans="1:3" x14ac:dyDescent="0.25">
      <c r="A107" s="229">
        <v>100</v>
      </c>
      <c r="B107" s="225" t="s">
        <v>1102</v>
      </c>
      <c r="C107" s="224" t="s">
        <v>137</v>
      </c>
    </row>
    <row r="108" spans="1:3" x14ac:dyDescent="0.25">
      <c r="A108" s="228">
        <v>101</v>
      </c>
      <c r="B108" s="225" t="s">
        <v>1103</v>
      </c>
      <c r="C108" s="224" t="s">
        <v>137</v>
      </c>
    </row>
    <row r="109" spans="1:3" x14ac:dyDescent="0.25">
      <c r="A109" s="229">
        <v>102</v>
      </c>
      <c r="B109" s="225" t="s">
        <v>1104</v>
      </c>
      <c r="C109" s="224" t="s">
        <v>137</v>
      </c>
    </row>
    <row r="110" spans="1:3" x14ac:dyDescent="0.25">
      <c r="A110" s="229">
        <v>103</v>
      </c>
      <c r="B110" s="225" t="s">
        <v>1105</v>
      </c>
      <c r="C110" s="224" t="s">
        <v>137</v>
      </c>
    </row>
    <row r="111" spans="1:3" x14ac:dyDescent="0.25">
      <c r="A111" s="228">
        <v>104</v>
      </c>
      <c r="B111" s="225" t="s">
        <v>1106</v>
      </c>
      <c r="C111" s="224" t="s">
        <v>137</v>
      </c>
    </row>
    <row r="112" spans="1:3" x14ac:dyDescent="0.25">
      <c r="A112" s="229">
        <v>105</v>
      </c>
      <c r="B112" s="230" t="s">
        <v>1107</v>
      </c>
      <c r="C112" s="232">
        <v>0</v>
      </c>
    </row>
    <row r="113" spans="1:3" x14ac:dyDescent="0.25">
      <c r="A113" s="229">
        <v>106</v>
      </c>
      <c r="B113" s="221" t="s">
        <v>962</v>
      </c>
      <c r="C113" s="224" t="s">
        <v>440</v>
      </c>
    </row>
    <row r="114" spans="1:3" x14ac:dyDescent="0.25">
      <c r="A114" s="228">
        <v>107</v>
      </c>
      <c r="B114" s="225" t="s">
        <v>1108</v>
      </c>
      <c r="C114" s="223" t="s">
        <v>847</v>
      </c>
    </row>
    <row r="115" spans="1:3" x14ac:dyDescent="0.25">
      <c r="A115" s="229">
        <v>108</v>
      </c>
      <c r="B115" s="225" t="s">
        <v>1109</v>
      </c>
      <c r="C115" s="223" t="s">
        <v>847</v>
      </c>
    </row>
    <row r="116" spans="1:3" x14ac:dyDescent="0.25">
      <c r="A116" s="229">
        <v>109</v>
      </c>
      <c r="B116" s="225" t="s">
        <v>1110</v>
      </c>
      <c r="C116" s="223" t="s">
        <v>847</v>
      </c>
    </row>
    <row r="117" spans="1:3" x14ac:dyDescent="0.25">
      <c r="A117" s="228">
        <v>110</v>
      </c>
      <c r="B117" s="225" t="s">
        <v>1111</v>
      </c>
      <c r="C117" s="223" t="s">
        <v>847</v>
      </c>
    </row>
    <row r="118" spans="1:3" x14ac:dyDescent="0.25">
      <c r="A118" s="229">
        <v>111</v>
      </c>
      <c r="B118" s="225" t="s">
        <v>1112</v>
      </c>
      <c r="C118" s="223" t="s">
        <v>847</v>
      </c>
    </row>
    <row r="119" spans="1:3" x14ac:dyDescent="0.25">
      <c r="A119" s="229">
        <v>112</v>
      </c>
      <c r="B119" s="225" t="s">
        <v>1113</v>
      </c>
      <c r="C119" s="223" t="s">
        <v>847</v>
      </c>
    </row>
    <row r="120" spans="1:3" x14ac:dyDescent="0.25">
      <c r="A120" s="228">
        <v>113</v>
      </c>
      <c r="B120" s="225" t="s">
        <v>1114</v>
      </c>
      <c r="C120" s="231" t="s">
        <v>847</v>
      </c>
    </row>
    <row r="121" spans="1:3" x14ac:dyDescent="0.25">
      <c r="A121" s="229">
        <v>114</v>
      </c>
      <c r="B121" s="233" t="s">
        <v>1115</v>
      </c>
      <c r="C121" s="256" t="s">
        <v>847</v>
      </c>
    </row>
    <row r="122" spans="1:3" x14ac:dyDescent="0.25">
      <c r="A122" s="229">
        <v>115</v>
      </c>
      <c r="B122" s="233" t="s">
        <v>1116</v>
      </c>
      <c r="C122" s="256" t="s">
        <v>847</v>
      </c>
    </row>
    <row r="123" spans="1:3" x14ac:dyDescent="0.25">
      <c r="A123" s="228">
        <v>116</v>
      </c>
      <c r="B123" s="233"/>
      <c r="C123" s="256"/>
    </row>
    <row r="124" spans="1:3" x14ac:dyDescent="0.25">
      <c r="A124" s="229">
        <v>117</v>
      </c>
      <c r="B124" s="230" t="s">
        <v>1117</v>
      </c>
      <c r="C124" s="257"/>
    </row>
  </sheetData>
  <mergeCells count="5">
    <mergeCell ref="A2:B2"/>
    <mergeCell ref="A3:B5"/>
    <mergeCell ref="C6:C7"/>
    <mergeCell ref="A6:B7"/>
    <mergeCell ref="A1:B1"/>
  </mergeCells>
  <pageMargins left="0.7" right="0.7" top="1.0520833333333333" bottom="0.75" header="0.3" footer="0.3"/>
  <pageSetup scale="76" orientation="portrait" r:id="rId1"/>
  <headerFooter>
    <oddHeader>&amp;L&amp;G&amp;C(ENTER PROJECT NAME)&amp;R&amp;D</oddHeader>
    <oddFooter>&amp;C&amp;P OF &amp;N</oddFooter>
  </headerFooter>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308CF-13C1-4873-B45A-7B53EFE25955}">
  <dimension ref="A1:J104"/>
  <sheetViews>
    <sheetView view="pageBreakPreview" topLeftCell="B26" zoomScale="60" zoomScaleNormal="100" workbookViewId="0">
      <selection activeCell="C49" sqref="C49"/>
    </sheetView>
  </sheetViews>
  <sheetFormatPr defaultRowHeight="15" x14ac:dyDescent="0.25"/>
  <cols>
    <col min="1" max="1" width="0" hidden="1" customWidth="1"/>
    <col min="3" max="3" width="95.85546875" customWidth="1"/>
    <col min="4" max="4" width="22.5703125" style="136" bestFit="1" customWidth="1"/>
  </cols>
  <sheetData>
    <row r="1" spans="1:10" ht="15.75" x14ac:dyDescent="0.25">
      <c r="A1" s="1011" t="s">
        <v>14</v>
      </c>
      <c r="B1" s="1011"/>
      <c r="C1" s="1011"/>
      <c r="D1" s="127"/>
      <c r="E1" s="21"/>
      <c r="F1" s="21"/>
      <c r="G1" s="21"/>
      <c r="H1" s="21"/>
      <c r="I1" s="21"/>
    </row>
    <row r="2" spans="1:10" ht="15.75" x14ac:dyDescent="0.25">
      <c r="A2" s="1013" t="s">
        <v>1118</v>
      </c>
      <c r="B2" s="1013"/>
      <c r="C2" s="1013"/>
      <c r="D2" s="128" t="s">
        <v>64</v>
      </c>
      <c r="E2" s="21"/>
      <c r="F2" s="21"/>
      <c r="G2" s="21"/>
      <c r="H2" s="21"/>
      <c r="I2" s="21"/>
    </row>
    <row r="3" spans="1:10" ht="15.75" x14ac:dyDescent="0.25">
      <c r="A3" s="1013"/>
      <c r="B3" s="1013"/>
      <c r="C3" s="1013"/>
      <c r="D3" s="128" t="s">
        <v>65</v>
      </c>
      <c r="E3" s="21"/>
      <c r="F3" s="21"/>
      <c r="G3" s="21"/>
      <c r="H3" s="21"/>
      <c r="I3" s="21"/>
      <c r="J3" s="21"/>
    </row>
    <row r="4" spans="1:10" ht="15.75" x14ac:dyDescent="0.25">
      <c r="A4" s="1013"/>
      <c r="B4" s="1013"/>
      <c r="C4" s="1013"/>
      <c r="D4" s="128" t="s">
        <v>66</v>
      </c>
      <c r="E4" s="21"/>
      <c r="F4" s="21"/>
      <c r="G4" s="21"/>
      <c r="H4" s="21"/>
      <c r="I4" s="21"/>
      <c r="J4" s="21"/>
    </row>
    <row r="5" spans="1:10" ht="15.75" x14ac:dyDescent="0.25">
      <c r="A5" s="1013"/>
      <c r="B5" s="1013"/>
      <c r="C5" s="1013"/>
      <c r="D5" s="129" t="s">
        <v>19</v>
      </c>
      <c r="E5" s="21"/>
      <c r="F5" s="21"/>
      <c r="G5" s="21"/>
      <c r="H5" s="21"/>
      <c r="I5" s="21"/>
      <c r="J5" s="21"/>
    </row>
    <row r="6" spans="1:10" ht="19.5" customHeight="1" x14ac:dyDescent="0.25">
      <c r="A6" s="1195"/>
      <c r="B6" s="1197"/>
      <c r="C6" s="1196" t="s">
        <v>20</v>
      </c>
      <c r="D6" s="1024" t="s">
        <v>67</v>
      </c>
      <c r="E6" s="21"/>
      <c r="F6" s="21"/>
      <c r="G6" s="21"/>
      <c r="H6" s="21"/>
      <c r="I6" s="21"/>
      <c r="J6" s="21"/>
    </row>
    <row r="7" spans="1:10" s="2" customFormat="1" ht="19.5" customHeight="1" x14ac:dyDescent="0.25">
      <c r="A7" s="1195"/>
      <c r="B7" s="1198"/>
      <c r="C7" s="1196"/>
      <c r="D7" s="1024"/>
      <c r="E7" s="21"/>
      <c r="F7" s="21"/>
      <c r="G7" s="21"/>
      <c r="H7" s="21"/>
      <c r="I7" s="21"/>
      <c r="J7" s="21"/>
    </row>
    <row r="8" spans="1:10" s="77" customFormat="1" x14ac:dyDescent="0.2">
      <c r="A8" s="121">
        <v>1</v>
      </c>
      <c r="B8" s="665">
        <v>1</v>
      </c>
      <c r="C8" s="126" t="s">
        <v>21</v>
      </c>
      <c r="D8" s="203"/>
      <c r="E8" s="206"/>
      <c r="F8" s="206"/>
      <c r="G8" s="206"/>
      <c r="H8" s="206"/>
      <c r="I8" s="206"/>
      <c r="J8" s="206"/>
    </row>
    <row r="9" spans="1:10" s="77" customFormat="1" x14ac:dyDescent="0.2">
      <c r="A9" s="121">
        <v>2</v>
      </c>
      <c r="B9" s="665">
        <v>2</v>
      </c>
      <c r="C9" s="646" t="s">
        <v>23</v>
      </c>
      <c r="D9" s="203"/>
      <c r="E9" s="207"/>
      <c r="F9" s="206"/>
      <c r="G9" s="207"/>
      <c r="H9" s="207"/>
      <c r="I9" s="207"/>
    </row>
    <row r="10" spans="1:10" s="77" customFormat="1" x14ac:dyDescent="0.25">
      <c r="A10" s="121">
        <v>3</v>
      </c>
      <c r="B10" s="665">
        <v>3</v>
      </c>
      <c r="C10" s="646" t="s">
        <v>24</v>
      </c>
      <c r="D10" s="203"/>
      <c r="E10" s="207"/>
      <c r="F10" s="207"/>
      <c r="G10" s="207"/>
      <c r="H10" s="207"/>
      <c r="I10" s="207"/>
    </row>
    <row r="11" spans="1:10" s="77" customFormat="1" x14ac:dyDescent="0.25">
      <c r="A11" s="121">
        <v>4</v>
      </c>
      <c r="B11" s="665">
        <v>4</v>
      </c>
      <c r="C11" s="646" t="s">
        <v>68</v>
      </c>
      <c r="D11" s="203"/>
      <c r="E11" s="207"/>
      <c r="F11" s="207"/>
      <c r="G11" s="207"/>
      <c r="H11" s="207"/>
      <c r="I11" s="207"/>
    </row>
    <row r="12" spans="1:10" s="77" customFormat="1" x14ac:dyDescent="0.25">
      <c r="A12" s="121">
        <v>5</v>
      </c>
      <c r="B12" s="665">
        <v>5</v>
      </c>
      <c r="C12" s="647" t="s">
        <v>26</v>
      </c>
      <c r="D12" s="203"/>
      <c r="E12" s="207"/>
      <c r="F12" s="207"/>
      <c r="G12" s="207"/>
      <c r="H12" s="207"/>
      <c r="I12" s="207"/>
    </row>
    <row r="13" spans="1:10" s="77" customFormat="1" x14ac:dyDescent="0.25">
      <c r="A13" s="121">
        <v>6</v>
      </c>
      <c r="B13" s="665">
        <v>6</v>
      </c>
      <c r="C13" s="646" t="s">
        <v>28</v>
      </c>
      <c r="D13" s="203"/>
      <c r="E13" s="207"/>
      <c r="F13" s="207"/>
      <c r="G13" s="207"/>
      <c r="H13" s="207"/>
      <c r="I13" s="207"/>
    </row>
    <row r="14" spans="1:10" s="77" customFormat="1" x14ac:dyDescent="0.25">
      <c r="A14" s="121">
        <v>7</v>
      </c>
      <c r="B14" s="665">
        <v>7</v>
      </c>
      <c r="C14" s="646" t="s">
        <v>29</v>
      </c>
      <c r="D14" s="203"/>
      <c r="E14" s="207"/>
      <c r="F14" s="207"/>
      <c r="G14" s="207"/>
      <c r="H14" s="207"/>
      <c r="I14" s="207"/>
    </row>
    <row r="15" spans="1:10" s="77" customFormat="1" x14ac:dyDescent="0.25">
      <c r="A15" s="121">
        <v>8</v>
      </c>
      <c r="B15" s="665">
        <v>8</v>
      </c>
      <c r="C15" s="646" t="s">
        <v>69</v>
      </c>
      <c r="D15" s="203"/>
      <c r="E15" s="207"/>
      <c r="F15" s="207"/>
      <c r="G15" s="207"/>
      <c r="H15" s="207"/>
      <c r="I15" s="207"/>
    </row>
    <row r="16" spans="1:10" s="77" customFormat="1" x14ac:dyDescent="0.25">
      <c r="A16" s="121">
        <v>9</v>
      </c>
      <c r="B16" s="665">
        <v>9</v>
      </c>
      <c r="C16" s="126" t="s">
        <v>70</v>
      </c>
      <c r="D16" s="203"/>
      <c r="E16" s="207"/>
      <c r="F16" s="207"/>
      <c r="G16" s="207"/>
      <c r="H16" s="207"/>
      <c r="I16" s="207"/>
    </row>
    <row r="17" spans="1:9" s="77" customFormat="1" x14ac:dyDescent="0.25">
      <c r="A17" s="121">
        <v>10</v>
      </c>
      <c r="B17" s="665">
        <v>10</v>
      </c>
      <c r="C17" s="648" t="s">
        <v>1119</v>
      </c>
      <c r="D17" s="203"/>
      <c r="E17" s="207"/>
      <c r="F17" s="207"/>
      <c r="G17" s="207"/>
      <c r="H17" s="207"/>
      <c r="I17" s="207"/>
    </row>
    <row r="18" spans="1:9" s="77" customFormat="1" x14ac:dyDescent="0.25">
      <c r="A18" s="121">
        <v>11</v>
      </c>
      <c r="B18" s="665">
        <v>11</v>
      </c>
      <c r="C18" s="646" t="s">
        <v>72</v>
      </c>
      <c r="D18" s="203"/>
      <c r="E18" s="207"/>
      <c r="F18" s="207"/>
      <c r="G18" s="207"/>
      <c r="H18" s="207"/>
      <c r="I18" s="207"/>
    </row>
    <row r="19" spans="1:9" s="77" customFormat="1" x14ac:dyDescent="0.25">
      <c r="A19" s="121">
        <v>12</v>
      </c>
      <c r="B19" s="665">
        <v>12</v>
      </c>
      <c r="C19" s="646" t="s">
        <v>1120</v>
      </c>
      <c r="D19" s="203"/>
      <c r="E19" s="207"/>
      <c r="F19" s="207"/>
      <c r="G19" s="207"/>
      <c r="H19" s="207"/>
      <c r="I19" s="207"/>
    </row>
    <row r="20" spans="1:9" s="77" customFormat="1" x14ac:dyDescent="0.25">
      <c r="A20" s="121">
        <v>13</v>
      </c>
      <c r="B20" s="665">
        <v>13</v>
      </c>
      <c r="C20" s="646" t="s">
        <v>1121</v>
      </c>
      <c r="D20" s="203"/>
      <c r="E20" s="207"/>
      <c r="F20" s="207"/>
      <c r="G20" s="207"/>
      <c r="H20" s="207"/>
      <c r="I20" s="207"/>
    </row>
    <row r="21" spans="1:9" s="77" customFormat="1" x14ac:dyDescent="0.25">
      <c r="A21" s="121">
        <v>14</v>
      </c>
      <c r="B21" s="665">
        <v>14</v>
      </c>
      <c r="C21" s="646" t="s">
        <v>75</v>
      </c>
      <c r="D21" s="203"/>
      <c r="E21" s="207"/>
      <c r="F21" s="207"/>
      <c r="G21" s="207"/>
      <c r="H21" s="207"/>
      <c r="I21" s="207"/>
    </row>
    <row r="22" spans="1:9" s="77" customFormat="1" x14ac:dyDescent="0.25">
      <c r="A22" s="121">
        <v>15</v>
      </c>
      <c r="B22" s="665">
        <v>15</v>
      </c>
      <c r="C22" s="648" t="s">
        <v>1122</v>
      </c>
      <c r="D22" s="203"/>
      <c r="E22" s="207"/>
      <c r="F22" s="207"/>
      <c r="G22" s="207"/>
      <c r="H22" s="207"/>
      <c r="I22" s="207"/>
    </row>
    <row r="23" spans="1:9" s="77" customFormat="1" x14ac:dyDescent="0.25">
      <c r="A23" s="121">
        <v>16</v>
      </c>
      <c r="B23" s="665">
        <v>16</v>
      </c>
      <c r="C23" s="649" t="s">
        <v>644</v>
      </c>
      <c r="D23" s="203"/>
      <c r="E23" s="207"/>
      <c r="F23" s="207"/>
      <c r="G23" s="207"/>
      <c r="H23" s="207"/>
      <c r="I23" s="207"/>
    </row>
    <row r="24" spans="1:9" s="77" customFormat="1" x14ac:dyDescent="0.25">
      <c r="A24" s="121">
        <v>17</v>
      </c>
      <c r="B24" s="665">
        <v>17</v>
      </c>
      <c r="C24" s="646" t="s">
        <v>1123</v>
      </c>
      <c r="D24" s="203"/>
      <c r="E24" s="207"/>
      <c r="F24" s="207"/>
      <c r="G24" s="207"/>
      <c r="H24" s="207"/>
      <c r="I24" s="207"/>
    </row>
    <row r="25" spans="1:9" s="77" customFormat="1" x14ac:dyDescent="0.25">
      <c r="A25" s="121">
        <v>18</v>
      </c>
      <c r="B25" s="665">
        <v>18</v>
      </c>
      <c r="C25" s="649" t="s">
        <v>1124</v>
      </c>
      <c r="D25" s="203"/>
      <c r="E25" s="207"/>
      <c r="F25" s="207"/>
      <c r="G25" s="207"/>
      <c r="H25" s="207"/>
      <c r="I25" s="207"/>
    </row>
    <row r="26" spans="1:9" s="77" customFormat="1" x14ac:dyDescent="0.25">
      <c r="A26" s="121">
        <v>19</v>
      </c>
      <c r="B26" s="665">
        <v>19</v>
      </c>
      <c r="C26" s="646" t="s">
        <v>1125</v>
      </c>
      <c r="D26" s="203"/>
      <c r="E26" s="207"/>
      <c r="F26" s="207"/>
      <c r="G26" s="207"/>
      <c r="H26" s="207"/>
      <c r="I26" s="207"/>
    </row>
    <row r="27" spans="1:9" s="77" customFormat="1" x14ac:dyDescent="0.25">
      <c r="A27" s="121">
        <v>20</v>
      </c>
      <c r="B27" s="665">
        <v>20</v>
      </c>
      <c r="C27" s="648" t="s">
        <v>1126</v>
      </c>
      <c r="D27" s="203"/>
      <c r="E27" s="207"/>
      <c r="F27" s="207"/>
      <c r="G27" s="207"/>
      <c r="H27" s="207"/>
      <c r="I27" s="207"/>
    </row>
    <row r="28" spans="1:9" s="77" customFormat="1" x14ac:dyDescent="0.2">
      <c r="A28" s="121"/>
      <c r="B28" s="665">
        <v>21</v>
      </c>
      <c r="C28" s="650" t="s">
        <v>1025</v>
      </c>
      <c r="D28" s="638"/>
      <c r="E28" s="207"/>
      <c r="F28" s="207"/>
      <c r="G28" s="207"/>
      <c r="H28" s="207"/>
      <c r="I28" s="207"/>
    </row>
    <row r="29" spans="1:9" s="77" customFormat="1" x14ac:dyDescent="0.25">
      <c r="A29" s="121">
        <v>22</v>
      </c>
      <c r="B29" s="665">
        <v>22</v>
      </c>
      <c r="C29" s="635"/>
      <c r="D29" s="637"/>
      <c r="E29" s="207"/>
      <c r="F29" s="207"/>
      <c r="G29" s="207"/>
      <c r="H29" s="207"/>
      <c r="I29" s="207"/>
    </row>
    <row r="30" spans="1:9" s="77" customFormat="1" x14ac:dyDescent="0.25">
      <c r="A30" s="121">
        <v>23</v>
      </c>
      <c r="B30" s="665">
        <v>23</v>
      </c>
      <c r="C30" s="646" t="s">
        <v>1127</v>
      </c>
      <c r="D30" s="164"/>
      <c r="E30" s="207"/>
      <c r="F30" s="207"/>
      <c r="G30" s="207"/>
      <c r="H30" s="207"/>
      <c r="I30" s="207"/>
    </row>
    <row r="31" spans="1:9" s="77" customFormat="1" x14ac:dyDescent="0.25">
      <c r="A31" s="121">
        <v>24</v>
      </c>
      <c r="B31" s="665">
        <v>24</v>
      </c>
      <c r="C31" s="651" t="s">
        <v>1128</v>
      </c>
      <c r="D31" s="164"/>
      <c r="E31" s="207"/>
      <c r="F31" s="207"/>
      <c r="G31" s="207"/>
      <c r="H31" s="207"/>
      <c r="I31" s="207"/>
    </row>
    <row r="32" spans="1:9" s="76" customFormat="1" x14ac:dyDescent="0.2">
      <c r="A32" s="121">
        <v>25</v>
      </c>
      <c r="B32" s="665">
        <v>25</v>
      </c>
      <c r="C32" s="277" t="s">
        <v>1129</v>
      </c>
      <c r="D32" s="639"/>
    </row>
    <row r="33" spans="1:9" s="76" customFormat="1" x14ac:dyDescent="0.2">
      <c r="A33" s="121">
        <v>26</v>
      </c>
      <c r="B33" s="665">
        <v>26</v>
      </c>
      <c r="C33" s="277" t="s">
        <v>1130</v>
      </c>
      <c r="D33" s="636"/>
    </row>
    <row r="34" spans="1:9" s="76" customFormat="1" x14ac:dyDescent="0.2">
      <c r="A34" s="121">
        <v>27</v>
      </c>
      <c r="B34" s="665">
        <v>27</v>
      </c>
      <c r="C34" s="277" t="s">
        <v>1131</v>
      </c>
      <c r="D34" s="636"/>
    </row>
    <row r="35" spans="1:9" s="76" customFormat="1" x14ac:dyDescent="0.2">
      <c r="A35" s="121">
        <v>28</v>
      </c>
      <c r="B35" s="665">
        <v>28</v>
      </c>
      <c r="C35" s="652" t="s">
        <v>1132</v>
      </c>
      <c r="D35" s="636"/>
    </row>
    <row r="36" spans="1:9" s="76" customFormat="1" x14ac:dyDescent="0.2">
      <c r="A36" s="121">
        <v>29</v>
      </c>
      <c r="B36" s="665">
        <v>29</v>
      </c>
      <c r="C36" s="653" t="s">
        <v>1133</v>
      </c>
      <c r="D36" s="640"/>
    </row>
    <row r="37" spans="1:9" s="77" customFormat="1" x14ac:dyDescent="0.25">
      <c r="A37" s="121">
        <v>30</v>
      </c>
      <c r="B37" s="665">
        <v>30</v>
      </c>
      <c r="C37" s="654" t="s">
        <v>1134</v>
      </c>
      <c r="D37" s="164"/>
      <c r="E37" s="207"/>
      <c r="F37" s="207"/>
      <c r="G37" s="207"/>
      <c r="H37" s="207"/>
      <c r="I37" s="207"/>
    </row>
    <row r="38" spans="1:9" s="77" customFormat="1" x14ac:dyDescent="0.25">
      <c r="A38" s="121">
        <v>31</v>
      </c>
      <c r="B38" s="665">
        <v>31</v>
      </c>
      <c r="C38" s="77" t="s">
        <v>1135</v>
      </c>
      <c r="D38" s="164"/>
      <c r="E38" s="207"/>
      <c r="F38" s="207"/>
      <c r="G38" s="207"/>
      <c r="H38" s="207"/>
      <c r="I38" s="207"/>
    </row>
    <row r="39" spans="1:9" s="77" customFormat="1" x14ac:dyDescent="0.25">
      <c r="A39" s="121">
        <v>32</v>
      </c>
      <c r="B39" s="665">
        <v>32</v>
      </c>
      <c r="C39" s="77" t="s">
        <v>1136</v>
      </c>
      <c r="D39" s="164"/>
      <c r="E39" s="207"/>
      <c r="F39" s="207"/>
      <c r="G39" s="207"/>
      <c r="H39" s="207"/>
      <c r="I39" s="207"/>
    </row>
    <row r="40" spans="1:9" s="77" customFormat="1" x14ac:dyDescent="0.25">
      <c r="A40" s="121">
        <v>33</v>
      </c>
      <c r="B40" s="665">
        <v>33</v>
      </c>
      <c r="C40" s="77" t="s">
        <v>1137</v>
      </c>
      <c r="D40" s="164"/>
      <c r="E40" s="207"/>
      <c r="F40" s="207"/>
      <c r="G40" s="207"/>
      <c r="H40" s="207"/>
      <c r="I40" s="207"/>
    </row>
    <row r="41" spans="1:9" s="77" customFormat="1" x14ac:dyDescent="0.25">
      <c r="A41" s="121">
        <v>34</v>
      </c>
      <c r="B41" s="665">
        <v>34</v>
      </c>
      <c r="C41" s="655" t="s">
        <v>1138</v>
      </c>
      <c r="D41" s="164"/>
      <c r="E41" s="207"/>
      <c r="F41" s="207"/>
      <c r="G41" s="207"/>
      <c r="H41" s="207"/>
      <c r="I41" s="207"/>
    </row>
    <row r="42" spans="1:9" s="77" customFormat="1" x14ac:dyDescent="0.25">
      <c r="A42" s="121">
        <v>35</v>
      </c>
      <c r="B42" s="665">
        <v>35</v>
      </c>
      <c r="C42" s="656" t="s">
        <v>1139</v>
      </c>
      <c r="D42" s="277"/>
      <c r="E42" s="207"/>
      <c r="F42" s="207"/>
      <c r="G42" s="207"/>
      <c r="H42" s="207"/>
      <c r="I42" s="207"/>
    </row>
    <row r="43" spans="1:9" s="77" customFormat="1" x14ac:dyDescent="0.25">
      <c r="A43" s="121">
        <v>36</v>
      </c>
      <c r="B43" s="665">
        <v>36</v>
      </c>
      <c r="C43" s="653" t="s">
        <v>1140</v>
      </c>
      <c r="D43" s="277"/>
      <c r="E43" s="207"/>
      <c r="F43" s="207"/>
      <c r="G43" s="207"/>
      <c r="H43" s="207"/>
      <c r="I43" s="207"/>
    </row>
    <row r="44" spans="1:9" s="77" customFormat="1" x14ac:dyDescent="0.25">
      <c r="A44" s="121"/>
      <c r="B44" s="665">
        <v>37</v>
      </c>
      <c r="C44" s="653"/>
      <c r="D44" s="277"/>
      <c r="E44" s="207"/>
      <c r="F44" s="207"/>
      <c r="G44" s="207"/>
      <c r="H44" s="207"/>
      <c r="I44" s="207"/>
    </row>
    <row r="45" spans="1:9" s="77" customFormat="1" x14ac:dyDescent="0.25">
      <c r="A45" s="121">
        <v>37</v>
      </c>
      <c r="B45" s="665">
        <v>38</v>
      </c>
      <c r="C45" s="657" t="s">
        <v>1141</v>
      </c>
      <c r="D45" s="522"/>
      <c r="E45" s="207"/>
      <c r="F45" s="207"/>
      <c r="G45" s="207"/>
      <c r="H45" s="207"/>
      <c r="I45" s="207"/>
    </row>
    <row r="46" spans="1:9" s="77" customFormat="1" x14ac:dyDescent="0.25">
      <c r="A46" s="121">
        <v>38</v>
      </c>
      <c r="B46" s="665">
        <v>39</v>
      </c>
      <c r="C46" s="658" t="s">
        <v>1142</v>
      </c>
      <c r="D46" s="507"/>
      <c r="E46" s="207"/>
      <c r="F46" s="207"/>
      <c r="G46" s="207"/>
      <c r="H46" s="207"/>
      <c r="I46" s="207"/>
    </row>
    <row r="47" spans="1:9" s="77" customFormat="1" x14ac:dyDescent="0.25">
      <c r="A47" s="121">
        <v>39</v>
      </c>
      <c r="B47" s="665">
        <v>40</v>
      </c>
      <c r="C47" s="237"/>
      <c r="D47" s="164"/>
      <c r="E47" s="207"/>
      <c r="F47" s="207"/>
      <c r="G47" s="207"/>
      <c r="H47" s="207"/>
      <c r="I47" s="207"/>
    </row>
    <row r="48" spans="1:9" s="77" customFormat="1" x14ac:dyDescent="0.25">
      <c r="A48" s="121">
        <v>40</v>
      </c>
      <c r="B48" s="665">
        <v>41</v>
      </c>
      <c r="C48" s="648" t="s">
        <v>1143</v>
      </c>
      <c r="D48" s="548"/>
      <c r="E48" s="207"/>
      <c r="F48" s="207"/>
      <c r="G48" s="207"/>
      <c r="H48" s="207"/>
      <c r="I48" s="207"/>
    </row>
    <row r="49" spans="1:9" s="77" customFormat="1" x14ac:dyDescent="0.25">
      <c r="A49" s="121">
        <v>41</v>
      </c>
      <c r="B49" s="665">
        <v>42</v>
      </c>
      <c r="C49" s="659" t="s">
        <v>1144</v>
      </c>
      <c r="D49" s="546"/>
      <c r="E49" s="207"/>
      <c r="F49" s="207"/>
      <c r="G49" s="207"/>
      <c r="H49" s="207"/>
      <c r="I49" s="207"/>
    </row>
    <row r="50" spans="1:9" s="77" customFormat="1" x14ac:dyDescent="0.2">
      <c r="A50" s="121">
        <v>42</v>
      </c>
      <c r="B50" s="665">
        <v>43</v>
      </c>
      <c r="C50" s="660" t="s">
        <v>1145</v>
      </c>
      <c r="D50" s="203"/>
      <c r="E50" s="207"/>
      <c r="F50" s="207"/>
      <c r="G50" s="207"/>
      <c r="H50" s="207"/>
      <c r="I50" s="207"/>
    </row>
    <row r="51" spans="1:9" s="77" customFormat="1" x14ac:dyDescent="0.25">
      <c r="A51" s="121">
        <v>43</v>
      </c>
      <c r="B51" s="665">
        <v>44</v>
      </c>
      <c r="C51" s="237" t="s">
        <v>1146</v>
      </c>
      <c r="D51" s="203"/>
      <c r="E51" s="207"/>
      <c r="F51" s="207"/>
      <c r="G51" s="207"/>
      <c r="H51" s="207"/>
      <c r="I51" s="207"/>
    </row>
    <row r="52" spans="1:9" s="77" customFormat="1" x14ac:dyDescent="0.25">
      <c r="A52" s="121">
        <v>44</v>
      </c>
      <c r="B52" s="665">
        <v>45</v>
      </c>
      <c r="C52" s="661" t="s">
        <v>1147</v>
      </c>
      <c r="D52" s="203"/>
      <c r="E52" s="207"/>
      <c r="F52" s="207"/>
      <c r="G52" s="207"/>
      <c r="H52" s="207"/>
      <c r="I52" s="207"/>
    </row>
    <row r="53" spans="1:9" s="77" customFormat="1" x14ac:dyDescent="0.25">
      <c r="A53" s="121">
        <v>45</v>
      </c>
      <c r="B53" s="665">
        <v>46</v>
      </c>
      <c r="C53" s="646" t="s">
        <v>1148</v>
      </c>
      <c r="D53" s="203"/>
      <c r="E53" s="207"/>
      <c r="F53" s="207"/>
      <c r="G53" s="207"/>
      <c r="H53" s="207"/>
      <c r="I53" s="207"/>
    </row>
    <row r="54" spans="1:9" s="77" customFormat="1" x14ac:dyDescent="0.25">
      <c r="A54" s="121">
        <v>46</v>
      </c>
      <c r="B54" s="665">
        <v>47</v>
      </c>
      <c r="C54" s="646" t="s">
        <v>1149</v>
      </c>
      <c r="D54" s="203"/>
      <c r="E54" s="207"/>
      <c r="F54" s="207"/>
      <c r="G54" s="207"/>
      <c r="H54" s="207"/>
      <c r="I54" s="207"/>
    </row>
    <row r="55" spans="1:9" s="77" customFormat="1" x14ac:dyDescent="0.25">
      <c r="A55" s="121"/>
      <c r="B55" s="665">
        <v>48</v>
      </c>
      <c r="C55" s="646"/>
      <c r="D55" s="203"/>
      <c r="E55" s="207"/>
      <c r="F55" s="207"/>
      <c r="G55" s="207"/>
      <c r="H55" s="207"/>
      <c r="I55" s="207"/>
    </row>
    <row r="56" spans="1:9" s="77" customFormat="1" x14ac:dyDescent="0.25">
      <c r="A56" s="121">
        <v>47</v>
      </c>
      <c r="B56" s="665">
        <v>49</v>
      </c>
      <c r="C56" s="648" t="s">
        <v>1150</v>
      </c>
      <c r="D56" s="203"/>
      <c r="E56" s="207"/>
      <c r="F56" s="207"/>
      <c r="G56" s="207"/>
      <c r="H56" s="207"/>
      <c r="I56" s="207"/>
    </row>
    <row r="57" spans="1:9" s="77" customFormat="1" x14ac:dyDescent="0.25">
      <c r="A57" s="121">
        <v>48</v>
      </c>
      <c r="B57" s="665">
        <v>50</v>
      </c>
      <c r="C57" s="648" t="s">
        <v>1151</v>
      </c>
      <c r="D57" s="203"/>
      <c r="E57" s="207"/>
      <c r="F57" s="207"/>
      <c r="G57" s="207"/>
      <c r="H57" s="207"/>
      <c r="I57" s="207"/>
    </row>
    <row r="58" spans="1:9" s="77" customFormat="1" x14ac:dyDescent="0.25">
      <c r="A58" s="121">
        <v>49</v>
      </c>
      <c r="B58" s="665">
        <v>51</v>
      </c>
      <c r="C58" s="646" t="s">
        <v>1152</v>
      </c>
      <c r="D58" s="203"/>
      <c r="E58" s="207"/>
      <c r="F58" s="207"/>
      <c r="G58" s="207"/>
      <c r="H58" s="207"/>
      <c r="I58" s="207"/>
    </row>
    <row r="59" spans="1:9" s="77" customFormat="1" x14ac:dyDescent="0.25">
      <c r="A59" s="121">
        <v>50</v>
      </c>
      <c r="B59" s="665">
        <v>52</v>
      </c>
      <c r="C59" s="659" t="s">
        <v>1153</v>
      </c>
      <c r="D59" s="203"/>
      <c r="E59" s="207"/>
      <c r="F59" s="207"/>
      <c r="G59" s="207"/>
      <c r="H59" s="207"/>
      <c r="I59" s="207"/>
    </row>
    <row r="60" spans="1:9" s="77" customFormat="1" x14ac:dyDescent="0.25">
      <c r="A60" s="121">
        <v>51</v>
      </c>
      <c r="B60" s="665">
        <v>53</v>
      </c>
      <c r="D60" s="203"/>
      <c r="E60" s="207"/>
      <c r="F60" s="207"/>
      <c r="G60" s="207"/>
      <c r="H60" s="207"/>
      <c r="I60" s="207"/>
    </row>
    <row r="61" spans="1:9" s="77" customFormat="1" x14ac:dyDescent="0.25">
      <c r="A61" s="121">
        <v>52</v>
      </c>
      <c r="B61" s="665">
        <v>54</v>
      </c>
      <c r="C61" s="646" t="s">
        <v>1154</v>
      </c>
      <c r="D61" s="203"/>
      <c r="E61" s="207"/>
      <c r="F61" s="207"/>
      <c r="G61" s="207"/>
      <c r="H61" s="207"/>
      <c r="I61" s="207"/>
    </row>
    <row r="62" spans="1:9" s="77" customFormat="1" x14ac:dyDescent="0.25">
      <c r="A62" s="121">
        <v>53</v>
      </c>
      <c r="B62" s="665">
        <v>55</v>
      </c>
      <c r="C62" s="646" t="s">
        <v>1155</v>
      </c>
      <c r="D62" s="203"/>
      <c r="E62" s="207"/>
      <c r="F62" s="207"/>
      <c r="G62" s="207"/>
      <c r="H62" s="207"/>
      <c r="I62" s="207"/>
    </row>
    <row r="63" spans="1:9" s="77" customFormat="1" x14ac:dyDescent="0.25">
      <c r="A63" s="121">
        <v>54</v>
      </c>
      <c r="B63" s="665">
        <v>56</v>
      </c>
      <c r="C63" s="646" t="s">
        <v>1156</v>
      </c>
      <c r="D63" s="203"/>
      <c r="E63" s="207"/>
      <c r="F63" s="207"/>
      <c r="G63" s="207"/>
      <c r="H63" s="207"/>
      <c r="I63" s="207"/>
    </row>
    <row r="64" spans="1:9" s="77" customFormat="1" x14ac:dyDescent="0.25">
      <c r="A64" s="121">
        <v>55</v>
      </c>
      <c r="B64" s="665">
        <v>57</v>
      </c>
      <c r="C64" s="646" t="s">
        <v>1157</v>
      </c>
      <c r="D64" s="203"/>
      <c r="E64" s="207"/>
      <c r="F64" s="207"/>
      <c r="G64" s="207"/>
      <c r="H64" s="207"/>
      <c r="I64" s="207"/>
    </row>
    <row r="65" spans="1:9" s="77" customFormat="1" x14ac:dyDescent="0.25">
      <c r="A65" s="121">
        <v>56</v>
      </c>
      <c r="B65" s="665">
        <v>58</v>
      </c>
      <c r="C65" s="646" t="s">
        <v>1158</v>
      </c>
      <c r="D65" s="203"/>
      <c r="E65" s="207"/>
      <c r="F65" s="207"/>
      <c r="G65" s="207"/>
      <c r="H65" s="207"/>
      <c r="I65" s="207"/>
    </row>
    <row r="66" spans="1:9" s="77" customFormat="1" x14ac:dyDescent="0.25">
      <c r="A66" s="121"/>
      <c r="B66" s="665">
        <v>59</v>
      </c>
      <c r="C66" s="646"/>
      <c r="D66" s="203"/>
      <c r="E66" s="207"/>
      <c r="F66" s="207"/>
      <c r="G66" s="207"/>
      <c r="H66" s="207"/>
      <c r="I66" s="207"/>
    </row>
    <row r="67" spans="1:9" s="77" customFormat="1" x14ac:dyDescent="0.25">
      <c r="A67" s="121">
        <v>57</v>
      </c>
      <c r="B67" s="665">
        <v>60</v>
      </c>
      <c r="C67" s="662" t="s">
        <v>1159</v>
      </c>
      <c r="D67" s="204"/>
      <c r="E67" s="207"/>
      <c r="F67" s="207"/>
      <c r="G67" s="207"/>
      <c r="H67" s="207"/>
      <c r="I67" s="207"/>
    </row>
    <row r="68" spans="1:9" s="77" customFormat="1" x14ac:dyDescent="0.25">
      <c r="A68" s="121">
        <v>58</v>
      </c>
      <c r="B68" s="665">
        <v>61</v>
      </c>
      <c r="C68" s="77" t="s">
        <v>1160</v>
      </c>
      <c r="D68" s="203"/>
      <c r="E68" s="207"/>
      <c r="F68" s="207"/>
      <c r="G68" s="207"/>
      <c r="H68" s="207"/>
      <c r="I68" s="207"/>
    </row>
    <row r="69" spans="1:9" s="77" customFormat="1" x14ac:dyDescent="0.25">
      <c r="A69" s="121">
        <v>59</v>
      </c>
      <c r="B69" s="665">
        <v>62</v>
      </c>
      <c r="C69" s="646" t="s">
        <v>1161</v>
      </c>
      <c r="D69" s="203"/>
      <c r="E69" s="207"/>
      <c r="F69" s="207"/>
      <c r="G69" s="207"/>
      <c r="H69" s="207"/>
      <c r="I69" s="207"/>
    </row>
    <row r="70" spans="1:9" s="77" customFormat="1" x14ac:dyDescent="0.25">
      <c r="A70" s="121">
        <v>60</v>
      </c>
      <c r="B70" s="665">
        <v>63</v>
      </c>
      <c r="C70" s="646"/>
      <c r="D70" s="203"/>
      <c r="E70" s="207"/>
      <c r="F70" s="207"/>
      <c r="G70" s="207"/>
      <c r="H70" s="207"/>
      <c r="I70" s="207"/>
    </row>
    <row r="71" spans="1:9" s="77" customFormat="1" x14ac:dyDescent="0.25">
      <c r="A71" s="121">
        <v>61</v>
      </c>
      <c r="B71" s="665">
        <v>64</v>
      </c>
      <c r="C71" s="648" t="s">
        <v>1162</v>
      </c>
      <c r="D71" s="203"/>
      <c r="E71" s="207"/>
      <c r="F71" s="207"/>
      <c r="G71" s="207"/>
      <c r="H71" s="207"/>
      <c r="I71" s="207"/>
    </row>
    <row r="72" spans="1:9" s="77" customFormat="1" x14ac:dyDescent="0.25">
      <c r="A72" s="121">
        <v>62</v>
      </c>
      <c r="B72" s="665">
        <v>65</v>
      </c>
      <c r="C72" s="646"/>
      <c r="D72" s="203"/>
      <c r="E72" s="207"/>
      <c r="F72" s="207"/>
      <c r="G72" s="207"/>
      <c r="H72" s="207"/>
      <c r="I72" s="207"/>
    </row>
    <row r="73" spans="1:9" s="77" customFormat="1" x14ac:dyDescent="0.25">
      <c r="A73" s="121">
        <v>63</v>
      </c>
      <c r="B73" s="665">
        <v>66</v>
      </c>
      <c r="C73" s="646" t="s">
        <v>1163</v>
      </c>
      <c r="D73" s="203"/>
      <c r="E73" s="207"/>
      <c r="F73" s="207"/>
      <c r="G73" s="207"/>
      <c r="H73" s="207"/>
      <c r="I73" s="207"/>
    </row>
    <row r="74" spans="1:9" s="77" customFormat="1" x14ac:dyDescent="0.25">
      <c r="A74" s="121">
        <v>64</v>
      </c>
      <c r="B74" s="665">
        <v>67</v>
      </c>
      <c r="C74" s="646" t="s">
        <v>1164</v>
      </c>
      <c r="D74" s="203"/>
      <c r="E74" s="207"/>
      <c r="F74" s="207"/>
      <c r="G74" s="207"/>
      <c r="H74" s="207"/>
      <c r="I74" s="207"/>
    </row>
    <row r="75" spans="1:9" s="77" customFormat="1" x14ac:dyDescent="0.25">
      <c r="A75" s="121">
        <v>65</v>
      </c>
      <c r="B75" s="665">
        <v>68</v>
      </c>
      <c r="C75" s="646" t="s">
        <v>1165</v>
      </c>
      <c r="D75" s="203"/>
      <c r="E75" s="207"/>
      <c r="F75" s="207"/>
      <c r="G75" s="207"/>
      <c r="H75" s="207"/>
      <c r="I75" s="207"/>
    </row>
    <row r="76" spans="1:9" s="208" customFormat="1" x14ac:dyDescent="0.2">
      <c r="A76" s="121">
        <v>66</v>
      </c>
      <c r="B76" s="665">
        <v>69</v>
      </c>
      <c r="C76" s="646"/>
      <c r="D76" s="205"/>
      <c r="E76" s="206"/>
      <c r="F76" s="206"/>
      <c r="G76" s="206"/>
      <c r="H76" s="206"/>
      <c r="I76" s="206"/>
    </row>
    <row r="77" spans="1:9" ht="15.75" x14ac:dyDescent="0.25">
      <c r="A77" s="644" t="s">
        <v>432</v>
      </c>
      <c r="B77" s="665">
        <v>70</v>
      </c>
      <c r="C77" s="645" t="s">
        <v>430</v>
      </c>
      <c r="D77" s="642">
        <f>SUM(D76:D76)</f>
        <v>0</v>
      </c>
      <c r="E77" s="21"/>
      <c r="F77" s="21"/>
      <c r="G77" s="21"/>
      <c r="H77" s="21"/>
      <c r="I77" s="21"/>
    </row>
    <row r="78" spans="1:9" ht="15.75" x14ac:dyDescent="0.25">
      <c r="A78" s="125"/>
      <c r="B78" s="665">
        <v>71</v>
      </c>
      <c r="C78" s="663"/>
      <c r="D78" s="641"/>
      <c r="E78" s="21"/>
      <c r="F78" s="21"/>
      <c r="G78" s="21"/>
      <c r="H78" s="21"/>
      <c r="I78" s="21"/>
    </row>
    <row r="79" spans="1:9" ht="15.75" x14ac:dyDescent="0.25">
      <c r="A79" s="116"/>
      <c r="B79" s="665">
        <v>72</v>
      </c>
      <c r="C79" s="664" t="s">
        <v>962</v>
      </c>
      <c r="D79" s="643"/>
      <c r="E79" s="21"/>
      <c r="F79" s="21"/>
      <c r="G79" s="21"/>
      <c r="H79" s="21"/>
      <c r="I79" s="21"/>
    </row>
    <row r="80" spans="1:9" ht="15.75" x14ac:dyDescent="0.25">
      <c r="A80" s="116"/>
      <c r="B80" s="116"/>
      <c r="C80" s="21"/>
      <c r="D80" s="134"/>
      <c r="E80" s="21"/>
      <c r="F80" s="21"/>
      <c r="G80" s="21"/>
      <c r="H80" s="21"/>
      <c r="I80" s="21"/>
    </row>
    <row r="81" spans="1:9" ht="15.75" x14ac:dyDescent="0.25">
      <c r="A81" s="1023"/>
      <c r="B81" s="1023"/>
      <c r="C81" s="1023"/>
      <c r="D81" s="135"/>
      <c r="E81" s="21"/>
      <c r="F81" s="21"/>
      <c r="G81" s="21"/>
      <c r="H81" s="21"/>
      <c r="I81" s="21"/>
    </row>
    <row r="82" spans="1:9" ht="15.75" x14ac:dyDescent="0.25">
      <c r="A82" s="1023"/>
      <c r="B82" s="1023"/>
      <c r="C82" s="1023"/>
      <c r="D82" s="135"/>
      <c r="E82" s="29"/>
      <c r="F82" s="21"/>
      <c r="G82" s="29"/>
      <c r="H82" s="29"/>
      <c r="I82" s="29"/>
    </row>
    <row r="83" spans="1:9" ht="15.75" x14ac:dyDescent="0.25">
      <c r="A83" s="1023"/>
      <c r="B83" s="1023"/>
      <c r="C83" s="1023"/>
      <c r="D83" s="135"/>
      <c r="E83" s="29"/>
      <c r="F83" s="21"/>
      <c r="G83" s="29"/>
      <c r="H83" s="29"/>
      <c r="I83" s="29"/>
    </row>
    <row r="84" spans="1:9" ht="15.75" x14ac:dyDescent="0.25">
      <c r="A84" s="1023"/>
      <c r="B84" s="1023"/>
      <c r="C84" s="1023"/>
      <c r="D84" s="135"/>
      <c r="E84" s="29"/>
      <c r="F84" s="21"/>
      <c r="G84" s="29"/>
      <c r="H84" s="29"/>
      <c r="I84" s="29"/>
    </row>
    <row r="85" spans="1:9" ht="15.75" x14ac:dyDescent="0.25">
      <c r="A85" s="1023"/>
      <c r="B85" s="1023"/>
      <c r="C85" s="1023"/>
      <c r="D85" s="135"/>
      <c r="E85" s="29"/>
      <c r="F85" s="21"/>
      <c r="G85" s="29"/>
      <c r="H85" s="29"/>
      <c r="I85" s="29"/>
    </row>
    <row r="86" spans="1:9" ht="15.75" x14ac:dyDescent="0.25">
      <c r="A86" s="1023"/>
      <c r="B86" s="1023"/>
      <c r="C86" s="1023"/>
      <c r="D86" s="135"/>
      <c r="E86" s="29"/>
      <c r="F86" s="21"/>
      <c r="G86" s="29"/>
      <c r="H86" s="29"/>
      <c r="I86" s="29"/>
    </row>
    <row r="87" spans="1:9" ht="15.75" x14ac:dyDescent="0.25">
      <c r="A87" s="1023"/>
      <c r="B87" s="1023"/>
      <c r="C87" s="1023"/>
      <c r="D87" s="135"/>
      <c r="E87" s="29"/>
      <c r="F87" s="21"/>
      <c r="G87" s="29"/>
      <c r="H87" s="29"/>
      <c r="I87" s="29"/>
    </row>
    <row r="88" spans="1:9" ht="15.75" x14ac:dyDescent="0.25">
      <c r="A88" s="116"/>
      <c r="B88" s="116"/>
      <c r="C88" s="21"/>
      <c r="D88" s="134"/>
      <c r="E88" s="21"/>
      <c r="F88" s="21"/>
      <c r="G88" s="21"/>
      <c r="H88" s="21"/>
      <c r="I88" s="21"/>
    </row>
    <row r="89" spans="1:9" ht="15.75" x14ac:dyDescent="0.25">
      <c r="A89" s="116"/>
      <c r="B89" s="116"/>
      <c r="C89" s="21"/>
      <c r="D89" s="134"/>
      <c r="E89" s="21"/>
      <c r="F89" s="21"/>
      <c r="G89" s="21"/>
      <c r="H89" s="21"/>
      <c r="I89" s="21"/>
    </row>
    <row r="90" spans="1:9" ht="15.75" x14ac:dyDescent="0.25">
      <c r="A90" s="116"/>
      <c r="B90" s="116"/>
      <c r="C90" s="21"/>
      <c r="D90" s="134"/>
      <c r="E90" s="21"/>
      <c r="F90" s="21"/>
      <c r="G90" s="21"/>
      <c r="H90" s="21"/>
      <c r="I90" s="21"/>
    </row>
    <row r="91" spans="1:9" ht="15.75" x14ac:dyDescent="0.25">
      <c r="A91" s="116"/>
      <c r="B91" s="116"/>
      <c r="C91" s="21"/>
      <c r="D91" s="134"/>
      <c r="E91" s="21"/>
      <c r="F91" s="21"/>
      <c r="G91" s="21"/>
      <c r="H91" s="21"/>
      <c r="I91" s="21"/>
    </row>
    <row r="92" spans="1:9" ht="15.75" x14ac:dyDescent="0.25">
      <c r="A92" s="116"/>
      <c r="B92" s="116"/>
      <c r="C92" s="21"/>
      <c r="D92" s="134"/>
      <c r="E92" s="21"/>
      <c r="F92" s="21"/>
      <c r="G92" s="21"/>
      <c r="H92" s="21"/>
      <c r="I92" s="21"/>
    </row>
    <row r="93" spans="1:9" ht="15.75" x14ac:dyDescent="0.25">
      <c r="A93" s="116"/>
      <c r="B93" s="116"/>
      <c r="C93" s="21"/>
      <c r="D93" s="134"/>
      <c r="E93" s="21"/>
      <c r="F93" s="21"/>
      <c r="G93" s="21"/>
      <c r="H93" s="21"/>
      <c r="I93" s="21"/>
    </row>
    <row r="94" spans="1:9" ht="15.75" x14ac:dyDescent="0.25">
      <c r="A94" s="116"/>
      <c r="B94" s="116"/>
      <c r="C94" s="21"/>
      <c r="D94" s="134"/>
      <c r="E94" s="21"/>
      <c r="F94" s="21"/>
      <c r="G94" s="21"/>
      <c r="H94" s="21"/>
      <c r="I94" s="21"/>
    </row>
    <row r="95" spans="1:9" ht="15.75" x14ac:dyDescent="0.25">
      <c r="A95" s="116"/>
      <c r="B95" s="116"/>
      <c r="C95" s="21"/>
      <c r="D95" s="134"/>
      <c r="E95" s="21"/>
      <c r="F95" s="21"/>
      <c r="G95" s="21"/>
      <c r="H95" s="21"/>
      <c r="I95" s="21"/>
    </row>
    <row r="96" spans="1:9" ht="15.75" x14ac:dyDescent="0.25">
      <c r="A96" s="116"/>
      <c r="B96" s="116"/>
      <c r="C96" s="21"/>
      <c r="D96" s="134"/>
      <c r="E96" s="21"/>
      <c r="F96" s="21"/>
      <c r="G96" s="21"/>
      <c r="H96" s="21"/>
      <c r="I96" s="21"/>
    </row>
    <row r="97" spans="1:9" ht="15.75" x14ac:dyDescent="0.25">
      <c r="A97" s="116"/>
      <c r="B97" s="116"/>
      <c r="C97" s="21"/>
      <c r="D97" s="134"/>
      <c r="E97" s="21"/>
      <c r="F97" s="21"/>
      <c r="G97" s="21"/>
      <c r="H97" s="21"/>
      <c r="I97" s="21"/>
    </row>
    <row r="98" spans="1:9" ht="15.75" x14ac:dyDescent="0.25">
      <c r="A98" s="116"/>
      <c r="B98" s="116"/>
      <c r="C98" s="21"/>
      <c r="D98" s="134"/>
      <c r="E98" s="21"/>
      <c r="F98" s="21"/>
      <c r="G98" s="21"/>
      <c r="H98" s="21"/>
      <c r="I98" s="21"/>
    </row>
    <row r="99" spans="1:9" ht="15.75" x14ac:dyDescent="0.25">
      <c r="A99" s="116"/>
      <c r="B99" s="116"/>
      <c r="C99" s="21"/>
      <c r="D99" s="134"/>
      <c r="E99" s="21"/>
      <c r="F99" s="29"/>
      <c r="G99" s="21"/>
      <c r="H99" s="21"/>
      <c r="I99" s="21"/>
    </row>
    <row r="100" spans="1:9" ht="15.75" x14ac:dyDescent="0.25">
      <c r="A100" s="116"/>
      <c r="B100" s="116"/>
      <c r="C100" s="21"/>
      <c r="D100" s="134"/>
      <c r="E100" s="21"/>
      <c r="F100" s="29"/>
      <c r="G100" s="21"/>
      <c r="H100" s="21"/>
      <c r="I100" s="21"/>
    </row>
    <row r="101" spans="1:9" ht="15.75" x14ac:dyDescent="0.25">
      <c r="A101" s="116"/>
      <c r="B101" s="116"/>
      <c r="C101" s="21"/>
      <c r="D101" s="134"/>
      <c r="E101" s="21"/>
      <c r="F101" s="29"/>
      <c r="G101" s="21"/>
      <c r="H101" s="21"/>
      <c r="I101" s="21"/>
    </row>
    <row r="102" spans="1:9" ht="15.75" x14ac:dyDescent="0.25">
      <c r="A102" s="116"/>
      <c r="B102" s="116"/>
      <c r="C102" s="21"/>
      <c r="D102" s="134"/>
      <c r="E102" s="21"/>
      <c r="F102" s="29"/>
      <c r="G102" s="21"/>
      <c r="H102" s="21"/>
      <c r="I102" s="21"/>
    </row>
    <row r="103" spans="1:9" ht="15.75" x14ac:dyDescent="0.25">
      <c r="A103" s="116"/>
      <c r="B103" s="116"/>
      <c r="C103" s="21"/>
      <c r="D103" s="134"/>
      <c r="E103" s="21"/>
      <c r="F103" s="29"/>
      <c r="G103" s="21"/>
      <c r="H103" s="21"/>
      <c r="I103" s="21"/>
    </row>
    <row r="104" spans="1:9" ht="15.75" x14ac:dyDescent="0.25">
      <c r="A104" s="116"/>
      <c r="B104" s="116"/>
      <c r="C104" s="21"/>
      <c r="D104" s="134"/>
      <c r="E104" s="21"/>
      <c r="F104" s="29"/>
      <c r="G104" s="21"/>
      <c r="H104" s="21"/>
      <c r="I104" s="21"/>
    </row>
  </sheetData>
  <mergeCells count="13">
    <mergeCell ref="A1:C1"/>
    <mergeCell ref="A2:C5"/>
    <mergeCell ref="A6:A7"/>
    <mergeCell ref="C6:C7"/>
    <mergeCell ref="D6:D7"/>
    <mergeCell ref="B6:B7"/>
    <mergeCell ref="A87:C87"/>
    <mergeCell ref="A81:C81"/>
    <mergeCell ref="A82:C82"/>
    <mergeCell ref="A83:C83"/>
    <mergeCell ref="A84:C84"/>
    <mergeCell ref="A85:C85"/>
    <mergeCell ref="A86:C86"/>
  </mergeCells>
  <pageMargins left="0.7" right="0.7" top="1.0520833333333333" bottom="0.75" header="0.3" footer="0.3"/>
  <pageSetup scale="68" orientation="portrait" r:id="rId1"/>
  <headerFooter>
    <oddHeader>&amp;L&amp;G&amp;C(ENTER PROJECT NAME)&amp;R&amp;D</oddHeader>
    <oddFooter>&amp;C&amp;P OF &amp;N</oddFooter>
  </headerFooter>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E4D46-18AE-4340-9F96-EE44352185F8}">
  <dimension ref="A1:C158"/>
  <sheetViews>
    <sheetView view="pageBreakPreview" topLeftCell="A104" zoomScale="60" zoomScaleNormal="100" workbookViewId="0">
      <selection activeCell="O133" sqref="O133"/>
    </sheetView>
  </sheetViews>
  <sheetFormatPr defaultRowHeight="15" x14ac:dyDescent="0.25"/>
  <cols>
    <col min="1" max="1" width="6" style="17" customWidth="1"/>
    <col min="2" max="2" width="112.42578125" style="2" customWidth="1"/>
    <col min="3" max="3" width="21.28515625" style="17" customWidth="1"/>
    <col min="4" max="16384" width="9.140625" style="2"/>
  </cols>
  <sheetData>
    <row r="1" spans="1:3" ht="15.75" x14ac:dyDescent="0.25">
      <c r="A1" s="1056" t="s">
        <v>14</v>
      </c>
      <c r="B1" s="1171"/>
      <c r="C1" s="442"/>
    </row>
    <row r="2" spans="1:3" ht="15.75" x14ac:dyDescent="0.25">
      <c r="A2" s="1201"/>
      <c r="B2" s="1202"/>
      <c r="C2" s="93" t="s">
        <v>17</v>
      </c>
    </row>
    <row r="3" spans="1:3" ht="15" customHeight="1" x14ac:dyDescent="0.25">
      <c r="A3" s="1203" t="s">
        <v>1166</v>
      </c>
      <c r="B3" s="1204"/>
      <c r="C3" s="94" t="s">
        <v>65</v>
      </c>
    </row>
    <row r="4" spans="1:3" ht="15" customHeight="1" x14ac:dyDescent="0.25">
      <c r="A4" s="1205"/>
      <c r="B4" s="1141"/>
      <c r="C4" s="94" t="s">
        <v>18</v>
      </c>
    </row>
    <row r="5" spans="1:3" ht="15" customHeight="1" x14ac:dyDescent="0.25">
      <c r="A5" s="1206"/>
      <c r="B5" s="1143"/>
      <c r="C5" s="94" t="s">
        <v>19</v>
      </c>
    </row>
    <row r="6" spans="1:3" x14ac:dyDescent="0.25">
      <c r="A6" s="1207" t="s">
        <v>137</v>
      </c>
      <c r="B6" s="1210" t="s">
        <v>20</v>
      </c>
      <c r="C6" s="1199" t="s">
        <v>832</v>
      </c>
    </row>
    <row r="7" spans="1:3" x14ac:dyDescent="0.25">
      <c r="A7" s="1208"/>
      <c r="B7" s="1211"/>
      <c r="C7" s="1199"/>
    </row>
    <row r="8" spans="1:3" x14ac:dyDescent="0.25">
      <c r="A8" s="1209"/>
      <c r="B8" s="1212"/>
      <c r="C8" s="1200"/>
    </row>
    <row r="9" spans="1:3" x14ac:dyDescent="0.25">
      <c r="A9" s="101">
        <v>1</v>
      </c>
      <c r="B9" s="105" t="s">
        <v>21</v>
      </c>
      <c r="C9" s="101"/>
    </row>
    <row r="10" spans="1:3" x14ac:dyDescent="0.25">
      <c r="A10" s="101">
        <v>2</v>
      </c>
      <c r="B10" s="106" t="s">
        <v>22</v>
      </c>
      <c r="C10" s="101"/>
    </row>
    <row r="11" spans="1:3" x14ac:dyDescent="0.25">
      <c r="A11" s="101">
        <v>3</v>
      </c>
      <c r="B11" s="106" t="s">
        <v>23</v>
      </c>
      <c r="C11" s="101"/>
    </row>
    <row r="12" spans="1:3" x14ac:dyDescent="0.25">
      <c r="A12" s="101">
        <v>4</v>
      </c>
      <c r="B12" s="106" t="s">
        <v>24</v>
      </c>
      <c r="C12" s="101"/>
    </row>
    <row r="13" spans="1:3" x14ac:dyDescent="0.25">
      <c r="A13" s="101">
        <v>5</v>
      </c>
      <c r="B13" s="106" t="s">
        <v>25</v>
      </c>
      <c r="C13" s="101"/>
    </row>
    <row r="14" spans="1:3" x14ac:dyDescent="0.25">
      <c r="A14" s="101">
        <v>6</v>
      </c>
      <c r="B14" s="106" t="s">
        <v>26</v>
      </c>
      <c r="C14" s="101"/>
    </row>
    <row r="15" spans="1:3" x14ac:dyDescent="0.25">
      <c r="A15" s="101">
        <v>7</v>
      </c>
      <c r="B15" s="106" t="s">
        <v>27</v>
      </c>
      <c r="C15" s="101"/>
    </row>
    <row r="16" spans="1:3" x14ac:dyDescent="0.25">
      <c r="A16" s="101">
        <v>8</v>
      </c>
      <c r="B16" s="106" t="s">
        <v>749</v>
      </c>
      <c r="C16" s="101"/>
    </row>
    <row r="17" spans="1:3" x14ac:dyDescent="0.25">
      <c r="A17" s="101">
        <v>9</v>
      </c>
      <c r="B17" s="106" t="s">
        <v>28</v>
      </c>
      <c r="C17" s="101"/>
    </row>
    <row r="18" spans="1:3" x14ac:dyDescent="0.25">
      <c r="A18" s="101">
        <v>10</v>
      </c>
      <c r="B18" s="106" t="s">
        <v>29</v>
      </c>
      <c r="C18" s="101"/>
    </row>
    <row r="19" spans="1:3" x14ac:dyDescent="0.25">
      <c r="A19" s="101">
        <v>11</v>
      </c>
      <c r="B19" s="106" t="s">
        <v>69</v>
      </c>
      <c r="C19" s="101"/>
    </row>
    <row r="20" spans="1:3" ht="30" customHeight="1" x14ac:dyDescent="0.25">
      <c r="A20" s="101">
        <v>12</v>
      </c>
      <c r="B20" s="105" t="s">
        <v>434</v>
      </c>
      <c r="C20" s="101"/>
    </row>
    <row r="21" spans="1:3" x14ac:dyDescent="0.25">
      <c r="A21" s="101">
        <v>13</v>
      </c>
      <c r="B21" s="105" t="s">
        <v>435</v>
      </c>
      <c r="C21" s="101"/>
    </row>
    <row r="22" spans="1:3" x14ac:dyDescent="0.25">
      <c r="A22" s="101">
        <v>14</v>
      </c>
      <c r="B22" s="419" t="s">
        <v>436</v>
      </c>
      <c r="C22" s="101"/>
    </row>
    <row r="23" spans="1:3" x14ac:dyDescent="0.25">
      <c r="A23" s="101">
        <v>15</v>
      </c>
      <c r="B23" s="106" t="s">
        <v>437</v>
      </c>
      <c r="C23" s="101"/>
    </row>
    <row r="24" spans="1:3" x14ac:dyDescent="0.25">
      <c r="A24" s="101">
        <v>16</v>
      </c>
      <c r="B24" s="106" t="s">
        <v>1167</v>
      </c>
      <c r="C24" s="101"/>
    </row>
    <row r="25" spans="1:3" x14ac:dyDescent="0.25">
      <c r="A25" s="101">
        <v>17</v>
      </c>
      <c r="B25" s="106" t="s">
        <v>1168</v>
      </c>
      <c r="C25" s="101"/>
    </row>
    <row r="26" spans="1:3" x14ac:dyDescent="0.25">
      <c r="A26" s="101">
        <v>18</v>
      </c>
      <c r="B26" s="106" t="s">
        <v>75</v>
      </c>
      <c r="C26" s="101"/>
    </row>
    <row r="27" spans="1:3" x14ac:dyDescent="0.25">
      <c r="A27" s="101">
        <v>19</v>
      </c>
      <c r="B27" s="106" t="s">
        <v>1169</v>
      </c>
      <c r="C27" s="101"/>
    </row>
    <row r="28" spans="1:3" x14ac:dyDescent="0.25">
      <c r="A28" s="101">
        <v>20</v>
      </c>
      <c r="B28" s="106" t="s">
        <v>757</v>
      </c>
      <c r="C28" s="101"/>
    </row>
    <row r="29" spans="1:3" x14ac:dyDescent="0.25">
      <c r="A29" s="101">
        <v>21</v>
      </c>
      <c r="B29" s="106" t="s">
        <v>438</v>
      </c>
      <c r="C29" s="101"/>
    </row>
    <row r="30" spans="1:3" x14ac:dyDescent="0.25">
      <c r="A30" s="101">
        <v>22</v>
      </c>
      <c r="B30" s="106" t="s">
        <v>1170</v>
      </c>
      <c r="C30" s="210"/>
    </row>
    <row r="31" spans="1:3" x14ac:dyDescent="0.25">
      <c r="A31" s="101">
        <v>23</v>
      </c>
      <c r="B31" s="106" t="s">
        <v>1171</v>
      </c>
      <c r="C31" s="210"/>
    </row>
    <row r="32" spans="1:3" ht="15.75" x14ac:dyDescent="0.2">
      <c r="A32" s="101">
        <v>24</v>
      </c>
      <c r="B32" s="282" t="s">
        <v>1025</v>
      </c>
      <c r="C32" s="185" t="s">
        <v>137</v>
      </c>
    </row>
    <row r="33" spans="1:3" x14ac:dyDescent="0.25">
      <c r="A33" s="101">
        <v>25</v>
      </c>
      <c r="B33" s="191" t="s">
        <v>1172</v>
      </c>
      <c r="C33" s="666"/>
    </row>
    <row r="34" spans="1:3" x14ac:dyDescent="0.25">
      <c r="A34" s="101">
        <v>26</v>
      </c>
      <c r="B34" s="106" t="s">
        <v>1173</v>
      </c>
      <c r="C34" s="101"/>
    </row>
    <row r="35" spans="1:3" x14ac:dyDescent="0.25">
      <c r="A35" s="101">
        <v>27</v>
      </c>
      <c r="B35" s="106" t="s">
        <v>1174</v>
      </c>
      <c r="C35" s="101"/>
    </row>
    <row r="36" spans="1:3" x14ac:dyDescent="0.25">
      <c r="A36" s="101">
        <v>28</v>
      </c>
      <c r="B36" s="183" t="s">
        <v>1175</v>
      </c>
      <c r="C36" s="101"/>
    </row>
    <row r="37" spans="1:3" x14ac:dyDescent="0.25">
      <c r="A37" s="101">
        <v>29</v>
      </c>
      <c r="B37" s="106" t="s">
        <v>1176</v>
      </c>
      <c r="C37" s="101"/>
    </row>
    <row r="38" spans="1:3" x14ac:dyDescent="0.25">
      <c r="A38" s="101">
        <v>30</v>
      </c>
      <c r="B38" s="106" t="s">
        <v>1177</v>
      </c>
      <c r="C38" s="101"/>
    </row>
    <row r="39" spans="1:3" x14ac:dyDescent="0.25">
      <c r="A39" s="101">
        <v>31</v>
      </c>
      <c r="B39" s="106" t="s">
        <v>1178</v>
      </c>
      <c r="C39" s="101"/>
    </row>
    <row r="40" spans="1:3" x14ac:dyDescent="0.25">
      <c r="A40" s="101">
        <v>32</v>
      </c>
      <c r="B40" s="106" t="s">
        <v>1179</v>
      </c>
      <c r="C40" s="101"/>
    </row>
    <row r="41" spans="1:3" x14ac:dyDescent="0.25">
      <c r="A41" s="101">
        <v>33</v>
      </c>
      <c r="B41" s="106" t="s">
        <v>1180</v>
      </c>
      <c r="C41" s="101"/>
    </row>
    <row r="42" spans="1:3" x14ac:dyDescent="0.25">
      <c r="A42" s="101">
        <v>34</v>
      </c>
      <c r="B42" s="106" t="s">
        <v>137</v>
      </c>
      <c r="C42" s="101"/>
    </row>
    <row r="43" spans="1:3" x14ac:dyDescent="0.25">
      <c r="A43" s="101">
        <v>35</v>
      </c>
      <c r="B43" s="191" t="s">
        <v>1181</v>
      </c>
      <c r="C43" s="666"/>
    </row>
    <row r="44" spans="1:3" x14ac:dyDescent="0.25">
      <c r="A44" s="101">
        <v>36</v>
      </c>
      <c r="B44" s="106" t="s">
        <v>1182</v>
      </c>
      <c r="C44" s="101"/>
    </row>
    <row r="45" spans="1:3" x14ac:dyDescent="0.25">
      <c r="A45" s="101">
        <v>37</v>
      </c>
      <c r="B45" s="106" t="s">
        <v>1183</v>
      </c>
      <c r="C45" s="101"/>
    </row>
    <row r="46" spans="1:3" x14ac:dyDescent="0.25">
      <c r="A46" s="101">
        <v>38</v>
      </c>
      <c r="B46" s="106" t="s">
        <v>1184</v>
      </c>
      <c r="C46" s="101"/>
    </row>
    <row r="47" spans="1:3" x14ac:dyDescent="0.25">
      <c r="A47" s="101">
        <v>39</v>
      </c>
      <c r="B47" s="106" t="s">
        <v>1185</v>
      </c>
      <c r="C47" s="101"/>
    </row>
    <row r="48" spans="1:3" x14ac:dyDescent="0.25">
      <c r="A48" s="101">
        <v>40</v>
      </c>
      <c r="B48" s="106" t="s">
        <v>1186</v>
      </c>
      <c r="C48" s="101"/>
    </row>
    <row r="49" spans="1:3" x14ac:dyDescent="0.25">
      <c r="A49" s="101">
        <v>41</v>
      </c>
      <c r="B49" s="106" t="s">
        <v>1187</v>
      </c>
      <c r="C49" s="101"/>
    </row>
    <row r="50" spans="1:3" x14ac:dyDescent="0.25">
      <c r="A50" s="101">
        <v>42</v>
      </c>
      <c r="B50" s="106" t="s">
        <v>1188</v>
      </c>
      <c r="C50" s="101"/>
    </row>
    <row r="51" spans="1:3" x14ac:dyDescent="0.25">
      <c r="A51" s="101">
        <v>43</v>
      </c>
      <c r="B51" s="183" t="s">
        <v>1189</v>
      </c>
      <c r="C51" s="101"/>
    </row>
    <row r="52" spans="1:3" x14ac:dyDescent="0.25">
      <c r="A52" s="101">
        <v>44</v>
      </c>
      <c r="B52" s="106" t="s">
        <v>1190</v>
      </c>
      <c r="C52" s="101"/>
    </row>
    <row r="53" spans="1:3" x14ac:dyDescent="0.25">
      <c r="A53" s="101">
        <v>45</v>
      </c>
      <c r="B53" s="106" t="s">
        <v>1191</v>
      </c>
      <c r="C53" s="101"/>
    </row>
    <row r="54" spans="1:3" x14ac:dyDescent="0.25">
      <c r="A54" s="101">
        <v>46</v>
      </c>
      <c r="B54" s="183" t="s">
        <v>1192</v>
      </c>
      <c r="C54" s="210"/>
    </row>
    <row r="55" spans="1:3" x14ac:dyDescent="0.25">
      <c r="A55" s="101">
        <v>47</v>
      </c>
      <c r="B55" s="183" t="s">
        <v>1193</v>
      </c>
      <c r="C55" s="101"/>
    </row>
    <row r="56" spans="1:3" x14ac:dyDescent="0.25">
      <c r="A56" s="101">
        <v>48</v>
      </c>
      <c r="B56" s="191" t="s">
        <v>1194</v>
      </c>
      <c r="C56" s="666"/>
    </row>
    <row r="57" spans="1:3" x14ac:dyDescent="0.25">
      <c r="A57" s="101">
        <v>49</v>
      </c>
      <c r="B57" s="183" t="s">
        <v>1195</v>
      </c>
      <c r="C57" s="101"/>
    </row>
    <row r="58" spans="1:3" x14ac:dyDescent="0.25">
      <c r="A58" s="101">
        <v>50</v>
      </c>
      <c r="B58" s="183" t="s">
        <v>1196</v>
      </c>
      <c r="C58" s="101"/>
    </row>
    <row r="59" spans="1:3" x14ac:dyDescent="0.25">
      <c r="A59" s="101">
        <v>51</v>
      </c>
      <c r="B59" s="183" t="s">
        <v>1197</v>
      </c>
      <c r="C59" s="101"/>
    </row>
    <row r="60" spans="1:3" x14ac:dyDescent="0.25">
      <c r="A60" s="101">
        <v>52</v>
      </c>
      <c r="B60" s="183" t="s">
        <v>1198</v>
      </c>
      <c r="C60" s="101"/>
    </row>
    <row r="61" spans="1:3" x14ac:dyDescent="0.25">
      <c r="A61" s="101">
        <v>53</v>
      </c>
      <c r="B61" s="183" t="s">
        <v>1199</v>
      </c>
      <c r="C61" s="101"/>
    </row>
    <row r="62" spans="1:3" x14ac:dyDescent="0.25">
      <c r="A62" s="101">
        <v>54</v>
      </c>
      <c r="B62" s="183" t="s">
        <v>1200</v>
      </c>
      <c r="C62" s="101"/>
    </row>
    <row r="63" spans="1:3" x14ac:dyDescent="0.25">
      <c r="A63" s="101">
        <v>55</v>
      </c>
      <c r="B63" s="183" t="s">
        <v>1201</v>
      </c>
      <c r="C63" s="101"/>
    </row>
    <row r="64" spans="1:3" x14ac:dyDescent="0.25">
      <c r="A64" s="101">
        <v>56</v>
      </c>
      <c r="B64" s="183" t="s">
        <v>1202</v>
      </c>
      <c r="C64" s="101"/>
    </row>
    <row r="65" spans="1:3" x14ac:dyDescent="0.25">
      <c r="A65" s="101">
        <v>57</v>
      </c>
      <c r="B65" s="183" t="s">
        <v>1203</v>
      </c>
      <c r="C65" s="101"/>
    </row>
    <row r="66" spans="1:3" x14ac:dyDescent="0.25">
      <c r="A66" s="101">
        <v>58</v>
      </c>
      <c r="B66" s="183" t="s">
        <v>1204</v>
      </c>
      <c r="C66" s="101"/>
    </row>
    <row r="67" spans="1:3" x14ac:dyDescent="0.25">
      <c r="A67" s="101">
        <v>59</v>
      </c>
      <c r="B67" s="183" t="s">
        <v>1205</v>
      </c>
      <c r="C67" s="101"/>
    </row>
    <row r="68" spans="1:3" x14ac:dyDescent="0.25">
      <c r="A68" s="101">
        <v>60</v>
      </c>
      <c r="B68" s="183" t="s">
        <v>1206</v>
      </c>
      <c r="C68" s="101"/>
    </row>
    <row r="69" spans="1:3" x14ac:dyDescent="0.25">
      <c r="A69" s="101">
        <v>61</v>
      </c>
      <c r="B69" s="183" t="s">
        <v>1207</v>
      </c>
      <c r="C69" s="101"/>
    </row>
    <row r="70" spans="1:3" x14ac:dyDescent="0.25">
      <c r="A70" s="101">
        <v>62</v>
      </c>
      <c r="B70" s="183" t="s">
        <v>1208</v>
      </c>
      <c r="C70" s="101"/>
    </row>
    <row r="71" spans="1:3" x14ac:dyDescent="0.25">
      <c r="A71" s="101">
        <v>63</v>
      </c>
      <c r="B71" s="183" t="s">
        <v>1209</v>
      </c>
      <c r="C71" s="101"/>
    </row>
    <row r="72" spans="1:3" x14ac:dyDescent="0.25">
      <c r="A72" s="101">
        <v>64</v>
      </c>
      <c r="B72" s="183" t="s">
        <v>1210</v>
      </c>
      <c r="C72" s="101"/>
    </row>
    <row r="73" spans="1:3" x14ac:dyDescent="0.25">
      <c r="A73" s="101">
        <v>65</v>
      </c>
      <c r="B73" s="183" t="s">
        <v>1211</v>
      </c>
      <c r="C73" s="101"/>
    </row>
    <row r="74" spans="1:3" x14ac:dyDescent="0.25">
      <c r="A74" s="101">
        <v>66</v>
      </c>
      <c r="B74" s="183" t="s">
        <v>1212</v>
      </c>
      <c r="C74" s="101"/>
    </row>
    <row r="75" spans="1:3" x14ac:dyDescent="0.25">
      <c r="A75" s="101">
        <v>67</v>
      </c>
      <c r="B75" s="183" t="s">
        <v>1213</v>
      </c>
      <c r="C75" s="101"/>
    </row>
    <row r="76" spans="1:3" x14ac:dyDescent="0.25">
      <c r="A76" s="101">
        <v>68</v>
      </c>
      <c r="B76" s="106" t="s">
        <v>1214</v>
      </c>
      <c r="C76" s="101"/>
    </row>
    <row r="77" spans="1:3" x14ac:dyDescent="0.25">
      <c r="A77" s="101">
        <v>69</v>
      </c>
      <c r="B77" s="191" t="s">
        <v>1215</v>
      </c>
      <c r="C77" s="666"/>
    </row>
    <row r="78" spans="1:3" x14ac:dyDescent="0.25">
      <c r="A78" s="101">
        <v>70</v>
      </c>
      <c r="B78" s="106" t="s">
        <v>1216</v>
      </c>
      <c r="C78" s="101"/>
    </row>
    <row r="79" spans="1:3" x14ac:dyDescent="0.25">
      <c r="A79" s="101">
        <v>71</v>
      </c>
      <c r="B79" s="106" t="s">
        <v>1217</v>
      </c>
      <c r="C79" s="101"/>
    </row>
    <row r="80" spans="1:3" x14ac:dyDescent="0.25">
      <c r="A80" s="101">
        <v>72</v>
      </c>
      <c r="B80" s="106" t="s">
        <v>1218</v>
      </c>
      <c r="C80" s="101"/>
    </row>
    <row r="81" spans="1:3" x14ac:dyDescent="0.25">
      <c r="A81" s="101">
        <v>73</v>
      </c>
      <c r="B81" s="106" t="s">
        <v>1219</v>
      </c>
      <c r="C81" s="101"/>
    </row>
    <row r="82" spans="1:3" x14ac:dyDescent="0.25">
      <c r="A82" s="101">
        <v>74</v>
      </c>
      <c r="B82" s="106" t="s">
        <v>1220</v>
      </c>
      <c r="C82" s="101"/>
    </row>
    <row r="83" spans="1:3" x14ac:dyDescent="0.25">
      <c r="A83" s="101">
        <v>75</v>
      </c>
      <c r="B83" s="106" t="s">
        <v>1221</v>
      </c>
      <c r="C83" s="101"/>
    </row>
    <row r="84" spans="1:3" x14ac:dyDescent="0.25">
      <c r="A84" s="101">
        <v>76</v>
      </c>
      <c r="B84" s="106" t="s">
        <v>1222</v>
      </c>
      <c r="C84" s="101"/>
    </row>
    <row r="85" spans="1:3" x14ac:dyDescent="0.25">
      <c r="A85" s="101">
        <v>77</v>
      </c>
      <c r="B85" s="106" t="s">
        <v>1223</v>
      </c>
      <c r="C85" s="101"/>
    </row>
    <row r="86" spans="1:3" x14ac:dyDescent="0.25">
      <c r="A86" s="101">
        <v>78</v>
      </c>
      <c r="B86" s="106" t="s">
        <v>1224</v>
      </c>
      <c r="C86" s="101"/>
    </row>
    <row r="87" spans="1:3" x14ac:dyDescent="0.25">
      <c r="A87" s="101">
        <v>79</v>
      </c>
      <c r="B87" s="106" t="s">
        <v>1225</v>
      </c>
      <c r="C87" s="101"/>
    </row>
    <row r="88" spans="1:3" x14ac:dyDescent="0.25">
      <c r="A88" s="101">
        <v>80</v>
      </c>
      <c r="B88" s="106" t="s">
        <v>1226</v>
      </c>
      <c r="C88" s="101"/>
    </row>
    <row r="89" spans="1:3" x14ac:dyDescent="0.25">
      <c r="A89" s="101">
        <v>81</v>
      </c>
      <c r="B89" s="106" t="s">
        <v>1227</v>
      </c>
      <c r="C89" s="101"/>
    </row>
    <row r="90" spans="1:3" x14ac:dyDescent="0.25">
      <c r="A90" s="101">
        <v>82</v>
      </c>
      <c r="B90" s="106" t="s">
        <v>1228</v>
      </c>
      <c r="C90" s="101"/>
    </row>
    <row r="91" spans="1:3" x14ac:dyDescent="0.25">
      <c r="A91" s="101">
        <v>83</v>
      </c>
      <c r="B91" s="106" t="s">
        <v>1229</v>
      </c>
      <c r="C91" s="101"/>
    </row>
    <row r="92" spans="1:3" x14ac:dyDescent="0.25">
      <c r="A92" s="101">
        <v>84</v>
      </c>
      <c r="B92" s="106" t="s">
        <v>1230</v>
      </c>
      <c r="C92" s="101"/>
    </row>
    <row r="93" spans="1:3" x14ac:dyDescent="0.25">
      <c r="A93" s="101">
        <v>85</v>
      </c>
      <c r="B93" s="106" t="s">
        <v>1231</v>
      </c>
      <c r="C93" s="101"/>
    </row>
    <row r="94" spans="1:3" x14ac:dyDescent="0.25">
      <c r="A94" s="101">
        <v>86</v>
      </c>
      <c r="B94" s="106" t="s">
        <v>137</v>
      </c>
      <c r="C94" s="101"/>
    </row>
    <row r="95" spans="1:3" x14ac:dyDescent="0.25">
      <c r="A95" s="101">
        <v>87</v>
      </c>
      <c r="B95" s="191" t="s">
        <v>1232</v>
      </c>
      <c r="C95" s="666"/>
    </row>
    <row r="96" spans="1:3" x14ac:dyDescent="0.25">
      <c r="A96" s="101">
        <v>88</v>
      </c>
      <c r="B96" s="106" t="s">
        <v>1233</v>
      </c>
      <c r="C96" s="101"/>
    </row>
    <row r="97" spans="1:3" x14ac:dyDescent="0.25">
      <c r="A97" s="101">
        <v>89</v>
      </c>
      <c r="B97" s="106" t="s">
        <v>1234</v>
      </c>
      <c r="C97" s="101"/>
    </row>
    <row r="98" spans="1:3" x14ac:dyDescent="0.25">
      <c r="A98" s="101">
        <v>90</v>
      </c>
      <c r="B98" s="106" t="s">
        <v>1235</v>
      </c>
      <c r="C98" s="101"/>
    </row>
    <row r="99" spans="1:3" x14ac:dyDescent="0.25">
      <c r="A99" s="101">
        <v>91</v>
      </c>
      <c r="B99" s="106" t="s">
        <v>1236</v>
      </c>
      <c r="C99" s="101"/>
    </row>
    <row r="100" spans="1:3" x14ac:dyDescent="0.25">
      <c r="A100" s="101">
        <v>92</v>
      </c>
      <c r="B100" s="183" t="s">
        <v>1237</v>
      </c>
      <c r="C100" s="101"/>
    </row>
    <row r="101" spans="1:3" x14ac:dyDescent="0.25">
      <c r="A101" s="101">
        <v>93</v>
      </c>
      <c r="B101" s="106" t="s">
        <v>1238</v>
      </c>
      <c r="C101" s="101"/>
    </row>
    <row r="102" spans="1:3" x14ac:dyDescent="0.25">
      <c r="A102" s="101">
        <v>94</v>
      </c>
      <c r="B102" s="106" t="s">
        <v>1239</v>
      </c>
      <c r="C102" s="101"/>
    </row>
    <row r="103" spans="1:3" x14ac:dyDescent="0.25">
      <c r="A103" s="101">
        <v>95</v>
      </c>
      <c r="B103" s="106" t="s">
        <v>1240</v>
      </c>
      <c r="C103" s="101"/>
    </row>
    <row r="104" spans="1:3" x14ac:dyDescent="0.25">
      <c r="A104" s="101">
        <v>96</v>
      </c>
      <c r="B104" s="106" t="s">
        <v>1241</v>
      </c>
      <c r="C104" s="101"/>
    </row>
    <row r="105" spans="1:3" x14ac:dyDescent="0.25">
      <c r="A105" s="101">
        <v>97</v>
      </c>
      <c r="B105" s="177" t="s">
        <v>1242</v>
      </c>
      <c r="C105" s="101"/>
    </row>
    <row r="106" spans="1:3" x14ac:dyDescent="0.25">
      <c r="A106" s="101">
        <v>98</v>
      </c>
      <c r="B106" s="177" t="s">
        <v>1243</v>
      </c>
      <c r="C106" s="101"/>
    </row>
    <row r="107" spans="1:3" x14ac:dyDescent="0.25">
      <c r="A107" s="101">
        <v>99</v>
      </c>
      <c r="B107" s="177" t="s">
        <v>1244</v>
      </c>
      <c r="C107" s="101"/>
    </row>
    <row r="108" spans="1:3" x14ac:dyDescent="0.25">
      <c r="A108" s="101">
        <v>100</v>
      </c>
      <c r="B108" s="177" t="s">
        <v>1245</v>
      </c>
      <c r="C108" s="101"/>
    </row>
    <row r="109" spans="1:3" x14ac:dyDescent="0.25">
      <c r="A109" s="101">
        <v>101</v>
      </c>
      <c r="B109" s="106" t="s">
        <v>1246</v>
      </c>
      <c r="C109" s="101"/>
    </row>
    <row r="110" spans="1:3" x14ac:dyDescent="0.25">
      <c r="A110" s="101">
        <v>102</v>
      </c>
      <c r="B110" s="177" t="s">
        <v>1247</v>
      </c>
      <c r="C110" s="101"/>
    </row>
    <row r="111" spans="1:3" x14ac:dyDescent="0.25">
      <c r="A111" s="101">
        <v>103</v>
      </c>
      <c r="B111" s="106" t="s">
        <v>1248</v>
      </c>
      <c r="C111" s="101"/>
    </row>
    <row r="112" spans="1:3" x14ac:dyDescent="0.25">
      <c r="A112" s="101">
        <v>104</v>
      </c>
      <c r="B112" s="105" t="s">
        <v>1249</v>
      </c>
      <c r="C112" s="101"/>
    </row>
    <row r="113" spans="1:3" x14ac:dyDescent="0.25">
      <c r="A113" s="101">
        <v>105</v>
      </c>
      <c r="B113" s="177" t="s">
        <v>1250</v>
      </c>
      <c r="C113" s="101"/>
    </row>
    <row r="114" spans="1:3" x14ac:dyDescent="0.25">
      <c r="A114" s="101">
        <v>106</v>
      </c>
      <c r="B114" s="191" t="s">
        <v>1251</v>
      </c>
      <c r="C114" s="666"/>
    </row>
    <row r="115" spans="1:3" x14ac:dyDescent="0.25">
      <c r="A115" s="101">
        <v>107</v>
      </c>
      <c r="B115" s="106" t="s">
        <v>1252</v>
      </c>
      <c r="C115" s="101"/>
    </row>
    <row r="116" spans="1:3" x14ac:dyDescent="0.25">
      <c r="A116" s="101">
        <v>108</v>
      </c>
      <c r="B116" s="106" t="s">
        <v>1253</v>
      </c>
      <c r="C116" s="101"/>
    </row>
    <row r="117" spans="1:3" x14ac:dyDescent="0.25">
      <c r="A117" s="101">
        <v>109</v>
      </c>
      <c r="B117" s="106" t="s">
        <v>1254</v>
      </c>
      <c r="C117" s="101"/>
    </row>
    <row r="118" spans="1:3" ht="25.5" x14ac:dyDescent="0.25">
      <c r="A118" s="101">
        <v>110</v>
      </c>
      <c r="B118" s="105" t="s">
        <v>1255</v>
      </c>
      <c r="C118" s="101"/>
    </row>
    <row r="119" spans="1:3" x14ac:dyDescent="0.25">
      <c r="A119" s="101">
        <v>111</v>
      </c>
      <c r="B119" s="106" t="s">
        <v>1256</v>
      </c>
      <c r="C119" s="101"/>
    </row>
    <row r="120" spans="1:3" x14ac:dyDescent="0.25">
      <c r="A120" s="101">
        <v>112</v>
      </c>
      <c r="B120" s="106" t="s">
        <v>1257</v>
      </c>
      <c r="C120" s="101"/>
    </row>
    <row r="121" spans="1:3" x14ac:dyDescent="0.25">
      <c r="A121" s="101">
        <v>113</v>
      </c>
      <c r="B121" s="106"/>
      <c r="C121" s="101"/>
    </row>
    <row r="122" spans="1:3" x14ac:dyDescent="0.25">
      <c r="A122" s="101">
        <v>114</v>
      </c>
      <c r="B122" s="191" t="s">
        <v>1258</v>
      </c>
      <c r="C122" s="666"/>
    </row>
    <row r="123" spans="1:3" x14ac:dyDescent="0.25">
      <c r="A123" s="101">
        <v>115</v>
      </c>
      <c r="B123" s="106" t="s">
        <v>1259</v>
      </c>
      <c r="C123" s="101"/>
    </row>
    <row r="124" spans="1:3" x14ac:dyDescent="0.25">
      <c r="A124" s="101">
        <v>116</v>
      </c>
      <c r="B124" s="106" t="s">
        <v>1260</v>
      </c>
      <c r="C124" s="101"/>
    </row>
    <row r="125" spans="1:3" x14ac:dyDescent="0.25">
      <c r="A125" s="101">
        <v>117</v>
      </c>
      <c r="B125" s="106" t="s">
        <v>1261</v>
      </c>
      <c r="C125" s="101"/>
    </row>
    <row r="126" spans="1:3" x14ac:dyDescent="0.25">
      <c r="A126" s="101">
        <v>118</v>
      </c>
      <c r="B126" s="106" t="s">
        <v>1262</v>
      </c>
      <c r="C126" s="101"/>
    </row>
    <row r="127" spans="1:3" x14ac:dyDescent="0.25">
      <c r="A127" s="101">
        <v>119</v>
      </c>
      <c r="B127" s="183" t="s">
        <v>1263</v>
      </c>
      <c r="C127" s="210"/>
    </row>
    <row r="128" spans="1:3" x14ac:dyDescent="0.25">
      <c r="A128" s="101">
        <v>120</v>
      </c>
      <c r="B128" s="183" t="s">
        <v>1264</v>
      </c>
      <c r="C128" s="210"/>
    </row>
    <row r="129" spans="1:3" x14ac:dyDescent="0.25">
      <c r="A129" s="101">
        <v>121</v>
      </c>
      <c r="B129" s="106" t="s">
        <v>1265</v>
      </c>
      <c r="C129" s="210"/>
    </row>
    <row r="130" spans="1:3" x14ac:dyDescent="0.25">
      <c r="A130" s="101">
        <v>122</v>
      </c>
      <c r="B130" s="106" t="s">
        <v>137</v>
      </c>
      <c r="C130" s="101"/>
    </row>
    <row r="131" spans="1:3" x14ac:dyDescent="0.25">
      <c r="A131" s="101">
        <v>123</v>
      </c>
      <c r="B131" s="191" t="s">
        <v>1266</v>
      </c>
      <c r="C131" s="666"/>
    </row>
    <row r="132" spans="1:3" x14ac:dyDescent="0.25">
      <c r="A132" s="101">
        <v>124</v>
      </c>
      <c r="B132" s="106" t="s">
        <v>1267</v>
      </c>
      <c r="C132" s="101"/>
    </row>
    <row r="133" spans="1:3" x14ac:dyDescent="0.25">
      <c r="A133" s="101">
        <v>125</v>
      </c>
      <c r="B133" s="106" t="s">
        <v>1268</v>
      </c>
      <c r="C133" s="101"/>
    </row>
    <row r="134" spans="1:3" x14ac:dyDescent="0.25">
      <c r="A134" s="101">
        <v>126</v>
      </c>
      <c r="B134" s="106" t="s">
        <v>1269</v>
      </c>
      <c r="C134" s="101"/>
    </row>
    <row r="135" spans="1:3" x14ac:dyDescent="0.25">
      <c r="A135" s="101">
        <v>127</v>
      </c>
      <c r="B135" s="106" t="s">
        <v>1270</v>
      </c>
      <c r="C135" s="101"/>
    </row>
    <row r="136" spans="1:3" x14ac:dyDescent="0.25">
      <c r="A136" s="101">
        <v>128</v>
      </c>
      <c r="B136" s="106" t="s">
        <v>1271</v>
      </c>
      <c r="C136" s="101"/>
    </row>
    <row r="137" spans="1:3" x14ac:dyDescent="0.25">
      <c r="A137" s="101">
        <v>129</v>
      </c>
      <c r="B137" s="106" t="s">
        <v>1272</v>
      </c>
      <c r="C137" s="101"/>
    </row>
    <row r="138" spans="1:3" x14ac:dyDescent="0.25">
      <c r="A138" s="101">
        <v>130</v>
      </c>
      <c r="B138" s="106" t="s">
        <v>137</v>
      </c>
      <c r="C138" s="101"/>
    </row>
    <row r="139" spans="1:3" x14ac:dyDescent="0.25">
      <c r="A139" s="101">
        <v>131</v>
      </c>
      <c r="B139" s="191" t="s">
        <v>1273</v>
      </c>
      <c r="C139" s="666"/>
    </row>
    <row r="140" spans="1:3" x14ac:dyDescent="0.25">
      <c r="A140" s="101">
        <v>132</v>
      </c>
      <c r="B140" s="106" t="s">
        <v>1274</v>
      </c>
      <c r="C140" s="101"/>
    </row>
    <row r="141" spans="1:3" x14ac:dyDescent="0.25">
      <c r="A141" s="101">
        <v>133</v>
      </c>
      <c r="B141" s="106" t="s">
        <v>137</v>
      </c>
      <c r="C141" s="101"/>
    </row>
    <row r="142" spans="1:3" x14ac:dyDescent="0.25">
      <c r="A142" s="101">
        <v>134</v>
      </c>
      <c r="B142" s="191" t="s">
        <v>1275</v>
      </c>
      <c r="C142" s="666"/>
    </row>
    <row r="143" spans="1:3" x14ac:dyDescent="0.25">
      <c r="A143" s="101">
        <v>135</v>
      </c>
      <c r="B143" s="106" t="s">
        <v>1276</v>
      </c>
      <c r="C143" s="101"/>
    </row>
    <row r="144" spans="1:3" x14ac:dyDescent="0.25">
      <c r="A144" s="101">
        <v>136</v>
      </c>
      <c r="B144" s="106" t="s">
        <v>1277</v>
      </c>
      <c r="C144" s="101"/>
    </row>
    <row r="145" spans="1:3" x14ac:dyDescent="0.25">
      <c r="A145" s="101">
        <v>137</v>
      </c>
      <c r="B145" s="106" t="s">
        <v>1278</v>
      </c>
      <c r="C145" s="101"/>
    </row>
    <row r="146" spans="1:3" x14ac:dyDescent="0.25">
      <c r="A146" s="101">
        <v>138</v>
      </c>
      <c r="B146" s="106" t="s">
        <v>1279</v>
      </c>
      <c r="C146" s="210"/>
    </row>
    <row r="147" spans="1:3" x14ac:dyDescent="0.25">
      <c r="A147" s="101">
        <v>139</v>
      </c>
      <c r="B147" s="177" t="s">
        <v>1280</v>
      </c>
      <c r="C147" s="210"/>
    </row>
    <row r="148" spans="1:3" x14ac:dyDescent="0.25">
      <c r="A148" s="101">
        <v>140</v>
      </c>
      <c r="B148" s="183" t="s">
        <v>1281</v>
      </c>
      <c r="C148" s="210"/>
    </row>
    <row r="149" spans="1:3" x14ac:dyDescent="0.25">
      <c r="A149" s="101">
        <v>141</v>
      </c>
      <c r="B149" s="183" t="s">
        <v>1282</v>
      </c>
      <c r="C149" s="210"/>
    </row>
    <row r="150" spans="1:3" x14ac:dyDescent="0.25">
      <c r="A150" s="101">
        <v>142</v>
      </c>
      <c r="B150" s="183" t="s">
        <v>1283</v>
      </c>
      <c r="C150" s="210"/>
    </row>
    <row r="151" spans="1:3" x14ac:dyDescent="0.25">
      <c r="A151" s="101">
        <v>143</v>
      </c>
      <c r="B151" s="177" t="s">
        <v>1284</v>
      </c>
      <c r="C151" s="210"/>
    </row>
    <row r="152" spans="1:3" x14ac:dyDescent="0.25">
      <c r="A152" s="101">
        <v>144</v>
      </c>
      <c r="B152" s="106" t="s">
        <v>1285</v>
      </c>
      <c r="C152" s="210"/>
    </row>
    <row r="153" spans="1:3" x14ac:dyDescent="0.25">
      <c r="A153" s="101">
        <v>145</v>
      </c>
      <c r="B153" s="177" t="s">
        <v>1286</v>
      </c>
      <c r="C153" s="210"/>
    </row>
    <row r="154" spans="1:3" x14ac:dyDescent="0.25">
      <c r="A154" s="101">
        <v>146</v>
      </c>
      <c r="B154" s="106" t="s">
        <v>1287</v>
      </c>
      <c r="C154" s="101"/>
    </row>
    <row r="155" spans="1:3" ht="15.75" x14ac:dyDescent="0.25">
      <c r="A155" s="101">
        <v>147</v>
      </c>
      <c r="B155" s="184" t="s">
        <v>137</v>
      </c>
      <c r="C155" s="101"/>
    </row>
    <row r="156" spans="1:3" x14ac:dyDescent="0.25">
      <c r="A156" s="101">
        <v>148</v>
      </c>
      <c r="B156" s="447" t="s">
        <v>430</v>
      </c>
      <c r="C156" s="192">
        <v>0</v>
      </c>
    </row>
    <row r="157" spans="1:3" x14ac:dyDescent="0.25">
      <c r="A157" s="101">
        <v>149</v>
      </c>
      <c r="B157" s="669"/>
      <c r="C157" s="670"/>
    </row>
    <row r="158" spans="1:3" x14ac:dyDescent="0.25">
      <c r="A158" s="101">
        <v>150</v>
      </c>
      <c r="B158" s="667" t="s">
        <v>45</v>
      </c>
      <c r="C158" s="668" t="s">
        <v>137</v>
      </c>
    </row>
  </sheetData>
  <mergeCells count="6">
    <mergeCell ref="A1:B1"/>
    <mergeCell ref="C6:C8"/>
    <mergeCell ref="A2:B2"/>
    <mergeCell ref="A3:B5"/>
    <mergeCell ref="A6:A8"/>
    <mergeCell ref="B6:B8"/>
  </mergeCells>
  <pageMargins left="0.7" right="0.7" top="1.0520833333333333" bottom="0.75" header="0.3" footer="0.3"/>
  <pageSetup scale="76" orientation="portrait" r:id="rId1"/>
  <headerFooter>
    <oddHeader>&amp;L&amp;G&amp;C(ENTER PROJECT NAME)&amp;R&amp;D</oddHeader>
    <oddFooter>&amp;C&amp;P OF &amp;N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4e32629-a85f-441b-84e3-0a67009d5f12">
      <Terms xmlns="http://schemas.microsoft.com/office/infopath/2007/PartnerControls"/>
    </lcf76f155ced4ddcb4097134ff3c332f>
    <TaxCatchAll xmlns="05386feb-0fd0-4766-b8e9-7a95f38a2af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DC5CDAEC036E54F818E249793D3A63A" ma:contentTypeVersion="13" ma:contentTypeDescription="Create a new document." ma:contentTypeScope="" ma:versionID="3b68bb1ac60d1ef729756fc21ca882de">
  <xsd:schema xmlns:xsd="http://www.w3.org/2001/XMLSchema" xmlns:xs="http://www.w3.org/2001/XMLSchema" xmlns:p="http://schemas.microsoft.com/office/2006/metadata/properties" xmlns:ns2="84e32629-a85f-441b-84e3-0a67009d5f12" xmlns:ns3="05386feb-0fd0-4766-b8e9-7a95f38a2af0" targetNamespace="http://schemas.microsoft.com/office/2006/metadata/properties" ma:root="true" ma:fieldsID="76a23413cb5e3d64dd308836c47bf576" ns2:_="" ns3:_="">
    <xsd:import namespace="84e32629-a85f-441b-84e3-0a67009d5f12"/>
    <xsd:import namespace="05386feb-0fd0-4766-b8e9-7a95f38a2a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e32629-a85f-441b-84e3-0a67009d5f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cca09f-7c2a-419f-a79f-e64e1f5bcf93"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5386feb-0fd0-4766-b8e9-7a95f38a2a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697bcf4-a684-4d49-9c3f-91a4a9576328}" ma:internalName="TaxCatchAll" ma:showField="CatchAllData" ma:web="05386feb-0fd0-4766-b8e9-7a95f38a2a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871AA6-65EB-4F7C-B934-D295C398A70C}">
  <ds:schemaRefs>
    <ds:schemaRef ds:uri="http://schemas.microsoft.com/office/2006/metadata/properties"/>
    <ds:schemaRef ds:uri="http://schemas.microsoft.com/office/infopath/2007/PartnerControls"/>
    <ds:schemaRef ds:uri="cf971abc-77e2-43f9-a3a6-8dca96dde6a7"/>
    <ds:schemaRef ds:uri="0c77ba0a-8fd5-4010-ba8d-5d618d2713c0"/>
    <ds:schemaRef ds:uri="32bda209-fb17-4fd3-beff-fb2b6666029a"/>
    <ds:schemaRef ds:uri="bffdc749-fe4c-4aff-a124-bb498114a6cb"/>
    <ds:schemaRef ds:uri="http://schemas.microsoft.com/sharepoint/v4"/>
    <ds:schemaRef ds:uri="7a1a6427-7447-401b-b669-b1fb53f6e165"/>
  </ds:schemaRefs>
</ds:datastoreItem>
</file>

<file path=customXml/itemProps2.xml><?xml version="1.0" encoding="utf-8"?>
<ds:datastoreItem xmlns:ds="http://schemas.openxmlformats.org/officeDocument/2006/customXml" ds:itemID="{173DD436-A615-4D40-BB57-DF1A9BBE4C30}"/>
</file>

<file path=customXml/itemProps3.xml><?xml version="1.0" encoding="utf-8"?>
<ds:datastoreItem xmlns:ds="http://schemas.openxmlformats.org/officeDocument/2006/customXml" ds:itemID="{2ABF0179-CF25-4673-9B28-AD71AD563F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9</vt:i4>
      </vt:variant>
    </vt:vector>
  </HeadingPairs>
  <TitlesOfParts>
    <vt:vector size="42" baseType="lpstr">
      <vt:lpstr>Qualifications and Assumptions</vt:lpstr>
      <vt:lpstr>RFIs</vt:lpstr>
      <vt:lpstr>Key</vt:lpstr>
      <vt:lpstr>Bid Tracking</vt:lpstr>
      <vt:lpstr>01 - Testing &amp; Surveying</vt:lpstr>
      <vt:lpstr>02 - Demolition</vt:lpstr>
      <vt:lpstr>02 - Sitework</vt:lpstr>
      <vt:lpstr>02 - Landscaping</vt:lpstr>
      <vt:lpstr>03 - Shell</vt:lpstr>
      <vt:lpstr>04 - Vertical Stone</vt:lpstr>
      <vt:lpstr>04 - Horizontal Stone</vt:lpstr>
      <vt:lpstr>05 - Metal Railings</vt:lpstr>
      <vt:lpstr>06 - Interior Trim</vt:lpstr>
      <vt:lpstr>06 - Interior Doors </vt:lpstr>
      <vt:lpstr>06 - Plastics</vt:lpstr>
      <vt:lpstr>07 Roofing</vt:lpstr>
      <vt:lpstr>07 - Insulation</vt:lpstr>
      <vt:lpstr>07 - Waterproofing</vt:lpstr>
      <vt:lpstr>08 - Glass &amp; Mirrors</vt:lpstr>
      <vt:lpstr>08 Windows and Doors</vt:lpstr>
      <vt:lpstr>08 - Garage Doors</vt:lpstr>
      <vt:lpstr>09 - Drywall &amp; Metal Framing </vt:lpstr>
      <vt:lpstr>09 - Interior Stone &amp; Tile</vt:lpstr>
      <vt:lpstr>09 - Wood Flooring</vt:lpstr>
      <vt:lpstr>09 - Stucco</vt:lpstr>
      <vt:lpstr>09 - Painting</vt:lpstr>
      <vt:lpstr>09 - Carpet</vt:lpstr>
      <vt:lpstr>10 - Shutters</vt:lpstr>
      <vt:lpstr>13 - Swimming Pools</vt:lpstr>
      <vt:lpstr>14 - Elevators</vt:lpstr>
      <vt:lpstr>15 - Plumbing</vt:lpstr>
      <vt:lpstr>15 HVAC</vt:lpstr>
      <vt:lpstr>16 - Electrical </vt:lpstr>
      <vt:lpstr>'07 - Waterproofing'!Print_Area</vt:lpstr>
      <vt:lpstr>'07 Roofing'!Print_Area</vt:lpstr>
      <vt:lpstr>'08 Windows and Doors'!Print_Area</vt:lpstr>
      <vt:lpstr>'09 - Interior Stone &amp; Tile'!Print_Area</vt:lpstr>
      <vt:lpstr>'15 HVAC'!Print_Area</vt:lpstr>
      <vt:lpstr>'Bid Tracking'!Print_Area</vt:lpstr>
      <vt:lpstr>Key!Print_Area</vt:lpstr>
      <vt:lpstr>'Qualifications and Assumptions'!Print_Area</vt:lpstr>
      <vt:lpstr>RFIs!Print_Area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Marissa Mallory</dc:creator>
  <cp:keywords/>
  <dc:description/>
  <cp:lastModifiedBy>Danny Dinicola</cp:lastModifiedBy>
  <cp:revision/>
  <dcterms:created xsi:type="dcterms:W3CDTF">2016-07-12T13:17:57Z</dcterms:created>
  <dcterms:modified xsi:type="dcterms:W3CDTF">2025-12-17T18:22:51Z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0x0101001DC5CDAEC036E54F818E249793D3A63A</vt:lpwstr>
  </property>
  <property fmtid="{D5CDD505-2E9C-101B-9397-08002B2CF9AE}" pid="3" name="MediaServiceImageTags">
    <vt:lpwstr/>
  </property>
  <property fmtid="{D5CDD505-2E9C-101B-9397-08002B2CF9AE}" pid="4" name="TaxKeyword">
    <vt:lpwstr/>
  </property>
  <property fmtid="{D5CDD505-2E9C-101B-9397-08002B2CF9AE}" pid="5" name="InternalDepartment">
    <vt:lpwstr/>
  </property>
  <property fmtid="{D5CDD505-2E9C-101B-9397-08002B2CF9AE}" pid="6" name="jb2458b6a45740759a0f65ed964f9b0f">
    <vt:lpwstr/>
  </property>
  <property fmtid="{D5CDD505-2E9C-101B-9397-08002B2CF9AE}" pid="7" name="e115578a15e24a4a98fd29f026adf1f4">
    <vt:lpwstr/>
  </property>
  <property fmtid="{D5CDD505-2E9C-101B-9397-08002B2CF9AE}" pid="8" name="j3021d9e58624e2d9d48086442d8da1b">
    <vt:lpwstr/>
  </property>
  <property fmtid="{D5CDD505-2E9C-101B-9397-08002B2CF9AE}" pid="9" name="ab89def8d26743959f8cfebb0be0963b">
    <vt:lpwstr/>
  </property>
  <property fmtid="{D5CDD505-2E9C-101B-9397-08002B2CF9AE}" pid="10" name="ProjectStage">
    <vt:lpwstr/>
  </property>
  <property fmtid="{D5CDD505-2E9C-101B-9397-08002B2CF9AE}" pid="11" name="OperationalRegion">
    <vt:lpwstr/>
  </property>
  <property fmtid="{D5CDD505-2E9C-101B-9397-08002B2CF9AE}" pid="12" name="Sector">
    <vt:lpwstr/>
  </property>
</Properties>
</file>