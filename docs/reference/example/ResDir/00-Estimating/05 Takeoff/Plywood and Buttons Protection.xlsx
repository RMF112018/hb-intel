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5"/>
  <workbookPr/>
  <mc:AlternateContent xmlns:mc="http://schemas.openxmlformats.org/markup-compatibility/2006">
    <mc:Choice Requires="x15">
      <x15ac:absPath xmlns:x15ac="http://schemas.microsoft.com/office/spreadsheetml/2010/11/ac" url="S:\User\Chaitanya Banthia\Marissa Mallory\MR Helpful Info\Formulas\"/>
    </mc:Choice>
  </mc:AlternateContent>
  <xr:revisionPtr revIDLastSave="0" documentId="13_ncr:1_{9FFED3BF-25B6-499A-AA6F-E307F93922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ywood Driveway Protection" sheetId="1" r:id="rId1"/>
  </sheets>
  <definedNames>
    <definedName name="_xlnm.Print_Area" localSheetId="0">'Plywood Driveway Protection'!$A$1:$L$38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1" l="1"/>
  <c r="G37" i="1" l="1"/>
  <c r="C43" i="1"/>
  <c r="G43" i="1" s="1"/>
  <c r="G36" i="1" l="1"/>
  <c r="B24" i="1"/>
  <c r="K6" i="1" l="1"/>
  <c r="L6" i="1" s="1"/>
  <c r="D24" i="1"/>
  <c r="G24" i="1" s="1"/>
  <c r="D7" i="1"/>
  <c r="E7" i="1"/>
  <c r="G7" i="1" s="1"/>
  <c r="B12" i="1" l="1"/>
  <c r="C12" i="1" s="1"/>
  <c r="D12" i="1" s="1"/>
  <c r="G12" i="1" s="1"/>
  <c r="B18" i="1"/>
  <c r="D18" i="1" s="1"/>
  <c r="G18" i="1" s="1"/>
  <c r="K5" i="1" l="1"/>
  <c r="K7" i="1" s="1"/>
  <c r="L5" i="1" l="1"/>
</calcChain>
</file>

<file path=xl/sharedStrings.xml><?xml version="1.0" encoding="utf-8"?>
<sst xmlns="http://schemas.openxmlformats.org/spreadsheetml/2006/main" count="98" uniqueCount="48">
  <si>
    <t>PROJECT</t>
  </si>
  <si>
    <t>830 S County</t>
  </si>
  <si>
    <t>SPECIFICS</t>
  </si>
  <si>
    <t>DRIVEWAY PROTECTION</t>
  </si>
  <si>
    <t>SF PER SHEET</t>
  </si>
  <si>
    <t>SHEETS OF REQ.</t>
  </si>
  <si>
    <t xml:space="preserve">SHEETS REQ. </t>
  </si>
  <si>
    <t>COST</t>
  </si>
  <si>
    <t>TOTAL COST OF</t>
  </si>
  <si>
    <t>COST PER SF</t>
  </si>
  <si>
    <t>DESCRIPTION</t>
  </si>
  <si>
    <t>SF</t>
  </si>
  <si>
    <t>OF PLYWOOD</t>
  </si>
  <si>
    <t>PLYWOOD</t>
  </si>
  <si>
    <t>PLUS 10% WASTE</t>
  </si>
  <si>
    <t>PER SHEET</t>
  </si>
  <si>
    <t>PLYWOOD AT DRIVEWAY</t>
  </si>
  <si>
    <t>MATERIALS TOTAL</t>
  </si>
  <si>
    <t>-</t>
  </si>
  <si>
    <t>LABOR TOTAL</t>
  </si>
  <si>
    <t>Plywood on driveway</t>
  </si>
  <si>
    <t>Total</t>
  </si>
  <si>
    <t>BUTTONS NEEDED</t>
  </si>
  <si>
    <t>TOTAL COST</t>
  </si>
  <si>
    <t>OF BUTTONS</t>
  </si>
  <si>
    <t>Buttons - 2 / sheet of ply</t>
  </si>
  <si>
    <t>SCREWS NEEDED</t>
  </si>
  <si>
    <t>SCREWS PER PACK</t>
  </si>
  <si>
    <t>PACKS NEEDED</t>
  </si>
  <si>
    <t>PER PACK</t>
  </si>
  <si>
    <t>OF SCREWS</t>
  </si>
  <si>
    <t>Screws - 4 screws / button</t>
  </si>
  <si>
    <t>SF NEEDED</t>
  </si>
  <si>
    <t>SF PER ROLL</t>
  </si>
  <si>
    <t>ROLLS NEEDED</t>
  </si>
  <si>
    <t>PER ROLL</t>
  </si>
  <si>
    <t>OF VISQUEEN</t>
  </si>
  <si>
    <t xml:space="preserve">Visqueen </t>
  </si>
  <si>
    <t>OF MISC TOOLS</t>
  </si>
  <si>
    <t>Misc. Tools</t>
  </si>
  <si>
    <t>CARP NEEDED</t>
  </si>
  <si>
    <t>LABS NEEDED</t>
  </si>
  <si>
    <t>DAYS NEEDED</t>
  </si>
  <si>
    <t>OF LABOR</t>
  </si>
  <si>
    <t>Labor - Buttons</t>
  </si>
  <si>
    <t>Labor - Install</t>
  </si>
  <si>
    <t>PRICE / SF</t>
  </si>
  <si>
    <t>Labor - SF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</si>
</sst>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3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quotePrefix="1" applyFont="1" applyAlignment="1">
      <alignment horizontal="fill"/>
    </xf>
    <xf numFmtId="3" fontId="3" fillId="0" borderId="0" xfId="0" quotePrefix="1" applyNumberFormat="1" applyFont="1" applyAlignment="1">
      <alignment horizontal="fill"/>
    </xf>
    <xf numFmtId="164" fontId="0" fillId="0" borderId="0" xfId="0" applyNumberFormat="1"/>
    <xf numFmtId="0" fontId="0" fillId="0" borderId="0" xfId="0" applyAlignment="1">
      <alignment wrapText="1"/>
    </xf>
    <xf numFmtId="0" fontId="4" fillId="0" borderId="0" xfId="0" applyFont="1"/>
    <xf numFmtId="0" fontId="2" fillId="0" borderId="0" xfId="0" applyFont="1"/>
    <xf numFmtId="1" fontId="0" fillId="2" borderId="0" xfId="0" applyNumberFormat="1" applyFill="1"/>
    <xf numFmtId="0" fontId="0" fillId="0" borderId="0" xfId="1" applyNumberFormat="1" applyFont="1"/>
    <xf numFmtId="1" fontId="0" fillId="0" borderId="0" xfId="0" applyNumberFormat="1"/>
    <xf numFmtId="164" fontId="0" fillId="0" borderId="0" xfId="1" applyNumberFormat="1" applyFont="1"/>
    <xf numFmtId="3" fontId="2" fillId="0" borderId="0" xfId="0" applyNumberFormat="1" applyFont="1" applyAlignment="1">
      <alignment horizontal="left"/>
    </xf>
    <xf numFmtId="164" fontId="4" fillId="0" borderId="0" xfId="0" applyNumberFormat="1" applyFont="1"/>
    <xf numFmtId="0" fontId="0" fillId="2" borderId="0" xfId="1" applyNumberFormat="1" applyFont="1" applyFill="1"/>
    <xf numFmtId="0" fontId="0" fillId="2" borderId="0" xfId="0" applyFill="1"/>
    <xf numFmtId="44" fontId="0" fillId="2" borderId="0" xfId="1" applyFont="1" applyFill="1"/>
    <xf numFmtId="1" fontId="0" fillId="2" borderId="0" xfId="1" applyNumberFormat="1" applyFont="1" applyFill="1"/>
    <xf numFmtId="0" fontId="5" fillId="0" borderId="0" xfId="0" applyFont="1"/>
    <xf numFmtId="0" fontId="0" fillId="0" borderId="0" xfId="0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3"/>
  <sheetViews>
    <sheetView tabSelected="1" view="pageBreakPreview" zoomScaleNormal="100" zoomScaleSheetLayoutView="100" workbookViewId="0">
      <selection activeCell="K7" sqref="K7"/>
    </sheetView>
  </sheetViews>
  <sheetFormatPr defaultColWidth="17.140625" defaultRowHeight="15"/>
  <cols>
    <col min="1" max="1" width="27.7109375" bestFit="1" customWidth="1"/>
    <col min="2" max="2" width="20.140625" bestFit="1" customWidth="1"/>
    <col min="3" max="3" width="21.85546875" bestFit="1" customWidth="1"/>
    <col min="4" max="4" width="20.140625" bestFit="1" customWidth="1"/>
    <col min="5" max="5" width="19.140625" bestFit="1" customWidth="1"/>
    <col min="6" max="6" width="13" bestFit="1" customWidth="1"/>
    <col min="7" max="7" width="26.28515625" bestFit="1" customWidth="1"/>
    <col min="10" max="10" width="20.85546875" bestFit="1" customWidth="1"/>
    <col min="11" max="11" width="10.85546875" bestFit="1" customWidth="1"/>
    <col min="12" max="12" width="15.140625" bestFit="1" customWidth="1"/>
  </cols>
  <sheetData>
    <row r="1" spans="1:12">
      <c r="A1" s="19" t="s">
        <v>0</v>
      </c>
      <c r="B1" s="20" t="s">
        <v>1</v>
      </c>
      <c r="C1" s="20"/>
    </row>
    <row r="2" spans="1:12">
      <c r="A2" s="19" t="s">
        <v>2</v>
      </c>
      <c r="B2" s="20" t="s">
        <v>3</v>
      </c>
      <c r="C2" s="20"/>
    </row>
    <row r="4" spans="1:12" s="7" customFormat="1" ht="12">
      <c r="B4" s="1"/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L4" s="13" t="s">
        <v>9</v>
      </c>
    </row>
    <row r="5" spans="1:12" s="7" customFormat="1" ht="12">
      <c r="A5" s="8" t="s">
        <v>10</v>
      </c>
      <c r="B5" s="1" t="s">
        <v>11</v>
      </c>
      <c r="C5" s="1" t="s">
        <v>12</v>
      </c>
      <c r="D5" s="1" t="s">
        <v>13</v>
      </c>
      <c r="E5" s="2" t="s">
        <v>14</v>
      </c>
      <c r="F5" s="2" t="s">
        <v>15</v>
      </c>
      <c r="G5" s="1" t="s">
        <v>16</v>
      </c>
      <c r="J5" s="13" t="s">
        <v>17</v>
      </c>
      <c r="K5" s="14">
        <f>G7+G12+G18+G24+G30</f>
        <v>1988</v>
      </c>
      <c r="L5" s="14">
        <f>K5/B7</f>
        <v>1.988</v>
      </c>
    </row>
    <row r="6" spans="1:12">
      <c r="A6" s="3" t="s">
        <v>18</v>
      </c>
      <c r="B6" s="4" t="s">
        <v>18</v>
      </c>
      <c r="C6" s="4" t="s">
        <v>18</v>
      </c>
      <c r="D6" s="4"/>
      <c r="E6" s="4"/>
      <c r="F6" s="4"/>
      <c r="G6" s="3" t="s">
        <v>18</v>
      </c>
      <c r="J6" s="13" t="s">
        <v>19</v>
      </c>
      <c r="K6" s="14">
        <f>SUM(G36:G38)</f>
        <v>5120</v>
      </c>
      <c r="L6" s="5">
        <f>ROUNDUP((K6/B7),2)</f>
        <v>5.12</v>
      </c>
    </row>
    <row r="7" spans="1:12">
      <c r="A7" s="6" t="s">
        <v>20</v>
      </c>
      <c r="B7" s="9">
        <v>1000</v>
      </c>
      <c r="C7" s="10">
        <v>32</v>
      </c>
      <c r="D7">
        <f>ROUNDUP((B7/C7),0)</f>
        <v>32</v>
      </c>
      <c r="E7" s="10">
        <f>ROUNDUP((B7/32)*1.1,0)</f>
        <v>35</v>
      </c>
      <c r="F7" s="12">
        <v>30</v>
      </c>
      <c r="G7" s="5">
        <f>E7*F7</f>
        <v>1050</v>
      </c>
      <c r="J7" t="s">
        <v>21</v>
      </c>
      <c r="K7" s="5">
        <f>SUM(K5:K6)</f>
        <v>7108</v>
      </c>
    </row>
    <row r="8" spans="1:12">
      <c r="A8" s="6"/>
    </row>
    <row r="9" spans="1:12" s="7" customFormat="1" ht="12">
      <c r="B9" s="1"/>
      <c r="C9" s="1" t="s">
        <v>22</v>
      </c>
      <c r="D9" s="1" t="s">
        <v>22</v>
      </c>
      <c r="E9" s="1" t="s">
        <v>7</v>
      </c>
      <c r="F9" s="1"/>
      <c r="G9" s="1" t="s">
        <v>23</v>
      </c>
    </row>
    <row r="10" spans="1:12" s="7" customFormat="1" ht="12">
      <c r="A10" s="8" t="s">
        <v>10</v>
      </c>
      <c r="B10" s="1" t="s">
        <v>22</v>
      </c>
      <c r="C10" s="1" t="s">
        <v>15</v>
      </c>
      <c r="D10" s="1" t="s">
        <v>14</v>
      </c>
      <c r="E10" s="2" t="s">
        <v>15</v>
      </c>
      <c r="F10" s="1"/>
      <c r="G10" s="1" t="s">
        <v>24</v>
      </c>
    </row>
    <row r="11" spans="1:12">
      <c r="A11" s="3" t="s">
        <v>18</v>
      </c>
      <c r="B11" s="4" t="s">
        <v>18</v>
      </c>
      <c r="C11" s="4" t="s">
        <v>18</v>
      </c>
      <c r="D11" s="4"/>
      <c r="E11" s="4"/>
      <c r="F11" s="4"/>
      <c r="G11" s="3" t="s">
        <v>18</v>
      </c>
    </row>
    <row r="12" spans="1:12">
      <c r="A12" s="6" t="s">
        <v>25</v>
      </c>
      <c r="B12" s="11">
        <f>D7*2*4</f>
        <v>256</v>
      </c>
      <c r="C12" s="10">
        <f>B12/32</f>
        <v>8</v>
      </c>
      <c r="D12" s="10">
        <f>ROUNDUP((C12*1.1),0)</f>
        <v>9</v>
      </c>
      <c r="E12" s="12">
        <v>25</v>
      </c>
      <c r="F12" s="10"/>
      <c r="G12" s="5">
        <f>D12*E12</f>
        <v>225</v>
      </c>
    </row>
    <row r="15" spans="1:12" s="7" customFormat="1" ht="12">
      <c r="B15" s="1"/>
      <c r="C15" s="1"/>
      <c r="D15" s="1"/>
      <c r="E15" s="1" t="s">
        <v>7</v>
      </c>
      <c r="F15" s="1"/>
      <c r="G15" s="1" t="s">
        <v>23</v>
      </c>
    </row>
    <row r="16" spans="1:12" s="7" customFormat="1" ht="12">
      <c r="A16" s="8" t="s">
        <v>10</v>
      </c>
      <c r="B16" s="1" t="s">
        <v>26</v>
      </c>
      <c r="C16" s="1" t="s">
        <v>27</v>
      </c>
      <c r="D16" s="1" t="s">
        <v>28</v>
      </c>
      <c r="E16" s="2" t="s">
        <v>29</v>
      </c>
      <c r="F16" s="1"/>
      <c r="G16" s="1" t="s">
        <v>30</v>
      </c>
    </row>
    <row r="17" spans="1:7">
      <c r="A17" s="3" t="s">
        <v>18</v>
      </c>
      <c r="B17" s="4" t="s">
        <v>18</v>
      </c>
      <c r="C17" s="4" t="s">
        <v>18</v>
      </c>
      <c r="D17" s="4"/>
      <c r="E17" s="4"/>
      <c r="F17" s="4"/>
      <c r="G17" s="3" t="s">
        <v>18</v>
      </c>
    </row>
    <row r="18" spans="1:7">
      <c r="A18" s="6" t="s">
        <v>31</v>
      </c>
      <c r="B18" s="11">
        <f>(D7*2)*4</f>
        <v>256</v>
      </c>
      <c r="C18" s="10">
        <v>400</v>
      </c>
      <c r="D18" s="10">
        <f>ROUNDUP(((B18/C18)*1.1),0)</f>
        <v>1</v>
      </c>
      <c r="E18" s="12">
        <v>5</v>
      </c>
      <c r="F18" s="10"/>
      <c r="G18" s="5">
        <f>D18*E18</f>
        <v>5</v>
      </c>
    </row>
    <row r="21" spans="1:7" s="7" customFormat="1" ht="12">
      <c r="B21" s="1"/>
      <c r="C21" s="1"/>
      <c r="D21" s="1"/>
      <c r="E21" s="1" t="s">
        <v>7</v>
      </c>
      <c r="F21" s="1"/>
      <c r="G21" s="1" t="s">
        <v>23</v>
      </c>
    </row>
    <row r="22" spans="1:7" s="7" customFormat="1" ht="12">
      <c r="A22" s="8" t="s">
        <v>10</v>
      </c>
      <c r="B22" s="1" t="s">
        <v>32</v>
      </c>
      <c r="C22" s="1" t="s">
        <v>33</v>
      </c>
      <c r="D22" s="1" t="s">
        <v>34</v>
      </c>
      <c r="E22" s="2" t="s">
        <v>35</v>
      </c>
      <c r="F22" s="1"/>
      <c r="G22" s="1" t="s">
        <v>36</v>
      </c>
    </row>
    <row r="23" spans="1:7">
      <c r="A23" s="3" t="s">
        <v>18</v>
      </c>
      <c r="B23" s="4" t="s">
        <v>18</v>
      </c>
      <c r="C23" s="4" t="s">
        <v>18</v>
      </c>
      <c r="D23" s="4"/>
      <c r="E23" s="4"/>
      <c r="F23" s="4"/>
      <c r="G23" s="3" t="s">
        <v>18</v>
      </c>
    </row>
    <row r="24" spans="1:7">
      <c r="A24" s="6" t="s">
        <v>37</v>
      </c>
      <c r="B24" s="11">
        <f>B7</f>
        <v>1000</v>
      </c>
      <c r="C24" s="10">
        <v>4000</v>
      </c>
      <c r="D24" s="10">
        <f>ROUNDUP(((B24/C24)*2),0)</f>
        <v>1</v>
      </c>
      <c r="E24" s="12">
        <v>98</v>
      </c>
      <c r="F24" s="10"/>
      <c r="G24" s="5">
        <f>D24*E24</f>
        <v>98</v>
      </c>
    </row>
    <row r="27" spans="1:7" s="7" customFormat="1" ht="12">
      <c r="B27" s="1"/>
      <c r="C27" s="1"/>
      <c r="D27" s="1"/>
      <c r="E27" s="1"/>
      <c r="F27" s="1"/>
      <c r="G27" s="1" t="s">
        <v>23</v>
      </c>
    </row>
    <row r="28" spans="1:7" s="7" customFormat="1" ht="12">
      <c r="A28" s="8" t="s">
        <v>10</v>
      </c>
      <c r="B28" s="1"/>
      <c r="C28" s="1"/>
      <c r="D28" s="1"/>
      <c r="E28" s="2"/>
      <c r="F28" s="1"/>
      <c r="G28" s="1" t="s">
        <v>38</v>
      </c>
    </row>
    <row r="29" spans="1:7">
      <c r="A29" s="3" t="s">
        <v>18</v>
      </c>
      <c r="B29" s="4" t="s">
        <v>18</v>
      </c>
      <c r="C29" s="4" t="s">
        <v>18</v>
      </c>
      <c r="D29" s="4"/>
      <c r="E29" s="4"/>
      <c r="F29" s="4"/>
      <c r="G29" s="3" t="s">
        <v>18</v>
      </c>
    </row>
    <row r="30" spans="1:7">
      <c r="A30" s="6" t="s">
        <v>39</v>
      </c>
      <c r="B30" s="11"/>
      <c r="C30" s="10"/>
      <c r="D30" s="10"/>
      <c r="E30" s="12"/>
      <c r="F30" s="10"/>
      <c r="G30" s="5">
        <v>610</v>
      </c>
    </row>
    <row r="33" spans="1:9" s="7" customFormat="1" ht="12">
      <c r="B33" s="1"/>
      <c r="C33" s="1"/>
      <c r="D33" s="1"/>
      <c r="E33" s="1"/>
      <c r="F33" s="1"/>
      <c r="G33" s="1" t="s">
        <v>23</v>
      </c>
    </row>
    <row r="34" spans="1:9" s="7" customFormat="1" ht="12">
      <c r="A34" s="8" t="s">
        <v>10</v>
      </c>
      <c r="B34" s="1" t="s">
        <v>40</v>
      </c>
      <c r="C34" s="1" t="s">
        <v>41</v>
      </c>
      <c r="D34" s="1" t="s">
        <v>42</v>
      </c>
      <c r="E34" s="2"/>
      <c r="F34" s="1"/>
      <c r="G34" s="1" t="s">
        <v>43</v>
      </c>
    </row>
    <row r="35" spans="1:9">
      <c r="A35" s="3" t="s">
        <v>18</v>
      </c>
      <c r="B35" s="4" t="s">
        <v>18</v>
      </c>
      <c r="C35" s="4" t="s">
        <v>18</v>
      </c>
      <c r="D35" s="4"/>
      <c r="E35" s="4"/>
      <c r="F35" s="4"/>
      <c r="G35" s="3" t="s">
        <v>18</v>
      </c>
    </row>
    <row r="36" spans="1:9">
      <c r="A36" s="6" t="s">
        <v>44</v>
      </c>
      <c r="B36" s="9">
        <v>0</v>
      </c>
      <c r="C36" s="15">
        <v>0</v>
      </c>
      <c r="D36" s="15">
        <v>0</v>
      </c>
      <c r="E36" s="12"/>
      <c r="F36" s="10"/>
      <c r="G36" s="5">
        <f>((B36*40)*(D36*8))+((C36*24)*(D36*8))</f>
        <v>0</v>
      </c>
    </row>
    <row r="37" spans="1:9">
      <c r="A37" t="s">
        <v>45</v>
      </c>
      <c r="B37" s="16">
        <v>2</v>
      </c>
      <c r="C37" s="16">
        <v>2</v>
      </c>
      <c r="D37" s="16">
        <v>5</v>
      </c>
      <c r="G37" s="5">
        <f>((B37*40)*(D37*8))+((C37*24)*(D37*8))</f>
        <v>5120</v>
      </c>
    </row>
    <row r="38" spans="1:9">
      <c r="A38" t="s">
        <v>45</v>
      </c>
      <c r="B38" s="16">
        <v>0</v>
      </c>
      <c r="C38" s="16">
        <v>0</v>
      </c>
      <c r="D38" s="16">
        <v>4</v>
      </c>
      <c r="G38" s="5">
        <f>((B38*40)*(D38*8))+((C38*24)*(D38*8))</f>
        <v>0</v>
      </c>
      <c r="I38" s="5"/>
    </row>
    <row r="39" spans="1:9">
      <c r="I39" s="5"/>
    </row>
    <row r="40" spans="1:9" s="7" customFormat="1" ht="12">
      <c r="B40" s="1"/>
      <c r="C40" s="1"/>
      <c r="D40" s="1"/>
      <c r="E40" s="1"/>
      <c r="F40" s="1"/>
      <c r="G40" s="1" t="s">
        <v>23</v>
      </c>
    </row>
    <row r="41" spans="1:9" s="7" customFormat="1" ht="12">
      <c r="A41" s="8" t="s">
        <v>10</v>
      </c>
      <c r="B41" s="1" t="s">
        <v>46</v>
      </c>
      <c r="C41" s="1" t="s">
        <v>11</v>
      </c>
      <c r="D41" s="1" t="s">
        <v>42</v>
      </c>
      <c r="E41" s="2"/>
      <c r="F41" s="1"/>
      <c r="G41" s="1" t="s">
        <v>43</v>
      </c>
    </row>
    <row r="42" spans="1:9">
      <c r="A42" s="3" t="s">
        <v>18</v>
      </c>
      <c r="B42" s="4" t="s">
        <v>18</v>
      </c>
      <c r="C42" s="4" t="s">
        <v>18</v>
      </c>
      <c r="D42" s="4"/>
      <c r="E42" s="4"/>
      <c r="F42" s="4"/>
      <c r="G42" s="3" t="s">
        <v>18</v>
      </c>
    </row>
    <row r="43" spans="1:9">
      <c r="A43" s="6" t="s">
        <v>47</v>
      </c>
      <c r="B43" s="17">
        <v>0.55000000000000004</v>
      </c>
      <c r="C43" s="18">
        <f>B7</f>
        <v>1000</v>
      </c>
      <c r="D43" s="15">
        <v>1</v>
      </c>
      <c r="E43" s="12"/>
      <c r="F43" s="10"/>
      <c r="G43" s="5">
        <f>ROUNDUP((B43*C43),2)</f>
        <v>550</v>
      </c>
    </row>
  </sheetData>
  <mergeCells count="2">
    <mergeCell ref="B2:C2"/>
    <mergeCell ref="B1:C1"/>
  </mergeCells>
  <pageMargins left="0.7" right="0.7" top="0.75" bottom="0.75" header="0.3" footer="0.3"/>
  <pageSetup scale="53" fitToHeight="0" orientation="landscape" r:id="rId1"/>
  <headerFooter>
    <oddHeader>&amp;L&amp;G&amp;R&amp;D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C5CDAEC036E54F818E249793D3A63A" ma:contentTypeVersion="13" ma:contentTypeDescription="Create a new document." ma:contentTypeScope="" ma:versionID="3b68bb1ac60d1ef729756fc21ca882de">
  <xsd:schema xmlns:xsd="http://www.w3.org/2001/XMLSchema" xmlns:xs="http://www.w3.org/2001/XMLSchema" xmlns:p="http://schemas.microsoft.com/office/2006/metadata/properties" xmlns:ns2="84e32629-a85f-441b-84e3-0a67009d5f12" xmlns:ns3="05386feb-0fd0-4766-b8e9-7a95f38a2af0" targetNamespace="http://schemas.microsoft.com/office/2006/metadata/properties" ma:root="true" ma:fieldsID="76a23413cb5e3d64dd308836c47bf576" ns2:_="" ns3:_="">
    <xsd:import namespace="84e32629-a85f-441b-84e3-0a67009d5f12"/>
    <xsd:import namespace="05386feb-0fd0-4766-b8e9-7a95f38a2a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e32629-a85f-441b-84e3-0a67009d5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dcca09f-7c2a-419f-a79f-e64e1f5bcf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386feb-0fd0-4766-b8e9-7a95f38a2af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697bcf4-a684-4d49-9c3f-91a4a9576328}" ma:internalName="TaxCatchAll" ma:showField="CatchAllData" ma:web="05386feb-0fd0-4766-b8e9-7a95f38a2a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386feb-0fd0-4766-b8e9-7a95f38a2af0" xsi:nil="true"/>
    <lcf76f155ced4ddcb4097134ff3c332f xmlns="84e32629-a85f-441b-84e3-0a67009d5f1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810332-C4C7-4B31-8632-858F7DC5047F}"/>
</file>

<file path=customXml/itemProps2.xml><?xml version="1.0" encoding="utf-8"?>
<ds:datastoreItem xmlns:ds="http://schemas.openxmlformats.org/officeDocument/2006/customXml" ds:itemID="{3FDF5AEC-96D7-4E9E-B293-190DB57F8880}"/>
</file>

<file path=customXml/itemProps3.xml><?xml version="1.0" encoding="utf-8"?>
<ds:datastoreItem xmlns:ds="http://schemas.openxmlformats.org/officeDocument/2006/customXml" ds:itemID="{68104A82-4AC3-4C77-97D7-1508FDA64E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Marissa Mallory</dc:creator>
  <cp:keywords/>
  <dc:description/>
  <cp:lastModifiedBy>Ethan Root</cp:lastModifiedBy>
  <cp:revision/>
  <dcterms:created xsi:type="dcterms:W3CDTF">2016-04-26T15:26:52Z</dcterms:created>
  <dcterms:modified xsi:type="dcterms:W3CDTF">2023-10-02T19:34:47Z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0x0101001DC5CDAEC036E54F818E249793D3A63A</vt:lpwstr>
  </property>
  <property fmtid="{D5CDD505-2E9C-101B-9397-08002B2CF9AE}" pid="3" name="MediaServiceImageTags">
    <vt:lpwstr/>
  </property>
</Properties>
</file>