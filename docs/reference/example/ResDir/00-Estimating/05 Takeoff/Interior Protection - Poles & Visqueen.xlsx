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tiff" ContentType="image/tiff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S:\User\Chaitanya Banthia\++Project Set Up\Folder Set\09 Takeoff\"/>
    </mc:Choice>
  </mc:AlternateContent>
  <xr:revisionPtr revIDLastSave="0" documentId="13_ncr:1_{288A324A-ABDF-4CAD-81A9-5CA2E784EFB3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Sheet1!$A$1:$L$46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5" i="1" l="1"/>
  <c r="H40" i="1"/>
  <c r="H33" i="1" l="1"/>
  <c r="L8" i="1" s="1"/>
  <c r="L11" i="1" l="1"/>
  <c r="L10" i="1" l="1"/>
  <c r="C10" i="1" l="1"/>
  <c r="D10" i="1" s="1"/>
  <c r="F10" i="1" l="1"/>
  <c r="H10" i="1" s="1"/>
  <c r="L3" i="1" s="1"/>
  <c r="D19" i="1"/>
  <c r="F19" i="1" s="1"/>
  <c r="H19" i="1" s="1"/>
  <c r="D37" i="1"/>
  <c r="H37" i="1" s="1"/>
  <c r="L9" i="1" s="1"/>
  <c r="D14" i="1"/>
  <c r="H14" i="1" s="1"/>
  <c r="L4" i="1" s="1"/>
  <c r="C9" i="1"/>
  <c r="F9" i="1" s="1"/>
  <c r="J9" i="1"/>
  <c r="J7" i="1"/>
  <c r="J6" i="1"/>
  <c r="J5" i="1"/>
  <c r="A4" i="1"/>
  <c r="J4" i="1"/>
  <c r="J2" i="1"/>
  <c r="L5" i="1" l="1"/>
  <c r="H9" i="1"/>
  <c r="L2" i="1" s="1"/>
  <c r="H28" i="1"/>
  <c r="L7" i="1" s="1"/>
  <c r="H24" i="1"/>
  <c r="L6" i="1" s="1"/>
  <c r="D9" i="1"/>
  <c r="L12" i="1" l="1"/>
</calcChain>
</file>

<file path=xl/sharedStrings.xml><?xml version="1.0" encoding="utf-8"?>
<sst xmlns="http://schemas.openxmlformats.org/spreadsheetml/2006/main" count="113" uniqueCount="51">
  <si>
    <t>PROJECT NAME-</t>
  </si>
  <si>
    <t>MATERIAL COST SUMMARY</t>
  </si>
  <si>
    <t>SPECIFICS</t>
  </si>
  <si>
    <t>-</t>
  </si>
  <si>
    <t>COST PER</t>
  </si>
  <si>
    <t>TOTAL COST</t>
  </si>
  <si>
    <t>DESCRIPTION</t>
  </si>
  <si>
    <t>SF OF FLOORING</t>
  </si>
  <si>
    <t>WASTE ALLOWANCE</t>
  </si>
  <si>
    <t>SF PER ROLL</t>
  </si>
  <si>
    <t>ROLLS NEEDED</t>
  </si>
  <si>
    <t>ROLL</t>
  </si>
  <si>
    <t>OF RAM BOARD</t>
  </si>
  <si>
    <t>Ram Board</t>
  </si>
  <si>
    <t>TOTAL MATERIAL</t>
  </si>
  <si>
    <t>POLES NEEDED</t>
  </si>
  <si>
    <t>COST PER PACK OF 2</t>
  </si>
  <si>
    <t>PACKS NEEDED</t>
  </si>
  <si>
    <t>OF POLES</t>
  </si>
  <si>
    <t>Poles</t>
  </si>
  <si>
    <t>SF NEEDED W/</t>
  </si>
  <si>
    <t>LF NEEDED</t>
  </si>
  <si>
    <t>CEILING HEIGHT</t>
  </si>
  <si>
    <t>VISQUEEN</t>
  </si>
  <si>
    <t>Visqueen</t>
  </si>
  <si>
    <t>PRICE PER ROLL</t>
  </si>
  <si>
    <t>OF PAINTERS TAPE</t>
  </si>
  <si>
    <t>Painters Tape</t>
  </si>
  <si>
    <t>OF DUCT TAPE</t>
  </si>
  <si>
    <t>Duct Tape</t>
  </si>
  <si>
    <t>ZIPPERS</t>
  </si>
  <si>
    <t>COST PER PACK</t>
  </si>
  <si>
    <t>NEEDED</t>
  </si>
  <si>
    <t>OF 2 ZIPPERS</t>
  </si>
  <si>
    <t>Zippers</t>
  </si>
  <si>
    <t>Coroplast</t>
  </si>
  <si>
    <t>Labor - Install</t>
  </si>
  <si>
    <t>Description</t>
  </si>
  <si>
    <t>Labor</t>
  </si>
  <si>
    <t>Days</t>
  </si>
  <si>
    <t>Total</t>
  </si>
  <si>
    <t>Tools</t>
  </si>
  <si>
    <t>Hour/day</t>
  </si>
  <si>
    <t>Protection Maintenance</t>
  </si>
  <si>
    <t>Interior Floor Protection</t>
  </si>
  <si>
    <t>Windows</t>
  </si>
  <si>
    <t>Windows Protection</t>
  </si>
  <si>
    <t>Boxes Needed</t>
  </si>
  <si>
    <t>Booties</t>
  </si>
  <si>
    <t>OF Booties</t>
  </si>
  <si>
    <t>Booties (150/box)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</si>
</sst>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mmmm\ d\,\ yyyy"/>
    <numFmt numFmtId="166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name val="Arial"/>
      <family val="2"/>
    </font>
    <font>
      <sz val="28"/>
      <color theme="1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u/>
      <sz val="28"/>
      <name val="Arial"/>
      <family val="2"/>
    </font>
    <font>
      <sz val="28"/>
      <color indexed="12"/>
      <name val="Arial"/>
      <family val="2"/>
    </font>
    <font>
      <sz val="28"/>
      <color indexed="10"/>
      <name val="Arial"/>
      <family val="2"/>
    </font>
    <font>
      <sz val="28"/>
      <color rgb="FFFF0000"/>
      <name val="Arial"/>
      <family val="2"/>
    </font>
    <font>
      <sz val="28"/>
      <name val="Arial"/>
      <family val="2"/>
    </font>
    <font>
      <b/>
      <sz val="28"/>
      <color theme="1"/>
      <name val="Calibri"/>
      <family val="2"/>
      <scheme val="minor"/>
    </font>
    <font>
      <b/>
      <u/>
      <sz val="2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 applyBorder="1"/>
    <xf numFmtId="3" fontId="3" fillId="0" borderId="0" xfId="0" applyNumberFormat="1" applyFont="1" applyBorder="1"/>
    <xf numFmtId="0" fontId="3" fillId="0" borderId="0" xfId="0" applyFont="1"/>
    <xf numFmtId="0" fontId="4" fillId="0" borderId="0" xfId="0" applyFont="1" applyFill="1" applyBorder="1"/>
    <xf numFmtId="0" fontId="3" fillId="0" borderId="0" xfId="0" applyFont="1" applyBorder="1"/>
    <xf numFmtId="0" fontId="2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4" fillId="0" borderId="0" xfId="0" applyFont="1" applyBorder="1"/>
    <xf numFmtId="0" fontId="3" fillId="0" borderId="4" xfId="0" applyFont="1" applyBorder="1" applyAlignment="1">
      <alignment horizontal="left"/>
    </xf>
    <xf numFmtId="164" fontId="3" fillId="0" borderId="5" xfId="0" applyNumberFormat="1" applyFont="1" applyBorder="1"/>
    <xf numFmtId="165" fontId="6" fillId="3" borderId="0" xfId="0" applyNumberFormat="1" applyFont="1" applyFill="1" applyBorder="1"/>
    <xf numFmtId="0" fontId="7" fillId="0" borderId="0" xfId="0" applyFont="1" applyBorder="1"/>
    <xf numFmtId="18" fontId="6" fillId="0" borderId="0" xfId="0" applyNumberFormat="1" applyFont="1" applyBorder="1"/>
    <xf numFmtId="0" fontId="8" fillId="0" borderId="0" xfId="0" applyFont="1" applyBorder="1"/>
    <xf numFmtId="0" fontId="9" fillId="0" borderId="0" xfId="0" quotePrefix="1" applyFont="1" applyBorder="1" applyAlignment="1">
      <alignment horizontal="fill"/>
    </xf>
    <xf numFmtId="3" fontId="9" fillId="0" borderId="0" xfId="0" quotePrefix="1" applyNumberFormat="1" applyFont="1" applyBorder="1" applyAlignment="1">
      <alignment horizontal="fill"/>
    </xf>
    <xf numFmtId="3" fontId="2" fillId="0" borderId="0" xfId="0" applyNumberFormat="1" applyFont="1" applyBorder="1" applyAlignment="1">
      <alignment horizontal="center"/>
    </xf>
    <xf numFmtId="3" fontId="5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3" fillId="2" borderId="0" xfId="0" applyFont="1" applyFill="1"/>
    <xf numFmtId="0" fontId="3" fillId="0" borderId="0" xfId="0" applyFont="1" applyFill="1"/>
    <xf numFmtId="166" fontId="3" fillId="0" borderId="0" xfId="0" applyNumberFormat="1" applyFont="1"/>
    <xf numFmtId="164" fontId="3" fillId="0" borderId="0" xfId="0" applyNumberFormat="1" applyFont="1"/>
    <xf numFmtId="0" fontId="5" fillId="0" borderId="0" xfId="0" applyNumberFormat="1" applyFont="1" applyBorder="1" applyAlignment="1">
      <alignment horizontal="center"/>
    </xf>
    <xf numFmtId="1" fontId="3" fillId="2" borderId="0" xfId="0" applyNumberFormat="1" applyFont="1" applyFill="1"/>
    <xf numFmtId="164" fontId="3" fillId="0" borderId="0" xfId="2" applyNumberFormat="1" applyFont="1"/>
    <xf numFmtId="0" fontId="3" fillId="0" borderId="0" xfId="1" applyNumberFormat="1" applyFont="1" applyBorder="1" applyAlignment="1">
      <alignment wrapText="1"/>
    </xf>
    <xf numFmtId="0" fontId="3" fillId="2" borderId="0" xfId="2" applyNumberFormat="1" applyFont="1" applyFill="1"/>
    <xf numFmtId="0" fontId="3" fillId="0" borderId="0" xfId="2" applyNumberFormat="1" applyFont="1"/>
    <xf numFmtId="1" fontId="3" fillId="0" borderId="0" xfId="2" applyNumberFormat="1" applyFont="1"/>
    <xf numFmtId="1" fontId="3" fillId="0" borderId="0" xfId="0" applyNumberFormat="1" applyFont="1"/>
    <xf numFmtId="164" fontId="3" fillId="0" borderId="0" xfId="1" applyNumberFormat="1" applyFont="1" applyBorder="1" applyAlignment="1">
      <alignment wrapText="1"/>
    </xf>
    <xf numFmtId="164" fontId="10" fillId="0" borderId="0" xfId="0" applyNumberFormat="1" applyFont="1"/>
    <xf numFmtId="0" fontId="11" fillId="0" borderId="0" xfId="0" applyFont="1"/>
    <xf numFmtId="164" fontId="3" fillId="0" borderId="0" xfId="0" applyNumberFormat="1" applyFont="1" applyBorder="1"/>
    <xf numFmtId="0" fontId="5" fillId="0" borderId="5" xfId="0" applyFont="1" applyBorder="1" applyAlignment="1">
      <alignment horizontal="center"/>
    </xf>
    <xf numFmtId="0" fontId="10" fillId="0" borderId="6" xfId="0" applyFont="1" applyBorder="1"/>
    <xf numFmtId="0" fontId="5" fillId="0" borderId="7" xfId="0" applyFont="1" applyBorder="1" applyAlignment="1">
      <alignment horizontal="center"/>
    </xf>
    <xf numFmtId="164" fontId="10" fillId="0" borderId="8" xfId="0" applyNumberFormat="1" applyFont="1" applyBorder="1"/>
    <xf numFmtId="0" fontId="3" fillId="0" borderId="0" xfId="0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8"/>
  <sheetViews>
    <sheetView tabSelected="1" view="pageBreakPreview" topLeftCell="A13" zoomScale="40" zoomScaleNormal="100" zoomScaleSheetLayoutView="40" workbookViewId="0">
      <selection activeCell="H45" sqref="A45:H45"/>
    </sheetView>
  </sheetViews>
  <sheetFormatPr defaultRowHeight="36" x14ac:dyDescent="0.55000000000000004"/>
  <cols>
    <col min="1" max="1" width="60.140625" style="3" customWidth="1"/>
    <col min="2" max="2" width="59.5703125" style="3" bestFit="1" customWidth="1"/>
    <col min="3" max="3" width="75.5703125" style="3" bestFit="1" customWidth="1"/>
    <col min="4" max="4" width="71" style="3" bestFit="1" customWidth="1"/>
    <col min="5" max="5" width="47.5703125" style="3" bestFit="1" customWidth="1"/>
    <col min="6" max="6" width="55" style="3" bestFit="1" customWidth="1"/>
    <col min="7" max="7" width="37.85546875" style="3" bestFit="1" customWidth="1"/>
    <col min="8" max="8" width="69.85546875" style="3" bestFit="1" customWidth="1"/>
    <col min="9" max="9" width="9.140625" style="3"/>
    <col min="10" max="10" width="63" style="3" bestFit="1" customWidth="1"/>
    <col min="11" max="11" width="7.42578125" style="3" customWidth="1"/>
    <col min="12" max="12" width="32.7109375" style="3" bestFit="1" customWidth="1"/>
    <col min="13" max="16384" width="9.140625" style="3"/>
  </cols>
  <sheetData>
    <row r="1" spans="1:12" x14ac:dyDescent="0.55000000000000004">
      <c r="A1" s="1" t="s">
        <v>0</v>
      </c>
      <c r="B1" s="2"/>
      <c r="F1" s="4"/>
      <c r="H1" s="5"/>
      <c r="J1" s="43" t="s">
        <v>1</v>
      </c>
      <c r="K1" s="44"/>
      <c r="L1" s="45"/>
    </row>
    <row r="2" spans="1:12" x14ac:dyDescent="0.55000000000000004">
      <c r="A2" s="6" t="s">
        <v>2</v>
      </c>
      <c r="B2" s="2" t="s">
        <v>44</v>
      </c>
      <c r="C2" s="7"/>
      <c r="D2" s="7"/>
      <c r="E2" s="8"/>
      <c r="F2" s="8"/>
      <c r="G2" s="8"/>
      <c r="H2" s="5"/>
      <c r="J2" s="9" t="str">
        <f>A9</f>
        <v>Ram Board</v>
      </c>
      <c r="K2" s="5"/>
      <c r="L2" s="10">
        <f>H9</f>
        <v>210</v>
      </c>
    </row>
    <row r="3" spans="1:12" x14ac:dyDescent="0.55000000000000004">
      <c r="A3" s="11"/>
      <c r="B3" s="2"/>
      <c r="C3" s="7"/>
      <c r="D3" s="7"/>
      <c r="E3" s="12"/>
      <c r="F3" s="12"/>
      <c r="G3" s="12"/>
      <c r="H3" s="5"/>
      <c r="J3" s="9" t="s">
        <v>35</v>
      </c>
      <c r="K3" s="5"/>
      <c r="L3" s="10">
        <f>H10</f>
        <v>700</v>
      </c>
    </row>
    <row r="4" spans="1:12" x14ac:dyDescent="0.55000000000000004">
      <c r="A4" s="13">
        <f ca="1">NOW()</f>
        <v>44174.765194560183</v>
      </c>
      <c r="B4" s="2"/>
      <c r="C4" s="7"/>
      <c r="D4" s="7"/>
      <c r="E4" s="5"/>
      <c r="F4" s="5"/>
      <c r="G4" s="5"/>
      <c r="H4" s="14"/>
      <c r="J4" s="9" t="str">
        <f>A14</f>
        <v>Poles</v>
      </c>
      <c r="K4" s="5"/>
      <c r="L4" s="10">
        <f>H14</f>
        <v>70</v>
      </c>
    </row>
    <row r="5" spans="1:12" x14ac:dyDescent="0.55000000000000004">
      <c r="A5" s="15" t="s">
        <v>3</v>
      </c>
      <c r="B5" s="16" t="s">
        <v>3</v>
      </c>
      <c r="C5" s="16" t="s">
        <v>3</v>
      </c>
      <c r="D5" s="16"/>
      <c r="E5" s="16"/>
      <c r="F5" s="16"/>
      <c r="G5" s="16"/>
      <c r="H5" s="15" t="s">
        <v>3</v>
      </c>
      <c r="J5" s="9" t="str">
        <f>A19</f>
        <v>Visqueen</v>
      </c>
      <c r="K5" s="5"/>
      <c r="L5" s="10">
        <f>H19</f>
        <v>98</v>
      </c>
    </row>
    <row r="6" spans="1:12" x14ac:dyDescent="0.55000000000000004">
      <c r="A6" s="1"/>
      <c r="B6" s="17"/>
      <c r="C6" s="18"/>
      <c r="D6" s="18"/>
      <c r="E6" s="19"/>
      <c r="F6" s="19"/>
      <c r="G6" s="19" t="s">
        <v>4</v>
      </c>
      <c r="H6" s="19" t="s">
        <v>5</v>
      </c>
      <c r="J6" s="9" t="str">
        <f>A24</f>
        <v>Painters Tape</v>
      </c>
      <c r="K6" s="5"/>
      <c r="L6" s="10">
        <f>H24</f>
        <v>105</v>
      </c>
    </row>
    <row r="7" spans="1:12" x14ac:dyDescent="0.55000000000000004">
      <c r="A7" s="20" t="s">
        <v>6</v>
      </c>
      <c r="B7" s="18" t="s">
        <v>7</v>
      </c>
      <c r="C7" s="18" t="s">
        <v>8</v>
      </c>
      <c r="D7" s="18"/>
      <c r="E7" s="21" t="s">
        <v>9</v>
      </c>
      <c r="F7" s="21" t="s">
        <v>10</v>
      </c>
      <c r="G7" s="21" t="s">
        <v>11</v>
      </c>
      <c r="H7" s="21" t="s">
        <v>12</v>
      </c>
      <c r="J7" s="9" t="str">
        <f>A28</f>
        <v>Duct Tape</v>
      </c>
      <c r="K7" s="5"/>
      <c r="L7" s="10">
        <f>H28</f>
        <v>0</v>
      </c>
    </row>
    <row r="8" spans="1:12" x14ac:dyDescent="0.55000000000000004">
      <c r="A8" s="15" t="s">
        <v>3</v>
      </c>
      <c r="B8" s="16" t="s">
        <v>3</v>
      </c>
      <c r="C8" s="16" t="s">
        <v>3</v>
      </c>
      <c r="D8" s="16"/>
      <c r="E8" s="16" t="s">
        <v>3</v>
      </c>
      <c r="F8" s="16"/>
      <c r="G8" s="16"/>
      <c r="H8" s="15" t="s">
        <v>3</v>
      </c>
      <c r="J8" s="3" t="s">
        <v>48</v>
      </c>
      <c r="L8" s="25">
        <f>H33</f>
        <v>200</v>
      </c>
    </row>
    <row r="9" spans="1:12" x14ac:dyDescent="0.55000000000000004">
      <c r="A9" s="3" t="s">
        <v>13</v>
      </c>
      <c r="B9" s="22">
        <v>1000</v>
      </c>
      <c r="C9" s="23">
        <f>B9*1.1</f>
        <v>1100</v>
      </c>
      <c r="D9" s="23">
        <f>ROUNDUP(C9,0)</f>
        <v>1100</v>
      </c>
      <c r="E9" s="3">
        <v>158</v>
      </c>
      <c r="F9" s="24">
        <f>ROUNDUP((C9/E9),0)</f>
        <v>7</v>
      </c>
      <c r="G9" s="25">
        <v>30</v>
      </c>
      <c r="H9" s="25">
        <f>G9*F9</f>
        <v>210</v>
      </c>
      <c r="J9" s="9" t="str">
        <f>A37</f>
        <v>Zippers</v>
      </c>
      <c r="K9" s="5"/>
      <c r="L9" s="37">
        <f>H37</f>
        <v>14.5</v>
      </c>
    </row>
    <row r="10" spans="1:12" x14ac:dyDescent="0.55000000000000004">
      <c r="A10" s="3" t="s">
        <v>35</v>
      </c>
      <c r="B10" s="22">
        <v>1000</v>
      </c>
      <c r="C10" s="23">
        <f>B10*1.1</f>
        <v>1100</v>
      </c>
      <c r="D10" s="23">
        <f>ROUNDUP(C10,0)</f>
        <v>1100</v>
      </c>
      <c r="E10" s="3">
        <v>32</v>
      </c>
      <c r="F10" s="24">
        <f>ROUNDUP((C10/E10),0)</f>
        <v>35</v>
      </c>
      <c r="G10" s="25">
        <v>20</v>
      </c>
      <c r="H10" s="25">
        <f>G10*F10</f>
        <v>700</v>
      </c>
      <c r="J10" s="9" t="s">
        <v>41</v>
      </c>
      <c r="K10" s="5"/>
      <c r="L10" s="37">
        <f>H41</f>
        <v>200</v>
      </c>
    </row>
    <row r="11" spans="1:12" x14ac:dyDescent="0.55000000000000004">
      <c r="B11" s="18"/>
      <c r="C11" s="18"/>
      <c r="D11" s="18"/>
      <c r="E11" s="18"/>
      <c r="F11" s="18"/>
      <c r="G11" s="18"/>
      <c r="H11" s="18" t="s">
        <v>5</v>
      </c>
      <c r="J11" s="9" t="s">
        <v>38</v>
      </c>
      <c r="K11" s="5"/>
      <c r="L11" s="10">
        <f>SUM(H40:H45)</f>
        <v>9600</v>
      </c>
    </row>
    <row r="12" spans="1:12" x14ac:dyDescent="0.55000000000000004">
      <c r="A12" s="20" t="s">
        <v>6</v>
      </c>
      <c r="B12" s="18" t="s">
        <v>15</v>
      </c>
      <c r="C12" s="18" t="s">
        <v>16</v>
      </c>
      <c r="D12" s="18" t="s">
        <v>17</v>
      </c>
      <c r="E12" s="18"/>
      <c r="F12" s="26"/>
      <c r="G12" s="18"/>
      <c r="H12" s="18" t="s">
        <v>18</v>
      </c>
      <c r="J12" s="39" t="s">
        <v>14</v>
      </c>
      <c r="K12" s="40"/>
      <c r="L12" s="41">
        <f>SUM(L2:L11)</f>
        <v>11197.5</v>
      </c>
    </row>
    <row r="13" spans="1:12" x14ac:dyDescent="0.55000000000000004">
      <c r="A13" s="15" t="s">
        <v>3</v>
      </c>
      <c r="B13" s="16" t="s">
        <v>3</v>
      </c>
      <c r="C13" s="16" t="s">
        <v>3</v>
      </c>
      <c r="D13" s="16"/>
      <c r="E13" s="16"/>
      <c r="F13" s="16"/>
      <c r="G13" s="16"/>
      <c r="H13" s="15" t="s">
        <v>3</v>
      </c>
      <c r="K13"/>
      <c r="L13" s="38"/>
    </row>
    <row r="14" spans="1:12" x14ac:dyDescent="0.55000000000000004">
      <c r="A14" s="3" t="s">
        <v>19</v>
      </c>
      <c r="B14" s="27">
        <v>2</v>
      </c>
      <c r="C14" s="28">
        <v>70</v>
      </c>
      <c r="D14" s="3">
        <f>B14/2</f>
        <v>1</v>
      </c>
      <c r="E14" s="24"/>
      <c r="F14" s="29"/>
      <c r="G14" s="25"/>
      <c r="H14" s="25">
        <f>D14*C14</f>
        <v>70</v>
      </c>
      <c r="J14" s="42" t="s">
        <v>45</v>
      </c>
      <c r="K14"/>
      <c r="L14" s="10">
        <v>12000</v>
      </c>
    </row>
    <row r="15" spans="1:12" x14ac:dyDescent="0.55000000000000004">
      <c r="J15"/>
      <c r="K15"/>
      <c r="L15"/>
    </row>
    <row r="16" spans="1:12" x14ac:dyDescent="0.55000000000000004">
      <c r="B16" s="18"/>
      <c r="C16" s="18"/>
      <c r="D16" s="18" t="s">
        <v>20</v>
      </c>
      <c r="E16" s="18"/>
      <c r="F16" s="18"/>
      <c r="G16" s="18" t="s">
        <v>4</v>
      </c>
      <c r="H16" s="18" t="s">
        <v>5</v>
      </c>
      <c r="J16"/>
      <c r="K16"/>
      <c r="L16"/>
    </row>
    <row r="17" spans="1:12" x14ac:dyDescent="0.55000000000000004">
      <c r="A17" s="20" t="s">
        <v>6</v>
      </c>
      <c r="B17" s="18" t="s">
        <v>21</v>
      </c>
      <c r="C17" s="18" t="s">
        <v>22</v>
      </c>
      <c r="D17" s="18" t="s">
        <v>8</v>
      </c>
      <c r="E17" s="18" t="s">
        <v>9</v>
      </c>
      <c r="F17" s="26" t="s">
        <v>10</v>
      </c>
      <c r="G17" s="18" t="s">
        <v>11</v>
      </c>
      <c r="H17" s="18" t="s">
        <v>23</v>
      </c>
      <c r="J17"/>
      <c r="K17"/>
      <c r="L17"/>
    </row>
    <row r="18" spans="1:12" x14ac:dyDescent="0.55000000000000004">
      <c r="A18" s="15" t="s">
        <v>3</v>
      </c>
      <c r="B18" s="16" t="s">
        <v>3</v>
      </c>
      <c r="C18" s="16" t="s">
        <v>3</v>
      </c>
      <c r="D18" s="16"/>
      <c r="E18" s="16"/>
      <c r="F18" s="16"/>
      <c r="G18" s="16"/>
      <c r="H18" s="15" t="s">
        <v>3</v>
      </c>
      <c r="J18"/>
      <c r="L18"/>
    </row>
    <row r="19" spans="1:12" x14ac:dyDescent="0.55000000000000004">
      <c r="A19" s="3" t="s">
        <v>24</v>
      </c>
      <c r="B19" s="27">
        <v>1000</v>
      </c>
      <c r="C19" s="30">
        <v>3</v>
      </c>
      <c r="D19" s="31">
        <f>ROUNDUP(((B19*C19)*1.1),0)</f>
        <v>3300</v>
      </c>
      <c r="E19" s="32">
        <v>4000</v>
      </c>
      <c r="F19" s="29">
        <f>ROUNDUP((D19/E19),0)</f>
        <v>1</v>
      </c>
      <c r="G19" s="25">
        <v>98</v>
      </c>
      <c r="H19" s="25">
        <f>G19*F19</f>
        <v>98</v>
      </c>
    </row>
    <row r="20" spans="1:12" x14ac:dyDescent="0.55000000000000004">
      <c r="B20" s="33"/>
      <c r="C20" s="31"/>
      <c r="D20" s="31"/>
      <c r="E20" s="28"/>
      <c r="F20" s="34"/>
      <c r="G20" s="25"/>
      <c r="H20" s="25"/>
    </row>
    <row r="21" spans="1:12" x14ac:dyDescent="0.55000000000000004">
      <c r="B21" s="18"/>
      <c r="C21" s="18"/>
      <c r="D21" s="18"/>
      <c r="E21" s="18"/>
      <c r="F21" s="18"/>
      <c r="G21" s="18"/>
      <c r="H21" s="18" t="s">
        <v>5</v>
      </c>
    </row>
    <row r="22" spans="1:12" x14ac:dyDescent="0.55000000000000004">
      <c r="A22" s="20" t="s">
        <v>6</v>
      </c>
      <c r="B22" s="18" t="s">
        <v>10</v>
      </c>
      <c r="C22" s="18" t="s">
        <v>25</v>
      </c>
      <c r="D22" s="18"/>
      <c r="E22" s="18"/>
      <c r="F22" s="26"/>
      <c r="G22" s="18"/>
      <c r="H22" s="18" t="s">
        <v>26</v>
      </c>
    </row>
    <row r="23" spans="1:12" x14ac:dyDescent="0.55000000000000004">
      <c r="A23" s="15" t="s">
        <v>3</v>
      </c>
      <c r="B23" s="16" t="s">
        <v>3</v>
      </c>
      <c r="C23" s="16" t="s">
        <v>3</v>
      </c>
      <c r="D23" s="16"/>
      <c r="E23" s="16"/>
      <c r="F23" s="16"/>
      <c r="G23" s="16"/>
      <c r="H23" s="15" t="s">
        <v>3</v>
      </c>
    </row>
    <row r="24" spans="1:12" x14ac:dyDescent="0.55000000000000004">
      <c r="A24" s="3" t="s">
        <v>27</v>
      </c>
      <c r="B24" s="33">
        <v>15</v>
      </c>
      <c r="C24" s="28">
        <v>7</v>
      </c>
      <c r="D24" s="31"/>
      <c r="E24" s="31"/>
      <c r="F24" s="34"/>
      <c r="G24" s="25"/>
      <c r="H24" s="25">
        <f>B24*C24</f>
        <v>105</v>
      </c>
    </row>
    <row r="25" spans="1:12" x14ac:dyDescent="0.55000000000000004">
      <c r="B25" s="18"/>
      <c r="C25" s="18"/>
      <c r="D25" s="18"/>
      <c r="E25" s="18"/>
      <c r="F25" s="18"/>
      <c r="G25" s="18"/>
      <c r="H25" s="18" t="s">
        <v>5</v>
      </c>
    </row>
    <row r="26" spans="1:12" x14ac:dyDescent="0.55000000000000004">
      <c r="A26" s="20" t="s">
        <v>6</v>
      </c>
      <c r="B26" s="18" t="s">
        <v>10</v>
      </c>
      <c r="C26" s="18" t="s">
        <v>25</v>
      </c>
      <c r="D26" s="18"/>
      <c r="E26" s="18"/>
      <c r="F26" s="26"/>
      <c r="G26" s="18"/>
      <c r="H26" s="18" t="s">
        <v>28</v>
      </c>
    </row>
    <row r="27" spans="1:12" x14ac:dyDescent="0.55000000000000004">
      <c r="A27" s="15" t="s">
        <v>3</v>
      </c>
      <c r="B27" s="16" t="s">
        <v>3</v>
      </c>
      <c r="C27" s="16" t="s">
        <v>3</v>
      </c>
      <c r="D27" s="16"/>
      <c r="E27" s="16"/>
      <c r="F27" s="16"/>
      <c r="G27" s="16"/>
      <c r="H27" s="15" t="s">
        <v>3</v>
      </c>
    </row>
    <row r="28" spans="1:12" x14ac:dyDescent="0.55000000000000004">
      <c r="A28" s="3" t="s">
        <v>29</v>
      </c>
      <c r="B28" s="33">
        <v>0</v>
      </c>
      <c r="C28" s="28">
        <v>8</v>
      </c>
      <c r="D28" s="28"/>
      <c r="E28" s="31"/>
      <c r="F28" s="34"/>
      <c r="G28" s="25"/>
      <c r="H28" s="25">
        <f>C28*B28</f>
        <v>0</v>
      </c>
    </row>
    <row r="29" spans="1:12" x14ac:dyDescent="0.55000000000000004">
      <c r="B29" s="33"/>
      <c r="C29" s="28"/>
      <c r="D29" s="28"/>
      <c r="E29" s="31"/>
      <c r="F29" s="34"/>
      <c r="G29" s="25"/>
      <c r="H29" s="25"/>
    </row>
    <row r="30" spans="1:12" x14ac:dyDescent="0.55000000000000004">
      <c r="B30" s="18"/>
      <c r="C30" s="18"/>
      <c r="D30" s="18"/>
      <c r="E30" s="18"/>
      <c r="F30" s="18"/>
      <c r="G30" s="18"/>
      <c r="H30" s="18" t="s">
        <v>5</v>
      </c>
    </row>
    <row r="31" spans="1:12" x14ac:dyDescent="0.55000000000000004">
      <c r="A31" s="20" t="s">
        <v>6</v>
      </c>
      <c r="B31" s="18" t="s">
        <v>47</v>
      </c>
      <c r="C31" s="18" t="s">
        <v>25</v>
      </c>
      <c r="D31" s="18"/>
      <c r="E31" s="18"/>
      <c r="F31" s="26"/>
      <c r="G31" s="18"/>
      <c r="H31" s="18" t="s">
        <v>49</v>
      </c>
    </row>
    <row r="32" spans="1:12" x14ac:dyDescent="0.55000000000000004">
      <c r="A32" s="15" t="s">
        <v>3</v>
      </c>
      <c r="B32" s="16" t="s">
        <v>3</v>
      </c>
      <c r="C32" s="16" t="s">
        <v>3</v>
      </c>
      <c r="D32" s="16"/>
      <c r="E32" s="16"/>
      <c r="F32" s="16"/>
      <c r="G32" s="16"/>
      <c r="H32" s="15" t="s">
        <v>3</v>
      </c>
    </row>
    <row r="33" spans="1:8" x14ac:dyDescent="0.55000000000000004">
      <c r="A33" s="3" t="s">
        <v>50</v>
      </c>
      <c r="B33" s="33">
        <v>5</v>
      </c>
      <c r="C33" s="28">
        <v>40</v>
      </c>
      <c r="D33" s="28"/>
      <c r="E33" s="31"/>
      <c r="F33" s="34"/>
      <c r="G33" s="25"/>
      <c r="H33" s="25">
        <f>C33*B33</f>
        <v>200</v>
      </c>
    </row>
    <row r="34" spans="1:8" x14ac:dyDescent="0.55000000000000004">
      <c r="B34" s="18" t="s">
        <v>30</v>
      </c>
      <c r="C34" s="18" t="s">
        <v>31</v>
      </c>
      <c r="D34" s="18"/>
      <c r="E34" s="18"/>
      <c r="F34" s="18"/>
      <c r="G34" s="18"/>
      <c r="H34" s="18" t="s">
        <v>14</v>
      </c>
    </row>
    <row r="35" spans="1:8" x14ac:dyDescent="0.55000000000000004">
      <c r="A35" s="20" t="s">
        <v>6</v>
      </c>
      <c r="B35" s="18" t="s">
        <v>32</v>
      </c>
      <c r="C35" s="18" t="s">
        <v>33</v>
      </c>
      <c r="D35" s="18" t="s">
        <v>17</v>
      </c>
      <c r="E35" s="18"/>
      <c r="F35" s="18"/>
      <c r="G35" s="18"/>
      <c r="H35" s="18" t="s">
        <v>30</v>
      </c>
    </row>
    <row r="36" spans="1:8" x14ac:dyDescent="0.55000000000000004">
      <c r="A36" s="15" t="s">
        <v>3</v>
      </c>
      <c r="B36" s="16" t="s">
        <v>3</v>
      </c>
      <c r="C36" s="16" t="s">
        <v>3</v>
      </c>
      <c r="D36" s="16"/>
      <c r="E36" s="16"/>
      <c r="F36" s="16"/>
      <c r="G36" s="16"/>
      <c r="H36" s="15" t="s">
        <v>3</v>
      </c>
    </row>
    <row r="37" spans="1:8" x14ac:dyDescent="0.55000000000000004">
      <c r="A37" s="3" t="s">
        <v>34</v>
      </c>
      <c r="B37" s="27">
        <v>2</v>
      </c>
      <c r="C37" s="28">
        <v>14.5</v>
      </c>
      <c r="D37" s="31">
        <f>ROUNDUP((B37/2),0)</f>
        <v>1</v>
      </c>
      <c r="E37" s="28"/>
      <c r="F37" s="28"/>
      <c r="G37" s="25"/>
      <c r="H37" s="25">
        <f>C37*D37</f>
        <v>14.5</v>
      </c>
    </row>
    <row r="38" spans="1:8" x14ac:dyDescent="0.55000000000000004">
      <c r="B38"/>
      <c r="C38" s="28"/>
      <c r="D38" s="31"/>
      <c r="E38" s="28"/>
      <c r="F38" s="28"/>
      <c r="G38" s="25"/>
      <c r="H38" s="25"/>
    </row>
    <row r="39" spans="1:8" x14ac:dyDescent="0.55000000000000004">
      <c r="A39" s="36" t="s">
        <v>37</v>
      </c>
      <c r="B39" s="36" t="s">
        <v>38</v>
      </c>
      <c r="C39" s="36"/>
      <c r="D39" s="36" t="s">
        <v>39</v>
      </c>
      <c r="E39" s="36"/>
      <c r="F39" s="36"/>
      <c r="G39" s="36"/>
      <c r="H39" s="36" t="s">
        <v>40</v>
      </c>
    </row>
    <row r="40" spans="1:8" x14ac:dyDescent="0.55000000000000004">
      <c r="A40" s="3" t="s">
        <v>36</v>
      </c>
      <c r="B40" s="3">
        <v>2</v>
      </c>
      <c r="D40" s="3">
        <v>5</v>
      </c>
      <c r="H40" s="25">
        <f>((B40*50)*(D40*8))</f>
        <v>4000</v>
      </c>
    </row>
    <row r="41" spans="1:8" x14ac:dyDescent="0.55000000000000004">
      <c r="A41" s="3" t="s">
        <v>41</v>
      </c>
      <c r="B41" s="18"/>
      <c r="C41" s="18"/>
      <c r="D41" s="18"/>
      <c r="E41" s="18"/>
      <c r="F41" s="18"/>
      <c r="G41" s="18"/>
      <c r="H41" s="25">
        <v>200</v>
      </c>
    </row>
    <row r="42" spans="1:8" x14ac:dyDescent="0.55000000000000004">
      <c r="A42" s="3" t="s">
        <v>46</v>
      </c>
      <c r="E42" s="18"/>
      <c r="F42" s="18"/>
      <c r="G42" s="18"/>
      <c r="H42" s="25"/>
    </row>
    <row r="43" spans="1:8" x14ac:dyDescent="0.55000000000000004">
      <c r="A43" s="36" t="s">
        <v>37</v>
      </c>
      <c r="B43" s="36" t="s">
        <v>38</v>
      </c>
      <c r="C43" s="36" t="s">
        <v>42</v>
      </c>
      <c r="D43" s="36" t="s">
        <v>39</v>
      </c>
      <c r="E43" s="36"/>
      <c r="F43" s="36"/>
      <c r="G43" s="36"/>
      <c r="H43" s="36" t="s">
        <v>40</v>
      </c>
    </row>
    <row r="44" spans="1:8" x14ac:dyDescent="0.55000000000000004">
      <c r="A44" s="15"/>
      <c r="B44" s="16"/>
      <c r="C44" s="16"/>
      <c r="D44" s="16"/>
      <c r="E44" s="16"/>
      <c r="F44" s="16"/>
      <c r="G44" s="16"/>
      <c r="H44" s="15"/>
    </row>
    <row r="45" spans="1:8" x14ac:dyDescent="0.55000000000000004">
      <c r="A45" s="3" t="s">
        <v>43</v>
      </c>
      <c r="B45" s="33">
        <v>1</v>
      </c>
      <c r="C45" s="3">
        <v>1</v>
      </c>
      <c r="D45" s="3">
        <v>180</v>
      </c>
      <c r="E45" s="25"/>
      <c r="H45" s="25">
        <f>B45*(C45*30)*D45</f>
        <v>5400</v>
      </c>
    </row>
    <row r="46" spans="1:8" x14ac:dyDescent="0.55000000000000004">
      <c r="B46" s="18"/>
      <c r="C46" s="18"/>
      <c r="D46" s="18"/>
    </row>
    <row r="47" spans="1:8" x14ac:dyDescent="0.55000000000000004">
      <c r="C47" s="25"/>
      <c r="D47" s="25"/>
      <c r="H47" s="25"/>
    </row>
    <row r="48" spans="1:8" x14ac:dyDescent="0.55000000000000004">
      <c r="H48" s="35"/>
    </row>
  </sheetData>
  <mergeCells count="1">
    <mergeCell ref="J1:L1"/>
  </mergeCells>
  <pageMargins left="0.7" right="0.7" top="0.75" bottom="0.75" header="0.3" footer="0.3"/>
  <pageSetup scale="20" orientation="landscape" r:id="rId1"/>
  <headerFooter>
    <oddHeader>&amp;L&amp;G&amp;R&amp;D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C5CDAEC036E54F818E249793D3A63A" ma:contentTypeVersion="13" ma:contentTypeDescription="Create a new document." ma:contentTypeScope="" ma:versionID="3b68bb1ac60d1ef729756fc21ca882de">
  <xsd:schema xmlns:xsd="http://www.w3.org/2001/XMLSchema" xmlns:xs="http://www.w3.org/2001/XMLSchema" xmlns:p="http://schemas.microsoft.com/office/2006/metadata/properties" xmlns:ns2="84e32629-a85f-441b-84e3-0a67009d5f12" xmlns:ns3="05386feb-0fd0-4766-b8e9-7a95f38a2af0" targetNamespace="http://schemas.microsoft.com/office/2006/metadata/properties" ma:root="true" ma:fieldsID="76a23413cb5e3d64dd308836c47bf576" ns2:_="" ns3:_="">
    <xsd:import namespace="84e32629-a85f-441b-84e3-0a67009d5f12"/>
    <xsd:import namespace="05386feb-0fd0-4766-b8e9-7a95f38a2a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e32629-a85f-441b-84e3-0a67009d5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dcca09f-7c2a-419f-a79f-e64e1f5bcf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386feb-0fd0-4766-b8e9-7a95f38a2af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697bcf4-a684-4d49-9c3f-91a4a9576328}" ma:internalName="TaxCatchAll" ma:showField="CatchAllData" ma:web="05386feb-0fd0-4766-b8e9-7a95f38a2a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386feb-0fd0-4766-b8e9-7a95f38a2af0" xsi:nil="true"/>
    <lcf76f155ced4ddcb4097134ff3c332f xmlns="84e32629-a85f-441b-84e3-0a67009d5f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81EF74-A0E9-437E-9323-CBD1CFA344DA}"/>
</file>

<file path=customXml/itemProps2.xml><?xml version="1.0" encoding="utf-8"?>
<ds:datastoreItem xmlns:ds="http://schemas.openxmlformats.org/officeDocument/2006/customXml" ds:itemID="{6BA2F26F-1208-41C7-8ED8-F910123E64E4}"/>
</file>

<file path=customXml/itemProps3.xml><?xml version="1.0" encoding="utf-8"?>
<ds:datastoreItem xmlns:ds="http://schemas.openxmlformats.org/officeDocument/2006/customXml" ds:itemID="{9E07160A-1209-4E98-A5BC-8CF2558135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Marissa Mallory</dc:creator>
  <cp:lastModifiedBy>Chaitanya Banthia</cp:lastModifiedBy>
  <cp:lastPrinted>2019-03-26T16:51:58Z</cp:lastPrinted>
  <dcterms:created xsi:type="dcterms:W3CDTF">2016-04-28T17:40:56Z</dcterms:created>
  <dcterms:modified xsi:type="dcterms:W3CDTF">2020-12-09T23:26:59Z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0x0101001DC5CDAEC036E54F818E249793D3A63A</vt:lpwstr>
  </property>
</Properties>
</file>