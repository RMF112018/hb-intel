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\Chaitanya Banthia\++Project Set Up\Folder Set\05 Alternates\"/>
    </mc:Choice>
  </mc:AlternateContent>
  <xr:revisionPtr revIDLastSave="0" documentId="13_ncr:1_{E1D17F55-1E6C-4783-9DB3-4747CDC6AFE2}" xr6:coauthVersionLast="47" xr6:coauthVersionMax="47" xr10:uidLastSave="{00000000-0000-0000-0000-000000000000}"/>
  <bookViews>
    <workbookView xWindow="-120" yWindow="-120" windowWidth="29040" windowHeight="15840" tabRatio="759" activeTab="1" xr2:uid="{00000000-000D-0000-FFFF-FFFF00000000}"/>
  </bookViews>
  <sheets>
    <sheet name="Summary" sheetId="1" r:id="rId1"/>
    <sheet name="Alt01" sheetId="4" r:id="rId2"/>
    <sheet name="Alt02" sheetId="8" r:id="rId3"/>
    <sheet name="Alt03" sheetId="9" r:id="rId4"/>
    <sheet name="Alt04" sheetId="10" r:id="rId5"/>
    <sheet name="Alt05" sheetId="11" r:id="rId6"/>
    <sheet name="Alt06" sheetId="12" r:id="rId7"/>
    <sheet name="Alt07" sheetId="2" r:id="rId8"/>
    <sheet name="Alt08" sheetId="13" r:id="rId9"/>
    <sheet name="Alt09" sheetId="3" r:id="rId10"/>
    <sheet name="Alt10" sheetId="14" r:id="rId11"/>
    <sheet name="Alt11" sheetId="15" r:id="rId12"/>
    <sheet name="Alt12" sheetId="16" r:id="rId13"/>
    <sheet name="Alt13" sheetId="17" r:id="rId14"/>
  </sheets>
  <definedNames>
    <definedName name="_xlnm.Print_Area" localSheetId="1">'Alt01'!$A$1:$M$46</definedName>
    <definedName name="_xlnm.Print_Area" localSheetId="2">'Alt02'!$A$1:$M$46</definedName>
    <definedName name="_xlnm.Print_Area" localSheetId="3">'Alt03'!$A$1:$M$46</definedName>
    <definedName name="_xlnm.Print_Area" localSheetId="4">'Alt04'!$A$1:$M$46</definedName>
    <definedName name="_xlnm.Print_Area" localSheetId="5">'Alt05'!$A$1:$M$46</definedName>
    <definedName name="_xlnm.Print_Area" localSheetId="6">'Alt06'!$A$1:$M$46</definedName>
    <definedName name="_xlnm.Print_Area" localSheetId="7">'Alt07'!$A$1:$M$46</definedName>
    <definedName name="_xlnm.Print_Area" localSheetId="8">'Alt08'!$A$1:$M$46</definedName>
    <definedName name="_xlnm.Print_Area" localSheetId="9">'Alt09'!$A$1:$M$46</definedName>
    <definedName name="_xlnm.Print_Area" localSheetId="0">Summary!$A$1:$C$32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8" l="1"/>
  <c r="I12" i="9"/>
  <c r="I12" i="10"/>
  <c r="I12" i="11"/>
  <c r="I12" i="12"/>
  <c r="I12" i="2"/>
  <c r="I12" i="13"/>
  <c r="I12" i="3"/>
  <c r="I12" i="14"/>
  <c r="I12" i="15"/>
  <c r="I12" i="16"/>
  <c r="I12" i="17"/>
  <c r="I12" i="4"/>
  <c r="B22" i="1"/>
  <c r="B24" i="1"/>
  <c r="B26" i="1"/>
  <c r="B28" i="1"/>
  <c r="B30" i="1"/>
  <c r="B32" i="1"/>
  <c r="B20" i="1" l="1"/>
  <c r="B18" i="1"/>
  <c r="B16" i="1"/>
  <c r="B14" i="1"/>
  <c r="B8" i="1"/>
  <c r="B12" i="1"/>
  <c r="B10" i="1"/>
  <c r="H12" i="9" l="1"/>
  <c r="K12" i="9" s="1"/>
  <c r="M12" i="9" s="1"/>
  <c r="J12" i="9"/>
  <c r="H13" i="9"/>
  <c r="I13" i="9"/>
  <c r="J13" i="9"/>
  <c r="K13" i="9" s="1"/>
  <c r="M13" i="9" s="1"/>
  <c r="H14" i="9"/>
  <c r="I14" i="9"/>
  <c r="J14" i="9"/>
  <c r="H15" i="9"/>
  <c r="K15" i="9" s="1"/>
  <c r="M15" i="9" s="1"/>
  <c r="I15" i="9"/>
  <c r="J15" i="9"/>
  <c r="K14" i="9" l="1"/>
  <c r="M14" i="9" s="1"/>
  <c r="M42" i="17"/>
  <c r="M36" i="17"/>
  <c r="J34" i="17"/>
  <c r="I34" i="17"/>
  <c r="H34" i="17"/>
  <c r="K34" i="17" s="1"/>
  <c r="M34" i="17" s="1"/>
  <c r="J33" i="17"/>
  <c r="I33" i="17"/>
  <c r="K33" i="17" s="1"/>
  <c r="M33" i="17" s="1"/>
  <c r="H33" i="17"/>
  <c r="J32" i="17"/>
  <c r="I32" i="17"/>
  <c r="H32" i="17"/>
  <c r="M29" i="17"/>
  <c r="K26" i="17"/>
  <c r="M26" i="17" s="1"/>
  <c r="J23" i="17"/>
  <c r="I23" i="17"/>
  <c r="H23" i="17"/>
  <c r="J22" i="17"/>
  <c r="I22" i="17"/>
  <c r="K22" i="17" s="1"/>
  <c r="M22" i="17" s="1"/>
  <c r="H22" i="17"/>
  <c r="J21" i="17"/>
  <c r="I21" i="17"/>
  <c r="H21" i="17"/>
  <c r="J20" i="17"/>
  <c r="I20" i="17"/>
  <c r="H20" i="17"/>
  <c r="J19" i="17"/>
  <c r="I19" i="17"/>
  <c r="H19" i="17"/>
  <c r="J18" i="17"/>
  <c r="I18" i="17"/>
  <c r="H18" i="17"/>
  <c r="J17" i="17"/>
  <c r="I17" i="17"/>
  <c r="H17" i="17"/>
  <c r="K17" i="17" s="1"/>
  <c r="M17" i="17" s="1"/>
  <c r="J16" i="17"/>
  <c r="I16" i="17"/>
  <c r="H16" i="17"/>
  <c r="K16" i="17" s="1"/>
  <c r="M16" i="17" s="1"/>
  <c r="J15" i="17"/>
  <c r="I15" i="17"/>
  <c r="H15" i="17"/>
  <c r="J14" i="17"/>
  <c r="I14" i="17"/>
  <c r="K14" i="17" s="1"/>
  <c r="M14" i="17" s="1"/>
  <c r="H14" i="17"/>
  <c r="J13" i="17"/>
  <c r="I13" i="17"/>
  <c r="H13" i="17"/>
  <c r="J12" i="17"/>
  <c r="H12" i="17"/>
  <c r="J11" i="17"/>
  <c r="J25" i="17" s="1"/>
  <c r="I11" i="17"/>
  <c r="H11" i="17"/>
  <c r="B6" i="17"/>
  <c r="B5" i="17"/>
  <c r="M1" i="17"/>
  <c r="M42" i="16"/>
  <c r="M36" i="16"/>
  <c r="J34" i="16"/>
  <c r="I34" i="16"/>
  <c r="H34" i="16"/>
  <c r="K34" i="16" s="1"/>
  <c r="M34" i="16" s="1"/>
  <c r="J33" i="16"/>
  <c r="I33" i="16"/>
  <c r="H33" i="16"/>
  <c r="J32" i="16"/>
  <c r="I32" i="16"/>
  <c r="H32" i="16"/>
  <c r="M29" i="16"/>
  <c r="K26" i="16"/>
  <c r="M26" i="16" s="1"/>
  <c r="J23" i="16"/>
  <c r="I23" i="16"/>
  <c r="H23" i="16"/>
  <c r="J22" i="16"/>
  <c r="K22" i="16" s="1"/>
  <c r="M22" i="16" s="1"/>
  <c r="I22" i="16"/>
  <c r="H22" i="16"/>
  <c r="J21" i="16"/>
  <c r="I21" i="16"/>
  <c r="H21" i="16"/>
  <c r="J20" i="16"/>
  <c r="I20" i="16"/>
  <c r="H20" i="16"/>
  <c r="K20" i="16" s="1"/>
  <c r="M20" i="16" s="1"/>
  <c r="J19" i="16"/>
  <c r="I19" i="16"/>
  <c r="H19" i="16"/>
  <c r="K19" i="16" s="1"/>
  <c r="M19" i="16" s="1"/>
  <c r="K18" i="16"/>
  <c r="M18" i="16" s="1"/>
  <c r="J18" i="16"/>
  <c r="I18" i="16"/>
  <c r="H18" i="16"/>
  <c r="J17" i="16"/>
  <c r="I17" i="16"/>
  <c r="H17" i="16"/>
  <c r="J16" i="16"/>
  <c r="I16" i="16"/>
  <c r="H16" i="16"/>
  <c r="J15" i="16"/>
  <c r="I15" i="16"/>
  <c r="H15" i="16"/>
  <c r="K15" i="16" s="1"/>
  <c r="M15" i="16" s="1"/>
  <c r="J14" i="16"/>
  <c r="I14" i="16"/>
  <c r="H14" i="16"/>
  <c r="K14" i="16" s="1"/>
  <c r="M14" i="16" s="1"/>
  <c r="J13" i="16"/>
  <c r="I13" i="16"/>
  <c r="H13" i="16"/>
  <c r="J12" i="16"/>
  <c r="H12" i="16"/>
  <c r="J11" i="16"/>
  <c r="I11" i="16"/>
  <c r="I25" i="16" s="1"/>
  <c r="H11" i="16"/>
  <c r="B6" i="16"/>
  <c r="B5" i="16"/>
  <c r="M1" i="16"/>
  <c r="M42" i="15"/>
  <c r="M36" i="15"/>
  <c r="J34" i="15"/>
  <c r="I34" i="15"/>
  <c r="H34" i="15"/>
  <c r="J33" i="15"/>
  <c r="I33" i="15"/>
  <c r="H33" i="15"/>
  <c r="J32" i="15"/>
  <c r="I32" i="15"/>
  <c r="H32" i="15"/>
  <c r="K32" i="15" s="1"/>
  <c r="M32" i="15" s="1"/>
  <c r="M29" i="15"/>
  <c r="K26" i="15"/>
  <c r="M26" i="15" s="1"/>
  <c r="J23" i="15"/>
  <c r="I23" i="15"/>
  <c r="H23" i="15"/>
  <c r="J22" i="15"/>
  <c r="I22" i="15"/>
  <c r="K22" i="15" s="1"/>
  <c r="M22" i="15" s="1"/>
  <c r="H22" i="15"/>
  <c r="J21" i="15"/>
  <c r="I21" i="15"/>
  <c r="H21" i="15"/>
  <c r="J20" i="15"/>
  <c r="I20" i="15"/>
  <c r="H20" i="15"/>
  <c r="K20" i="15" s="1"/>
  <c r="M20" i="15" s="1"/>
  <c r="J19" i="15"/>
  <c r="I19" i="15"/>
  <c r="H19" i="15"/>
  <c r="K19" i="15" s="1"/>
  <c r="M19" i="15" s="1"/>
  <c r="J18" i="15"/>
  <c r="I18" i="15"/>
  <c r="H18" i="15"/>
  <c r="J17" i="15"/>
  <c r="I17" i="15"/>
  <c r="H17" i="15"/>
  <c r="J16" i="15"/>
  <c r="K16" i="15" s="1"/>
  <c r="M16" i="15" s="1"/>
  <c r="I16" i="15"/>
  <c r="H16" i="15"/>
  <c r="J15" i="15"/>
  <c r="I15" i="15"/>
  <c r="H15" i="15"/>
  <c r="K15" i="15" s="1"/>
  <c r="M15" i="15" s="1"/>
  <c r="J14" i="15"/>
  <c r="I14" i="15"/>
  <c r="H14" i="15"/>
  <c r="J13" i="15"/>
  <c r="I13" i="15"/>
  <c r="H13" i="15"/>
  <c r="J12" i="15"/>
  <c r="H12" i="15"/>
  <c r="K12" i="15" s="1"/>
  <c r="M12" i="15" s="1"/>
  <c r="J11" i="15"/>
  <c r="J25" i="15" s="1"/>
  <c r="I11" i="15"/>
  <c r="H11" i="15"/>
  <c r="B6" i="15"/>
  <c r="B5" i="15"/>
  <c r="M1" i="15"/>
  <c r="K13" i="17" l="1"/>
  <c r="M13" i="17" s="1"/>
  <c r="K18" i="17"/>
  <c r="M18" i="17" s="1"/>
  <c r="K21" i="17"/>
  <c r="M21" i="17" s="1"/>
  <c r="K13" i="15"/>
  <c r="M13" i="15" s="1"/>
  <c r="K23" i="15"/>
  <c r="M23" i="15" s="1"/>
  <c r="K12" i="16"/>
  <c r="M12" i="16" s="1"/>
  <c r="K17" i="16"/>
  <c r="M17" i="16" s="1"/>
  <c r="K32" i="16"/>
  <c r="M32" i="16" s="1"/>
  <c r="H25" i="17"/>
  <c r="K19" i="17"/>
  <c r="M19" i="17" s="1"/>
  <c r="J25" i="16"/>
  <c r="H25" i="15"/>
  <c r="K18" i="15"/>
  <c r="M18" i="15" s="1"/>
  <c r="K33" i="15"/>
  <c r="M33" i="15" s="1"/>
  <c r="I25" i="17"/>
  <c r="K32" i="17"/>
  <c r="M32" i="17" s="1"/>
  <c r="I25" i="15"/>
  <c r="K21" i="15"/>
  <c r="M21" i="15" s="1"/>
  <c r="K13" i="16"/>
  <c r="M13" i="16" s="1"/>
  <c r="K23" i="16"/>
  <c r="M23" i="16" s="1"/>
  <c r="K33" i="16"/>
  <c r="M33" i="16" s="1"/>
  <c r="K12" i="17"/>
  <c r="M12" i="17" s="1"/>
  <c r="K20" i="17"/>
  <c r="M20" i="17" s="1"/>
  <c r="K15" i="17"/>
  <c r="M15" i="17" s="1"/>
  <c r="K23" i="17"/>
  <c r="M23" i="17" s="1"/>
  <c r="K14" i="15"/>
  <c r="M14" i="15" s="1"/>
  <c r="K34" i="15"/>
  <c r="M34" i="15" s="1"/>
  <c r="K17" i="15"/>
  <c r="M17" i="15" s="1"/>
  <c r="H25" i="16"/>
  <c r="K16" i="16"/>
  <c r="M16" i="16" s="1"/>
  <c r="K21" i="16"/>
  <c r="M21" i="16" s="1"/>
  <c r="K11" i="17"/>
  <c r="K11" i="16"/>
  <c r="K11" i="15"/>
  <c r="M1" i="14"/>
  <c r="M1" i="3"/>
  <c r="M1" i="13"/>
  <c r="M1" i="2"/>
  <c r="M1" i="12"/>
  <c r="M1" i="11"/>
  <c r="M1" i="10"/>
  <c r="M1" i="9"/>
  <c r="M1" i="8"/>
  <c r="J13" i="4"/>
  <c r="J14" i="4"/>
  <c r="J15" i="4"/>
  <c r="J16" i="4"/>
  <c r="J17" i="4"/>
  <c r="J18" i="4"/>
  <c r="I13" i="4"/>
  <c r="I14" i="4"/>
  <c r="I15" i="4"/>
  <c r="I16" i="4"/>
  <c r="I17" i="4"/>
  <c r="I18" i="4"/>
  <c r="I19" i="4"/>
  <c r="I20" i="4"/>
  <c r="I21" i="4"/>
  <c r="H13" i="4"/>
  <c r="H14" i="4"/>
  <c r="H15" i="4"/>
  <c r="H16" i="4"/>
  <c r="H17" i="4"/>
  <c r="H18" i="4"/>
  <c r="H19" i="4"/>
  <c r="H20" i="4"/>
  <c r="H21" i="4"/>
  <c r="H22" i="4"/>
  <c r="J19" i="4"/>
  <c r="K17" i="4" l="1"/>
  <c r="M17" i="4" s="1"/>
  <c r="K13" i="4"/>
  <c r="M13" i="4" s="1"/>
  <c r="K25" i="17"/>
  <c r="M11" i="17"/>
  <c r="K25" i="16"/>
  <c r="M11" i="16"/>
  <c r="K25" i="15"/>
  <c r="M11" i="15"/>
  <c r="K19" i="4"/>
  <c r="M19" i="4" s="1"/>
  <c r="K16" i="4"/>
  <c r="M16" i="4" s="1"/>
  <c r="K15" i="4"/>
  <c r="M15" i="4" s="1"/>
  <c r="K18" i="4"/>
  <c r="M18" i="4" s="1"/>
  <c r="K14" i="4"/>
  <c r="M14" i="4" s="1"/>
  <c r="I11" i="9"/>
  <c r="M25" i="17" l="1"/>
  <c r="K28" i="17"/>
  <c r="M25" i="16"/>
  <c r="K28" i="16"/>
  <c r="M25" i="15"/>
  <c r="K28" i="15"/>
  <c r="M42" i="14"/>
  <c r="M36" i="14"/>
  <c r="J34" i="14"/>
  <c r="I34" i="14"/>
  <c r="H34" i="14"/>
  <c r="J33" i="14"/>
  <c r="I33" i="14"/>
  <c r="H33" i="14"/>
  <c r="J32" i="14"/>
  <c r="I32" i="14"/>
  <c r="H32" i="14"/>
  <c r="M29" i="14"/>
  <c r="K26" i="14"/>
  <c r="M26" i="14" s="1"/>
  <c r="J23" i="14"/>
  <c r="I23" i="14"/>
  <c r="H23" i="14"/>
  <c r="J22" i="14"/>
  <c r="I22" i="14"/>
  <c r="H22" i="14"/>
  <c r="J21" i="14"/>
  <c r="I21" i="14"/>
  <c r="H21" i="14"/>
  <c r="J20" i="14"/>
  <c r="I20" i="14"/>
  <c r="H20" i="14"/>
  <c r="J19" i="14"/>
  <c r="I19" i="14"/>
  <c r="H19" i="14"/>
  <c r="J18" i="14"/>
  <c r="I18" i="14"/>
  <c r="H18" i="14"/>
  <c r="J17" i="14"/>
  <c r="I17" i="14"/>
  <c r="H17" i="14"/>
  <c r="J16" i="14"/>
  <c r="I16" i="14"/>
  <c r="H16" i="14"/>
  <c r="J15" i="14"/>
  <c r="I15" i="14"/>
  <c r="H15" i="14"/>
  <c r="J14" i="14"/>
  <c r="I14" i="14"/>
  <c r="H14" i="14"/>
  <c r="J13" i="14"/>
  <c r="I13" i="14"/>
  <c r="H13" i="14"/>
  <c r="J12" i="14"/>
  <c r="H12" i="14"/>
  <c r="J11" i="14"/>
  <c r="I11" i="14"/>
  <c r="H11" i="14"/>
  <c r="B6" i="14"/>
  <c r="B5" i="14"/>
  <c r="M42" i="3"/>
  <c r="M36" i="3"/>
  <c r="J34" i="3"/>
  <c r="I34" i="3"/>
  <c r="H34" i="3"/>
  <c r="J33" i="3"/>
  <c r="I33" i="3"/>
  <c r="H33" i="3"/>
  <c r="J32" i="3"/>
  <c r="I32" i="3"/>
  <c r="H32" i="3"/>
  <c r="M29" i="3"/>
  <c r="K26" i="3"/>
  <c r="M26" i="3" s="1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H12" i="3"/>
  <c r="J11" i="3"/>
  <c r="I11" i="3"/>
  <c r="H11" i="3"/>
  <c r="B6" i="3"/>
  <c r="B5" i="3"/>
  <c r="M42" i="13"/>
  <c r="M36" i="13"/>
  <c r="J34" i="13"/>
  <c r="I34" i="13"/>
  <c r="H34" i="13"/>
  <c r="J33" i="13"/>
  <c r="I33" i="13"/>
  <c r="H33" i="13"/>
  <c r="J32" i="13"/>
  <c r="I32" i="13"/>
  <c r="H32" i="13"/>
  <c r="M29" i="13"/>
  <c r="K26" i="13"/>
  <c r="M26" i="13" s="1"/>
  <c r="J23" i="13"/>
  <c r="I23" i="13"/>
  <c r="H23" i="13"/>
  <c r="J22" i="13"/>
  <c r="I22" i="13"/>
  <c r="H22" i="13"/>
  <c r="J21" i="13"/>
  <c r="I21" i="13"/>
  <c r="H21" i="13"/>
  <c r="J20" i="13"/>
  <c r="I20" i="13"/>
  <c r="H20" i="13"/>
  <c r="J19" i="13"/>
  <c r="I19" i="13"/>
  <c r="H19" i="13"/>
  <c r="J18" i="13"/>
  <c r="I18" i="13"/>
  <c r="H18" i="13"/>
  <c r="J17" i="13"/>
  <c r="I17" i="13"/>
  <c r="H17" i="13"/>
  <c r="J16" i="13"/>
  <c r="I16" i="13"/>
  <c r="H16" i="13"/>
  <c r="J15" i="13"/>
  <c r="I15" i="13"/>
  <c r="H15" i="13"/>
  <c r="J14" i="13"/>
  <c r="I14" i="13"/>
  <c r="H14" i="13"/>
  <c r="J13" i="13"/>
  <c r="I13" i="13"/>
  <c r="H13" i="13"/>
  <c r="J12" i="13"/>
  <c r="H12" i="13"/>
  <c r="J11" i="13"/>
  <c r="I11" i="13"/>
  <c r="H11" i="13"/>
  <c r="B6" i="13"/>
  <c r="B5" i="13"/>
  <c r="M42" i="2"/>
  <c r="M36" i="2"/>
  <c r="J34" i="2"/>
  <c r="I34" i="2"/>
  <c r="H34" i="2"/>
  <c r="J33" i="2"/>
  <c r="I33" i="2"/>
  <c r="H33" i="2"/>
  <c r="J32" i="2"/>
  <c r="I32" i="2"/>
  <c r="K32" i="2" s="1"/>
  <c r="M32" i="2" s="1"/>
  <c r="H32" i="2"/>
  <c r="M29" i="2"/>
  <c r="K26" i="2"/>
  <c r="M26" i="2" s="1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H12" i="2"/>
  <c r="J11" i="2"/>
  <c r="I11" i="2"/>
  <c r="H11" i="2"/>
  <c r="B6" i="2"/>
  <c r="B5" i="2"/>
  <c r="K14" i="14" l="1"/>
  <c r="M14" i="14" s="1"/>
  <c r="K38" i="17"/>
  <c r="M38" i="17" s="1"/>
  <c r="M28" i="17"/>
  <c r="K39" i="17"/>
  <c r="M39" i="17" s="1"/>
  <c r="K30" i="17"/>
  <c r="M30" i="17" s="1"/>
  <c r="K38" i="16"/>
  <c r="M38" i="16" s="1"/>
  <c r="M28" i="16"/>
  <c r="K35" i="16"/>
  <c r="M35" i="16" s="1"/>
  <c r="K39" i="16"/>
  <c r="M39" i="16" s="1"/>
  <c r="K37" i="16"/>
  <c r="M37" i="16" s="1"/>
  <c r="K30" i="16"/>
  <c r="M30" i="16" s="1"/>
  <c r="K38" i="15"/>
  <c r="M38" i="15" s="1"/>
  <c r="M28" i="15"/>
  <c r="K39" i="15"/>
  <c r="M39" i="15" s="1"/>
  <c r="K30" i="15"/>
  <c r="M30" i="15" s="1"/>
  <c r="K17" i="2"/>
  <c r="M17" i="2" s="1"/>
  <c r="K33" i="13"/>
  <c r="M33" i="13" s="1"/>
  <c r="K33" i="3"/>
  <c r="M33" i="3" s="1"/>
  <c r="K13" i="13"/>
  <c r="M13" i="13" s="1"/>
  <c r="K20" i="13"/>
  <c r="M20" i="13" s="1"/>
  <c r="K20" i="3"/>
  <c r="M20" i="3" s="1"/>
  <c r="K22" i="3"/>
  <c r="M22" i="3" s="1"/>
  <c r="K34" i="14"/>
  <c r="M34" i="14" s="1"/>
  <c r="K19" i="14"/>
  <c r="M19" i="14" s="1"/>
  <c r="K23" i="14"/>
  <c r="M23" i="14" s="1"/>
  <c r="K17" i="13"/>
  <c r="M17" i="13" s="1"/>
  <c r="K21" i="2"/>
  <c r="M21" i="2" s="1"/>
  <c r="K18" i="13"/>
  <c r="M18" i="13" s="1"/>
  <c r="K21" i="13"/>
  <c r="M21" i="13" s="1"/>
  <c r="K34" i="13"/>
  <c r="M34" i="13" s="1"/>
  <c r="K19" i="13"/>
  <c r="M19" i="13" s="1"/>
  <c r="K32" i="13"/>
  <c r="M32" i="13" s="1"/>
  <c r="K15" i="14"/>
  <c r="M15" i="14" s="1"/>
  <c r="K16" i="3"/>
  <c r="M16" i="3" s="1"/>
  <c r="H25" i="3"/>
  <c r="K12" i="3"/>
  <c r="M12" i="3" s="1"/>
  <c r="K11" i="13"/>
  <c r="M11" i="13" s="1"/>
  <c r="K22" i="2"/>
  <c r="M22" i="2" s="1"/>
  <c r="K15" i="2"/>
  <c r="M15" i="2" s="1"/>
  <c r="J25" i="2"/>
  <c r="K13" i="2"/>
  <c r="M13" i="2" s="1"/>
  <c r="K23" i="2"/>
  <c r="M23" i="2" s="1"/>
  <c r="K14" i="2"/>
  <c r="M14" i="2" s="1"/>
  <c r="K16" i="2"/>
  <c r="M16" i="2" s="1"/>
  <c r="K12" i="13"/>
  <c r="M12" i="13" s="1"/>
  <c r="K14" i="3"/>
  <c r="M14" i="3" s="1"/>
  <c r="K17" i="3"/>
  <c r="M17" i="3" s="1"/>
  <c r="K19" i="3"/>
  <c r="M19" i="3" s="1"/>
  <c r="H25" i="14"/>
  <c r="I25" i="14"/>
  <c r="K17" i="14"/>
  <c r="M17" i="14" s="1"/>
  <c r="K20" i="14"/>
  <c r="M20" i="14" s="1"/>
  <c r="K22" i="14"/>
  <c r="M22" i="14" s="1"/>
  <c r="K32" i="14"/>
  <c r="M32" i="14" s="1"/>
  <c r="I25" i="2"/>
  <c r="K18" i="2"/>
  <c r="M18" i="2" s="1"/>
  <c r="K20" i="2"/>
  <c r="M20" i="2" s="1"/>
  <c r="K33" i="2"/>
  <c r="M33" i="2" s="1"/>
  <c r="K14" i="13"/>
  <c r="M14" i="13" s="1"/>
  <c r="K16" i="13"/>
  <c r="M16" i="13" s="1"/>
  <c r="K18" i="3"/>
  <c r="M18" i="3" s="1"/>
  <c r="K21" i="3"/>
  <c r="M21" i="3" s="1"/>
  <c r="K23" i="3"/>
  <c r="M23" i="3" s="1"/>
  <c r="K32" i="3"/>
  <c r="M32" i="3" s="1"/>
  <c r="K34" i="3"/>
  <c r="M34" i="3" s="1"/>
  <c r="K21" i="14"/>
  <c r="M21" i="14" s="1"/>
  <c r="J25" i="14"/>
  <c r="K12" i="2"/>
  <c r="M12" i="2" s="1"/>
  <c r="K19" i="2"/>
  <c r="M19" i="2" s="1"/>
  <c r="K34" i="2"/>
  <c r="M34" i="2" s="1"/>
  <c r="J25" i="13"/>
  <c r="K15" i="13"/>
  <c r="M15" i="13" s="1"/>
  <c r="K22" i="13"/>
  <c r="M22" i="13" s="1"/>
  <c r="K23" i="13"/>
  <c r="M23" i="13" s="1"/>
  <c r="I25" i="3"/>
  <c r="K13" i="3"/>
  <c r="M13" i="3" s="1"/>
  <c r="K15" i="3"/>
  <c r="M15" i="3" s="1"/>
  <c r="K11" i="14"/>
  <c r="M11" i="14" s="1"/>
  <c r="K13" i="14"/>
  <c r="M13" i="14" s="1"/>
  <c r="K16" i="14"/>
  <c r="M16" i="14" s="1"/>
  <c r="K18" i="14"/>
  <c r="M18" i="14" s="1"/>
  <c r="K33" i="14"/>
  <c r="M33" i="14" s="1"/>
  <c r="K12" i="14"/>
  <c r="M12" i="14" s="1"/>
  <c r="J25" i="3"/>
  <c r="K11" i="3"/>
  <c r="I25" i="13"/>
  <c r="H25" i="13"/>
  <c r="H25" i="2"/>
  <c r="K11" i="2"/>
  <c r="I11" i="4"/>
  <c r="K43" i="16" l="1"/>
  <c r="M43" i="16" s="1"/>
  <c r="K35" i="17"/>
  <c r="K45" i="16"/>
  <c r="K35" i="15"/>
  <c r="K25" i="14"/>
  <c r="M25" i="14" s="1"/>
  <c r="K25" i="13"/>
  <c r="K28" i="13" s="1"/>
  <c r="K39" i="13" s="1"/>
  <c r="M39" i="13" s="1"/>
  <c r="K25" i="3"/>
  <c r="M11" i="3"/>
  <c r="M11" i="2"/>
  <c r="K25" i="2"/>
  <c r="M42" i="12"/>
  <c r="M36" i="12"/>
  <c r="J34" i="12"/>
  <c r="I34" i="12"/>
  <c r="H34" i="12"/>
  <c r="J33" i="12"/>
  <c r="I33" i="12"/>
  <c r="H33" i="12"/>
  <c r="J32" i="12"/>
  <c r="I32" i="12"/>
  <c r="H32" i="12"/>
  <c r="M29" i="12"/>
  <c r="K26" i="12"/>
  <c r="M26" i="12" s="1"/>
  <c r="J23" i="12"/>
  <c r="I23" i="12"/>
  <c r="H23" i="12"/>
  <c r="J22" i="12"/>
  <c r="I22" i="12"/>
  <c r="H22" i="12"/>
  <c r="J21" i="12"/>
  <c r="I21" i="12"/>
  <c r="H21" i="12"/>
  <c r="J20" i="12"/>
  <c r="I20" i="12"/>
  <c r="H20" i="12"/>
  <c r="J19" i="12"/>
  <c r="I19" i="12"/>
  <c r="H19" i="12"/>
  <c r="J18" i="12"/>
  <c r="I18" i="12"/>
  <c r="H18" i="12"/>
  <c r="J17" i="12"/>
  <c r="I17" i="12"/>
  <c r="H17" i="12"/>
  <c r="J16" i="12"/>
  <c r="I16" i="12"/>
  <c r="H16" i="12"/>
  <c r="J15" i="12"/>
  <c r="I15" i="12"/>
  <c r="H15" i="12"/>
  <c r="J14" i="12"/>
  <c r="I14" i="12"/>
  <c r="H14" i="12"/>
  <c r="J13" i="12"/>
  <c r="I13" i="12"/>
  <c r="H13" i="12"/>
  <c r="J12" i="12"/>
  <c r="H12" i="12"/>
  <c r="J11" i="12"/>
  <c r="I11" i="12"/>
  <c r="H11" i="12"/>
  <c r="B6" i="12"/>
  <c r="B5" i="12"/>
  <c r="M42" i="11"/>
  <c r="M36" i="11"/>
  <c r="J34" i="11"/>
  <c r="I34" i="11"/>
  <c r="H34" i="11"/>
  <c r="J33" i="11"/>
  <c r="I33" i="11"/>
  <c r="H33" i="11"/>
  <c r="J32" i="11"/>
  <c r="I32" i="11"/>
  <c r="H32" i="11"/>
  <c r="M29" i="11"/>
  <c r="K26" i="11"/>
  <c r="M26" i="11" s="1"/>
  <c r="J23" i="11"/>
  <c r="I23" i="11"/>
  <c r="H23" i="11"/>
  <c r="J22" i="11"/>
  <c r="I22" i="11"/>
  <c r="H22" i="11"/>
  <c r="J21" i="11"/>
  <c r="I21" i="11"/>
  <c r="H21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J16" i="11"/>
  <c r="I16" i="11"/>
  <c r="H16" i="11"/>
  <c r="J15" i="11"/>
  <c r="I15" i="11"/>
  <c r="H15" i="11"/>
  <c r="J14" i="11"/>
  <c r="I14" i="11"/>
  <c r="H14" i="11"/>
  <c r="J13" i="11"/>
  <c r="I13" i="11"/>
  <c r="H13" i="11"/>
  <c r="J12" i="11"/>
  <c r="H12" i="11"/>
  <c r="J11" i="11"/>
  <c r="I11" i="11"/>
  <c r="H11" i="11"/>
  <c r="B6" i="11"/>
  <c r="B5" i="11"/>
  <c r="M42" i="10"/>
  <c r="M36" i="10"/>
  <c r="J34" i="10"/>
  <c r="I34" i="10"/>
  <c r="H34" i="10"/>
  <c r="J33" i="10"/>
  <c r="I33" i="10"/>
  <c r="H33" i="10"/>
  <c r="J32" i="10"/>
  <c r="I32" i="10"/>
  <c r="H32" i="10"/>
  <c r="M29" i="10"/>
  <c r="K26" i="10"/>
  <c r="M26" i="10" s="1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J12" i="10"/>
  <c r="H12" i="10"/>
  <c r="J11" i="10"/>
  <c r="I11" i="10"/>
  <c r="H11" i="10"/>
  <c r="B6" i="10"/>
  <c r="B5" i="10"/>
  <c r="M42" i="9"/>
  <c r="M36" i="9"/>
  <c r="J34" i="9"/>
  <c r="I34" i="9"/>
  <c r="H34" i="9"/>
  <c r="J33" i="9"/>
  <c r="I33" i="9"/>
  <c r="H33" i="9"/>
  <c r="J32" i="9"/>
  <c r="I32" i="9"/>
  <c r="H32" i="9"/>
  <c r="M29" i="9"/>
  <c r="K26" i="9"/>
  <c r="M26" i="9" s="1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8" i="9"/>
  <c r="I18" i="9"/>
  <c r="H18" i="9"/>
  <c r="J17" i="9"/>
  <c r="I17" i="9"/>
  <c r="H17" i="9"/>
  <c r="J16" i="9"/>
  <c r="I16" i="9"/>
  <c r="H16" i="9"/>
  <c r="J11" i="9"/>
  <c r="H11" i="9"/>
  <c r="B6" i="9"/>
  <c r="B5" i="9"/>
  <c r="M42" i="8"/>
  <c r="M36" i="8"/>
  <c r="J34" i="8"/>
  <c r="I34" i="8"/>
  <c r="H34" i="8"/>
  <c r="J33" i="8"/>
  <c r="I33" i="8"/>
  <c r="H33" i="8"/>
  <c r="J32" i="8"/>
  <c r="I32" i="8"/>
  <c r="H32" i="8"/>
  <c r="M29" i="8"/>
  <c r="K26" i="8"/>
  <c r="M26" i="8" s="1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H12" i="8"/>
  <c r="J11" i="8"/>
  <c r="I11" i="8"/>
  <c r="H11" i="8"/>
  <c r="B6" i="8"/>
  <c r="B5" i="8"/>
  <c r="M35" i="17" l="1"/>
  <c r="K37" i="17"/>
  <c r="M37" i="17" s="1"/>
  <c r="M45" i="16"/>
  <c r="B1" i="16"/>
  <c r="C30" i="1" s="1"/>
  <c r="M35" i="15"/>
  <c r="K37" i="15"/>
  <c r="M37" i="15" s="1"/>
  <c r="K38" i="13"/>
  <c r="M25" i="13"/>
  <c r="K28" i="14"/>
  <c r="M25" i="3"/>
  <c r="K28" i="3"/>
  <c r="K30" i="13"/>
  <c r="M28" i="13"/>
  <c r="M25" i="2"/>
  <c r="K28" i="2"/>
  <c r="K15" i="8"/>
  <c r="M15" i="8" s="1"/>
  <c r="K14" i="11"/>
  <c r="M14" i="11" s="1"/>
  <c r="K16" i="11"/>
  <c r="M16" i="11" s="1"/>
  <c r="K19" i="8"/>
  <c r="M19" i="8" s="1"/>
  <c r="K32" i="10"/>
  <c r="M32" i="10" s="1"/>
  <c r="K15" i="12"/>
  <c r="M15" i="12" s="1"/>
  <c r="K19" i="12"/>
  <c r="M19" i="12" s="1"/>
  <c r="K16" i="8"/>
  <c r="M16" i="8" s="1"/>
  <c r="K17" i="11"/>
  <c r="M17" i="11" s="1"/>
  <c r="K14" i="8"/>
  <c r="M14" i="8" s="1"/>
  <c r="K20" i="8"/>
  <c r="M20" i="8" s="1"/>
  <c r="K34" i="8"/>
  <c r="M34" i="8" s="1"/>
  <c r="K22" i="9"/>
  <c r="M22" i="9" s="1"/>
  <c r="K32" i="9"/>
  <c r="M32" i="9" s="1"/>
  <c r="K17" i="10"/>
  <c r="M17" i="10" s="1"/>
  <c r="K20" i="11"/>
  <c r="M20" i="11" s="1"/>
  <c r="K34" i="11"/>
  <c r="M34" i="11" s="1"/>
  <c r="K32" i="8"/>
  <c r="M32" i="8" s="1"/>
  <c r="K32" i="11"/>
  <c r="M32" i="11" s="1"/>
  <c r="K16" i="12"/>
  <c r="M16" i="12" s="1"/>
  <c r="K17" i="12"/>
  <c r="M17" i="12" s="1"/>
  <c r="H25" i="12"/>
  <c r="K13" i="12"/>
  <c r="M13" i="12" s="1"/>
  <c r="K21" i="12"/>
  <c r="M21" i="12" s="1"/>
  <c r="K23" i="12"/>
  <c r="M23" i="12" s="1"/>
  <c r="J25" i="11"/>
  <c r="K13" i="11"/>
  <c r="M13" i="11" s="1"/>
  <c r="K33" i="9"/>
  <c r="M33" i="9" s="1"/>
  <c r="K15" i="10"/>
  <c r="M15" i="10" s="1"/>
  <c r="K11" i="10"/>
  <c r="M11" i="10" s="1"/>
  <c r="K16" i="9"/>
  <c r="M16" i="9" s="1"/>
  <c r="K33" i="10"/>
  <c r="M33" i="10" s="1"/>
  <c r="H25" i="9"/>
  <c r="K17" i="9"/>
  <c r="M17" i="9" s="1"/>
  <c r="K19" i="9"/>
  <c r="M19" i="9" s="1"/>
  <c r="K33" i="8"/>
  <c r="M33" i="8" s="1"/>
  <c r="I25" i="8"/>
  <c r="K12" i="8"/>
  <c r="M12" i="8" s="1"/>
  <c r="K13" i="10"/>
  <c r="M13" i="10" s="1"/>
  <c r="K14" i="10"/>
  <c r="M14" i="10" s="1"/>
  <c r="K19" i="10"/>
  <c r="M19" i="10" s="1"/>
  <c r="K21" i="10"/>
  <c r="M21" i="10" s="1"/>
  <c r="K18" i="11"/>
  <c r="M18" i="11" s="1"/>
  <c r="K19" i="11"/>
  <c r="M19" i="11" s="1"/>
  <c r="K23" i="8"/>
  <c r="M23" i="8" s="1"/>
  <c r="I25" i="9"/>
  <c r="K20" i="9"/>
  <c r="M20" i="9" s="1"/>
  <c r="K34" i="10"/>
  <c r="M34" i="10" s="1"/>
  <c r="K23" i="11"/>
  <c r="M23" i="11" s="1"/>
  <c r="I25" i="12"/>
  <c r="K12" i="12"/>
  <c r="M12" i="12" s="1"/>
  <c r="H25" i="8"/>
  <c r="K18" i="8"/>
  <c r="M18" i="8" s="1"/>
  <c r="K11" i="9"/>
  <c r="M11" i="9" s="1"/>
  <c r="K20" i="10"/>
  <c r="M20" i="10" s="1"/>
  <c r="K22" i="10"/>
  <c r="M22" i="10" s="1"/>
  <c r="K23" i="10"/>
  <c r="M23" i="10" s="1"/>
  <c r="K11" i="11"/>
  <c r="M11" i="11" s="1"/>
  <c r="K33" i="11"/>
  <c r="M33" i="11" s="1"/>
  <c r="J25" i="12"/>
  <c r="K14" i="12"/>
  <c r="M14" i="12" s="1"/>
  <c r="K32" i="12"/>
  <c r="M32" i="12" s="1"/>
  <c r="J25" i="8"/>
  <c r="K13" i="8"/>
  <c r="M13" i="8" s="1"/>
  <c r="K17" i="8"/>
  <c r="M17" i="8" s="1"/>
  <c r="K21" i="8"/>
  <c r="M21" i="8" s="1"/>
  <c r="K22" i="8"/>
  <c r="M22" i="8" s="1"/>
  <c r="K18" i="9"/>
  <c r="M18" i="9" s="1"/>
  <c r="K21" i="9"/>
  <c r="M21" i="9" s="1"/>
  <c r="K23" i="9"/>
  <c r="M23" i="9" s="1"/>
  <c r="K34" i="9"/>
  <c r="M34" i="9" s="1"/>
  <c r="K16" i="10"/>
  <c r="M16" i="10" s="1"/>
  <c r="K18" i="10"/>
  <c r="M18" i="10" s="1"/>
  <c r="I25" i="11"/>
  <c r="K12" i="11"/>
  <c r="M12" i="11" s="1"/>
  <c r="K15" i="11"/>
  <c r="M15" i="11" s="1"/>
  <c r="K21" i="11"/>
  <c r="M21" i="11" s="1"/>
  <c r="K22" i="11"/>
  <c r="M22" i="11" s="1"/>
  <c r="K18" i="12"/>
  <c r="M18" i="12" s="1"/>
  <c r="K20" i="12"/>
  <c r="M20" i="12" s="1"/>
  <c r="K22" i="12"/>
  <c r="M22" i="12" s="1"/>
  <c r="K33" i="12"/>
  <c r="M33" i="12" s="1"/>
  <c r="K34" i="12"/>
  <c r="M34" i="12" s="1"/>
  <c r="I25" i="10"/>
  <c r="K12" i="10"/>
  <c r="M12" i="10" s="1"/>
  <c r="J25" i="10"/>
  <c r="K11" i="12"/>
  <c r="H25" i="11"/>
  <c r="H25" i="10"/>
  <c r="J25" i="9"/>
  <c r="K11" i="8"/>
  <c r="B5" i="4"/>
  <c r="B6" i="4"/>
  <c r="H11" i="4"/>
  <c r="J11" i="4"/>
  <c r="H12" i="4"/>
  <c r="J12" i="4"/>
  <c r="J20" i="4"/>
  <c r="J21" i="4"/>
  <c r="I22" i="4"/>
  <c r="J22" i="4"/>
  <c r="H23" i="4"/>
  <c r="I23" i="4"/>
  <c r="J23" i="4"/>
  <c r="K26" i="4"/>
  <c r="M26" i="4" s="1"/>
  <c r="M29" i="4"/>
  <c r="H32" i="4"/>
  <c r="I32" i="4"/>
  <c r="J32" i="4"/>
  <c r="H33" i="4"/>
  <c r="I33" i="4"/>
  <c r="J33" i="4"/>
  <c r="H34" i="4"/>
  <c r="I34" i="4"/>
  <c r="J34" i="4"/>
  <c r="M36" i="4"/>
  <c r="M42" i="4"/>
  <c r="K43" i="17" l="1"/>
  <c r="M43" i="17" s="1"/>
  <c r="K45" i="17"/>
  <c r="K43" i="15"/>
  <c r="M43" i="15" s="1"/>
  <c r="K38" i="2"/>
  <c r="M38" i="2" s="1"/>
  <c r="K39" i="2"/>
  <c r="M39" i="2" s="1"/>
  <c r="K38" i="3"/>
  <c r="M38" i="3" s="1"/>
  <c r="K39" i="3"/>
  <c r="M39" i="3" s="1"/>
  <c r="K38" i="14"/>
  <c r="M38" i="14" s="1"/>
  <c r="K39" i="14"/>
  <c r="M39" i="14" s="1"/>
  <c r="K30" i="14"/>
  <c r="M30" i="14" s="1"/>
  <c r="M28" i="14"/>
  <c r="M30" i="13"/>
  <c r="K35" i="13"/>
  <c r="M35" i="13" s="1"/>
  <c r="M28" i="3"/>
  <c r="K30" i="3"/>
  <c r="M30" i="3" s="1"/>
  <c r="K30" i="2"/>
  <c r="M30" i="2" s="1"/>
  <c r="M28" i="2"/>
  <c r="K23" i="4"/>
  <c r="M23" i="4" s="1"/>
  <c r="K34" i="4"/>
  <c r="M34" i="4" s="1"/>
  <c r="K12" i="4"/>
  <c r="M12" i="4" s="1"/>
  <c r="K22" i="4"/>
  <c r="M22" i="4" s="1"/>
  <c r="K11" i="4"/>
  <c r="M11" i="4" s="1"/>
  <c r="K25" i="11"/>
  <c r="M25" i="11" s="1"/>
  <c r="K32" i="4"/>
  <c r="M32" i="4" s="1"/>
  <c r="K25" i="9"/>
  <c r="M25" i="9" s="1"/>
  <c r="K25" i="10"/>
  <c r="M25" i="10" s="1"/>
  <c r="M11" i="12"/>
  <c r="K25" i="12"/>
  <c r="M11" i="8"/>
  <c r="K25" i="8"/>
  <c r="K21" i="4"/>
  <c r="M21" i="4" s="1"/>
  <c r="K20" i="4"/>
  <c r="M20" i="4" s="1"/>
  <c r="I25" i="4"/>
  <c r="J25" i="4"/>
  <c r="K33" i="4"/>
  <c r="M33" i="4" s="1"/>
  <c r="H25" i="4"/>
  <c r="M45" i="17" l="1"/>
  <c r="B1" i="17"/>
  <c r="C32" i="1" s="1"/>
  <c r="K45" i="15"/>
  <c r="K35" i="14"/>
  <c r="M35" i="14" s="1"/>
  <c r="K35" i="2"/>
  <c r="M35" i="2" s="1"/>
  <c r="K37" i="13"/>
  <c r="K35" i="3"/>
  <c r="K28" i="11"/>
  <c r="K39" i="11" s="1"/>
  <c r="M39" i="11" s="1"/>
  <c r="K28" i="9"/>
  <c r="K39" i="9" s="1"/>
  <c r="M39" i="9" s="1"/>
  <c r="K28" i="10"/>
  <c r="K39" i="10" s="1"/>
  <c r="M39" i="10" s="1"/>
  <c r="M25" i="12"/>
  <c r="K28" i="12"/>
  <c r="K39" i="12" s="1"/>
  <c r="M39" i="12" s="1"/>
  <c r="M25" i="8"/>
  <c r="K28" i="8"/>
  <c r="K39" i="8" s="1"/>
  <c r="M39" i="8" s="1"/>
  <c r="K25" i="4"/>
  <c r="M45" i="15" l="1"/>
  <c r="B1" i="15"/>
  <c r="C28" i="1" s="1"/>
  <c r="K37" i="14"/>
  <c r="M37" i="14" s="1"/>
  <c r="K37" i="2"/>
  <c r="M37" i="2" s="1"/>
  <c r="K38" i="12"/>
  <c r="M38" i="12" s="1"/>
  <c r="K30" i="11"/>
  <c r="M30" i="11" s="1"/>
  <c r="K38" i="11"/>
  <c r="M38" i="11" s="1"/>
  <c r="K30" i="10"/>
  <c r="M30" i="10" s="1"/>
  <c r="K38" i="10"/>
  <c r="M38" i="10" s="1"/>
  <c r="K38" i="9"/>
  <c r="M38" i="9" s="1"/>
  <c r="K38" i="8"/>
  <c r="M38" i="8" s="1"/>
  <c r="M37" i="13"/>
  <c r="M35" i="3"/>
  <c r="K37" i="3"/>
  <c r="M37" i="3" s="1"/>
  <c r="M28" i="11"/>
  <c r="K30" i="9"/>
  <c r="M30" i="9" s="1"/>
  <c r="M28" i="9"/>
  <c r="M28" i="10"/>
  <c r="K30" i="12"/>
  <c r="M30" i="12" s="1"/>
  <c r="M28" i="12"/>
  <c r="K30" i="8"/>
  <c r="M30" i="8" s="1"/>
  <c r="M28" i="8"/>
  <c r="M25" i="4"/>
  <c r="K28" i="4"/>
  <c r="K39" i="4" s="1"/>
  <c r="M39" i="4" s="1"/>
  <c r="K43" i="2" l="1"/>
  <c r="M43" i="2" s="1"/>
  <c r="K43" i="14"/>
  <c r="M43" i="14" s="1"/>
  <c r="K35" i="11"/>
  <c r="M35" i="11" s="1"/>
  <c r="K35" i="10"/>
  <c r="K37" i="10" s="1"/>
  <c r="M37" i="10" s="1"/>
  <c r="K38" i="4"/>
  <c r="K45" i="14"/>
  <c r="M45" i="14" s="1"/>
  <c r="K43" i="3"/>
  <c r="M43" i="3" s="1"/>
  <c r="M38" i="13"/>
  <c r="K43" i="13"/>
  <c r="M43" i="13" s="1"/>
  <c r="K35" i="9"/>
  <c r="M35" i="9" s="1"/>
  <c r="K35" i="12"/>
  <c r="K35" i="8"/>
  <c r="K37" i="8" s="1"/>
  <c r="K30" i="4"/>
  <c r="M28" i="4"/>
  <c r="K37" i="11" l="1"/>
  <c r="K43" i="11" s="1"/>
  <c r="M43" i="11" s="1"/>
  <c r="K43" i="10"/>
  <c r="M43" i="10" s="1"/>
  <c r="M35" i="10"/>
  <c r="K45" i="2"/>
  <c r="M45" i="2" s="1"/>
  <c r="K37" i="9"/>
  <c r="M37" i="9" s="1"/>
  <c r="K45" i="13"/>
  <c r="B1" i="13" s="1"/>
  <c r="C22" i="1" s="1"/>
  <c r="B1" i="14"/>
  <c r="C26" i="1" s="1"/>
  <c r="K45" i="3"/>
  <c r="M45" i="3" s="1"/>
  <c r="M30" i="4"/>
  <c r="K35" i="4"/>
  <c r="K37" i="4" s="1"/>
  <c r="M35" i="12"/>
  <c r="K37" i="12"/>
  <c r="M35" i="8"/>
  <c r="K43" i="8"/>
  <c r="M37" i="11" l="1"/>
  <c r="K45" i="10"/>
  <c r="M45" i="10" s="1"/>
  <c r="B1" i="2"/>
  <c r="C20" i="1" s="1"/>
  <c r="M45" i="13"/>
  <c r="K43" i="12"/>
  <c r="M43" i="12" s="1"/>
  <c r="B1" i="3"/>
  <c r="C24" i="1" s="1"/>
  <c r="M43" i="8"/>
  <c r="K45" i="8"/>
  <c r="M45" i="8" s="1"/>
  <c r="M35" i="4"/>
  <c r="M37" i="4"/>
  <c r="M38" i="4"/>
  <c r="K43" i="9"/>
  <c r="M43" i="9" s="1"/>
  <c r="M37" i="12"/>
  <c r="K45" i="11"/>
  <c r="M37" i="8"/>
  <c r="B1" i="10" l="1"/>
  <c r="C14" i="1" s="1"/>
  <c r="K45" i="12"/>
  <c r="M45" i="12" s="1"/>
  <c r="K45" i="9"/>
  <c r="B1" i="9" s="1"/>
  <c r="C12" i="1" s="1"/>
  <c r="K43" i="4"/>
  <c r="M43" i="4" s="1"/>
  <c r="M45" i="11"/>
  <c r="B1" i="11"/>
  <c r="C16" i="1" s="1"/>
  <c r="B1" i="8"/>
  <c r="C10" i="1" s="1"/>
  <c r="B1" i="12" l="1"/>
  <c r="C18" i="1" s="1"/>
  <c r="M45" i="9"/>
  <c r="K45" i="4"/>
  <c r="B1" i="4" l="1"/>
  <c r="C8" i="1" s="1"/>
  <c r="M4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Chaitanya Banthia</author>
  </authors>
  <commentList>
    <comment ref="B5" authorId="0" shapeId="0" xr:uid="{0C625D2D-B505-4475-8B9C-4B2E6F235A18}">
      <text>
        <r>
          <rPr>
            <b/>
            <sz val="9"/>
            <color indexed="81"/>
            <rFont val="Tahoma"/>
            <charset val="1"/>
          </rPr>
          <t>Chaitanya Banthia:</t>
        </r>
        <r>
          <rPr>
            <sz val="9"/>
            <color indexed="81"/>
            <rFont val="Tahoma"/>
            <charset val="1"/>
          </rPr>
          <t xml:space="preserve">
THERE ARE PRESET FORMULAE. REVIEW THE FORMULA TO CHECK WHERE THE INFORMATION IS BEING PULLED FROM. </t>
        </r>
      </text>
    </comment>
  </commentList>
</comments>
</file>

<file path=xl/sharedStrings.xml><?xml version="1.0" encoding="utf-8"?>
<sst xmlns="http://schemas.openxmlformats.org/spreadsheetml/2006/main" count="1142" uniqueCount="42">
  <si>
    <t>Job No.:</t>
  </si>
  <si>
    <t>-</t>
  </si>
  <si>
    <t>SPEC</t>
  </si>
  <si>
    <t>UNIT</t>
  </si>
  <si>
    <t>COST/</t>
  </si>
  <si>
    <t>SECTION</t>
  </si>
  <si>
    <t>DESCRIPTION</t>
  </si>
  <si>
    <t>QTY</t>
  </si>
  <si>
    <t>SUB</t>
  </si>
  <si>
    <t>MATL</t>
  </si>
  <si>
    <t>LABOR</t>
  </si>
  <si>
    <t>TOTAL:</t>
  </si>
  <si>
    <t>SUBCONTRACTOR</t>
  </si>
  <si>
    <t>SF</t>
  </si>
  <si>
    <t>SUB-TOTAL:</t>
  </si>
  <si>
    <t>SALES TAX/PAYROLL TAXES:</t>
  </si>
  <si>
    <t>INCL</t>
  </si>
  <si>
    <t>CONTRACTOR  FEE:</t>
  </si>
  <si>
    <t>%</t>
  </si>
  <si>
    <t>BUILDER'S RISK INSURANCE (2.1%)</t>
  </si>
  <si>
    <t>GENERAL LIABILITY INSURANCE</t>
  </si>
  <si>
    <t>BOND</t>
  </si>
  <si>
    <t>ALTERNATES</t>
  </si>
  <si>
    <t>Alternate No. 1-</t>
  </si>
  <si>
    <t>Specifics</t>
  </si>
  <si>
    <t>Alternate No. 2-</t>
  </si>
  <si>
    <t>Alternate No. 3-</t>
  </si>
  <si>
    <t>Alternate No. 6-</t>
  </si>
  <si>
    <t>Alternate No. 7-</t>
  </si>
  <si>
    <t>Alternate No. 8-</t>
  </si>
  <si>
    <t>Alternate No. 9-</t>
  </si>
  <si>
    <t>Alternate No. 10-</t>
  </si>
  <si>
    <t>IT FEE</t>
  </si>
  <si>
    <t>CONTINGENCY</t>
  </si>
  <si>
    <t>Alternate No. 11-</t>
  </si>
  <si>
    <t>Alternate No. 12-</t>
  </si>
  <si>
    <t>Alternate No. 13-</t>
  </si>
  <si>
    <t>Alternate No. 5-</t>
  </si>
  <si>
    <t xml:space="preserve">Alternate No. 4 </t>
  </si>
  <si>
    <t>(ENTER PROJECT NAME)</t>
  </si>
  <si>
    <t>ALTERNATE #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</si>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</sst>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mmmm\ d\,\ yyyy"/>
    <numFmt numFmtId="165" formatCode="00000"/>
    <numFmt numFmtId="166" formatCode="#,##0.0"/>
    <numFmt numFmtId="167" formatCode="#,##0.00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u val="singleAccounting"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5" fontId="2" fillId="0" borderId="1" xfId="0" applyNumberFormat="1" applyFont="1" applyBorder="1"/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165" fontId="0" fillId="0" borderId="4" xfId="0" applyNumberFormat="1" applyBorder="1"/>
    <xf numFmtId="42" fontId="4" fillId="0" borderId="0" xfId="0" applyNumberFormat="1" applyFont="1" applyBorder="1"/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2" fillId="0" borderId="0" xfId="0" applyFont="1" applyBorder="1"/>
    <xf numFmtId="3" fontId="0" fillId="0" borderId="0" xfId="0" applyNumberForma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5" xfId="0" applyFont="1" applyBorder="1"/>
    <xf numFmtId="165" fontId="1" fillId="0" borderId="4" xfId="0" quotePrefix="1" applyNumberFormat="1" applyFont="1" applyBorder="1" applyAlignment="1">
      <alignment horizontal="fill"/>
    </xf>
    <xf numFmtId="0" fontId="1" fillId="0" borderId="0" xfId="0" quotePrefix="1" applyFont="1" applyBorder="1" applyAlignment="1">
      <alignment horizontal="fill"/>
    </xf>
    <xf numFmtId="3" fontId="1" fillId="0" borderId="0" xfId="0" quotePrefix="1" applyNumberFormat="1" applyFont="1" applyBorder="1" applyAlignment="1">
      <alignment horizontal="fill"/>
    </xf>
    <xf numFmtId="0" fontId="1" fillId="0" borderId="5" xfId="0" quotePrefix="1" applyFont="1" applyBorder="1" applyAlignment="1">
      <alignment horizontal="fill"/>
    </xf>
    <xf numFmtId="165" fontId="2" fillId="0" borderId="4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6" fillId="0" borderId="0" xfId="0" applyFont="1" applyBorder="1"/>
    <xf numFmtId="3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3" fontId="7" fillId="0" borderId="0" xfId="0" applyNumberFormat="1" applyFont="1" applyBorder="1"/>
    <xf numFmtId="4" fontId="7" fillId="0" borderId="5" xfId="0" applyNumberFormat="1" applyFont="1" applyBorder="1"/>
    <xf numFmtId="0" fontId="3" fillId="0" borderId="0" xfId="0" applyFont="1" applyBorder="1"/>
    <xf numFmtId="165" fontId="8" fillId="0" borderId="4" xfId="0" applyNumberFormat="1" applyFont="1" applyBorder="1"/>
    <xf numFmtId="0" fontId="8" fillId="0" borderId="0" xfId="0" applyFont="1" applyBorder="1"/>
    <xf numFmtId="0" fontId="8" fillId="0" borderId="0" xfId="0" applyFont="1" applyFill="1" applyBorder="1"/>
    <xf numFmtId="3" fontId="8" fillId="0" borderId="0" xfId="0" applyNumberFormat="1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0" fillId="0" borderId="0" xfId="0" applyNumberFormat="1" applyBorder="1"/>
    <xf numFmtId="166" fontId="8" fillId="0" borderId="0" xfId="0" applyNumberFormat="1" applyFont="1" applyBorder="1"/>
    <xf numFmtId="165" fontId="2" fillId="0" borderId="4" xfId="0" quotePrefix="1" applyNumberFormat="1" applyFont="1" applyBorder="1" applyAlignment="1">
      <alignment horizontal="fill"/>
    </xf>
    <xf numFmtId="0" fontId="2" fillId="0" borderId="0" xfId="0" quotePrefix="1" applyFont="1" applyBorder="1" applyAlignment="1">
      <alignment horizontal="fill"/>
    </xf>
    <xf numFmtId="3" fontId="2" fillId="0" borderId="0" xfId="0" quotePrefix="1" applyNumberFormat="1" applyFont="1" applyBorder="1" applyAlignment="1">
      <alignment horizontal="fill"/>
    </xf>
    <xf numFmtId="2" fontId="2" fillId="0" borderId="5" xfId="0" quotePrefix="1" applyNumberFormat="1" applyFont="1" applyBorder="1" applyAlignment="1">
      <alignment horizontal="fill"/>
    </xf>
    <xf numFmtId="0" fontId="2" fillId="0" borderId="0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2" fontId="0" fillId="0" borderId="5" xfId="0" quotePrefix="1" applyNumberFormat="1" applyBorder="1" applyAlignment="1">
      <alignment horizontal="fill"/>
    </xf>
    <xf numFmtId="165" fontId="0" fillId="0" borderId="6" xfId="0" applyNumberFormat="1" applyBorder="1"/>
    <xf numFmtId="0" fontId="2" fillId="2" borderId="7" xfId="0" applyFont="1" applyFill="1" applyBorder="1"/>
    <xf numFmtId="3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3" fontId="7" fillId="2" borderId="7" xfId="0" applyNumberFormat="1" applyFont="1" applyFill="1" applyBorder="1"/>
    <xf numFmtId="4" fontId="7" fillId="0" borderId="8" xfId="0" applyNumberFormat="1" applyFont="1" applyBorder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3" fontId="8" fillId="0" borderId="0" xfId="0" applyNumberFormat="1" applyFont="1" applyFill="1" applyBorder="1"/>
    <xf numFmtId="42" fontId="9" fillId="0" borderId="2" xfId="0" applyNumberFormat="1" applyFont="1" applyBorder="1"/>
    <xf numFmtId="164" fontId="7" fillId="0" borderId="0" xfId="0" applyNumberFormat="1" applyFont="1" applyBorder="1"/>
    <xf numFmtId="18" fontId="7" fillId="0" borderId="0" xfId="0" applyNumberFormat="1" applyFont="1" applyBorder="1"/>
    <xf numFmtId="167" fontId="8" fillId="0" borderId="0" xfId="0" applyNumberFormat="1" applyFont="1" applyBorder="1"/>
    <xf numFmtId="4" fontId="8" fillId="0" borderId="0" xfId="0" applyNumberFormat="1" applyFont="1" applyBorder="1"/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wrapText="1"/>
    </xf>
    <xf numFmtId="165" fontId="1" fillId="0" borderId="4" xfId="0" applyNumberFormat="1" applyFont="1" applyBorder="1"/>
    <xf numFmtId="0" fontId="1" fillId="0" borderId="0" xfId="0" applyFont="1" applyBorder="1" applyAlignment="1">
      <alignment wrapText="1"/>
    </xf>
    <xf numFmtId="165" fontId="1" fillId="0" borderId="4" xfId="0" applyNumberFormat="1" applyFont="1" applyBorder="1" applyAlignment="1">
      <alignment wrapText="1"/>
    </xf>
    <xf numFmtId="0" fontId="1" fillId="0" borderId="0" xfId="0" applyFont="1" applyFill="1" applyBorder="1"/>
    <xf numFmtId="3" fontId="1" fillId="0" borderId="0" xfId="0" applyNumberFormat="1" applyFont="1" applyBorder="1"/>
    <xf numFmtId="0" fontId="8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quotePrefix="1" applyFont="1" applyBorder="1" applyAlignment="1">
      <alignment horizontal="fill" wrapText="1"/>
    </xf>
    <xf numFmtId="4" fontId="7" fillId="0" borderId="0" xfId="0" applyNumberFormat="1" applyFont="1" applyBorder="1"/>
    <xf numFmtId="0" fontId="2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42" fontId="1" fillId="0" borderId="9" xfId="0" applyNumberFormat="1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1" fillId="0" borderId="9" xfId="0" applyFont="1" applyBorder="1" applyAlignment="1">
      <alignment horizontal="center" wrapText="1"/>
    </xf>
    <xf numFmtId="42" fontId="11" fillId="0" borderId="9" xfId="0" applyNumberFormat="1" applyFont="1" applyBorder="1" applyAlignment="1">
      <alignment horizontal="center" wrapText="1"/>
    </xf>
    <xf numFmtId="0" fontId="0" fillId="0" borderId="9" xfId="0" applyBorder="1"/>
    <xf numFmtId="42" fontId="10" fillId="0" borderId="9" xfId="0" applyNumberFormat="1" applyFont="1" applyBorder="1" applyAlignment="1">
      <alignment wrapText="1"/>
    </xf>
    <xf numFmtId="42" fontId="2" fillId="0" borderId="9" xfId="0" applyNumberFormat="1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view="pageBreakPreview" zoomScale="115" zoomScaleNormal="40" zoomScaleSheetLayoutView="115" workbookViewId="0">
      <selection activeCell="H17" sqref="H17"/>
    </sheetView>
  </sheetViews>
  <sheetFormatPr defaultColWidth="9.140625" defaultRowHeight="12.75" x14ac:dyDescent="0.2"/>
  <cols>
    <col min="1" max="1" width="14.42578125" style="82" customWidth="1"/>
    <col min="2" max="2" width="55.28515625" style="84" customWidth="1"/>
    <col min="3" max="3" width="13.85546875" style="83" customWidth="1"/>
    <col min="4" max="16384" width="9.140625" style="84"/>
  </cols>
  <sheetData>
    <row r="1" spans="1:3" x14ac:dyDescent="0.2">
      <c r="A1" s="90" t="s">
        <v>39</v>
      </c>
      <c r="B1" s="91"/>
      <c r="C1" s="92"/>
    </row>
    <row r="2" spans="1:3" x14ac:dyDescent="0.2">
      <c r="A2" s="93"/>
      <c r="B2" s="94"/>
      <c r="C2" s="95"/>
    </row>
    <row r="3" spans="1:3" x14ac:dyDescent="0.2">
      <c r="A3" s="90" t="s">
        <v>22</v>
      </c>
      <c r="B3" s="91"/>
      <c r="C3" s="92"/>
    </row>
    <row r="4" spans="1:3" x14ac:dyDescent="0.2">
      <c r="A4" s="93"/>
      <c r="B4" s="94"/>
      <c r="C4" s="95"/>
    </row>
    <row r="5" spans="1:3" ht="15" x14ac:dyDescent="0.35">
      <c r="A5" s="85" t="s">
        <v>40</v>
      </c>
      <c r="B5" s="85" t="s">
        <v>6</v>
      </c>
      <c r="C5" s="86" t="s">
        <v>41</v>
      </c>
    </row>
    <row r="8" spans="1:3" x14ac:dyDescent="0.2">
      <c r="A8" s="82">
        <v>1</v>
      </c>
      <c r="B8" s="87">
        <f>'Alt01'!B4</f>
        <v>0</v>
      </c>
      <c r="C8" s="88">
        <f>'Alt01'!B1</f>
        <v>0</v>
      </c>
    </row>
    <row r="9" spans="1:3" x14ac:dyDescent="0.2">
      <c r="B9" s="87"/>
    </row>
    <row r="10" spans="1:3" x14ac:dyDescent="0.2">
      <c r="A10" s="82">
        <v>2</v>
      </c>
      <c r="B10" s="87">
        <f>'Alt02'!B4</f>
        <v>0</v>
      </c>
      <c r="C10" s="88">
        <f>'Alt02'!B1</f>
        <v>0</v>
      </c>
    </row>
    <row r="11" spans="1:3" x14ac:dyDescent="0.2">
      <c r="B11" s="87"/>
      <c r="C11" s="89"/>
    </row>
    <row r="12" spans="1:3" x14ac:dyDescent="0.2">
      <c r="A12" s="82">
        <v>3</v>
      </c>
      <c r="B12" s="87">
        <f>'Alt03'!B4</f>
        <v>0</v>
      </c>
      <c r="C12" s="88">
        <f>'Alt03'!B1</f>
        <v>0</v>
      </c>
    </row>
    <row r="13" spans="1:3" x14ac:dyDescent="0.2">
      <c r="B13" s="87"/>
      <c r="C13" s="89"/>
    </row>
    <row r="14" spans="1:3" ht="15.75" customHeight="1" x14ac:dyDescent="0.2">
      <c r="A14" s="82">
        <v>4</v>
      </c>
      <c r="B14" s="87">
        <f>'Alt04'!B4</f>
        <v>0</v>
      </c>
      <c r="C14" s="88">
        <f>'Alt04'!B1</f>
        <v>0</v>
      </c>
    </row>
    <row r="15" spans="1:3" x14ac:dyDescent="0.2">
      <c r="B15" s="87"/>
      <c r="C15" s="88"/>
    </row>
    <row r="16" spans="1:3" ht="33" customHeight="1" x14ac:dyDescent="0.2">
      <c r="A16" s="82">
        <v>5</v>
      </c>
      <c r="B16" s="87">
        <f>'Alt05'!B4</f>
        <v>0</v>
      </c>
      <c r="C16" s="88">
        <f>'Alt05'!B1</f>
        <v>0</v>
      </c>
    </row>
    <row r="17" spans="1:3" x14ac:dyDescent="0.2">
      <c r="B17" s="87"/>
      <c r="C17" s="88"/>
    </row>
    <row r="18" spans="1:3" x14ac:dyDescent="0.2">
      <c r="A18" s="82">
        <v>6</v>
      </c>
      <c r="B18" s="87">
        <f>'Alt06'!B4</f>
        <v>0</v>
      </c>
      <c r="C18" s="88">
        <f>'Alt06'!B1</f>
        <v>0</v>
      </c>
    </row>
    <row r="19" spans="1:3" x14ac:dyDescent="0.2">
      <c r="B19" s="87"/>
      <c r="C19" s="88"/>
    </row>
    <row r="20" spans="1:3" x14ac:dyDescent="0.2">
      <c r="A20" s="82">
        <v>7</v>
      </c>
      <c r="B20" s="87">
        <f>'Alt07'!B4</f>
        <v>0</v>
      </c>
      <c r="C20" s="88">
        <f>'Alt07'!B1</f>
        <v>0</v>
      </c>
    </row>
    <row r="21" spans="1:3" x14ac:dyDescent="0.2">
      <c r="B21" s="87"/>
      <c r="C21" s="88"/>
    </row>
    <row r="22" spans="1:3" x14ac:dyDescent="0.2">
      <c r="A22" s="82">
        <v>8</v>
      </c>
      <c r="B22" s="87" t="str">
        <f>'Alt08'!B4</f>
        <v>Specifics</v>
      </c>
      <c r="C22" s="88">
        <f>'Alt08'!B1</f>
        <v>0</v>
      </c>
    </row>
    <row r="23" spans="1:3" x14ac:dyDescent="0.2">
      <c r="B23" s="87"/>
      <c r="C23" s="88"/>
    </row>
    <row r="24" spans="1:3" x14ac:dyDescent="0.2">
      <c r="A24" s="82">
        <v>9</v>
      </c>
      <c r="B24" s="87" t="str">
        <f>'Alt09'!B4</f>
        <v>Specifics</v>
      </c>
      <c r="C24" s="88">
        <f>'Alt09'!B1</f>
        <v>0</v>
      </c>
    </row>
    <row r="25" spans="1:3" x14ac:dyDescent="0.2">
      <c r="B25" s="87"/>
      <c r="C25" s="88"/>
    </row>
    <row r="26" spans="1:3" x14ac:dyDescent="0.2">
      <c r="A26" s="82">
        <v>10</v>
      </c>
      <c r="B26" s="87" t="str">
        <f>'Alt10'!B4</f>
        <v>Specifics</v>
      </c>
      <c r="C26" s="88">
        <f>'Alt10'!B1</f>
        <v>0</v>
      </c>
    </row>
    <row r="27" spans="1:3" x14ac:dyDescent="0.2">
      <c r="B27" s="87"/>
      <c r="C27" s="88"/>
    </row>
    <row r="28" spans="1:3" x14ac:dyDescent="0.2">
      <c r="A28" s="82">
        <v>11</v>
      </c>
      <c r="B28" s="87" t="str">
        <f>'Alt11'!B4</f>
        <v>Specifics</v>
      </c>
      <c r="C28" s="88">
        <f>'Alt11'!B1</f>
        <v>0</v>
      </c>
    </row>
    <row r="29" spans="1:3" x14ac:dyDescent="0.2">
      <c r="B29" s="87"/>
      <c r="C29" s="88"/>
    </row>
    <row r="30" spans="1:3" x14ac:dyDescent="0.2">
      <c r="A30" s="82">
        <v>12</v>
      </c>
      <c r="B30" s="87" t="str">
        <f>'Alt12'!B4</f>
        <v>Specifics</v>
      </c>
      <c r="C30" s="88">
        <f>'Alt12'!B1</f>
        <v>0</v>
      </c>
    </row>
    <row r="31" spans="1:3" x14ac:dyDescent="0.2">
      <c r="B31" s="87"/>
      <c r="C31" s="88"/>
    </row>
    <row r="32" spans="1:3" x14ac:dyDescent="0.2">
      <c r="A32" s="82">
        <v>13</v>
      </c>
      <c r="B32" s="87" t="str">
        <f>'Alt13'!B4</f>
        <v>Specifics</v>
      </c>
      <c r="C32" s="88">
        <f>'Alt13'!B1</f>
        <v>0</v>
      </c>
    </row>
  </sheetData>
  <mergeCells count="2">
    <mergeCell ref="A1:C2"/>
    <mergeCell ref="A3:C4"/>
  </mergeCells>
  <phoneticPr fontId="0" type="noConversion"/>
  <printOptions horizontalCentered="1" gridLines="1"/>
  <pageMargins left="0.75" right="0.75" top="1.0104166666666667" bottom="1" header="0.5" footer="0.5"/>
  <pageSetup orientation="portrait" r:id="rId1"/>
  <headerFooter alignWithMargins="0">
    <oddHeader>&amp;L&amp;G&amp;C(ENTER PROJECT NAME)&amp;R&amp;D</oddHeader>
    <oddFooter>&amp;R&amp;Pof&amp;N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5"/>
  <sheetViews>
    <sheetView tabSelected="1" view="pageLayout" zoomScaleNormal="70" zoomScaleSheetLayoutView="7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8.28515625" bestFit="1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2.7109375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81" t="s">
        <v>1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33" t="s">
        <v>23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2"/>
      <c r="B11" s="71"/>
      <c r="C11" s="14"/>
      <c r="D11" s="10"/>
      <c r="E11" s="11"/>
      <c r="F11" s="11"/>
      <c r="G11" s="11"/>
      <c r="H11" s="31">
        <f t="shared" ref="H11:H22" si="0">+C11*E11</f>
        <v>0</v>
      </c>
      <c r="I11" s="31">
        <f>+C11*F11*$I$6</f>
        <v>0</v>
      </c>
      <c r="J11" s="31">
        <f t="shared" ref="J11:J20" si="1">+C11*G11*$J$6</f>
        <v>0</v>
      </c>
      <c r="K11" s="31">
        <f t="shared" ref="K11:K20" si="2">SUM(H11+I11+J11)</f>
        <v>0</v>
      </c>
      <c r="L11" s="67"/>
      <c r="M11" s="32">
        <f t="shared" ref="M11:M20" si="3">K11/$M$6</f>
        <v>0</v>
      </c>
    </row>
    <row r="12" spans="1:13" x14ac:dyDescent="0.2">
      <c r="A12" s="7"/>
      <c r="B12" s="15"/>
      <c r="C12" s="14"/>
      <c r="D12" s="67"/>
      <c r="E12" s="11"/>
      <c r="F12" s="11"/>
      <c r="G12" s="11"/>
      <c r="H12" s="31">
        <f t="shared" si="0"/>
        <v>0</v>
      </c>
      <c r="I12" s="31">
        <f>+C12*F12*$I$6</f>
        <v>0</v>
      </c>
      <c r="J12" s="31">
        <f t="shared" si="1"/>
        <v>0</v>
      </c>
      <c r="K12" s="31">
        <f t="shared" si="2"/>
        <v>0</v>
      </c>
      <c r="L12" s="67"/>
      <c r="M12" s="32">
        <f t="shared" si="3"/>
        <v>0</v>
      </c>
    </row>
    <row r="13" spans="1:13" x14ac:dyDescent="0.2">
      <c r="A13" s="7"/>
      <c r="B13" s="71"/>
      <c r="C13" s="14"/>
      <c r="D13" s="10"/>
      <c r="E13" s="11"/>
      <c r="F13" s="11"/>
      <c r="G13" s="11"/>
      <c r="H13" s="31">
        <f t="shared" si="0"/>
        <v>0</v>
      </c>
      <c r="I13" s="31">
        <f t="shared" ref="I13:I21" si="4">+C13*F13*$I$6</f>
        <v>0</v>
      </c>
      <c r="J13" s="31">
        <f t="shared" si="1"/>
        <v>0</v>
      </c>
      <c r="K13" s="31">
        <f t="shared" si="2"/>
        <v>0</v>
      </c>
      <c r="L13" s="67"/>
      <c r="M13" s="32">
        <f t="shared" si="3"/>
        <v>0</v>
      </c>
    </row>
    <row r="14" spans="1:13" x14ac:dyDescent="0.2">
      <c r="A14" s="7"/>
      <c r="B14" s="71"/>
      <c r="C14" s="14"/>
      <c r="D14" s="10"/>
      <c r="E14" s="11"/>
      <c r="F14" s="11"/>
      <c r="G14" s="11"/>
      <c r="H14" s="31">
        <f t="shared" si="0"/>
        <v>0</v>
      </c>
      <c r="I14" s="31">
        <f t="shared" si="4"/>
        <v>0</v>
      </c>
      <c r="J14" s="31">
        <f t="shared" si="1"/>
        <v>0</v>
      </c>
      <c r="K14" s="31">
        <f t="shared" si="2"/>
        <v>0</v>
      </c>
      <c r="L14" s="67"/>
      <c r="M14" s="32">
        <f t="shared" si="3"/>
        <v>0</v>
      </c>
    </row>
    <row r="15" spans="1:13" x14ac:dyDescent="0.2">
      <c r="A15" s="7"/>
      <c r="B15" s="71"/>
      <c r="C15" s="14"/>
      <c r="D15" s="10"/>
      <c r="E15" s="11"/>
      <c r="F15" s="11"/>
      <c r="G15" s="11"/>
      <c r="H15" s="31">
        <f t="shared" si="0"/>
        <v>0</v>
      </c>
      <c r="I15" s="31">
        <f t="shared" si="4"/>
        <v>0</v>
      </c>
      <c r="J15" s="31">
        <f t="shared" si="1"/>
        <v>0</v>
      </c>
      <c r="K15" s="31">
        <f t="shared" si="2"/>
        <v>0</v>
      </c>
      <c r="L15" s="67"/>
      <c r="M15" s="32">
        <f t="shared" si="3"/>
        <v>0</v>
      </c>
    </row>
    <row r="16" spans="1:13" x14ac:dyDescent="0.2">
      <c r="A16" s="7"/>
      <c r="B16" s="71"/>
      <c r="C16" s="14"/>
      <c r="D16" s="10"/>
      <c r="E16" s="11"/>
      <c r="F16" s="11"/>
      <c r="G16" s="11"/>
      <c r="H16" s="31">
        <f t="shared" si="0"/>
        <v>0</v>
      </c>
      <c r="I16" s="31">
        <f t="shared" si="4"/>
        <v>0</v>
      </c>
      <c r="J16" s="31">
        <f t="shared" si="1"/>
        <v>0</v>
      </c>
      <c r="K16" s="31">
        <f t="shared" si="2"/>
        <v>0</v>
      </c>
      <c r="L16" s="67"/>
      <c r="M16" s="32">
        <f t="shared" si="3"/>
        <v>0</v>
      </c>
    </row>
    <row r="17" spans="1:13" x14ac:dyDescent="0.2">
      <c r="A17" s="7"/>
      <c r="B17" s="71"/>
      <c r="C17" s="14"/>
      <c r="D17" s="10"/>
      <c r="E17" s="11"/>
      <c r="F17" s="11"/>
      <c r="G17" s="11"/>
      <c r="H17" s="31">
        <f t="shared" si="0"/>
        <v>0</v>
      </c>
      <c r="I17" s="31">
        <f t="shared" si="4"/>
        <v>0</v>
      </c>
      <c r="J17" s="31">
        <f t="shared" si="1"/>
        <v>0</v>
      </c>
      <c r="K17" s="31">
        <f t="shared" si="2"/>
        <v>0</v>
      </c>
      <c r="L17" s="67"/>
      <c r="M17" s="32">
        <f t="shared" si="3"/>
        <v>0</v>
      </c>
    </row>
    <row r="18" spans="1:13" x14ac:dyDescent="0.2">
      <c r="A18" s="7"/>
      <c r="B18" s="71"/>
      <c r="C18" s="14"/>
      <c r="D18" s="10"/>
      <c r="E18" s="11"/>
      <c r="F18" s="11"/>
      <c r="G18" s="11"/>
      <c r="H18" s="31">
        <f t="shared" si="0"/>
        <v>0</v>
      </c>
      <c r="I18" s="31">
        <f t="shared" si="4"/>
        <v>0</v>
      </c>
      <c r="J18" s="31">
        <f t="shared" si="1"/>
        <v>0</v>
      </c>
      <c r="K18" s="31">
        <f t="shared" si="2"/>
        <v>0</v>
      </c>
      <c r="L18" s="67"/>
      <c r="M18" s="32">
        <f t="shared" si="3"/>
        <v>0</v>
      </c>
    </row>
    <row r="19" spans="1:13" x14ac:dyDescent="0.2">
      <c r="A19" s="34"/>
      <c r="B19" s="75"/>
      <c r="C19" s="37"/>
      <c r="D19" s="38"/>
      <c r="E19" s="35"/>
      <c r="F19" s="35"/>
      <c r="G19" s="35"/>
      <c r="H19" s="31">
        <f t="shared" si="0"/>
        <v>0</v>
      </c>
      <c r="I19" s="31">
        <f t="shared" si="4"/>
        <v>0</v>
      </c>
      <c r="J19" s="31">
        <f t="shared" si="1"/>
        <v>0</v>
      </c>
      <c r="K19" s="31">
        <f t="shared" si="2"/>
        <v>0</v>
      </c>
      <c r="L19" s="10"/>
      <c r="M19" s="32">
        <f t="shared" si="3"/>
        <v>0</v>
      </c>
    </row>
    <row r="20" spans="1:13" x14ac:dyDescent="0.2">
      <c r="A20" s="34"/>
      <c r="B20" s="75"/>
      <c r="C20" s="37"/>
      <c r="D20" s="38"/>
      <c r="E20" s="35"/>
      <c r="F20" s="35"/>
      <c r="G20" s="35"/>
      <c r="H20" s="31">
        <f t="shared" si="0"/>
        <v>0</v>
      </c>
      <c r="I20" s="31">
        <f t="shared" si="4"/>
        <v>0</v>
      </c>
      <c r="J20" s="31">
        <f t="shared" si="1"/>
        <v>0</v>
      </c>
      <c r="K20" s="31">
        <f t="shared" si="2"/>
        <v>0</v>
      </c>
      <c r="L20" s="10"/>
      <c r="M20" s="32">
        <f t="shared" si="3"/>
        <v>0</v>
      </c>
    </row>
    <row r="21" spans="1:13" x14ac:dyDescent="0.2">
      <c r="A21" s="7"/>
      <c r="B21" s="76"/>
      <c r="C21" s="14"/>
      <c r="D21" s="10"/>
      <c r="E21" s="11"/>
      <c r="F21" s="11"/>
      <c r="G21" s="11"/>
      <c r="H21" s="31">
        <f t="shared" si="0"/>
        <v>0</v>
      </c>
      <c r="I21" s="31">
        <f t="shared" si="4"/>
        <v>0</v>
      </c>
      <c r="J21" s="31">
        <f t="shared" ref="J21:J23" si="5">+C21*G21*$J$6</f>
        <v>0</v>
      </c>
      <c r="K21" s="31">
        <f t="shared" ref="K21:K23" si="6">SUM(H21+I21+J21)</f>
        <v>0</v>
      </c>
      <c r="L21" s="10"/>
      <c r="M21" s="32">
        <f t="shared" ref="M21:M23" si="7">K21/$M$6</f>
        <v>0</v>
      </c>
    </row>
    <row r="22" spans="1:13" x14ac:dyDescent="0.2">
      <c r="A22" s="7"/>
      <c r="B22" s="11"/>
      <c r="C22" s="14"/>
      <c r="D22" s="10"/>
      <c r="E22" s="11"/>
      <c r="F22" s="11"/>
      <c r="G22" s="11"/>
      <c r="H22" s="31">
        <f t="shared" si="0"/>
        <v>0</v>
      </c>
      <c r="I22" s="31">
        <f t="shared" ref="I22:I23" si="8">+C22*F22*$I$6</f>
        <v>0</v>
      </c>
      <c r="J22" s="31">
        <f t="shared" si="5"/>
        <v>0</v>
      </c>
      <c r="K22" s="31">
        <f t="shared" si="6"/>
        <v>0</v>
      </c>
      <c r="L22" s="10"/>
      <c r="M22" s="32">
        <f t="shared" si="7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ref="H23" si="9">+C23*E23</f>
        <v>0</v>
      </c>
      <c r="I23" s="31">
        <f t="shared" si="8"/>
        <v>0</v>
      </c>
      <c r="J23" s="31">
        <f t="shared" si="5"/>
        <v>0</v>
      </c>
      <c r="K23" s="31">
        <f t="shared" si="6"/>
        <v>0</v>
      </c>
      <c r="L23" s="10"/>
      <c r="M23" s="32">
        <f t="shared" si="7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6" si="10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10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10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10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10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>K37/$M$6</f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>K38/$M$6</f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honeticPr fontId="0" type="noConversion"/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view="pageLayout" zoomScaleNormal="9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2.140625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33" t="s">
        <v>25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2"/>
      <c r="B11" s="69"/>
      <c r="C11" s="14"/>
      <c r="D11" s="67"/>
      <c r="E11" s="11"/>
      <c r="F11" s="11"/>
      <c r="G11" s="11"/>
      <c r="H11" s="31">
        <f t="shared" ref="H11:H23" si="0">+C11*E11</f>
        <v>0</v>
      </c>
      <c r="I11" s="31">
        <f t="shared" ref="I11:I23" si="1">+C11*F11*$I$6</f>
        <v>0</v>
      </c>
      <c r="J11" s="31">
        <f t="shared" ref="J11:J23" si="2">+C11*G11*$J$6</f>
        <v>0</v>
      </c>
      <c r="K11" s="31">
        <f t="shared" ref="K11:K23" si="3">SUM(H11+I11+J11)</f>
        <v>0</v>
      </c>
      <c r="L11" s="67"/>
      <c r="M11" s="32">
        <f t="shared" ref="M11:M23" si="4">K11/$M$6</f>
        <v>0</v>
      </c>
    </row>
    <row r="12" spans="1:13" x14ac:dyDescent="0.2">
      <c r="A12" s="7"/>
      <c r="B12" s="69"/>
      <c r="C12" s="14"/>
      <c r="D12" s="67"/>
      <c r="E12" s="11"/>
      <c r="F12" s="11"/>
      <c r="G12" s="11"/>
      <c r="H12" s="31">
        <f t="shared" si="0"/>
        <v>0</v>
      </c>
      <c r="I12" s="31">
        <f>+C12*F12*$I$6</f>
        <v>0</v>
      </c>
      <c r="J12" s="31">
        <f t="shared" si="2"/>
        <v>0</v>
      </c>
      <c r="K12" s="31">
        <f t="shared" si="3"/>
        <v>0</v>
      </c>
      <c r="L12" s="67"/>
      <c r="M12" s="32">
        <f t="shared" si="4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0"/>
        <v>0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10"/>
      <c r="M13" s="32">
        <f t="shared" si="4"/>
        <v>0</v>
      </c>
    </row>
    <row r="14" spans="1:13" x14ac:dyDescent="0.2">
      <c r="A14" s="34"/>
      <c r="B14" s="36"/>
      <c r="C14" s="60"/>
      <c r="D14" s="39"/>
      <c r="E14" s="35"/>
      <c r="F14" s="35"/>
      <c r="G14" s="36"/>
      <c r="H14" s="31">
        <f t="shared" si="0"/>
        <v>0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10"/>
      <c r="M14" s="32">
        <f t="shared" si="4"/>
        <v>0</v>
      </c>
    </row>
    <row r="15" spans="1:13" x14ac:dyDescent="0.2">
      <c r="A15" s="34"/>
      <c r="B15" s="36"/>
      <c r="C15" s="60"/>
      <c r="D15" s="39"/>
      <c r="E15" s="35"/>
      <c r="F15" s="36"/>
      <c r="G15" s="36"/>
      <c r="H15" s="31">
        <f t="shared" si="0"/>
        <v>0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10"/>
      <c r="M15" s="32">
        <f t="shared" si="4"/>
        <v>0</v>
      </c>
    </row>
    <row r="16" spans="1:13" x14ac:dyDescent="0.2">
      <c r="A16" s="34"/>
      <c r="B16" s="36"/>
      <c r="C16" s="60"/>
      <c r="D16" s="39"/>
      <c r="E16" s="36"/>
      <c r="F16" s="36"/>
      <c r="G16" s="36"/>
      <c r="H16" s="31">
        <f t="shared" si="0"/>
        <v>0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10"/>
      <c r="M16" s="32">
        <f t="shared" si="4"/>
        <v>0</v>
      </c>
    </row>
    <row r="17" spans="1:13" x14ac:dyDescent="0.2">
      <c r="A17" s="34"/>
      <c r="B17" s="36"/>
      <c r="C17" s="60"/>
      <c r="D17" s="39"/>
      <c r="E17" s="36"/>
      <c r="F17" s="36"/>
      <c r="G17" s="36"/>
      <c r="H17" s="31">
        <f t="shared" si="0"/>
        <v>0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10"/>
      <c r="M17" s="32">
        <f t="shared" si="4"/>
        <v>0</v>
      </c>
    </row>
    <row r="18" spans="1:13" x14ac:dyDescent="0.2">
      <c r="A18" s="34"/>
      <c r="B18" s="36"/>
      <c r="C18" s="60"/>
      <c r="D18" s="39"/>
      <c r="E18" s="36"/>
      <c r="F18" s="36"/>
      <c r="G18" s="36"/>
      <c r="H18" s="31">
        <f t="shared" si="0"/>
        <v>0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10"/>
      <c r="M18" s="32">
        <f t="shared" si="4"/>
        <v>0</v>
      </c>
    </row>
    <row r="19" spans="1:13" x14ac:dyDescent="0.2">
      <c r="A19" s="34"/>
      <c r="B19" s="36"/>
      <c r="C19" s="60"/>
      <c r="D19" s="39"/>
      <c r="E19" s="36"/>
      <c r="F19" s="35"/>
      <c r="G19" s="35"/>
      <c r="H19" s="31">
        <f t="shared" si="0"/>
        <v>0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10"/>
      <c r="M19" s="32">
        <f t="shared" si="4"/>
        <v>0</v>
      </c>
    </row>
    <row r="20" spans="1:13" x14ac:dyDescent="0.2">
      <c r="A20" s="7"/>
      <c r="B20" s="11"/>
      <c r="C20" s="14"/>
      <c r="D20" s="10"/>
      <c r="E20" s="11"/>
      <c r="F20" s="11"/>
      <c r="G20" s="11"/>
      <c r="H20" s="31">
        <f t="shared" si="0"/>
        <v>0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10"/>
      <c r="M20" s="32">
        <f t="shared" si="4"/>
        <v>0</v>
      </c>
    </row>
    <row r="21" spans="1:13" x14ac:dyDescent="0.2">
      <c r="A21" s="7"/>
      <c r="B21" s="11"/>
      <c r="C21" s="14"/>
      <c r="D21" s="10"/>
      <c r="E21" s="11"/>
      <c r="F21" s="11"/>
      <c r="G21" s="11"/>
      <c r="H21" s="31">
        <f t="shared" si="0"/>
        <v>0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10"/>
      <c r="M21" s="32">
        <f t="shared" si="4"/>
        <v>0</v>
      </c>
    </row>
    <row r="22" spans="1:13" x14ac:dyDescent="0.2">
      <c r="A22" s="7"/>
      <c r="B22" s="11"/>
      <c r="C22" s="14"/>
      <c r="D22" s="10"/>
      <c r="E22" s="11"/>
      <c r="F22" s="11"/>
      <c r="G22" s="11"/>
      <c r="H22" s="31">
        <f t="shared" si="0"/>
        <v>0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10"/>
      <c r="M22" s="32">
        <f t="shared" si="4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si="0"/>
        <v>0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10"/>
      <c r="M23" s="32">
        <f t="shared" si="4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view="pageLayout" topLeftCell="A10" zoomScaleNormal="9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3.42578125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33" t="s">
        <v>26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7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 t="shared" ref="H11:H20" si="0">+C11*E11</f>
        <v>0</v>
      </c>
      <c r="I11" s="31">
        <f>+C11*F11*$I$6</f>
        <v>0</v>
      </c>
      <c r="J11" s="31">
        <f t="shared" ref="J11:J20" si="1">+C11*G11*$J$6</f>
        <v>0</v>
      </c>
      <c r="K11" s="31">
        <f t="shared" ref="K11:K23" si="2">SUM(H11+I11+J11)</f>
        <v>0</v>
      </c>
      <c r="L11" s="67"/>
      <c r="M11" s="32">
        <f t="shared" ref="M11:M23" si="3">K11/$M$6</f>
        <v>0</v>
      </c>
    </row>
    <row r="12" spans="1:13" x14ac:dyDescent="0.2">
      <c r="A12" s="70"/>
      <c r="B12" s="71"/>
      <c r="C12" s="74"/>
      <c r="D12" s="67"/>
      <c r="E12" s="68"/>
      <c r="F12" s="11"/>
      <c r="G12" s="11"/>
      <c r="H12" s="31">
        <f t="shared" si="0"/>
        <v>0</v>
      </c>
      <c r="I12" s="31">
        <f>+C12*F12*$I$6</f>
        <v>0</v>
      </c>
      <c r="J12" s="31">
        <f t="shared" si="1"/>
        <v>0</v>
      </c>
      <c r="K12" s="31">
        <f t="shared" si="2"/>
        <v>0</v>
      </c>
      <c r="L12" s="67"/>
      <c r="M12" s="32">
        <f t="shared" si="3"/>
        <v>0</v>
      </c>
    </row>
    <row r="13" spans="1:13" x14ac:dyDescent="0.2">
      <c r="A13" s="34"/>
      <c r="B13" s="71"/>
      <c r="C13" s="74"/>
      <c r="D13" s="67"/>
      <c r="E13" s="68"/>
      <c r="F13" s="35"/>
      <c r="G13" s="35"/>
      <c r="H13" s="31">
        <f t="shared" si="0"/>
        <v>0</v>
      </c>
      <c r="I13" s="31">
        <f t="shared" ref="I13:I20" si="4">+C13*F13*$I$6</f>
        <v>0</v>
      </c>
      <c r="J13" s="31">
        <f t="shared" si="1"/>
        <v>0</v>
      </c>
      <c r="K13" s="31">
        <f t="shared" si="2"/>
        <v>0</v>
      </c>
      <c r="L13" s="67"/>
      <c r="M13" s="32">
        <f t="shared" si="3"/>
        <v>0</v>
      </c>
    </row>
    <row r="14" spans="1:13" x14ac:dyDescent="0.2">
      <c r="A14" s="34"/>
      <c r="B14" s="71"/>
      <c r="C14" s="74"/>
      <c r="D14" s="67"/>
      <c r="E14" s="68"/>
      <c r="F14" s="73"/>
      <c r="G14" s="35"/>
      <c r="H14" s="31">
        <f t="shared" si="0"/>
        <v>0</v>
      </c>
      <c r="I14" s="31">
        <f t="shared" si="4"/>
        <v>0</v>
      </c>
      <c r="J14" s="31">
        <f t="shared" si="1"/>
        <v>0</v>
      </c>
      <c r="K14" s="31">
        <f t="shared" si="2"/>
        <v>0</v>
      </c>
      <c r="L14" s="67"/>
      <c r="M14" s="32">
        <f t="shared" si="3"/>
        <v>0</v>
      </c>
    </row>
    <row r="15" spans="1:13" x14ac:dyDescent="0.2">
      <c r="A15" s="34"/>
      <c r="B15" s="78"/>
      <c r="C15" s="74"/>
      <c r="D15" s="67"/>
      <c r="E15" s="68"/>
      <c r="F15" s="73"/>
      <c r="G15" s="36"/>
      <c r="H15" s="31">
        <f t="shared" si="0"/>
        <v>0</v>
      </c>
      <c r="I15" s="31">
        <f t="shared" si="4"/>
        <v>0</v>
      </c>
      <c r="J15" s="31">
        <f t="shared" si="1"/>
        <v>0</v>
      </c>
      <c r="K15" s="31">
        <f t="shared" si="2"/>
        <v>0</v>
      </c>
      <c r="L15" s="67"/>
      <c r="M15" s="32">
        <f t="shared" si="3"/>
        <v>0</v>
      </c>
    </row>
    <row r="16" spans="1:13" x14ac:dyDescent="0.2">
      <c r="A16" s="34"/>
      <c r="B16" s="78"/>
      <c r="C16" s="74"/>
      <c r="D16" s="67"/>
      <c r="E16" s="68"/>
      <c r="F16" s="73"/>
      <c r="G16" s="35"/>
      <c r="H16" s="31">
        <f t="shared" si="0"/>
        <v>0</v>
      </c>
      <c r="I16" s="31">
        <f t="shared" si="4"/>
        <v>0</v>
      </c>
      <c r="J16" s="31">
        <f t="shared" si="1"/>
        <v>0</v>
      </c>
      <c r="K16" s="31">
        <f t="shared" si="2"/>
        <v>0</v>
      </c>
      <c r="L16" s="67"/>
      <c r="M16" s="32">
        <f t="shared" si="3"/>
        <v>0</v>
      </c>
    </row>
    <row r="17" spans="1:13" x14ac:dyDescent="0.2">
      <c r="A17" s="34"/>
      <c r="B17" s="71"/>
      <c r="C17" s="14"/>
      <c r="D17" s="10"/>
      <c r="E17" s="11"/>
      <c r="F17" s="11"/>
      <c r="G17" s="11"/>
      <c r="H17" s="31">
        <f t="shared" si="0"/>
        <v>0</v>
      </c>
      <c r="I17" s="31">
        <f t="shared" si="4"/>
        <v>0</v>
      </c>
      <c r="J17" s="31">
        <f t="shared" si="1"/>
        <v>0</v>
      </c>
      <c r="K17" s="31">
        <f t="shared" si="2"/>
        <v>0</v>
      </c>
      <c r="L17" s="67"/>
      <c r="M17" s="32">
        <f t="shared" si="3"/>
        <v>0</v>
      </c>
    </row>
    <row r="18" spans="1:13" x14ac:dyDescent="0.2">
      <c r="A18" s="34"/>
      <c r="B18" s="11"/>
      <c r="C18" s="14"/>
      <c r="D18" s="10"/>
      <c r="E18" s="11"/>
      <c r="F18" s="11"/>
      <c r="G18" s="11"/>
      <c r="H18" s="31">
        <f t="shared" si="0"/>
        <v>0</v>
      </c>
      <c r="I18" s="31">
        <f t="shared" si="4"/>
        <v>0</v>
      </c>
      <c r="J18" s="31">
        <f t="shared" si="1"/>
        <v>0</v>
      </c>
      <c r="K18" s="31">
        <f t="shared" si="2"/>
        <v>0</v>
      </c>
      <c r="L18" s="67"/>
      <c r="M18" s="32">
        <f t="shared" si="3"/>
        <v>0</v>
      </c>
    </row>
    <row r="19" spans="1:13" x14ac:dyDescent="0.2">
      <c r="A19" s="34"/>
      <c r="B19" s="35"/>
      <c r="C19" s="37"/>
      <c r="D19" s="38"/>
      <c r="E19" s="35"/>
      <c r="F19" s="35"/>
      <c r="G19" s="35"/>
      <c r="H19" s="31">
        <f t="shared" si="0"/>
        <v>0</v>
      </c>
      <c r="I19" s="31">
        <f t="shared" si="4"/>
        <v>0</v>
      </c>
      <c r="J19" s="31">
        <f t="shared" si="1"/>
        <v>0</v>
      </c>
      <c r="K19" s="31">
        <f t="shared" si="2"/>
        <v>0</v>
      </c>
      <c r="L19" s="67"/>
      <c r="M19" s="32">
        <f t="shared" si="3"/>
        <v>0</v>
      </c>
    </row>
    <row r="20" spans="1:13" x14ac:dyDescent="0.2">
      <c r="A20" s="34"/>
      <c r="B20" s="35"/>
      <c r="C20" s="37"/>
      <c r="D20" s="38"/>
      <c r="E20" s="35"/>
      <c r="F20" s="35"/>
      <c r="G20" s="35"/>
      <c r="H20" s="31">
        <f t="shared" si="0"/>
        <v>0</v>
      </c>
      <c r="I20" s="31">
        <f t="shared" si="4"/>
        <v>0</v>
      </c>
      <c r="J20" s="31">
        <f t="shared" si="1"/>
        <v>0</v>
      </c>
      <c r="K20" s="31">
        <f t="shared" si="2"/>
        <v>0</v>
      </c>
      <c r="L20" s="10"/>
      <c r="M20" s="32">
        <f t="shared" si="3"/>
        <v>0</v>
      </c>
    </row>
    <row r="21" spans="1:13" x14ac:dyDescent="0.2">
      <c r="A21" s="7"/>
      <c r="B21" s="11"/>
      <c r="C21" s="14"/>
      <c r="D21" s="10"/>
      <c r="E21" s="11"/>
      <c r="F21" s="11"/>
      <c r="G21" s="11"/>
      <c r="H21" s="31">
        <f t="shared" ref="H21:H23" si="5">+C21*E21</f>
        <v>0</v>
      </c>
      <c r="I21" s="31">
        <f t="shared" ref="I21:I23" si="6">+C21*F21*$I$6</f>
        <v>0</v>
      </c>
      <c r="J21" s="31">
        <f t="shared" ref="J21:J23" si="7">+C21*G21*$J$6</f>
        <v>0</v>
      </c>
      <c r="K21" s="31">
        <f t="shared" si="2"/>
        <v>0</v>
      </c>
      <c r="L21" s="10"/>
      <c r="M21" s="32">
        <f t="shared" si="3"/>
        <v>0</v>
      </c>
    </row>
    <row r="22" spans="1:13" x14ac:dyDescent="0.2">
      <c r="A22" s="7"/>
      <c r="B22" s="11"/>
      <c r="C22" s="14"/>
      <c r="D22" s="10"/>
      <c r="E22" s="11"/>
      <c r="F22" s="11"/>
      <c r="G22" s="11"/>
      <c r="H22" s="31">
        <f t="shared" si="5"/>
        <v>0</v>
      </c>
      <c r="I22" s="31">
        <f t="shared" si="6"/>
        <v>0</v>
      </c>
      <c r="J22" s="31">
        <f t="shared" si="7"/>
        <v>0</v>
      </c>
      <c r="K22" s="31">
        <f t="shared" si="2"/>
        <v>0</v>
      </c>
      <c r="L22" s="10"/>
      <c r="M22" s="32">
        <f t="shared" si="3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si="5"/>
        <v>0</v>
      </c>
      <c r="I23" s="31">
        <f t="shared" si="6"/>
        <v>0</v>
      </c>
      <c r="J23" s="31">
        <f t="shared" si="7"/>
        <v>0</v>
      </c>
      <c r="K23" s="31">
        <f t="shared" si="2"/>
        <v>0</v>
      </c>
      <c r="L23" s="10"/>
      <c r="M23" s="32">
        <f t="shared" si="3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8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8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8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8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8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8"/>
        <v>0</v>
      </c>
    </row>
    <row r="38" spans="1:13" x14ac:dyDescent="0.2">
      <c r="A38" s="7"/>
      <c r="B38" s="15" t="s">
        <v>32</v>
      </c>
      <c r="C38" s="65">
        <v>0.25</v>
      </c>
      <c r="D38" s="38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si="8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view="pageLayout" zoomScaleNormal="9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3.5703125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38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/>
      <c r="M10" s="21" t="s">
        <v>1</v>
      </c>
    </row>
    <row r="11" spans="1:13" x14ac:dyDescent="0.2">
      <c r="A11" s="70"/>
      <c r="B11" s="69"/>
      <c r="C11" s="14"/>
      <c r="D11" s="67"/>
      <c r="E11" s="11"/>
      <c r="F11" s="11"/>
      <c r="G11" s="11"/>
      <c r="H11" s="31">
        <f>+C11*E11</f>
        <v>0</v>
      </c>
      <c r="I11" s="31">
        <f>+C11*F11*$I$6</f>
        <v>0</v>
      </c>
      <c r="J11" s="31">
        <f>+C11*G11*$J$6</f>
        <v>0</v>
      </c>
      <c r="K11" s="31">
        <f t="shared" ref="K11:K23" si="0">SUM(H11+I11+J11)</f>
        <v>0</v>
      </c>
      <c r="L11" s="67"/>
      <c r="M11" s="32">
        <f t="shared" ref="M11:M23" si="1">K11/$M$6</f>
        <v>0</v>
      </c>
    </row>
    <row r="12" spans="1:13" x14ac:dyDescent="0.2">
      <c r="A12" s="7"/>
      <c r="B12" s="69"/>
      <c r="C12" s="14"/>
      <c r="D12" s="67"/>
      <c r="E12" s="11"/>
      <c r="F12" s="11"/>
      <c r="G12" s="11"/>
      <c r="H12" s="31">
        <f>+C12*E12</f>
        <v>0</v>
      </c>
      <c r="I12" s="31">
        <f>+C12*F12*$I$6</f>
        <v>0</v>
      </c>
      <c r="J12" s="31">
        <f>+C12*G12*$J$6</f>
        <v>0</v>
      </c>
      <c r="K12" s="31">
        <f t="shared" si="0"/>
        <v>0</v>
      </c>
      <c r="L12" s="67"/>
      <c r="M12" s="32">
        <f t="shared" si="1"/>
        <v>0</v>
      </c>
    </row>
    <row r="13" spans="1:13" x14ac:dyDescent="0.2">
      <c r="A13" s="34"/>
      <c r="B13" s="68"/>
      <c r="C13" s="37"/>
      <c r="D13" s="38"/>
      <c r="E13" s="35"/>
      <c r="F13" s="35"/>
      <c r="G13" s="35"/>
      <c r="H13" s="31">
        <f>+C13*E13</f>
        <v>0</v>
      </c>
      <c r="I13" s="31">
        <f>+C13*F13*$I$6</f>
        <v>0</v>
      </c>
      <c r="J13" s="31">
        <f>+C13*G13*$J$6</f>
        <v>0</v>
      </c>
      <c r="K13" s="31">
        <f t="shared" si="0"/>
        <v>0</v>
      </c>
      <c r="L13" s="67"/>
      <c r="M13" s="32">
        <f t="shared" si="1"/>
        <v>0</v>
      </c>
    </row>
    <row r="14" spans="1:13" x14ac:dyDescent="0.2">
      <c r="A14" s="34"/>
      <c r="B14" s="71"/>
      <c r="C14" s="74"/>
      <c r="D14" s="67"/>
      <c r="E14" s="35"/>
      <c r="F14" s="35"/>
      <c r="G14" s="35"/>
      <c r="H14" s="31">
        <f t="shared" ref="H14:H23" si="2">+C14*E14</f>
        <v>0</v>
      </c>
      <c r="I14" s="31">
        <f t="shared" ref="I14:I23" si="3">+C14*F14*$I$6</f>
        <v>0</v>
      </c>
      <c r="J14" s="31">
        <f t="shared" ref="J14:J23" si="4">+C14*G14*$J$6</f>
        <v>0</v>
      </c>
      <c r="K14" s="31">
        <f t="shared" si="0"/>
        <v>0</v>
      </c>
      <c r="L14" s="10"/>
      <c r="M14" s="32">
        <f t="shared" si="1"/>
        <v>0</v>
      </c>
    </row>
    <row r="15" spans="1:13" x14ac:dyDescent="0.2">
      <c r="A15" s="34"/>
      <c r="B15" s="78"/>
      <c r="C15" s="74"/>
      <c r="D15" s="67"/>
      <c r="E15" s="36"/>
      <c r="F15" s="73"/>
      <c r="G15" s="36"/>
      <c r="H15" s="31">
        <f t="shared" si="2"/>
        <v>0</v>
      </c>
      <c r="I15" s="31">
        <f t="shared" si="3"/>
        <v>0</v>
      </c>
      <c r="J15" s="31">
        <f t="shared" si="4"/>
        <v>0</v>
      </c>
      <c r="K15" s="31">
        <f t="shared" si="0"/>
        <v>0</v>
      </c>
      <c r="L15" s="10"/>
      <c r="M15" s="32">
        <f t="shared" si="1"/>
        <v>0</v>
      </c>
    </row>
    <row r="16" spans="1:13" x14ac:dyDescent="0.2">
      <c r="A16" s="34"/>
      <c r="B16" s="78"/>
      <c r="C16" s="74"/>
      <c r="D16" s="67"/>
      <c r="E16" s="73"/>
      <c r="F16" s="73"/>
      <c r="G16" s="36"/>
      <c r="H16" s="31">
        <f t="shared" si="2"/>
        <v>0</v>
      </c>
      <c r="I16" s="31">
        <f t="shared" si="3"/>
        <v>0</v>
      </c>
      <c r="J16" s="31">
        <f t="shared" si="4"/>
        <v>0</v>
      </c>
      <c r="K16" s="31">
        <f t="shared" si="0"/>
        <v>0</v>
      </c>
      <c r="L16" s="10"/>
      <c r="M16" s="32">
        <f t="shared" si="1"/>
        <v>0</v>
      </c>
    </row>
    <row r="17" spans="1:13" x14ac:dyDescent="0.2">
      <c r="A17" s="7"/>
      <c r="B17" s="77"/>
      <c r="C17" s="74"/>
      <c r="D17" s="67"/>
      <c r="E17" s="73"/>
      <c r="F17" s="73"/>
      <c r="G17" s="11"/>
      <c r="H17" s="31">
        <f t="shared" si="2"/>
        <v>0</v>
      </c>
      <c r="I17" s="31">
        <f t="shared" si="3"/>
        <v>0</v>
      </c>
      <c r="J17" s="31">
        <f t="shared" si="4"/>
        <v>0</v>
      </c>
      <c r="K17" s="31">
        <f t="shared" si="0"/>
        <v>0</v>
      </c>
      <c r="L17" s="10"/>
      <c r="M17" s="32">
        <f t="shared" si="1"/>
        <v>0</v>
      </c>
    </row>
    <row r="18" spans="1:13" x14ac:dyDescent="0.2">
      <c r="A18" s="7"/>
      <c r="B18" s="77"/>
      <c r="C18" s="74"/>
      <c r="D18" s="67"/>
      <c r="E18" s="73"/>
      <c r="F18" s="73"/>
      <c r="G18" s="11"/>
      <c r="H18" s="31">
        <f t="shared" si="2"/>
        <v>0</v>
      </c>
      <c r="I18" s="31">
        <f t="shared" si="3"/>
        <v>0</v>
      </c>
      <c r="J18" s="31">
        <f t="shared" si="4"/>
        <v>0</v>
      </c>
      <c r="K18" s="31">
        <f t="shared" si="0"/>
        <v>0</v>
      </c>
      <c r="L18" s="10"/>
      <c r="M18" s="32">
        <f t="shared" si="1"/>
        <v>0</v>
      </c>
    </row>
    <row r="19" spans="1:13" x14ac:dyDescent="0.2">
      <c r="A19" s="7"/>
      <c r="B19" s="77"/>
      <c r="C19" s="74"/>
      <c r="D19" s="67"/>
      <c r="E19" s="73"/>
      <c r="F19" s="11"/>
      <c r="G19" s="11"/>
      <c r="H19" s="31">
        <f t="shared" si="2"/>
        <v>0</v>
      </c>
      <c r="I19" s="31">
        <f t="shared" si="3"/>
        <v>0</v>
      </c>
      <c r="J19" s="31">
        <f t="shared" si="4"/>
        <v>0</v>
      </c>
      <c r="K19" s="31">
        <f t="shared" si="0"/>
        <v>0</v>
      </c>
      <c r="L19" s="10"/>
      <c r="M19" s="32">
        <f t="shared" si="1"/>
        <v>0</v>
      </c>
    </row>
    <row r="20" spans="1:13" x14ac:dyDescent="0.2">
      <c r="A20" s="7"/>
      <c r="B20" s="77"/>
      <c r="C20" s="40"/>
      <c r="D20" s="10"/>
      <c r="E20" s="11"/>
      <c r="F20" s="11"/>
      <c r="G20" s="11"/>
      <c r="H20" s="31">
        <f t="shared" si="2"/>
        <v>0</v>
      </c>
      <c r="I20" s="31">
        <f t="shared" si="3"/>
        <v>0</v>
      </c>
      <c r="J20" s="31">
        <f t="shared" si="4"/>
        <v>0</v>
      </c>
      <c r="K20" s="31">
        <f t="shared" si="0"/>
        <v>0</v>
      </c>
      <c r="L20" s="10"/>
      <c r="M20" s="32">
        <f t="shared" si="1"/>
        <v>0</v>
      </c>
    </row>
    <row r="21" spans="1:13" x14ac:dyDescent="0.2">
      <c r="A21" s="7"/>
      <c r="B21" s="77"/>
      <c r="C21" s="40"/>
      <c r="D21" s="10"/>
      <c r="E21" s="11"/>
      <c r="F21" s="11"/>
      <c r="G21" s="11"/>
      <c r="H21" s="31">
        <f t="shared" si="2"/>
        <v>0</v>
      </c>
      <c r="I21" s="31">
        <f t="shared" si="3"/>
        <v>0</v>
      </c>
      <c r="J21" s="31">
        <f t="shared" si="4"/>
        <v>0</v>
      </c>
      <c r="K21" s="31">
        <f t="shared" si="0"/>
        <v>0</v>
      </c>
      <c r="L21" s="10"/>
      <c r="M21" s="32">
        <f t="shared" si="1"/>
        <v>0</v>
      </c>
    </row>
    <row r="22" spans="1:13" x14ac:dyDescent="0.2">
      <c r="A22" s="7"/>
      <c r="B22" s="11"/>
      <c r="C22" s="14"/>
      <c r="D22" s="10"/>
      <c r="E22" s="11"/>
      <c r="F22" s="11"/>
      <c r="G22" s="11"/>
      <c r="H22" s="31">
        <f t="shared" si="2"/>
        <v>0</v>
      </c>
      <c r="I22" s="31">
        <f t="shared" si="3"/>
        <v>0</v>
      </c>
      <c r="J22" s="31">
        <f t="shared" si="4"/>
        <v>0</v>
      </c>
      <c r="K22" s="31">
        <f t="shared" si="0"/>
        <v>0</v>
      </c>
      <c r="L22" s="10"/>
      <c r="M22" s="32">
        <f t="shared" si="1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si="2"/>
        <v>0</v>
      </c>
      <c r="I23" s="31">
        <f t="shared" si="3"/>
        <v>0</v>
      </c>
      <c r="J23" s="31">
        <f t="shared" si="4"/>
        <v>0</v>
      </c>
      <c r="K23" s="31">
        <f t="shared" si="0"/>
        <v>0</v>
      </c>
      <c r="L23" s="10"/>
      <c r="M23" s="32">
        <f t="shared" si="1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view="pageLayout" zoomScaleNormal="9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3.5703125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37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2"/>
      <c r="B11" s="71"/>
      <c r="C11" s="14"/>
      <c r="D11" s="10"/>
      <c r="E11" s="11"/>
      <c r="F11" s="11"/>
      <c r="G11" s="11"/>
      <c r="H11" s="31">
        <f t="shared" ref="H11:H23" si="0">+C11*E11</f>
        <v>0</v>
      </c>
      <c r="I11" s="31">
        <f t="shared" ref="I11:I23" si="1">+C11*F11*$I$6</f>
        <v>0</v>
      </c>
      <c r="J11" s="31">
        <f t="shared" ref="J11:J23" si="2">+C11*G11*$J$6</f>
        <v>0</v>
      </c>
      <c r="K11" s="31">
        <f t="shared" ref="K11:K23" si="3">SUM(H11+I11+J11)</f>
        <v>0</v>
      </c>
      <c r="L11" s="10"/>
      <c r="M11" s="32">
        <f t="shared" ref="M11:M23" si="4">K11/$M$6</f>
        <v>0</v>
      </c>
    </row>
    <row r="12" spans="1:13" x14ac:dyDescent="0.2">
      <c r="A12" s="72"/>
      <c r="B12" s="71"/>
      <c r="C12" s="14"/>
      <c r="D12" s="10"/>
      <c r="E12" s="11"/>
      <c r="F12" s="11"/>
      <c r="G12" s="11"/>
      <c r="H12" s="31">
        <f t="shared" si="0"/>
        <v>0</v>
      </c>
      <c r="I12" s="31">
        <f>+C12*F12*$I$6</f>
        <v>0</v>
      </c>
      <c r="J12" s="31">
        <f t="shared" si="2"/>
        <v>0</v>
      </c>
      <c r="K12" s="31">
        <f t="shared" si="3"/>
        <v>0</v>
      </c>
      <c r="L12" s="67"/>
      <c r="M12" s="32">
        <f t="shared" si="4"/>
        <v>0</v>
      </c>
    </row>
    <row r="13" spans="1:13" x14ac:dyDescent="0.2">
      <c r="A13" s="72"/>
      <c r="B13" s="71"/>
      <c r="C13" s="37"/>
      <c r="D13" s="10"/>
      <c r="E13" s="35"/>
      <c r="F13" s="35"/>
      <c r="G13" s="35"/>
      <c r="H13" s="31">
        <f t="shared" si="0"/>
        <v>0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67"/>
      <c r="M13" s="32">
        <f t="shared" si="4"/>
        <v>0</v>
      </c>
    </row>
    <row r="14" spans="1:13" x14ac:dyDescent="0.2">
      <c r="A14" s="34"/>
      <c r="B14" s="78"/>
      <c r="C14" s="60"/>
      <c r="D14" s="39"/>
      <c r="E14" s="36"/>
      <c r="F14" s="36"/>
      <c r="G14" s="36"/>
      <c r="H14" s="31">
        <f t="shared" si="0"/>
        <v>0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67"/>
      <c r="M14" s="32">
        <f t="shared" si="4"/>
        <v>0</v>
      </c>
    </row>
    <row r="15" spans="1:13" x14ac:dyDescent="0.2">
      <c r="A15" s="34"/>
      <c r="B15" s="78"/>
      <c r="C15" s="60"/>
      <c r="D15" s="39"/>
      <c r="E15" s="73"/>
      <c r="F15" s="36"/>
      <c r="G15" s="36"/>
      <c r="H15" s="31">
        <f t="shared" si="0"/>
        <v>0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67"/>
      <c r="M15" s="32">
        <f t="shared" si="4"/>
        <v>0</v>
      </c>
    </row>
    <row r="16" spans="1:13" x14ac:dyDescent="0.2">
      <c r="A16" s="34"/>
      <c r="B16" s="78"/>
      <c r="C16" s="60"/>
      <c r="D16" s="39"/>
      <c r="E16" s="73"/>
      <c r="F16" s="35"/>
      <c r="G16" s="36"/>
      <c r="H16" s="31">
        <f t="shared" si="0"/>
        <v>0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67"/>
      <c r="M16" s="32">
        <f t="shared" si="4"/>
        <v>0</v>
      </c>
    </row>
    <row r="17" spans="1:13" x14ac:dyDescent="0.2">
      <c r="A17" s="34"/>
      <c r="B17" s="78"/>
      <c r="C17" s="60"/>
      <c r="D17" s="39"/>
      <c r="E17" s="73"/>
      <c r="F17" s="35"/>
      <c r="G17" s="36"/>
      <c r="H17" s="31">
        <f t="shared" si="0"/>
        <v>0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67"/>
      <c r="M17" s="32">
        <f t="shared" si="4"/>
        <v>0</v>
      </c>
    </row>
    <row r="18" spans="1:13" x14ac:dyDescent="0.2">
      <c r="A18" s="34"/>
      <c r="B18" s="78"/>
      <c r="C18" s="60"/>
      <c r="D18" s="39"/>
      <c r="E18" s="73"/>
      <c r="F18" s="36"/>
      <c r="G18" s="36"/>
      <c r="H18" s="31">
        <f t="shared" si="0"/>
        <v>0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67"/>
      <c r="M18" s="32">
        <f t="shared" si="4"/>
        <v>0</v>
      </c>
    </row>
    <row r="19" spans="1:13" x14ac:dyDescent="0.2">
      <c r="A19" s="34"/>
      <c r="B19" s="78"/>
      <c r="C19" s="60"/>
      <c r="D19" s="39"/>
      <c r="E19" s="73"/>
      <c r="F19" s="36"/>
      <c r="G19" s="36"/>
      <c r="H19" s="31">
        <f t="shared" si="0"/>
        <v>0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67"/>
      <c r="M19" s="32">
        <f t="shared" si="4"/>
        <v>0</v>
      </c>
    </row>
    <row r="20" spans="1:13" x14ac:dyDescent="0.2">
      <c r="A20" s="7"/>
      <c r="B20" s="78"/>
      <c r="C20" s="14"/>
      <c r="D20" s="10"/>
      <c r="E20" s="73"/>
      <c r="F20" s="11"/>
      <c r="G20" s="11"/>
      <c r="H20" s="31">
        <f t="shared" si="0"/>
        <v>0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67"/>
      <c r="M20" s="32">
        <f t="shared" si="4"/>
        <v>0</v>
      </c>
    </row>
    <row r="21" spans="1:13" x14ac:dyDescent="0.2">
      <c r="A21" s="7"/>
      <c r="B21" s="78"/>
      <c r="C21" s="14"/>
      <c r="D21" s="10"/>
      <c r="E21" s="73"/>
      <c r="F21" s="11"/>
      <c r="G21" s="11"/>
      <c r="H21" s="31">
        <f t="shared" si="0"/>
        <v>0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67"/>
      <c r="M21" s="32">
        <f t="shared" si="4"/>
        <v>0</v>
      </c>
    </row>
    <row r="22" spans="1:13" x14ac:dyDescent="0.2">
      <c r="A22" s="7"/>
      <c r="B22" s="11"/>
      <c r="C22" s="14"/>
      <c r="D22" s="10"/>
      <c r="E22" s="11"/>
      <c r="F22" s="11"/>
      <c r="G22" s="11"/>
      <c r="H22" s="31">
        <f t="shared" si="0"/>
        <v>0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10"/>
      <c r="M22" s="32">
        <f t="shared" si="4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si="0"/>
        <v>0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10"/>
      <c r="M23" s="32">
        <f t="shared" si="4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38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view="pageLayout" zoomScaleNormal="9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33" t="s">
        <v>27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67"/>
      <c r="M11" s="32">
        <f t="shared" ref="M11:M23" si="2">K11/$M$6</f>
        <v>0</v>
      </c>
    </row>
    <row r="12" spans="1:13" x14ac:dyDescent="0.2">
      <c r="A12" s="7"/>
      <c r="B12" s="7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67"/>
      <c r="M12" s="32">
        <f t="shared" si="2"/>
        <v>0</v>
      </c>
    </row>
    <row r="13" spans="1:13" x14ac:dyDescent="0.2">
      <c r="A13" s="34"/>
      <c r="B13" s="71"/>
      <c r="C13" s="37"/>
      <c r="D13" s="10"/>
      <c r="E13" s="68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67"/>
      <c r="M13" s="32">
        <f t="shared" si="2"/>
        <v>0</v>
      </c>
    </row>
    <row r="14" spans="1:13" x14ac:dyDescent="0.2">
      <c r="A14" s="34"/>
      <c r="B14" s="78"/>
      <c r="C14" s="60"/>
      <c r="D14" s="39"/>
      <c r="E14" s="36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67"/>
      <c r="M14" s="32">
        <f t="shared" si="2"/>
        <v>0</v>
      </c>
    </row>
    <row r="15" spans="1:13" x14ac:dyDescent="0.2">
      <c r="A15" s="34"/>
      <c r="B15" s="78"/>
      <c r="C15" s="60"/>
      <c r="D15" s="39"/>
      <c r="E15" s="73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67"/>
      <c r="M15" s="32">
        <f t="shared" si="2"/>
        <v>0</v>
      </c>
    </row>
    <row r="16" spans="1:13" x14ac:dyDescent="0.2">
      <c r="A16" s="34"/>
      <c r="B16" s="78"/>
      <c r="C16" s="60"/>
      <c r="D16" s="39"/>
      <c r="E16" s="73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67"/>
      <c r="M16" s="32">
        <f t="shared" si="2"/>
        <v>0</v>
      </c>
    </row>
    <row r="17" spans="1:13" x14ac:dyDescent="0.2">
      <c r="A17" s="34"/>
      <c r="B17" s="78"/>
      <c r="C17" s="60"/>
      <c r="D17" s="39"/>
      <c r="E17" s="73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67"/>
      <c r="M17" s="32">
        <f t="shared" si="2"/>
        <v>0</v>
      </c>
    </row>
    <row r="18" spans="1:13" x14ac:dyDescent="0.2">
      <c r="A18" s="34"/>
      <c r="B18" s="78"/>
      <c r="C18" s="60"/>
      <c r="D18" s="39"/>
      <c r="E18" s="73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67"/>
      <c r="M18" s="32">
        <f t="shared" si="2"/>
        <v>0</v>
      </c>
    </row>
    <row r="19" spans="1:13" x14ac:dyDescent="0.2">
      <c r="A19" s="34"/>
      <c r="B19" s="78"/>
      <c r="C19" s="60"/>
      <c r="D19" s="39"/>
      <c r="E19" s="73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67"/>
      <c r="M19" s="32">
        <f t="shared" si="2"/>
        <v>0</v>
      </c>
    </row>
    <row r="20" spans="1:13" x14ac:dyDescent="0.2">
      <c r="A20" s="34"/>
      <c r="B20" s="78"/>
      <c r="C20" s="14"/>
      <c r="D20" s="10"/>
      <c r="E20" s="73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67"/>
      <c r="M20" s="32">
        <f t="shared" si="2"/>
        <v>0</v>
      </c>
    </row>
    <row r="21" spans="1:13" x14ac:dyDescent="0.2">
      <c r="A21" s="34"/>
      <c r="B21" s="78"/>
      <c r="C21" s="14"/>
      <c r="D21" s="10"/>
      <c r="E21" s="73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67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7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38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ref="M38" si="6">K38/$M$6</f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5"/>
  <sheetViews>
    <sheetView view="pageLayout" zoomScaleNormal="10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28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15"/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69"/>
      <c r="C11" s="14"/>
      <c r="D11" s="67"/>
      <c r="E11" s="11"/>
      <c r="F11" s="11"/>
      <c r="G11" s="11"/>
      <c r="H11" s="31">
        <f t="shared" ref="H11:H23" si="0">+C11*E11</f>
        <v>0</v>
      </c>
      <c r="I11" s="31">
        <f t="shared" ref="I11:I23" si="1">+C11*F11*$I$6</f>
        <v>0</v>
      </c>
      <c r="J11" s="31">
        <f t="shared" ref="J11:J23" si="2">+C11*G11*$J$6</f>
        <v>0</v>
      </c>
      <c r="K11" s="31">
        <f t="shared" ref="K11:K23" si="3">SUM(H11+I11+J11)</f>
        <v>0</v>
      </c>
      <c r="L11" s="67"/>
      <c r="M11" s="32">
        <f t="shared" ref="M11:M23" si="4">K11/$M$6</f>
        <v>0</v>
      </c>
    </row>
    <row r="12" spans="1:13" x14ac:dyDescent="0.2">
      <c r="A12" s="7"/>
      <c r="B12" s="69"/>
      <c r="C12" s="14"/>
      <c r="D12" s="67"/>
      <c r="E12" s="11"/>
      <c r="F12" s="11"/>
      <c r="G12" s="11"/>
      <c r="H12" s="31">
        <f t="shared" si="0"/>
        <v>0</v>
      </c>
      <c r="I12" s="31">
        <f>+C12*F12*$I$6</f>
        <v>0</v>
      </c>
      <c r="J12" s="31">
        <f t="shared" si="2"/>
        <v>0</v>
      </c>
      <c r="K12" s="31">
        <f t="shared" si="3"/>
        <v>0</v>
      </c>
      <c r="L12" s="67"/>
      <c r="M12" s="32">
        <f t="shared" si="4"/>
        <v>0</v>
      </c>
    </row>
    <row r="13" spans="1:13" x14ac:dyDescent="0.2">
      <c r="A13" s="34"/>
      <c r="B13" s="69"/>
      <c r="C13" s="37"/>
      <c r="D13" s="67"/>
      <c r="E13" s="35"/>
      <c r="F13" s="35"/>
      <c r="G13" s="35"/>
      <c r="H13" s="31">
        <f t="shared" si="0"/>
        <v>0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10"/>
      <c r="M13" s="32">
        <f t="shared" si="4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0"/>
        <v>0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10"/>
      <c r="M14" s="32">
        <f t="shared" si="4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0"/>
        <v>0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10"/>
      <c r="M15" s="32">
        <f t="shared" si="4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0"/>
        <v>0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10"/>
      <c r="M16" s="32">
        <f t="shared" si="4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0"/>
        <v>0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10"/>
      <c r="M17" s="32">
        <f t="shared" si="4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0"/>
        <v>0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10"/>
      <c r="M18" s="32">
        <f t="shared" si="4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0"/>
        <v>0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10"/>
      <c r="M19" s="32">
        <f t="shared" si="4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0"/>
        <v>0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10"/>
      <c r="M20" s="32">
        <f t="shared" si="4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0"/>
        <v>0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10"/>
      <c r="M21" s="32">
        <f t="shared" si="4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0"/>
        <v>0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10"/>
      <c r="M22" s="32">
        <f t="shared" si="4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0"/>
        <v>0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10"/>
      <c r="M23" s="32">
        <f t="shared" si="4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7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ref="M38" si="6">K38/$M$6</f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honeticPr fontId="0" type="noConversion"/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5"/>
  <sheetViews>
    <sheetView view="pageLayout" zoomScaleNormal="10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29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7"/>
      <c r="B23" s="11"/>
      <c r="C23" s="14"/>
      <c r="D23" s="10"/>
      <c r="E23" s="11"/>
      <c r="F23" s="11"/>
      <c r="G23" s="11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80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5"/>
  <sheetViews>
    <sheetView view="pageLayout" zoomScaleNormal="100" zoomScaleSheetLayoutView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30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8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31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80">
        <f>(K28)*C39/100</f>
        <v>0</v>
      </c>
      <c r="L39" s="10"/>
      <c r="M39" s="32">
        <f>K39/$M$6</f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honeticPr fontId="0" type="noConversion"/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5"/>
  <sheetViews>
    <sheetView view="pageLayout" zoomScaleNormal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31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7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31">
        <f>(K28)*C38/100</f>
        <v>0</v>
      </c>
      <c r="L38" s="10"/>
      <c r="M38" s="32">
        <f t="shared" ref="M38:M39" si="6">K38/$M$6</f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31">
        <f>(K28)*C39/100</f>
        <v>0</v>
      </c>
      <c r="L39" s="10"/>
      <c r="M39" s="32">
        <f t="shared" si="6"/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Width="0" orientation="landscape" r:id="rId1"/>
  <headerFooter alignWithMargins="0">
    <oddHeader>&amp;L&amp;G&amp;C&amp;A&amp;R&amp;D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5"/>
  <sheetViews>
    <sheetView view="pageLayout" zoomScaleNormal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34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9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31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31">
        <f>(K28)*C39/100</f>
        <v>0</v>
      </c>
      <c r="L39" s="10"/>
      <c r="M39" s="32">
        <f t="shared" si="5"/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gridLines="1"/>
  <pageMargins left="0.25" right="0.25" top="1" bottom="1" header="0.5" footer="0.5"/>
  <pageSetup scale="82" fitToHeight="0" orientation="landscape" r:id="rId1"/>
  <headerFooter alignWithMargins="0">
    <oddHeader>&amp;L&amp;G&amp;C&amp;A&amp;R&amp;D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5"/>
  <sheetViews>
    <sheetView view="pageLayout" zoomScaleNormal="100" workbookViewId="0">
      <selection activeCell="F19" sqref="F19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35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9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31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31">
        <f>(K28)*C39/100</f>
        <v>0</v>
      </c>
      <c r="L39" s="10"/>
      <c r="M39" s="32">
        <f t="shared" si="5"/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gridLines="1"/>
  <pageMargins left="0.25" right="0.25" top="1" bottom="1" header="0.5" footer="0.5"/>
  <pageSetup scale="82" fitToHeight="0" orientation="landscape" r:id="rId1"/>
  <headerFooter alignWithMargins="0">
    <oddHeader>&amp;L&amp;G&amp;C&amp;A&amp;R&amp;D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5"/>
  <sheetViews>
    <sheetView view="pageLayout" zoomScaleNormal="100" workbookViewId="0">
      <selection activeCell="B4" sqref="B4"/>
    </sheetView>
  </sheetViews>
  <sheetFormatPr defaultRowHeight="12.75" x14ac:dyDescent="0.2"/>
  <cols>
    <col min="1" max="1" width="10.85546875" style="57" customWidth="1"/>
    <col min="2" max="2" width="33.28515625" customWidth="1"/>
    <col min="3" max="3" width="10.28515625" style="58" customWidth="1"/>
    <col min="4" max="4" width="6.28515625" style="59" customWidth="1"/>
    <col min="5" max="6" width="8.140625" customWidth="1"/>
    <col min="7" max="7" width="7.28515625" customWidth="1"/>
    <col min="8" max="8" width="9.85546875" bestFit="1" customWidth="1"/>
    <col min="9" max="9" width="9.85546875" customWidth="1"/>
    <col min="10" max="10" width="9.85546875" bestFit="1" customWidth="1"/>
    <col min="11" max="11" width="10.85546875" bestFit="1" customWidth="1"/>
    <col min="12" max="12" width="19.42578125" style="59" customWidth="1"/>
    <col min="13" max="13" width="11" customWidth="1"/>
    <col min="14" max="14" width="63.5703125" customWidth="1"/>
  </cols>
  <sheetData>
    <row r="1" spans="1:13" x14ac:dyDescent="0.2">
      <c r="A1" s="1"/>
      <c r="B1" s="61">
        <f>K45</f>
        <v>0</v>
      </c>
      <c r="C1" s="2"/>
      <c r="D1" s="3"/>
      <c r="E1" s="4"/>
      <c r="F1" s="4"/>
      <c r="G1" s="4"/>
      <c r="H1" s="4"/>
      <c r="I1" s="4"/>
      <c r="J1" s="4"/>
      <c r="K1" s="4"/>
      <c r="L1" s="5" t="s">
        <v>0</v>
      </c>
      <c r="M1" s="6" t="str">
        <f>'Alt01'!M1</f>
        <v>-</v>
      </c>
    </row>
    <row r="2" spans="1:13" x14ac:dyDescent="0.2">
      <c r="A2" s="7"/>
      <c r="B2" s="8"/>
      <c r="C2" s="9"/>
      <c r="D2" s="10"/>
      <c r="E2" s="11"/>
      <c r="F2" s="11"/>
      <c r="G2" s="11"/>
      <c r="H2" s="11"/>
      <c r="I2" s="11"/>
      <c r="J2" s="11"/>
      <c r="K2" s="11"/>
      <c r="L2" s="10"/>
      <c r="M2" s="12"/>
    </row>
    <row r="3" spans="1:13" x14ac:dyDescent="0.2">
      <c r="A3" s="7"/>
      <c r="B3" s="13" t="s">
        <v>36</v>
      </c>
      <c r="C3" s="14"/>
      <c r="D3" s="10"/>
      <c r="E3" s="11"/>
      <c r="F3" s="11"/>
      <c r="G3" s="11"/>
      <c r="H3" s="11"/>
      <c r="I3" s="11"/>
      <c r="J3" s="11"/>
      <c r="K3" s="11"/>
      <c r="L3" s="10"/>
      <c r="M3" s="12"/>
    </row>
    <row r="4" spans="1:13" x14ac:dyDescent="0.2">
      <c r="A4" s="7"/>
      <c r="B4" s="48" t="s">
        <v>24</v>
      </c>
      <c r="C4" s="14"/>
      <c r="D4" s="10"/>
      <c r="E4" s="11"/>
      <c r="F4" s="11"/>
      <c r="G4" s="11"/>
      <c r="H4" s="11"/>
      <c r="I4" s="11"/>
      <c r="J4" s="11"/>
      <c r="K4" s="11"/>
      <c r="L4" s="10"/>
      <c r="M4" s="12"/>
    </row>
    <row r="5" spans="1:13" x14ac:dyDescent="0.2">
      <c r="A5" s="7"/>
      <c r="B5" s="62">
        <f ca="1">+NOW()</f>
        <v>44537.429243055558</v>
      </c>
      <c r="C5" s="14"/>
      <c r="D5" s="10"/>
      <c r="E5" s="16"/>
      <c r="F5" s="16"/>
      <c r="G5" s="16"/>
      <c r="H5" s="11"/>
      <c r="I5" s="11"/>
      <c r="J5" s="11"/>
      <c r="K5" s="11"/>
      <c r="L5" s="10"/>
      <c r="M5" s="12"/>
    </row>
    <row r="6" spans="1:13" x14ac:dyDescent="0.2">
      <c r="A6" s="7"/>
      <c r="B6" s="63">
        <f ca="1">NOW()</f>
        <v>44537.429243055558</v>
      </c>
      <c r="C6" s="14"/>
      <c r="D6" s="10"/>
      <c r="E6" s="11"/>
      <c r="F6" s="11"/>
      <c r="G6" s="11"/>
      <c r="H6" s="11"/>
      <c r="I6" s="16">
        <v>1.07</v>
      </c>
      <c r="J6" s="16">
        <v>1</v>
      </c>
      <c r="K6" s="11"/>
      <c r="L6" s="10"/>
      <c r="M6" s="17">
        <v>1</v>
      </c>
    </row>
    <row r="7" spans="1:13" x14ac:dyDescent="0.2">
      <c r="A7" s="18" t="s">
        <v>1</v>
      </c>
      <c r="B7" s="19" t="s">
        <v>1</v>
      </c>
      <c r="C7" s="20" t="s">
        <v>1</v>
      </c>
      <c r="D7" s="20" t="s">
        <v>1</v>
      </c>
      <c r="E7" s="20"/>
      <c r="F7" s="20"/>
      <c r="G7" s="20"/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21" t="s">
        <v>1</v>
      </c>
    </row>
    <row r="8" spans="1:13" x14ac:dyDescent="0.2">
      <c r="A8" s="22" t="s">
        <v>2</v>
      </c>
      <c r="B8" s="13"/>
      <c r="C8" s="23"/>
      <c r="D8" s="24"/>
      <c r="E8" s="24" t="s">
        <v>3</v>
      </c>
      <c r="F8" s="24" t="s">
        <v>3</v>
      </c>
      <c r="G8" s="24" t="s">
        <v>3</v>
      </c>
      <c r="H8" s="24"/>
      <c r="I8" s="24"/>
      <c r="J8" s="24"/>
      <c r="K8" s="24"/>
      <c r="L8" s="24"/>
      <c r="M8" s="25" t="s">
        <v>4</v>
      </c>
    </row>
    <row r="9" spans="1:13" x14ac:dyDescent="0.2">
      <c r="A9" s="26" t="s">
        <v>5</v>
      </c>
      <c r="B9" s="27" t="s">
        <v>6</v>
      </c>
      <c r="C9" s="28" t="s">
        <v>7</v>
      </c>
      <c r="D9" s="29" t="s">
        <v>3</v>
      </c>
      <c r="E9" s="29" t="s">
        <v>8</v>
      </c>
      <c r="F9" s="29" t="s">
        <v>9</v>
      </c>
      <c r="G9" s="29" t="s">
        <v>10</v>
      </c>
      <c r="H9" s="29" t="s">
        <v>8</v>
      </c>
      <c r="I9" s="29" t="s">
        <v>9</v>
      </c>
      <c r="J9" s="29" t="s">
        <v>10</v>
      </c>
      <c r="K9" s="29" t="s">
        <v>11</v>
      </c>
      <c r="L9" s="29" t="s">
        <v>12</v>
      </c>
      <c r="M9" s="30" t="s">
        <v>13</v>
      </c>
    </row>
    <row r="10" spans="1:13" x14ac:dyDescent="0.2">
      <c r="A10" s="18" t="s">
        <v>1</v>
      </c>
      <c r="B10" s="19" t="s">
        <v>1</v>
      </c>
      <c r="C10" s="20" t="s">
        <v>1</v>
      </c>
      <c r="D10" s="20" t="s">
        <v>1</v>
      </c>
      <c r="E10" s="20"/>
      <c r="F10" s="20"/>
      <c r="G10" s="20"/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21" t="s">
        <v>1</v>
      </c>
    </row>
    <row r="11" spans="1:13" x14ac:dyDescent="0.2">
      <c r="A11" s="70"/>
      <c r="B11" s="71"/>
      <c r="C11" s="14"/>
      <c r="D11" s="10"/>
      <c r="E11" s="11"/>
      <c r="F11" s="11"/>
      <c r="G11" s="11"/>
      <c r="H11" s="31">
        <f>+C11*E11</f>
        <v>0</v>
      </c>
      <c r="I11" s="31">
        <f>+C11*F11*$I$6</f>
        <v>0</v>
      </c>
      <c r="J11" s="31">
        <f t="shared" ref="J11:J23" si="0">+C11*G11*$J$6</f>
        <v>0</v>
      </c>
      <c r="K11" s="31">
        <f t="shared" ref="K11:K23" si="1">SUM(H11+I11+J11)</f>
        <v>0</v>
      </c>
      <c r="L11" s="10"/>
      <c r="M11" s="32">
        <f t="shared" ref="M11:M23" si="2">K11/$M$6</f>
        <v>0</v>
      </c>
    </row>
    <row r="12" spans="1:13" x14ac:dyDescent="0.2">
      <c r="A12" s="7"/>
      <c r="B12" s="11"/>
      <c r="C12" s="14"/>
      <c r="D12" s="10"/>
      <c r="E12" s="11"/>
      <c r="F12" s="11"/>
      <c r="G12" s="11"/>
      <c r="H12" s="31">
        <f t="shared" ref="H12:H23" si="3">+C12*E12</f>
        <v>0</v>
      </c>
      <c r="I12" s="31">
        <f>+C12*F12*$I$6</f>
        <v>0</v>
      </c>
      <c r="J12" s="31">
        <f t="shared" si="0"/>
        <v>0</v>
      </c>
      <c r="K12" s="31">
        <f t="shared" si="1"/>
        <v>0</v>
      </c>
      <c r="L12" s="10"/>
      <c r="M12" s="32">
        <f t="shared" si="2"/>
        <v>0</v>
      </c>
    </row>
    <row r="13" spans="1:13" x14ac:dyDescent="0.2">
      <c r="A13" s="34"/>
      <c r="B13" s="35"/>
      <c r="C13" s="37"/>
      <c r="D13" s="38"/>
      <c r="E13" s="35"/>
      <c r="F13" s="35"/>
      <c r="G13" s="35"/>
      <c r="H13" s="31">
        <f t="shared" si="3"/>
        <v>0</v>
      </c>
      <c r="I13" s="31">
        <f t="shared" ref="I13:I23" si="4">+C13*F13*$I$6</f>
        <v>0</v>
      </c>
      <c r="J13" s="31">
        <f t="shared" si="0"/>
        <v>0</v>
      </c>
      <c r="K13" s="31">
        <f t="shared" si="1"/>
        <v>0</v>
      </c>
      <c r="L13" s="10"/>
      <c r="M13" s="32">
        <f t="shared" si="2"/>
        <v>0</v>
      </c>
    </row>
    <row r="14" spans="1:13" x14ac:dyDescent="0.2">
      <c r="A14" s="34"/>
      <c r="B14" s="35"/>
      <c r="C14" s="37"/>
      <c r="D14" s="38"/>
      <c r="E14" s="35"/>
      <c r="F14" s="35"/>
      <c r="G14" s="35"/>
      <c r="H14" s="31">
        <f t="shared" si="3"/>
        <v>0</v>
      </c>
      <c r="I14" s="31">
        <f t="shared" si="4"/>
        <v>0</v>
      </c>
      <c r="J14" s="31">
        <f t="shared" si="0"/>
        <v>0</v>
      </c>
      <c r="K14" s="31">
        <f t="shared" si="1"/>
        <v>0</v>
      </c>
      <c r="L14" s="10"/>
      <c r="M14" s="32">
        <f t="shared" si="2"/>
        <v>0</v>
      </c>
    </row>
    <row r="15" spans="1:13" x14ac:dyDescent="0.2">
      <c r="A15" s="34"/>
      <c r="B15" s="36"/>
      <c r="C15" s="37"/>
      <c r="D15" s="38"/>
      <c r="E15" s="35"/>
      <c r="F15" s="35"/>
      <c r="G15" s="36"/>
      <c r="H15" s="31">
        <f t="shared" si="3"/>
        <v>0</v>
      </c>
      <c r="I15" s="31">
        <f t="shared" si="4"/>
        <v>0</v>
      </c>
      <c r="J15" s="31">
        <f t="shared" si="0"/>
        <v>0</v>
      </c>
      <c r="K15" s="31">
        <f t="shared" si="1"/>
        <v>0</v>
      </c>
      <c r="L15" s="10"/>
      <c r="M15" s="32">
        <f t="shared" si="2"/>
        <v>0</v>
      </c>
    </row>
    <row r="16" spans="1:13" x14ac:dyDescent="0.2">
      <c r="A16" s="34"/>
      <c r="B16" s="36"/>
      <c r="C16" s="37"/>
      <c r="D16" s="38"/>
      <c r="E16" s="35"/>
      <c r="F16" s="35"/>
      <c r="G16" s="35"/>
      <c r="H16" s="31">
        <f t="shared" si="3"/>
        <v>0</v>
      </c>
      <c r="I16" s="31">
        <f t="shared" si="4"/>
        <v>0</v>
      </c>
      <c r="J16" s="31">
        <f t="shared" si="0"/>
        <v>0</v>
      </c>
      <c r="K16" s="31">
        <f t="shared" si="1"/>
        <v>0</v>
      </c>
      <c r="L16" s="10"/>
      <c r="M16" s="32">
        <f t="shared" si="2"/>
        <v>0</v>
      </c>
    </row>
    <row r="17" spans="1:13" x14ac:dyDescent="0.2">
      <c r="A17" s="34"/>
      <c r="B17" s="36"/>
      <c r="C17" s="37"/>
      <c r="D17" s="38"/>
      <c r="E17" s="35"/>
      <c r="F17" s="35"/>
      <c r="G17" s="35"/>
      <c r="H17" s="31">
        <f t="shared" si="3"/>
        <v>0</v>
      </c>
      <c r="I17" s="31">
        <f t="shared" si="4"/>
        <v>0</v>
      </c>
      <c r="J17" s="31">
        <f t="shared" si="0"/>
        <v>0</v>
      </c>
      <c r="K17" s="31">
        <f t="shared" si="1"/>
        <v>0</v>
      </c>
      <c r="L17" s="10"/>
      <c r="M17" s="32">
        <f t="shared" si="2"/>
        <v>0</v>
      </c>
    </row>
    <row r="18" spans="1:13" x14ac:dyDescent="0.2">
      <c r="A18" s="34"/>
      <c r="B18" s="36"/>
      <c r="C18" s="37"/>
      <c r="D18" s="38"/>
      <c r="E18" s="35"/>
      <c r="F18" s="35"/>
      <c r="G18" s="35"/>
      <c r="H18" s="31">
        <f t="shared" si="3"/>
        <v>0</v>
      </c>
      <c r="I18" s="31">
        <f t="shared" si="4"/>
        <v>0</v>
      </c>
      <c r="J18" s="31">
        <f t="shared" si="0"/>
        <v>0</v>
      </c>
      <c r="K18" s="31">
        <f t="shared" si="1"/>
        <v>0</v>
      </c>
      <c r="L18" s="10"/>
      <c r="M18" s="32">
        <f t="shared" si="2"/>
        <v>0</v>
      </c>
    </row>
    <row r="19" spans="1:13" x14ac:dyDescent="0.2">
      <c r="A19" s="34"/>
      <c r="B19" s="36"/>
      <c r="C19" s="37"/>
      <c r="D19" s="38"/>
      <c r="E19" s="35"/>
      <c r="F19" s="36"/>
      <c r="G19" s="35"/>
      <c r="H19" s="31">
        <f t="shared" si="3"/>
        <v>0</v>
      </c>
      <c r="I19" s="31">
        <f t="shared" si="4"/>
        <v>0</v>
      </c>
      <c r="J19" s="31">
        <f t="shared" si="0"/>
        <v>0</v>
      </c>
      <c r="K19" s="31">
        <f t="shared" si="1"/>
        <v>0</v>
      </c>
      <c r="L19" s="10"/>
      <c r="M19" s="32">
        <f t="shared" si="2"/>
        <v>0</v>
      </c>
    </row>
    <row r="20" spans="1:13" x14ac:dyDescent="0.2">
      <c r="A20" s="34"/>
      <c r="B20" s="36"/>
      <c r="C20" s="37"/>
      <c r="D20" s="38"/>
      <c r="E20" s="35"/>
      <c r="F20" s="35"/>
      <c r="G20" s="35"/>
      <c r="H20" s="31">
        <f t="shared" si="3"/>
        <v>0</v>
      </c>
      <c r="I20" s="31">
        <f t="shared" si="4"/>
        <v>0</v>
      </c>
      <c r="J20" s="31">
        <f t="shared" si="0"/>
        <v>0</v>
      </c>
      <c r="K20" s="31">
        <f t="shared" si="1"/>
        <v>0</v>
      </c>
      <c r="L20" s="10"/>
      <c r="M20" s="32">
        <f t="shared" si="2"/>
        <v>0</v>
      </c>
    </row>
    <row r="21" spans="1:13" x14ac:dyDescent="0.2">
      <c r="A21" s="34"/>
      <c r="B21" s="35"/>
      <c r="C21" s="37"/>
      <c r="D21" s="38"/>
      <c r="E21" s="35"/>
      <c r="F21" s="35"/>
      <c r="G21" s="35"/>
      <c r="H21" s="31">
        <f t="shared" si="3"/>
        <v>0</v>
      </c>
      <c r="I21" s="31">
        <f t="shared" si="4"/>
        <v>0</v>
      </c>
      <c r="J21" s="31">
        <f t="shared" si="0"/>
        <v>0</v>
      </c>
      <c r="K21" s="31">
        <f t="shared" si="1"/>
        <v>0</v>
      </c>
      <c r="L21" s="10"/>
      <c r="M21" s="32">
        <f t="shared" si="2"/>
        <v>0</v>
      </c>
    </row>
    <row r="22" spans="1:13" x14ac:dyDescent="0.2">
      <c r="A22" s="34"/>
      <c r="B22" s="35"/>
      <c r="C22" s="37"/>
      <c r="D22" s="38"/>
      <c r="E22" s="35"/>
      <c r="F22" s="35"/>
      <c r="G22" s="35"/>
      <c r="H22" s="31">
        <f t="shared" si="3"/>
        <v>0</v>
      </c>
      <c r="I22" s="31">
        <f t="shared" si="4"/>
        <v>0</v>
      </c>
      <c r="J22" s="31">
        <f t="shared" si="0"/>
        <v>0</v>
      </c>
      <c r="K22" s="31">
        <f t="shared" si="1"/>
        <v>0</v>
      </c>
      <c r="L22" s="10"/>
      <c r="M22" s="32">
        <f t="shared" si="2"/>
        <v>0</v>
      </c>
    </row>
    <row r="23" spans="1:13" x14ac:dyDescent="0.2">
      <c r="A23" s="34"/>
      <c r="B23" s="35"/>
      <c r="C23" s="37"/>
      <c r="D23" s="38"/>
      <c r="E23" s="35"/>
      <c r="F23" s="35"/>
      <c r="G23" s="35"/>
      <c r="H23" s="31">
        <f t="shared" si="3"/>
        <v>0</v>
      </c>
      <c r="I23" s="31">
        <f t="shared" si="4"/>
        <v>0</v>
      </c>
      <c r="J23" s="31">
        <f t="shared" si="0"/>
        <v>0</v>
      </c>
      <c r="K23" s="31">
        <f t="shared" si="1"/>
        <v>0</v>
      </c>
      <c r="L23" s="10"/>
      <c r="M23" s="32">
        <f t="shared" si="2"/>
        <v>0</v>
      </c>
    </row>
    <row r="24" spans="1:13" x14ac:dyDescent="0.2">
      <c r="A24" s="42" t="s">
        <v>1</v>
      </c>
      <c r="B24" s="43" t="s">
        <v>1</v>
      </c>
      <c r="C24" s="44" t="s">
        <v>1</v>
      </c>
      <c r="D24" s="44" t="s">
        <v>1</v>
      </c>
      <c r="E24" s="44"/>
      <c r="F24" s="44"/>
      <c r="G24" s="44"/>
      <c r="H24" s="43" t="s">
        <v>1</v>
      </c>
      <c r="I24" s="43" t="s">
        <v>1</v>
      </c>
      <c r="J24" s="43" t="s">
        <v>1</v>
      </c>
      <c r="K24" s="43" t="s">
        <v>1</v>
      </c>
      <c r="L24" s="43" t="s">
        <v>1</v>
      </c>
      <c r="M24" s="45" t="s">
        <v>1</v>
      </c>
    </row>
    <row r="25" spans="1:13" x14ac:dyDescent="0.2">
      <c r="A25" s="7"/>
      <c r="B25" s="13" t="s">
        <v>14</v>
      </c>
      <c r="C25" s="14"/>
      <c r="D25" s="10"/>
      <c r="E25" s="11"/>
      <c r="F25" s="11"/>
      <c r="G25" s="11"/>
      <c r="H25" s="31">
        <f>SUM(H11:H23)</f>
        <v>0</v>
      </c>
      <c r="I25" s="31">
        <f>SUM(I11:I23)</f>
        <v>0</v>
      </c>
      <c r="J25" s="31">
        <f>SUM(J11:J23)</f>
        <v>0</v>
      </c>
      <c r="K25" s="31">
        <f>SUM(K11:K23)</f>
        <v>0</v>
      </c>
      <c r="L25" s="10"/>
      <c r="M25" s="32">
        <f>K25/$M$6</f>
        <v>0</v>
      </c>
    </row>
    <row r="26" spans="1:13" x14ac:dyDescent="0.2">
      <c r="A26" s="7"/>
      <c r="B26" s="13" t="s">
        <v>15</v>
      </c>
      <c r="C26" s="14"/>
      <c r="D26" s="10" t="s">
        <v>16</v>
      </c>
      <c r="E26" s="11"/>
      <c r="F26" s="11"/>
      <c r="G26" s="11"/>
      <c r="H26" s="11"/>
      <c r="I26" s="66">
        <v>0</v>
      </c>
      <c r="J26" s="66">
        <v>0</v>
      </c>
      <c r="K26" s="66">
        <f>+H26+I26+J26</f>
        <v>0</v>
      </c>
      <c r="L26" s="10"/>
      <c r="M26" s="32">
        <f>K26/$M$6</f>
        <v>0</v>
      </c>
    </row>
    <row r="27" spans="1:13" x14ac:dyDescent="0.2">
      <c r="A27" s="42" t="s">
        <v>1</v>
      </c>
      <c r="B27" s="43" t="s">
        <v>1</v>
      </c>
      <c r="C27" s="44" t="s">
        <v>1</v>
      </c>
      <c r="D27" s="44" t="s">
        <v>1</v>
      </c>
      <c r="E27" s="44"/>
      <c r="F27" s="44"/>
      <c r="G27" s="44"/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5" t="s">
        <v>1</v>
      </c>
    </row>
    <row r="28" spans="1:13" x14ac:dyDescent="0.2">
      <c r="A28" s="7"/>
      <c r="B28" s="46" t="s">
        <v>14</v>
      </c>
      <c r="C28" s="14"/>
      <c r="D28" s="10"/>
      <c r="E28" s="11"/>
      <c r="F28" s="11"/>
      <c r="G28" s="11"/>
      <c r="H28" s="11"/>
      <c r="I28" s="11"/>
      <c r="J28" s="11"/>
      <c r="K28" s="31">
        <f>SUM(K25:K26)</f>
        <v>0</v>
      </c>
      <c r="L28" s="10"/>
      <c r="M28" s="32">
        <f>K28/$M$6</f>
        <v>0</v>
      </c>
    </row>
    <row r="29" spans="1:13" x14ac:dyDescent="0.2">
      <c r="A29" s="7"/>
      <c r="B29" s="11"/>
      <c r="C29" s="14"/>
      <c r="D29" s="10"/>
      <c r="E29" s="11"/>
      <c r="F29" s="11"/>
      <c r="G29" s="11"/>
      <c r="H29" s="11"/>
      <c r="I29" s="11"/>
      <c r="J29" s="11"/>
      <c r="K29" s="31"/>
      <c r="L29" s="10"/>
      <c r="M29" s="32">
        <f>K29/$M$6</f>
        <v>0</v>
      </c>
    </row>
    <row r="30" spans="1:13" x14ac:dyDescent="0.2">
      <c r="A30" s="7"/>
      <c r="B30" s="46" t="s">
        <v>17</v>
      </c>
      <c r="C30" s="41">
        <v>10</v>
      </c>
      <c r="D30" s="38" t="s">
        <v>18</v>
      </c>
      <c r="E30" s="11"/>
      <c r="F30" s="11"/>
      <c r="G30" s="11"/>
      <c r="H30" s="31"/>
      <c r="I30" s="31"/>
      <c r="J30" s="31"/>
      <c r="K30" s="31">
        <f>C30*K28/100</f>
        <v>0</v>
      </c>
      <c r="L30" s="10"/>
      <c r="M30" s="32">
        <f>K30/$M$6</f>
        <v>0</v>
      </c>
    </row>
    <row r="31" spans="1:13" x14ac:dyDescent="0.2">
      <c r="A31" s="7"/>
      <c r="B31" s="46"/>
      <c r="C31" s="37"/>
      <c r="D31" s="38"/>
      <c r="E31" s="11"/>
      <c r="F31" s="11"/>
      <c r="G31" s="11"/>
      <c r="H31" s="11"/>
      <c r="I31" s="11"/>
      <c r="J31" s="11"/>
      <c r="K31" s="37"/>
      <c r="L31" s="10"/>
      <c r="M31" s="32"/>
    </row>
    <row r="32" spans="1:13" x14ac:dyDescent="0.2">
      <c r="A32" s="7"/>
      <c r="B32" s="47"/>
      <c r="C32" s="37"/>
      <c r="D32" s="38"/>
      <c r="E32" s="11"/>
      <c r="F32" s="11"/>
      <c r="G32" s="11"/>
      <c r="H32" s="31">
        <f>+C32*E32</f>
        <v>0</v>
      </c>
      <c r="I32" s="31">
        <f>+C32*F32</f>
        <v>0</v>
      </c>
      <c r="J32" s="31">
        <f>+E32*G32</f>
        <v>0</v>
      </c>
      <c r="K32" s="31">
        <f>SUM(H32+I32+J32)</f>
        <v>0</v>
      </c>
      <c r="L32" s="10"/>
      <c r="M32" s="32">
        <f t="shared" ref="M32:M39" si="5">K32/$M$6</f>
        <v>0</v>
      </c>
    </row>
    <row r="33" spans="1:13" x14ac:dyDescent="0.2">
      <c r="A33" s="7"/>
      <c r="B33" s="47"/>
      <c r="C33" s="37"/>
      <c r="D33" s="38"/>
      <c r="E33" s="11"/>
      <c r="F33" s="11"/>
      <c r="G33" s="11"/>
      <c r="H33" s="31">
        <f>+C33*E33</f>
        <v>0</v>
      </c>
      <c r="I33" s="31">
        <f>+C33*F33</f>
        <v>0</v>
      </c>
      <c r="J33" s="31">
        <f>+E33*G33</f>
        <v>0</v>
      </c>
      <c r="K33" s="31">
        <f>SUM(H33+I33+J33)</f>
        <v>0</v>
      </c>
      <c r="L33" s="10"/>
      <c r="M33" s="32">
        <f t="shared" si="5"/>
        <v>0</v>
      </c>
    </row>
    <row r="34" spans="1:13" x14ac:dyDescent="0.2">
      <c r="A34" s="7"/>
      <c r="B34" s="47"/>
      <c r="C34" s="37"/>
      <c r="D34" s="38"/>
      <c r="E34" s="11"/>
      <c r="F34" s="11"/>
      <c r="G34" s="11"/>
      <c r="H34" s="31">
        <f>+C34*E34</f>
        <v>0</v>
      </c>
      <c r="I34" s="31">
        <f>+C34*F34</f>
        <v>0</v>
      </c>
      <c r="J34" s="31">
        <f>+E34*G34</f>
        <v>0</v>
      </c>
      <c r="K34" s="31">
        <f>SUM(H34+I34+J34)</f>
        <v>0</v>
      </c>
      <c r="L34" s="10"/>
      <c r="M34" s="32">
        <f t="shared" si="5"/>
        <v>0</v>
      </c>
    </row>
    <row r="35" spans="1:13" x14ac:dyDescent="0.2">
      <c r="A35" s="7"/>
      <c r="B35" s="48" t="s">
        <v>19</v>
      </c>
      <c r="C35" s="64">
        <v>0</v>
      </c>
      <c r="D35" s="38" t="s">
        <v>18</v>
      </c>
      <c r="E35" s="11"/>
      <c r="F35" s="11"/>
      <c r="G35" s="11"/>
      <c r="H35" s="11"/>
      <c r="I35" s="11"/>
      <c r="J35" s="11"/>
      <c r="K35" s="31">
        <f>SUM(K28:K33)*C35/100</f>
        <v>0</v>
      </c>
      <c r="L35" s="10"/>
      <c r="M35" s="32">
        <f t="shared" si="5"/>
        <v>0</v>
      </c>
    </row>
    <row r="36" spans="1:13" x14ac:dyDescent="0.2">
      <c r="A36" s="7"/>
      <c r="B36" s="47"/>
      <c r="C36" s="37"/>
      <c r="D36" s="38"/>
      <c r="E36" s="11"/>
      <c r="F36" s="11"/>
      <c r="G36" s="11"/>
      <c r="H36" s="11"/>
      <c r="I36" s="11"/>
      <c r="J36" s="11"/>
      <c r="K36" s="31"/>
      <c r="L36" s="10"/>
      <c r="M36" s="32">
        <f t="shared" si="5"/>
        <v>0</v>
      </c>
    </row>
    <row r="37" spans="1:13" x14ac:dyDescent="0.2">
      <c r="A37" s="7"/>
      <c r="B37" s="15" t="s">
        <v>20</v>
      </c>
      <c r="C37" s="65">
        <v>1.3</v>
      </c>
      <c r="D37" s="38" t="s">
        <v>18</v>
      </c>
      <c r="E37" s="11"/>
      <c r="F37" s="11"/>
      <c r="G37" s="11"/>
      <c r="H37" s="11"/>
      <c r="I37" s="11"/>
      <c r="J37" s="11"/>
      <c r="K37" s="31">
        <f>SUM(K28:K36)*C37/100</f>
        <v>0</v>
      </c>
      <c r="L37" s="10"/>
      <c r="M37" s="32">
        <f t="shared" si="5"/>
        <v>0</v>
      </c>
    </row>
    <row r="38" spans="1:13" x14ac:dyDescent="0.2">
      <c r="A38" s="7"/>
      <c r="B38" s="15" t="s">
        <v>32</v>
      </c>
      <c r="C38" s="65">
        <v>0.25</v>
      </c>
      <c r="D38" s="67" t="s">
        <v>18</v>
      </c>
      <c r="E38" s="11"/>
      <c r="F38" s="11"/>
      <c r="G38" s="11"/>
      <c r="H38" s="11"/>
      <c r="I38" s="11"/>
      <c r="J38" s="11"/>
      <c r="K38" s="31">
        <f>(K28)*C38/100</f>
        <v>0</v>
      </c>
      <c r="L38" s="10"/>
      <c r="M38" s="32">
        <f t="shared" si="5"/>
        <v>0</v>
      </c>
    </row>
    <row r="39" spans="1:13" x14ac:dyDescent="0.2">
      <c r="A39" s="7"/>
      <c r="B39" s="15" t="s">
        <v>33</v>
      </c>
      <c r="C39" s="65">
        <v>5</v>
      </c>
      <c r="D39" s="67" t="s">
        <v>18</v>
      </c>
      <c r="E39" s="11"/>
      <c r="F39" s="11"/>
      <c r="G39" s="11"/>
      <c r="H39" s="11"/>
      <c r="I39" s="11"/>
      <c r="J39" s="11"/>
      <c r="K39" s="31">
        <f>(K28)*C39/100</f>
        <v>0</v>
      </c>
      <c r="L39" s="10"/>
      <c r="M39" s="32">
        <f t="shared" si="5"/>
        <v>0</v>
      </c>
    </row>
    <row r="40" spans="1:13" x14ac:dyDescent="0.2">
      <c r="A40" s="7"/>
      <c r="B40" s="15"/>
      <c r="C40" s="65"/>
      <c r="D40" s="38"/>
      <c r="E40" s="11"/>
      <c r="F40" s="11"/>
      <c r="G40" s="11"/>
      <c r="H40" s="11"/>
      <c r="I40" s="11"/>
      <c r="J40" s="11"/>
      <c r="K40" s="31"/>
      <c r="L40" s="10"/>
      <c r="M40" s="32"/>
    </row>
    <row r="41" spans="1:13" x14ac:dyDescent="0.2">
      <c r="A41" s="7"/>
      <c r="B41" s="15"/>
      <c r="C41" s="65"/>
      <c r="D41" s="38"/>
      <c r="E41" s="11"/>
      <c r="F41" s="11"/>
      <c r="G41" s="11"/>
      <c r="H41" s="11"/>
      <c r="I41" s="11"/>
      <c r="J41" s="11"/>
      <c r="K41" s="31"/>
      <c r="L41" s="10"/>
      <c r="M41" s="32"/>
    </row>
    <row r="42" spans="1:13" x14ac:dyDescent="0.2">
      <c r="A42" s="7"/>
      <c r="B42" s="11"/>
      <c r="C42" s="37"/>
      <c r="D42" s="38"/>
      <c r="E42" s="11"/>
      <c r="F42" s="11"/>
      <c r="G42" s="11"/>
      <c r="H42" s="11"/>
      <c r="I42" s="11"/>
      <c r="J42" s="11"/>
      <c r="K42" s="31"/>
      <c r="L42" s="10"/>
      <c r="M42" s="32">
        <f>K42/$M$6</f>
        <v>0</v>
      </c>
    </row>
    <row r="43" spans="1:13" x14ac:dyDescent="0.2">
      <c r="A43" s="7"/>
      <c r="B43" s="13" t="s">
        <v>21</v>
      </c>
      <c r="C43" s="65">
        <v>0</v>
      </c>
      <c r="D43" s="38" t="s">
        <v>18</v>
      </c>
      <c r="E43" s="11"/>
      <c r="F43" s="11"/>
      <c r="G43" s="11"/>
      <c r="H43" s="11"/>
      <c r="I43" s="11"/>
      <c r="J43" s="11"/>
      <c r="K43" s="31">
        <f>SUM(K28:K42)*C43/100</f>
        <v>0</v>
      </c>
      <c r="L43" s="10"/>
      <c r="M43" s="32">
        <f>K43/$M$6</f>
        <v>0</v>
      </c>
    </row>
    <row r="44" spans="1:13" x14ac:dyDescent="0.2">
      <c r="A44" s="42" t="s">
        <v>1</v>
      </c>
      <c r="B44" s="43" t="s">
        <v>1</v>
      </c>
      <c r="C44" s="44" t="s">
        <v>1</v>
      </c>
      <c r="D44" s="44" t="s">
        <v>1</v>
      </c>
      <c r="E44" s="44"/>
      <c r="F44" s="44"/>
      <c r="G44" s="44"/>
      <c r="H44" s="43" t="s">
        <v>1</v>
      </c>
      <c r="I44" s="43" t="s">
        <v>1</v>
      </c>
      <c r="J44" s="43" t="s">
        <v>1</v>
      </c>
      <c r="K44" s="43" t="s">
        <v>1</v>
      </c>
      <c r="L44" s="43" t="s">
        <v>1</v>
      </c>
      <c r="M44" s="49" t="s">
        <v>1</v>
      </c>
    </row>
    <row r="45" spans="1:13" ht="13.5" thickBot="1" x14ac:dyDescent="0.25">
      <c r="A45" s="50"/>
      <c r="B45" s="51" t="s">
        <v>11</v>
      </c>
      <c r="C45" s="52"/>
      <c r="D45" s="53"/>
      <c r="E45" s="54"/>
      <c r="F45" s="54"/>
      <c r="G45" s="54"/>
      <c r="H45" s="54"/>
      <c r="I45" s="54"/>
      <c r="J45" s="54"/>
      <c r="K45" s="55">
        <f>SUM(K28:K43)</f>
        <v>0</v>
      </c>
      <c r="L45" s="53"/>
      <c r="M45" s="56">
        <f>K45/$M$6</f>
        <v>0</v>
      </c>
    </row>
  </sheetData>
  <printOptions horizontalCentered="1" gridLines="1"/>
  <pageMargins left="0.25" right="0.25" top="1" bottom="1" header="0.5" footer="0.5"/>
  <pageSetup scale="82" fitToHeight="0" orientation="landscape" r:id="rId1"/>
  <headerFooter alignWithMargins="0">
    <oddHeader>&amp;L&amp;G&amp;C&amp;A&amp;R&amp;D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5CDAEC036E54F818E249793D3A63A" ma:contentTypeVersion="13" ma:contentTypeDescription="Create a new document." ma:contentTypeScope="" ma:versionID="3b68bb1ac60d1ef729756fc21ca882de">
  <xsd:schema xmlns:xsd="http://www.w3.org/2001/XMLSchema" xmlns:xs="http://www.w3.org/2001/XMLSchema" xmlns:p="http://schemas.microsoft.com/office/2006/metadata/properties" xmlns:ns2="84e32629-a85f-441b-84e3-0a67009d5f12" xmlns:ns3="05386feb-0fd0-4766-b8e9-7a95f38a2af0" targetNamespace="http://schemas.microsoft.com/office/2006/metadata/properties" ma:root="true" ma:fieldsID="76a23413cb5e3d64dd308836c47bf576" ns2:_="" ns3:_="">
    <xsd:import namespace="84e32629-a85f-441b-84e3-0a67009d5f12"/>
    <xsd:import namespace="05386feb-0fd0-4766-b8e9-7a95f38a2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2629-a85f-441b-84e3-0a67009d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86feb-0fd0-4766-b8e9-7a95f38a2a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697bcf4-a684-4d49-9c3f-91a4a9576328}" ma:internalName="TaxCatchAll" ma:showField="CatchAllData" ma:web="05386feb-0fd0-4766-b8e9-7a95f38a2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386feb-0fd0-4766-b8e9-7a95f38a2af0" xsi:nil="true"/>
    <lcf76f155ced4ddcb4097134ff3c332f xmlns="84e32629-a85f-441b-84e3-0a67009d5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14F753-129E-4F97-965F-297D0B38D1C6}"/>
</file>

<file path=customXml/itemProps2.xml><?xml version="1.0" encoding="utf-8"?>
<ds:datastoreItem xmlns:ds="http://schemas.openxmlformats.org/officeDocument/2006/customXml" ds:itemID="{F4482DAC-FAD8-41A7-8FE2-991EB76BF9B7}"/>
</file>

<file path=customXml/itemProps3.xml><?xml version="1.0" encoding="utf-8"?>
<ds:datastoreItem xmlns:ds="http://schemas.openxmlformats.org/officeDocument/2006/customXml" ds:itemID="{D898321B-F13C-4FB5-9C62-72E7E3D4C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Summary</vt:lpstr>
      <vt:lpstr>Alt01</vt:lpstr>
      <vt:lpstr>Alt02</vt:lpstr>
      <vt:lpstr>Alt03</vt:lpstr>
      <vt:lpstr>Alt04</vt:lpstr>
      <vt:lpstr>Alt05</vt:lpstr>
      <vt:lpstr>Alt06</vt:lpstr>
      <vt:lpstr>Alt07</vt:lpstr>
      <vt:lpstr>Alt08</vt:lpstr>
      <vt:lpstr>Alt09</vt:lpstr>
      <vt:lpstr>Alt10</vt:lpstr>
      <vt:lpstr>Alt11</vt:lpstr>
      <vt:lpstr>Alt12</vt:lpstr>
      <vt:lpstr>Alt13</vt:lpstr>
      <vt:lpstr>'Alt01'!Print_Area</vt:lpstr>
      <vt:lpstr>'Alt02'!Print_Area</vt:lpstr>
      <vt:lpstr>'Alt03'!Print_Area</vt:lpstr>
      <vt:lpstr>'Alt04'!Print_Area</vt:lpstr>
      <vt:lpstr>'Alt05'!Print_Area</vt:lpstr>
      <vt:lpstr>'Alt06'!Print_Area</vt:lpstr>
      <vt:lpstr>'Alt07'!Print_Area</vt:lpstr>
      <vt:lpstr>'Alt08'!Print_Area</vt:lpstr>
      <vt:lpstr>'Alt09'!Print_Area</vt:lpstr>
      <vt:lpstr>Summary!Print_Area</vt:lpstr>
    </vt:vector>
  </TitlesOfParts>
  <Company>Hedrick Brothers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Justin Glasser</cp:lastModifiedBy>
  <cp:lastPrinted>2017-04-07T19:40:18Z</cp:lastPrinted>
  <dcterms:created xsi:type="dcterms:W3CDTF">2006-01-24T12:44:39Z</dcterms:created>
  <dcterms:modified xsi:type="dcterms:W3CDTF">2021-12-07T15:18:08Z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0x0101001DC5CDAEC036E54F818E249793D3A63A</vt:lpwstr>
  </property>
</Properties>
</file>