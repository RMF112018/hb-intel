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codeName="ThisWorkbook"/>
  <xr:revisionPtr revIDLastSave="384" documentId="8_{257C0812-FD71-44B8-81B3-D5387235F659}" xr6:coauthVersionLast="47" xr6:coauthVersionMax="47" xr10:uidLastSave="{32CCDF98-C43C-4E7A-B34D-572B0EA6795D}"/>
  <bookViews>
    <workbookView xWindow="-120" yWindow="-120" windowWidth="29040" windowHeight="15720" xr2:uid="{00000000-000D-0000-FFFF-FFFF00000000}"/>
  </bookViews>
  <sheets>
    <sheet name="GO_NOGO" sheetId="1" r:id="rId1"/>
  </sheets>
  <definedNames>
    <definedName name="_xlnm.Print_Area" localSheetId="0">GO_NOGO!$B$1:$N$72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 a="1"/>
  <c r="D34" i="1" s="1"/>
  <c r="D35" i="1" a="1"/>
  <c r="D35" i="1" s="1"/>
  <c r="D36" i="1" a="1"/>
  <c r="D36" i="1" s="1"/>
  <c r="F34" i="1" a="1"/>
  <c r="F34" i="1" s="1"/>
  <c r="F36" i="1" a="1"/>
  <c r="F36" i="1" s="1"/>
  <c r="D41" i="1" a="1"/>
  <c r="D41" i="1" s="1"/>
  <c r="D42" i="1" a="1"/>
  <c r="D42" i="1" s="1"/>
  <c r="F53" i="1" a="1"/>
  <c r="F53" i="1" s="1"/>
  <c r="F52" i="1" a="1"/>
  <c r="F52" i="1" s="1"/>
  <c r="F51" i="1" a="1"/>
  <c r="F51" i="1" s="1"/>
  <c r="F50" i="1" a="1"/>
  <c r="F50" i="1" s="1"/>
  <c r="F49" i="1" a="1"/>
  <c r="F49" i="1" s="1"/>
  <c r="F48" i="1" a="1"/>
  <c r="F48" i="1" s="1"/>
  <c r="F47" i="1" a="1"/>
  <c r="F47" i="1" s="1"/>
  <c r="F46" i="1" a="1"/>
  <c r="F46" i="1" s="1"/>
  <c r="F45" i="1" a="1"/>
  <c r="F45" i="1" s="1"/>
  <c r="F44" i="1" a="1"/>
  <c r="F44" i="1" s="1"/>
  <c r="F43" i="1" a="1"/>
  <c r="F43" i="1" s="1"/>
  <c r="F42" i="1" a="1"/>
  <c r="F42" i="1" s="1"/>
  <c r="F41" i="1" a="1"/>
  <c r="F41" i="1" s="1"/>
  <c r="F40" i="1" a="1"/>
  <c r="F40" i="1" s="1"/>
  <c r="F39" i="1" a="1"/>
  <c r="F39" i="1" s="1"/>
  <c r="F38" i="1" a="1"/>
  <c r="F38" i="1" s="1"/>
  <c r="F37" i="1" a="1"/>
  <c r="F37" i="1" s="1"/>
  <c r="F35" i="1" a="1"/>
  <c r="F35" i="1" s="1"/>
  <c r="D53" i="1" a="1"/>
  <c r="D53" i="1" s="1"/>
  <c r="D51" i="1" a="1"/>
  <c r="D51" i="1" s="1"/>
  <c r="D50" i="1" a="1"/>
  <c r="D50" i="1" s="1"/>
  <c r="D49" i="1" a="1"/>
  <c r="D49" i="1" s="1"/>
  <c r="D48" i="1" a="1"/>
  <c r="D48" i="1" s="1"/>
  <c r="D47" i="1" a="1"/>
  <c r="D47" i="1" s="1"/>
  <c r="D46" i="1" a="1"/>
  <c r="D46" i="1" s="1"/>
  <c r="D45" i="1" a="1"/>
  <c r="D45" i="1" s="1"/>
  <c r="D44" i="1" a="1"/>
  <c r="D44" i="1" s="1"/>
  <c r="D43" i="1" a="1"/>
  <c r="D43" i="1" s="1"/>
  <c r="D40" i="1" a="1"/>
  <c r="D40" i="1" s="1"/>
  <c r="D39" i="1" a="1"/>
  <c r="D39" i="1" s="1"/>
  <c r="D38" i="1" a="1"/>
  <c r="D38" i="1" s="1"/>
  <c r="D37" i="1" a="1"/>
  <c r="D37" i="1" s="1"/>
  <c r="D52" i="1" a="1"/>
  <c r="D52" i="1" s="1"/>
  <c r="P54" i="1"/>
  <c r="Q54" i="1"/>
  <c r="O54" i="1"/>
  <c r="C56" i="1" l="1"/>
  <c r="E56" i="1"/>
  <c r="C5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<sst xmlns="http://schemas.openxmlformats.org/spreadsheetml/2006/main" count="251" uniqueCount="240">
  <si>
    <t>GO / NO-GO SCORECARD</t>
  </si>
  <si>
    <t>Orange Cells Require Entries</t>
  </si>
  <si>
    <t>Date of Evaluation:</t>
  </si>
  <si>
    <t>Dept of Lead Origination:</t>
  </si>
  <si>
    <t>Business Development</t>
  </si>
  <si>
    <t>Airport</t>
  </si>
  <si>
    <t>Originator/Opportunity Owner:</t>
  </si>
  <si>
    <t>(Select from drop-down menu)</t>
  </si>
  <si>
    <t>Estimating</t>
  </si>
  <si>
    <t>City</t>
  </si>
  <si>
    <t>Marketing</t>
  </si>
  <si>
    <t>Commercial</t>
  </si>
  <si>
    <r>
      <rPr>
        <b/>
        <sz val="11"/>
        <color theme="4" tint="-0.249977111117893"/>
        <rFont val="Calibri"/>
        <family val="2"/>
        <scheme val="minor"/>
      </rPr>
      <t>Project Details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rgb="FFFF0000"/>
        <rFont val="Calibri"/>
        <family val="2"/>
        <scheme val="minor"/>
      </rPr>
      <t>Originator Provides</t>
    </r>
    <r>
      <rPr>
        <b/>
        <sz val="11"/>
        <color theme="1"/>
        <rFont val="Calibri"/>
        <family val="2"/>
        <scheme val="minor"/>
      </rPr>
      <t>)</t>
    </r>
  </si>
  <si>
    <t>Operations</t>
  </si>
  <si>
    <t>County</t>
  </si>
  <si>
    <t xml:space="preserve">Project Name: </t>
  </si>
  <si>
    <t>Client Name:</t>
  </si>
  <si>
    <t>A/E: Co Name, Address, Contact &amp; Phone Number:</t>
  </si>
  <si>
    <t>Other</t>
  </si>
  <si>
    <t>Education</t>
  </si>
  <si>
    <t>City Location:</t>
  </si>
  <si>
    <t xml:space="preserve">Region: </t>
  </si>
  <si>
    <t>Ownership</t>
  </si>
  <si>
    <t>Federal</t>
  </si>
  <si>
    <t>Sector:</t>
  </si>
  <si>
    <t>Proposal/Bid Due:</t>
  </si>
  <si>
    <t>Golf Club/Course</t>
  </si>
  <si>
    <t>Sub Sector:</t>
  </si>
  <si>
    <t>Award Date</t>
  </si>
  <si>
    <t>GMP</t>
  </si>
  <si>
    <t>Hospitality</t>
  </si>
  <si>
    <t>Preconstruction Duration in Months:</t>
  </si>
  <si>
    <t xml:space="preserve"> Project Value:</t>
  </si>
  <si>
    <t>Hard-Bid</t>
  </si>
  <si>
    <t>Industrial</t>
  </si>
  <si>
    <t>Square Feet:</t>
  </si>
  <si>
    <t>Delivery Method:</t>
  </si>
  <si>
    <t>Mixed-Use</t>
  </si>
  <si>
    <t>Project Start Date:</t>
  </si>
  <si>
    <t>Antcipated Fee %:</t>
  </si>
  <si>
    <t>Precon w/ GMP Amend</t>
  </si>
  <si>
    <t>Multi-Family</t>
  </si>
  <si>
    <t>Project Duration in Months:</t>
  </si>
  <si>
    <t>Anticipated Gross Margin</t>
  </si>
  <si>
    <t>Municipal</t>
  </si>
  <si>
    <t>Parking Garage</t>
  </si>
  <si>
    <t>BRIEF DESCRIPTION OF THE PROJECT</t>
  </si>
  <si>
    <t>West Palm</t>
  </si>
  <si>
    <t>Budget</t>
  </si>
  <si>
    <t>Estimating Capacity?</t>
  </si>
  <si>
    <t>Mktg/Pursuit Team Capacity:</t>
  </si>
  <si>
    <t>IDS Capacity?</t>
  </si>
  <si>
    <t>Winter Park</t>
  </si>
  <si>
    <t>Yes</t>
  </si>
  <si>
    <t>High-Level ROM</t>
  </si>
  <si>
    <t>RFQ</t>
  </si>
  <si>
    <t>Scan</t>
  </si>
  <si>
    <t>Estimating Deliverable:</t>
  </si>
  <si>
    <t>Pursuits Deliverable:</t>
  </si>
  <si>
    <t>IDS Deliverable:</t>
  </si>
  <si>
    <t>Miami</t>
  </si>
  <si>
    <t>No</t>
  </si>
  <si>
    <t>Conceptual</t>
  </si>
  <si>
    <t>RFP</t>
  </si>
  <si>
    <t>Model</t>
  </si>
  <si>
    <t>Estimating Cost of Deliverable:</t>
  </si>
  <si>
    <t>Estimated Pursuit Cost:</t>
  </si>
  <si>
    <t>IDS Est Cost:</t>
  </si>
  <si>
    <t>Stuart</t>
  </si>
  <si>
    <t>Schematic</t>
  </si>
  <si>
    <t>Marketing Piece</t>
  </si>
  <si>
    <t>Will We Get Paid For Precon?</t>
  </si>
  <si>
    <t>Financials Required:</t>
  </si>
  <si>
    <t>Schedule Required:</t>
  </si>
  <si>
    <t>Logistics Required:</t>
  </si>
  <si>
    <t>PROJECT EVALUATION:</t>
  </si>
  <si>
    <t>COMMENTS AND RESOURCES:</t>
  </si>
  <si>
    <r>
      <t xml:space="preserve">Determine if "Criteria" is Low, Average, or High, then </t>
    </r>
    <r>
      <rPr>
        <b/>
        <sz val="10.5"/>
        <color rgb="FFFF0000"/>
        <rFont val="Segoe UI"/>
        <family val="2"/>
      </rPr>
      <t>select the corresponding value from the drop down</t>
    </r>
    <r>
      <rPr>
        <b/>
        <sz val="10.5"/>
        <color theme="4" tint="-0.249977111117893"/>
        <rFont val="Segoe UI"/>
        <family val="2"/>
      </rPr>
      <t>. Totals will automatically calculate.</t>
    </r>
  </si>
  <si>
    <t>Rating</t>
  </si>
  <si>
    <t>Design-Development</t>
  </si>
  <si>
    <t>Criteria</t>
  </si>
  <si>
    <t>Originator/BD Lead</t>
  </si>
  <si>
    <t>GNG Committee</t>
  </si>
  <si>
    <t>High</t>
  </si>
  <si>
    <t>Average</t>
  </si>
  <si>
    <t>Low</t>
  </si>
  <si>
    <t>Originator Comments:</t>
  </si>
  <si>
    <t>CDs</t>
  </si>
  <si>
    <t>Client Importance</t>
  </si>
  <si>
    <t>[value 6] High Value/Repeat</t>
  </si>
  <si>
    <t>[value 4] High Value Future</t>
  </si>
  <si>
    <t>[value 2] Less Important</t>
  </si>
  <si>
    <t>Hard Bid</t>
  </si>
  <si>
    <t>Competition (short list)</t>
  </si>
  <si>
    <t xml:space="preserve">[value 4] 1-3 or weak </t>
  </si>
  <si>
    <t>[value 2] 4-5 or average</t>
  </si>
  <si>
    <t>[value 0] 6+ or strong</t>
  </si>
  <si>
    <t>Estimated Win Odds</t>
  </si>
  <si>
    <t>[value 6] &gt;33%</t>
  </si>
  <si>
    <t>[value 4] &gt;25%</t>
  </si>
  <si>
    <t>[value 1] &lt;25%</t>
  </si>
  <si>
    <t>Estimated Project $</t>
  </si>
  <si>
    <t>[value 4] &gt;$50M</t>
  </si>
  <si>
    <t>[value 2] $10M - $49M</t>
  </si>
  <si>
    <t>[value 1] &lt; $10M</t>
  </si>
  <si>
    <t>Location/Environment</t>
  </si>
  <si>
    <t>[value 5] Local, favorable</t>
  </si>
  <si>
    <t>[value 3] Close, Average</t>
  </si>
  <si>
    <t>[value 1] Distant, Severe</t>
  </si>
  <si>
    <t>Commercially Viable</t>
  </si>
  <si>
    <t>[value 6] Probability to Break Ground &gt;75%</t>
  </si>
  <si>
    <t>[value 4] Probability to Break Ground &gt;33% &lt;75%</t>
  </si>
  <si>
    <t>[value 2] High risk to start</t>
  </si>
  <si>
    <t>Preferred by the Decision Maker</t>
  </si>
  <si>
    <t>[value 6] Yes</t>
  </si>
  <si>
    <t>[value 3] Neutral</t>
  </si>
  <si>
    <t>[value 0] No</t>
  </si>
  <si>
    <t>Committee Comments:</t>
  </si>
  <si>
    <t>A &amp; E Experience</t>
  </si>
  <si>
    <t>[value 5] Successful</t>
  </si>
  <si>
    <t>[value 4] Mediocre</t>
  </si>
  <si>
    <t>[value 1] None or poor</t>
  </si>
  <si>
    <t>Staff Availability (Super/PM)</t>
  </si>
  <si>
    <t>[value 4] On Bench</t>
  </si>
  <si>
    <t>[value 2] Available</t>
  </si>
  <si>
    <t>[value 1] Must Hire</t>
  </si>
  <si>
    <t>Staff Experience In Project Type (Super or PM)</t>
  </si>
  <si>
    <t>[value 5] Extensive &gt;5</t>
  </si>
  <si>
    <t>[value 3] Average 1-4</t>
  </si>
  <si>
    <t>[value 0] Low 0</t>
  </si>
  <si>
    <t>Staff Experience in Geography (Estimating/Ops)</t>
  </si>
  <si>
    <t>Schedule (float potential)</t>
  </si>
  <si>
    <t>[value 4] Liberal</t>
  </si>
  <si>
    <t>[value 3] Manageable</t>
  </si>
  <si>
    <t>[value 1] Tight</t>
  </si>
  <si>
    <t>Contract Terms/Conditions</t>
  </si>
  <si>
    <t>[value 5] Favorable</t>
  </si>
  <si>
    <t>[value 4] Average</t>
  </si>
  <si>
    <t>[value 1] Poor/Unknown</t>
  </si>
  <si>
    <t>Pursuits/ Marketing Comments:</t>
  </si>
  <si>
    <t>Pursuits/Marketing Resources:</t>
  </si>
  <si>
    <t>Type of Contract</t>
  </si>
  <si>
    <t>[value 5] Sole Source Neg.</t>
  </si>
  <si>
    <t>[value 4] GMP/CMAR</t>
  </si>
  <si>
    <t>[value 1] Bid</t>
  </si>
  <si>
    <t>Client Financing</t>
  </si>
  <si>
    <t>[value 5] Secure</t>
  </si>
  <si>
    <t>[value 3] Available</t>
  </si>
  <si>
    <t>[value 1] Unknown</t>
  </si>
  <si>
    <t>Supports Sector Diversification (Center of Excellence)</t>
  </si>
  <si>
    <t>[value 7] COE Sector</t>
  </si>
  <si>
    <t>[value 5] Diverse Sector</t>
  </si>
  <si>
    <t>[value 2] Neither</t>
  </si>
  <si>
    <t>Investment Front End/Time Budgeting, Estimating, Mktg.</t>
  </si>
  <si>
    <t>[value 6] Small</t>
  </si>
  <si>
    <t>[value 3] Average</t>
  </si>
  <si>
    <t>[value 1] Significant</t>
  </si>
  <si>
    <t>Profit Potential</t>
  </si>
  <si>
    <t>[value 6] &gt; 4.5%</t>
  </si>
  <si>
    <t>[value 4] 4-4.5%</t>
  </si>
  <si>
    <t>[value 2] &lt; Than 4%</t>
  </si>
  <si>
    <t>Fee Enhancement Subguard, Billable Rates, Savings Split or all</t>
  </si>
  <si>
    <t>[value 6] All</t>
  </si>
  <si>
    <t>[value 4] 2 out of 3</t>
  </si>
  <si>
    <t>[value 2] 1 out of 3</t>
  </si>
  <si>
    <t>Hours:</t>
  </si>
  <si>
    <t>Fee Enhancement - Direct Purchase (appliances, HVAC, Elec, etc.)</t>
  </si>
  <si>
    <t>[value 6] 3 or more packages</t>
  </si>
  <si>
    <t>[value 4] Two packages</t>
  </si>
  <si>
    <t>[value 1] None</t>
  </si>
  <si>
    <t>Estimating Comments:</t>
  </si>
  <si>
    <t>Estimating Resources:</t>
  </si>
  <si>
    <t>106 points possible</t>
  </si>
  <si>
    <t>68 points possible</t>
  </si>
  <si>
    <t>21 points possible</t>
  </si>
  <si>
    <t>Totals</t>
  </si>
  <si>
    <t>SCORE GUIDE</t>
  </si>
  <si>
    <t>Difference (Positive number signifies GNG Committee scored higher than Originator. Negative number signifies GNG Committee scored lower than Originator)</t>
  </si>
  <si>
    <t>Above 80: Focus All Efforts (Represents 75% Score)</t>
  </si>
  <si>
    <t>75 - 80: Pursue</t>
  </si>
  <si>
    <t>Below 75 Drop</t>
  </si>
  <si>
    <t>Describe Decision-Making Process (committee/board, etc.):</t>
  </si>
  <si>
    <t>IDS Comments:</t>
  </si>
  <si>
    <t>IDS Resources:</t>
  </si>
  <si>
    <t>What are the HB Differentiators:</t>
  </si>
  <si>
    <t>Summarize the Win Strategy:</t>
  </si>
  <si>
    <t>Is this a Strategic Pursuit or will a No Bid be Detrimental?:</t>
  </si>
  <si>
    <t>Decision Maker that will Advocate for HB and Why:</t>
  </si>
  <si>
    <t>APPROVAL</t>
  </si>
  <si>
    <t>Executive Override (Dale or Burk only)</t>
  </si>
  <si>
    <t>Dale</t>
  </si>
  <si>
    <t xml:space="preserve">Go/No-Go Decision:  </t>
  </si>
  <si>
    <t>Select from Drop-Down</t>
  </si>
  <si>
    <t>GO</t>
  </si>
  <si>
    <t>Burk</t>
  </si>
  <si>
    <t>Go/No-Go Decision Date:</t>
  </si>
  <si>
    <t>NO GO</t>
  </si>
  <si>
    <t xml:space="preserve">Date Approved Pursuit Budget:  </t>
  </si>
  <si>
    <t>WAIT</t>
  </si>
  <si>
    <t>Strategic Pursuit</t>
  </si>
  <si>
    <t xml:space="preserve">Date Approved Precon Budget:  </t>
  </si>
  <si>
    <t>Detrimental</t>
  </si>
  <si>
    <t>Not Detrimental</t>
  </si>
  <si>
    <t>Version 1.1 -</t>
  </si>
  <si>
    <t>Changed Values for Estimated Project $ Scale</t>
  </si>
  <si>
    <t xml:space="preserve"> Updated scoring for self-performed work</t>
  </si>
  <si>
    <t>Version 1.2 (2024.10.18) -</t>
  </si>
  <si>
    <t>Added scoring criteria for Direct Purchase</t>
  </si>
  <si>
    <t>Changed scoring criteria to achieve 100 points perfect</t>
  </si>
  <si>
    <t>Version 1.3 (2024.11.01)</t>
  </si>
  <si>
    <t>Added Pursuit Capacity Y/N</t>
  </si>
  <si>
    <t>Added Ops Lead Box</t>
  </si>
  <si>
    <t>Added Win Odds Box</t>
  </si>
  <si>
    <t>Version 1.4 (2024.11.04)</t>
  </si>
  <si>
    <t>Changed Ops Assign etc to Ops Lead Assigned</t>
  </si>
  <si>
    <t>Version 1.5 (2025.04.22)</t>
  </si>
  <si>
    <t>Added Hospitality as a Sector</t>
  </si>
  <si>
    <t>Adjuested Scoring to reflect higher criteria</t>
  </si>
  <si>
    <t>Version 1.6 (2025.06.23)</t>
  </si>
  <si>
    <t>Added Education as a Sector</t>
  </si>
  <si>
    <t>Version 1.7 (2025.09.09)</t>
  </si>
  <si>
    <t>Added section for project description</t>
  </si>
  <si>
    <t>Enhanced scoring language</t>
  </si>
  <si>
    <t>Added box for A/E contactr info</t>
  </si>
  <si>
    <t>Added Marketing Resources Yes/No Box</t>
  </si>
  <si>
    <t>Version 1.8 (2025.10.22)</t>
  </si>
  <si>
    <t>Added Industrial Sector to Dropdown</t>
  </si>
  <si>
    <t>Version 1.9 (2025.10.22)</t>
  </si>
  <si>
    <t>Added "Pursuits Deliverable Dropdown</t>
  </si>
  <si>
    <t>Added "Estimating Deliverable Dropdown</t>
  </si>
  <si>
    <t>Version 2.0 (2025.11.17)</t>
  </si>
  <si>
    <t>Changed Score Guide to reflect minimum score of 75 to pursue</t>
  </si>
  <si>
    <t>Version 2.1 (2025.11.18)</t>
  </si>
  <si>
    <t>Added check boxes for resources, rearranged grid for more logical approach.</t>
  </si>
  <si>
    <t>Version 2.2 (2025.12.05)</t>
  </si>
  <si>
    <t>Cleaned up Formatting</t>
  </si>
  <si>
    <t>Added "Executive Override Checkbox"</t>
  </si>
  <si>
    <t>Added boxes for estimating cost of deliverable</t>
  </si>
  <si>
    <t>Added New Office Locations</t>
  </si>
  <si>
    <t>Added IDS Boxes for capacity,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</si>
</sst>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0.0"/>
    <numFmt numFmtId="166" formatCode="_(&quot;$&quot;* #,##0_);_(&quot;$&quot;* \(#,##0\);_(&quot;$&quot;* &quot;-&quot;??_);_(@_)"/>
  </numFmts>
  <fonts count="18">
    <font>
      <sz val="11"/>
      <color theme="1"/>
      <name val="Calibri"/>
      <family val="2"/>
      <scheme val="minor"/>
    </font>
    <font>
      <sz val="10.5"/>
      <color rgb="FF000000"/>
      <name val="Segoe UI"/>
      <family val="2"/>
    </font>
    <font>
      <b/>
      <sz val="10.5"/>
      <color rgb="FF000000"/>
      <name val="Segoe UI"/>
      <family val="2"/>
    </font>
    <font>
      <sz val="10.5"/>
      <color rgb="FF00A815"/>
      <name val="Segoe UI"/>
      <family val="2"/>
    </font>
    <font>
      <sz val="10.5"/>
      <color rgb="FF0001FF"/>
      <name val="Segoe UI"/>
      <family val="2"/>
    </font>
    <font>
      <sz val="10.5"/>
      <color rgb="FFFF3C00"/>
      <name val="Segoe UI"/>
      <family val="2"/>
    </font>
    <font>
      <sz val="10.5"/>
      <color rgb="FF007415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sz val="10.5"/>
      <color theme="4" tint="-0.249977111117893"/>
      <name val="Segoe UI"/>
      <family val="2"/>
    </font>
    <font>
      <b/>
      <sz val="10.5"/>
      <color theme="4" tint="-0.249977111117893"/>
      <name val="Segoe UI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0.5"/>
      <color rgb="FFFF0000"/>
      <name val="Segoe UI"/>
      <family val="2"/>
    </font>
    <font>
      <sz val="10.5"/>
      <color rgb="FFFF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/>
      <top style="thin">
        <color rgb="FF555555"/>
      </top>
      <bottom style="thin">
        <color rgb="FF555555"/>
      </bottom>
      <diagonal/>
    </border>
    <border>
      <left/>
      <right/>
      <top style="thin">
        <color rgb="FF555555"/>
      </top>
      <bottom style="thin">
        <color rgb="FF555555"/>
      </bottom>
      <diagonal/>
    </border>
    <border>
      <left/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 style="medium">
        <color rgb="FF555555"/>
      </right>
      <top style="thin">
        <color rgb="FF555555"/>
      </top>
      <bottom style="thin">
        <color rgb="FF555555"/>
      </bottom>
      <diagonal/>
    </border>
    <border>
      <left style="medium">
        <color rgb="FF555555"/>
      </left>
      <right style="thin">
        <color rgb="FF555555"/>
      </right>
      <top style="medium">
        <color rgb="FF555555"/>
      </top>
      <bottom style="thin">
        <color rgb="FF555555"/>
      </bottom>
      <diagonal/>
    </border>
    <border>
      <left style="thin">
        <color rgb="FF555555"/>
      </left>
      <right style="thin">
        <color rgb="FF555555"/>
      </right>
      <top style="medium">
        <color rgb="FF555555"/>
      </top>
      <bottom style="thin">
        <color rgb="FF555555"/>
      </bottom>
      <diagonal/>
    </border>
    <border>
      <left style="medium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medium">
        <color rgb="FF555555"/>
      </left>
      <right style="thin">
        <color rgb="FF555555"/>
      </right>
      <top style="thin">
        <color rgb="FF555555"/>
      </top>
      <bottom style="medium">
        <color rgb="FF555555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medium">
        <color rgb="FF555555"/>
      </bottom>
      <diagonal/>
    </border>
    <border>
      <left style="thin">
        <color rgb="FF555555"/>
      </left>
      <right/>
      <top style="thin">
        <color rgb="FF555555"/>
      </top>
      <bottom/>
      <diagonal/>
    </border>
    <border>
      <left/>
      <right/>
      <top style="thin">
        <color rgb="FF555555"/>
      </top>
      <bottom/>
      <diagonal/>
    </border>
    <border>
      <left/>
      <right style="thin">
        <color rgb="FF555555"/>
      </right>
      <top style="thin">
        <color rgb="FF555555"/>
      </top>
      <bottom/>
      <diagonal/>
    </border>
    <border>
      <left style="thin">
        <color rgb="FF555555"/>
      </left>
      <right/>
      <top style="medium">
        <color rgb="FF555555"/>
      </top>
      <bottom style="thin">
        <color rgb="FF555555"/>
      </bottom>
      <diagonal/>
    </border>
    <border>
      <left style="thin">
        <color rgb="FF555555"/>
      </left>
      <right/>
      <top style="thin">
        <color rgb="FF555555"/>
      </top>
      <bottom style="medium">
        <color rgb="FF555555"/>
      </bottom>
      <diagonal/>
    </border>
    <border>
      <left/>
      <right/>
      <top/>
      <bottom style="thin">
        <color rgb="FF555555"/>
      </bottom>
      <diagonal/>
    </border>
    <border>
      <left/>
      <right style="thin">
        <color rgb="FF555555"/>
      </right>
      <top/>
      <bottom/>
      <diagonal/>
    </border>
    <border>
      <left/>
      <right style="thin">
        <color rgb="FF555555"/>
      </right>
      <top/>
      <bottom style="thin">
        <color rgb="FF555555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medium">
        <color auto="1"/>
      </left>
      <right/>
      <top style="thin">
        <color rgb="FF555555"/>
      </top>
      <bottom style="thin">
        <color rgb="FF555555"/>
      </bottom>
      <diagonal/>
    </border>
    <border>
      <left style="medium">
        <color auto="1"/>
      </left>
      <right/>
      <top style="thin">
        <color rgb="FF555555"/>
      </top>
      <bottom/>
      <diagonal/>
    </border>
    <border>
      <left style="medium">
        <color auto="1"/>
      </left>
      <right/>
      <top/>
      <bottom style="thin">
        <color rgb="FF555555"/>
      </bottom>
      <diagonal/>
    </border>
    <border>
      <left style="medium">
        <color auto="1"/>
      </left>
      <right style="thin">
        <color rgb="FF555555"/>
      </right>
      <top style="thin">
        <color rgb="FF555555"/>
      </top>
      <bottom style="medium">
        <color auto="1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555555"/>
      </left>
      <right style="thin">
        <color rgb="FF555555"/>
      </right>
      <top/>
      <bottom/>
      <diagonal/>
    </border>
    <border>
      <left/>
      <right style="thin">
        <color auto="1"/>
      </right>
      <top style="thin">
        <color rgb="FF555555"/>
      </top>
      <bottom style="thin">
        <color rgb="FF555555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vertical="center"/>
    </xf>
    <xf numFmtId="0" fontId="12" fillId="4" borderId="1" xfId="0" applyFont="1" applyFill="1" applyBorder="1" applyAlignment="1" applyProtection="1">
      <alignment horizontal="left" vertical="top" wrapText="1"/>
      <protection locked="0"/>
    </xf>
    <xf numFmtId="0" fontId="12" fillId="4" borderId="1" xfId="0" applyFont="1" applyFill="1" applyBorder="1" applyAlignment="1" applyProtection="1">
      <alignment horizontal="center" vertical="center" wrapText="1"/>
      <protection locked="0"/>
    </xf>
    <xf numFmtId="0" fontId="12" fillId="4" borderId="1" xfId="0" applyFont="1" applyFill="1" applyBorder="1" applyAlignment="1" applyProtection="1">
      <alignment vertical="top" wrapText="1"/>
      <protection locked="0"/>
    </xf>
    <xf numFmtId="0" fontId="12" fillId="4" borderId="1" xfId="0" applyFont="1" applyFill="1" applyBorder="1" applyAlignment="1" applyProtection="1">
      <alignment horizontal="center" vertical="top" wrapText="1"/>
      <protection locked="0"/>
    </xf>
    <xf numFmtId="164" fontId="12" fillId="4" borderId="1" xfId="0" applyNumberFormat="1" applyFont="1" applyFill="1" applyBorder="1" applyAlignment="1" applyProtection="1">
      <alignment horizontal="center" vertical="top" wrapText="1"/>
      <protection locked="0"/>
    </xf>
    <xf numFmtId="0" fontId="8" fillId="0" borderId="0" xfId="0" applyFont="1"/>
    <xf numFmtId="0" fontId="0" fillId="0" borderId="0" xfId="0" applyAlignment="1">
      <alignment wrapText="1"/>
    </xf>
    <xf numFmtId="0" fontId="13" fillId="0" borderId="1" xfId="0" applyFont="1" applyBorder="1" applyAlignment="1">
      <alignment horizontal="center"/>
    </xf>
    <xf numFmtId="0" fontId="15" fillId="0" borderId="0" xfId="0" applyFont="1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vertical="center"/>
    </xf>
    <xf numFmtId="0" fontId="13" fillId="2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vertical="center" wrapText="1"/>
    </xf>
    <xf numFmtId="0" fontId="13" fillId="3" borderId="4" xfId="0" applyFont="1" applyFill="1" applyBorder="1" applyAlignment="1">
      <alignment horizontal="right" vertical="top" wrapText="1"/>
    </xf>
    <xf numFmtId="0" fontId="13" fillId="2" borderId="5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5" fontId="12" fillId="5" borderId="0" xfId="2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3" fillId="5" borderId="0" xfId="0" applyFont="1" applyFill="1" applyAlignment="1">
      <alignment horizontal="right" vertical="center" wrapText="1"/>
    </xf>
    <xf numFmtId="0" fontId="0" fillId="5" borderId="0" xfId="0" applyFill="1" applyAlignment="1">
      <alignment vertical="center"/>
    </xf>
    <xf numFmtId="5" fontId="12" fillId="4" borderId="20" xfId="2" applyNumberFormat="1" applyFont="1" applyFill="1" applyBorder="1" applyAlignment="1" applyProtection="1">
      <alignment vertical="center" wrapText="1"/>
      <protection locked="0"/>
    </xf>
    <xf numFmtId="42" fontId="12" fillId="4" borderId="20" xfId="2" applyNumberFormat="1" applyFont="1" applyFill="1" applyBorder="1" applyAlignment="1" applyProtection="1">
      <alignment vertical="center" wrapText="1"/>
      <protection locked="0"/>
    </xf>
    <xf numFmtId="5" fontId="12" fillId="5" borderId="19" xfId="2" applyNumberFormat="1" applyFont="1" applyFill="1" applyBorder="1" applyAlignment="1" applyProtection="1">
      <alignment horizontal="center" vertical="center" wrapText="1"/>
    </xf>
    <xf numFmtId="0" fontId="0" fillId="5" borderId="21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5" borderId="25" xfId="0" applyFill="1" applyBorder="1"/>
    <xf numFmtId="0" fontId="1" fillId="5" borderId="24" xfId="0" applyFont="1" applyFill="1" applyBorder="1" applyAlignment="1">
      <alignment horizontal="left" vertical="top" wrapText="1"/>
    </xf>
    <xf numFmtId="0" fontId="0" fillId="5" borderId="0" xfId="0" applyFill="1"/>
    <xf numFmtId="0" fontId="13" fillId="2" borderId="26" xfId="0" applyFont="1" applyFill="1" applyBorder="1" applyAlignment="1">
      <alignment horizontal="right" vertical="top" wrapText="1"/>
    </xf>
    <xf numFmtId="0" fontId="10" fillId="0" borderId="0" xfId="0" applyFont="1"/>
    <xf numFmtId="0" fontId="8" fillId="0" borderId="24" xfId="0" applyFont="1" applyBorder="1" applyAlignment="1">
      <alignment horizontal="right"/>
    </xf>
    <xf numFmtId="0" fontId="13" fillId="0" borderId="26" xfId="0" applyFont="1" applyBorder="1" applyAlignment="1">
      <alignment horizontal="right" vertical="center" wrapText="1"/>
    </xf>
    <xf numFmtId="0" fontId="2" fillId="5" borderId="25" xfId="0" applyFont="1" applyFill="1" applyBorder="1" applyAlignment="1">
      <alignment horizontal="center" vertical="top" wrapText="1"/>
    </xf>
    <xf numFmtId="0" fontId="1" fillId="5" borderId="25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5" borderId="25" xfId="0" applyFont="1" applyFill="1" applyBorder="1" applyAlignment="1">
      <alignment horizontal="center" vertical="top" wrapText="1"/>
    </xf>
    <xf numFmtId="0" fontId="0" fillId="0" borderId="26" xfId="0" applyBorder="1"/>
    <xf numFmtId="0" fontId="13" fillId="2" borderId="26" xfId="0" applyFont="1" applyFill="1" applyBorder="1" applyAlignment="1">
      <alignment horizontal="center" vertical="top" wrapText="1"/>
    </xf>
    <xf numFmtId="0" fontId="2" fillId="5" borderId="25" xfId="0" applyFont="1" applyFill="1" applyBorder="1" applyAlignment="1">
      <alignment horizontal="left" vertical="top" wrapText="1"/>
    </xf>
    <xf numFmtId="0" fontId="13" fillId="2" borderId="26" xfId="0" applyFont="1" applyFill="1" applyBorder="1" applyAlignment="1">
      <alignment horizontal="left" vertical="center" wrapText="1"/>
    </xf>
    <xf numFmtId="0" fontId="13" fillId="2" borderId="26" xfId="0" applyFont="1" applyFill="1" applyBorder="1" applyAlignment="1">
      <alignment horizontal="left" vertical="top" wrapText="1"/>
    </xf>
    <xf numFmtId="0" fontId="14" fillId="0" borderId="0" xfId="0" applyFont="1"/>
    <xf numFmtId="0" fontId="1" fillId="2" borderId="26" xfId="0" applyFont="1" applyFill="1" applyBorder="1" applyAlignment="1">
      <alignment horizontal="left" vertical="top" wrapText="1"/>
    </xf>
    <xf numFmtId="0" fontId="10" fillId="5" borderId="0" xfId="0" applyFont="1" applyFill="1"/>
    <xf numFmtId="0" fontId="1" fillId="5" borderId="0" xfId="0" applyFont="1" applyFill="1" applyAlignment="1">
      <alignment horizontal="center" vertical="top" wrapText="1"/>
    </xf>
    <xf numFmtId="0" fontId="13" fillId="2" borderId="30" xfId="0" applyFont="1" applyFill="1" applyBorder="1" applyAlignment="1">
      <alignment horizontal="right" vertical="top" wrapText="1"/>
    </xf>
    <xf numFmtId="164" fontId="12" fillId="4" borderId="31" xfId="0" applyNumberFormat="1" applyFont="1" applyFill="1" applyBorder="1" applyAlignment="1" applyProtection="1">
      <alignment horizontal="center" vertical="top" wrapText="1"/>
      <protection locked="0"/>
    </xf>
    <xf numFmtId="0" fontId="0" fillId="5" borderId="32" xfId="0" applyFill="1" applyBorder="1"/>
    <xf numFmtId="0" fontId="1" fillId="5" borderId="32" xfId="0" applyFont="1" applyFill="1" applyBorder="1" applyAlignment="1">
      <alignment horizontal="center" vertical="top" wrapText="1"/>
    </xf>
    <xf numFmtId="0" fontId="0" fillId="5" borderId="33" xfId="0" applyFill="1" applyBorder="1"/>
    <xf numFmtId="0" fontId="13" fillId="2" borderId="20" xfId="0" applyFont="1" applyFill="1" applyBorder="1" applyAlignment="1">
      <alignment horizontal="right" vertical="center" wrapText="1"/>
    </xf>
    <xf numFmtId="42" fontId="12" fillId="5" borderId="0" xfId="2" applyNumberFormat="1" applyFont="1" applyFill="1" applyBorder="1" applyAlignment="1" applyProtection="1">
      <alignment vertical="center" wrapText="1"/>
      <protection locked="0"/>
    </xf>
    <xf numFmtId="0" fontId="13" fillId="5" borderId="20" xfId="0" applyFont="1" applyFill="1" applyBorder="1" applyAlignment="1">
      <alignment horizontal="right" vertical="center" wrapText="1"/>
    </xf>
    <xf numFmtId="0" fontId="16" fillId="2" borderId="26" xfId="0" applyFont="1" applyFill="1" applyBorder="1" applyAlignment="1">
      <alignment horizontal="right" vertical="top" wrapText="1"/>
    </xf>
    <xf numFmtId="14" fontId="12" fillId="5" borderId="34" xfId="0" applyNumberFormat="1" applyFont="1" applyFill="1" applyBorder="1" applyAlignment="1">
      <alignment horizontal="left" vertical="top" wrapText="1"/>
    </xf>
    <xf numFmtId="49" fontId="12" fillId="5" borderId="17" xfId="0" applyNumberFormat="1" applyFont="1" applyFill="1" applyBorder="1" applyAlignment="1">
      <alignment horizontal="center" vertical="top" wrapText="1"/>
    </xf>
    <xf numFmtId="49" fontId="12" fillId="5" borderId="34" xfId="0" applyNumberFormat="1" applyFont="1" applyFill="1" applyBorder="1" applyAlignment="1">
      <alignment horizontal="left" vertical="center" wrapText="1"/>
    </xf>
    <xf numFmtId="164" fontId="12" fillId="5" borderId="34" xfId="0" applyNumberFormat="1" applyFont="1" applyFill="1" applyBorder="1" applyAlignment="1">
      <alignment horizontal="left" vertical="center" wrapText="1"/>
    </xf>
    <xf numFmtId="42" fontId="12" fillId="5" borderId="34" xfId="2" applyNumberFormat="1" applyFont="1" applyFill="1" applyBorder="1" applyAlignment="1" applyProtection="1">
      <alignment horizontal="left" vertical="center" wrapText="1"/>
    </xf>
    <xf numFmtId="0" fontId="12" fillId="5" borderId="17" xfId="0" applyFont="1" applyFill="1" applyBorder="1" applyAlignment="1">
      <alignment horizontal="left" vertical="center" wrapText="1"/>
    </xf>
    <xf numFmtId="10" fontId="12" fillId="5" borderId="34" xfId="3" applyNumberFormat="1" applyFont="1" applyFill="1" applyBorder="1" applyAlignment="1" applyProtection="1">
      <alignment horizontal="left" vertical="center" wrapText="1"/>
    </xf>
    <xf numFmtId="0" fontId="12" fillId="5" borderId="0" xfId="0" applyFont="1" applyFill="1" applyAlignment="1">
      <alignment horizontal="center" vertical="center" wrapText="1"/>
    </xf>
    <xf numFmtId="166" fontId="12" fillId="5" borderId="0" xfId="2" applyNumberFormat="1" applyFont="1" applyFill="1" applyBorder="1" applyAlignment="1" applyProtection="1">
      <alignment horizontal="center" vertical="center" wrapText="1"/>
    </xf>
    <xf numFmtId="0" fontId="13" fillId="5" borderId="34" xfId="0" applyFont="1" applyFill="1" applyBorder="1" applyAlignment="1">
      <alignment horizontal="center" vertical="top" wrapText="1"/>
    </xf>
    <xf numFmtId="0" fontId="13" fillId="5" borderId="0" xfId="0" applyFont="1" applyFill="1" applyAlignment="1">
      <alignment horizontal="center" vertical="top" wrapText="1"/>
    </xf>
    <xf numFmtId="0" fontId="5" fillId="5" borderId="34" xfId="0" applyFont="1" applyFill="1" applyBorder="1" applyAlignment="1">
      <alignment horizontal="center" vertical="top" wrapText="1"/>
    </xf>
    <xf numFmtId="0" fontId="5" fillId="5" borderId="34" xfId="0" applyFont="1" applyFill="1" applyBorder="1" applyAlignment="1">
      <alignment horizontal="left" vertical="top" wrapText="1"/>
    </xf>
    <xf numFmtId="0" fontId="1" fillId="5" borderId="34" xfId="0" applyFont="1" applyFill="1" applyBorder="1" applyAlignment="1">
      <alignment horizontal="left" vertical="top" wrapText="1"/>
    </xf>
    <xf numFmtId="0" fontId="12" fillId="5" borderId="34" xfId="0" applyFont="1" applyFill="1" applyBorder="1" applyAlignment="1">
      <alignment horizontal="left" vertical="top" wrapText="1"/>
    </xf>
    <xf numFmtId="3" fontId="12" fillId="4" borderId="1" xfId="0" applyNumberFormat="1" applyFont="1" applyFill="1" applyBorder="1" applyAlignment="1" applyProtection="1">
      <alignment horizontal="left" vertical="top" wrapText="1"/>
      <protection locked="0"/>
    </xf>
    <xf numFmtId="0" fontId="12" fillId="4" borderId="12" xfId="0" applyFont="1" applyFill="1" applyBorder="1" applyAlignment="1" applyProtection="1">
      <alignment horizontal="left" vertical="top" wrapText="1"/>
      <protection locked="0"/>
    </xf>
    <xf numFmtId="0" fontId="12" fillId="4" borderId="13" xfId="0" applyFont="1" applyFill="1" applyBorder="1" applyAlignment="1" applyProtection="1">
      <alignment horizontal="left" vertical="top" wrapText="1"/>
      <protection locked="0"/>
    </xf>
    <xf numFmtId="0" fontId="13" fillId="2" borderId="4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13" fillId="0" borderId="2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49" fontId="13" fillId="4" borderId="27" xfId="0" applyNumberFormat="1" applyFont="1" applyFill="1" applyBorder="1" applyAlignment="1" applyProtection="1">
      <alignment horizontal="center" vertical="center" wrapText="1"/>
      <protection locked="0"/>
    </xf>
    <xf numFmtId="49" fontId="13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4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5" fontId="12" fillId="4" borderId="20" xfId="2" applyNumberFormat="1" applyFont="1" applyFill="1" applyBorder="1" applyAlignment="1" applyProtection="1">
      <alignment horizontal="center" vertical="center" wrapText="1"/>
      <protection locked="0"/>
    </xf>
    <xf numFmtId="0" fontId="13" fillId="5" borderId="0" xfId="0" applyFont="1" applyFill="1" applyAlignment="1">
      <alignment horizontal="right" vertical="center" wrapText="1"/>
    </xf>
    <xf numFmtId="0" fontId="11" fillId="5" borderId="0" xfId="0" applyFont="1" applyFill="1" applyAlignment="1">
      <alignment horizontal="center"/>
    </xf>
    <xf numFmtId="14" fontId="12" fillId="4" borderId="2" xfId="0" applyNumberFormat="1" applyFont="1" applyFill="1" applyBorder="1" applyAlignment="1" applyProtection="1">
      <alignment horizontal="left" vertical="top" wrapText="1"/>
      <protection locked="0"/>
    </xf>
    <xf numFmtId="14" fontId="12" fillId="4" borderId="3" xfId="0" applyNumberFormat="1" applyFont="1" applyFill="1" applyBorder="1" applyAlignment="1" applyProtection="1">
      <alignment horizontal="left" vertical="top" wrapText="1"/>
      <protection locked="0"/>
    </xf>
    <xf numFmtId="14" fontId="12" fillId="4" borderId="4" xfId="0" applyNumberFormat="1" applyFont="1" applyFill="1" applyBorder="1" applyAlignment="1" applyProtection="1">
      <alignment horizontal="left" vertical="top" wrapText="1"/>
      <protection locked="0"/>
    </xf>
    <xf numFmtId="49" fontId="12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>
      <alignment horizontal="center" vertical="top" wrapText="1"/>
    </xf>
    <xf numFmtId="49" fontId="12" fillId="4" borderId="2" xfId="0" applyNumberFormat="1" applyFont="1" applyFill="1" applyBorder="1" applyAlignment="1" applyProtection="1">
      <alignment horizontal="center" vertical="top" wrapText="1"/>
      <protection locked="0"/>
    </xf>
    <xf numFmtId="49" fontId="12" fillId="4" borderId="3" xfId="0" applyNumberFormat="1" applyFont="1" applyFill="1" applyBorder="1" applyAlignment="1" applyProtection="1">
      <alignment horizontal="center" vertical="top" wrapText="1"/>
      <protection locked="0"/>
    </xf>
    <xf numFmtId="49" fontId="12" fillId="4" borderId="4" xfId="0" applyNumberFormat="1" applyFont="1" applyFill="1" applyBorder="1" applyAlignment="1" applyProtection="1">
      <alignment horizontal="center" vertical="top" wrapText="1"/>
      <protection locked="0"/>
    </xf>
    <xf numFmtId="0" fontId="17" fillId="5" borderId="0" xfId="0" applyFont="1" applyFill="1" applyAlignment="1">
      <alignment horizontal="center"/>
    </xf>
    <xf numFmtId="49" fontId="12" fillId="4" borderId="1" xfId="0" applyNumberFormat="1" applyFont="1" applyFill="1" applyBorder="1" applyAlignment="1" applyProtection="1">
      <alignment horizontal="left" vertical="top" wrapText="1"/>
      <protection locked="0"/>
    </xf>
    <xf numFmtId="164" fontId="12" fillId="4" borderId="1" xfId="0" applyNumberFormat="1" applyFont="1" applyFill="1" applyBorder="1" applyAlignment="1" applyProtection="1">
      <alignment horizontal="left" vertical="center" wrapText="1"/>
      <protection locked="0"/>
    </xf>
    <xf numFmtId="165" fontId="12" fillId="4" borderId="1" xfId="0" applyNumberFormat="1" applyFont="1" applyFill="1" applyBorder="1" applyAlignment="1" applyProtection="1">
      <alignment horizontal="left" vertical="center" wrapText="1"/>
      <protection locked="0"/>
    </xf>
    <xf numFmtId="42" fontId="12" fillId="4" borderId="1" xfId="2" applyNumberFormat="1" applyFont="1" applyFill="1" applyBorder="1" applyAlignment="1" applyProtection="1">
      <alignment horizontal="left" vertical="center" wrapText="1"/>
      <protection locked="0"/>
    </xf>
    <xf numFmtId="37" fontId="12" fillId="4" borderId="1" xfId="1" applyNumberFormat="1" applyFont="1" applyFill="1" applyBorder="1" applyAlignment="1" applyProtection="1">
      <alignment horizontal="left" vertical="center" wrapText="1"/>
      <protection locked="0"/>
    </xf>
    <xf numFmtId="10" fontId="12" fillId="4" borderId="1" xfId="3" applyNumberFormat="1" applyFont="1" applyFill="1" applyBorder="1" applyAlignment="1" applyProtection="1">
      <alignment horizontal="left" vertical="center" wrapText="1"/>
      <protection locked="0"/>
    </xf>
    <xf numFmtId="4" fontId="12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2" fillId="4" borderId="2" xfId="0" applyFont="1" applyFill="1" applyBorder="1" applyAlignment="1" applyProtection="1">
      <alignment horizontal="left" vertical="center" wrapText="1"/>
      <protection locked="0"/>
    </xf>
    <xf numFmtId="0" fontId="12" fillId="4" borderId="4" xfId="0" applyFont="1" applyFill="1" applyBorder="1" applyAlignment="1" applyProtection="1">
      <alignment horizontal="left" vertical="center" wrapText="1"/>
      <protection locked="0"/>
    </xf>
    <xf numFmtId="49" fontId="12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12" fillId="4" borderId="3" xfId="0" applyNumberFormat="1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3" fillId="0" borderId="27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35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 vertical="top" wrapText="1"/>
    </xf>
    <xf numFmtId="0" fontId="12" fillId="4" borderId="11" xfId="0" applyFont="1" applyFill="1" applyBorder="1" applyAlignment="1" applyProtection="1">
      <alignment horizontal="center" vertical="top" wrapText="1"/>
      <protection locked="0"/>
    </xf>
    <xf numFmtId="0" fontId="12" fillId="4" borderId="12" xfId="0" applyFont="1" applyFill="1" applyBorder="1" applyAlignment="1" applyProtection="1">
      <alignment horizontal="center" vertical="top" wrapText="1"/>
      <protection locked="0"/>
    </xf>
    <xf numFmtId="0" fontId="12" fillId="4" borderId="13" xfId="0" applyFont="1" applyFill="1" applyBorder="1" applyAlignment="1" applyProtection="1">
      <alignment horizontal="center" vertical="top" wrapText="1"/>
      <protection locked="0"/>
    </xf>
    <xf numFmtId="0" fontId="12" fillId="4" borderId="11" xfId="0" applyFont="1" applyFill="1" applyBorder="1" applyAlignment="1" applyProtection="1">
      <alignment horizontal="left" vertical="top" wrapText="1"/>
      <protection locked="0"/>
    </xf>
    <xf numFmtId="0" fontId="1" fillId="2" borderId="28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7" xfId="0" applyFont="1" applyFill="1" applyBorder="1" applyAlignment="1">
      <alignment horizontal="left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 wrapText="1"/>
    </xf>
    <xf numFmtId="0" fontId="12" fillId="4" borderId="2" xfId="0" applyFont="1" applyFill="1" applyBorder="1" applyAlignment="1" applyProtection="1">
      <alignment horizontal="left" vertical="top" wrapText="1"/>
      <protection locked="0"/>
    </xf>
    <xf numFmtId="0" fontId="12" fillId="4" borderId="3" xfId="0" applyFont="1" applyFill="1" applyBorder="1" applyAlignment="1" applyProtection="1">
      <alignment horizontal="left" vertical="top" wrapText="1"/>
      <protection locked="0"/>
    </xf>
    <xf numFmtId="0" fontId="12" fillId="4" borderId="4" xfId="0" applyFont="1" applyFill="1" applyBorder="1" applyAlignment="1" applyProtection="1">
      <alignment horizontal="left" vertical="top" wrapText="1"/>
      <protection locked="0"/>
    </xf>
    <xf numFmtId="0" fontId="13" fillId="2" borderId="8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top" wrapText="1"/>
    </xf>
    <xf numFmtId="0" fontId="13" fillId="2" borderId="9" xfId="0" applyFont="1" applyFill="1" applyBorder="1" applyAlignment="1">
      <alignment horizontal="center" vertical="top" wrapText="1"/>
    </xf>
    <xf numFmtId="0" fontId="13" fillId="2" borderId="10" xfId="0" applyFont="1" applyFill="1" applyBorder="1" applyAlignment="1">
      <alignment horizontal="center" vertical="top" wrapText="1"/>
    </xf>
    <xf numFmtId="0" fontId="13" fillId="2" borderId="15" xfId="0" applyFont="1" applyFill="1" applyBorder="1" applyAlignment="1">
      <alignment horizontal="center" vertical="top" wrapText="1"/>
    </xf>
    <xf numFmtId="0" fontId="1" fillId="2" borderId="29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18" xfId="0" applyFont="1" applyFill="1" applyBorder="1" applyAlignment="1">
      <alignment horizontal="left" vertical="top" wrapText="1"/>
    </xf>
    <xf numFmtId="0" fontId="12" fillId="4" borderId="20" xfId="0" applyFont="1" applyFill="1" applyBorder="1" applyAlignment="1" applyProtection="1">
      <alignment horizontal="center" vertical="center" wrapText="1"/>
      <protection locked="0"/>
    </xf>
    <xf numFmtId="0" fontId="13" fillId="0" borderId="29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166" fontId="12" fillId="4" borderId="20" xfId="2" applyNumberFormat="1" applyFont="1" applyFill="1" applyBorder="1" applyAlignment="1" applyProtection="1">
      <alignment horizontal="center" vertical="center" wrapText="1"/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171450</xdr:rowOff>
    </xdr:from>
    <xdr:to>
      <xdr:col>1</xdr:col>
      <xdr:colOff>2731770</xdr:colOff>
      <xdr:row>3</xdr:row>
      <xdr:rowOff>167259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5E784-9F12-7F88-7117-3A7AB6C9E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1450"/>
          <a:ext cx="2636520" cy="710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U131"/>
  <sheetViews>
    <sheetView tabSelected="1" view="pageBreakPreview" zoomScale="85" zoomScaleNormal="95" zoomScaleSheetLayoutView="85" workbookViewId="0">
      <selection activeCell="C6" sqref="C6:I6"/>
    </sheetView>
  </sheetViews>
  <sheetFormatPr defaultColWidth="14.28515625" defaultRowHeight="18.75" customHeight="1"/>
  <cols>
    <col min="1" max="1" width="2.7109375" customWidth="1"/>
    <col min="2" max="2" width="63.7109375" bestFit="1" customWidth="1"/>
    <col min="3" max="3" width="25.85546875" customWidth="1"/>
    <col min="4" max="4" width="3.42578125" customWidth="1"/>
    <col min="5" max="5" width="27.85546875" customWidth="1"/>
    <col min="6" max="6" width="3.28515625" customWidth="1"/>
    <col min="7" max="9" width="29.28515625" customWidth="1"/>
    <col min="10" max="10" width="2.7109375" style="46" customWidth="1"/>
    <col min="11" max="11" width="32" bestFit="1" customWidth="1"/>
    <col min="12" max="12" width="16.140625" customWidth="1"/>
    <col min="13" max="13" width="14.28515625" customWidth="1"/>
    <col min="14" max="14" width="2.7109375" customWidth="1"/>
    <col min="18" max="18" width="20.140625" bestFit="1" customWidth="1"/>
    <col min="19" max="19" width="15.42578125" bestFit="1" customWidth="1"/>
  </cols>
  <sheetData>
    <row r="1" spans="2:18" ht="18.75" customHeight="1"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2:18" ht="18.75" customHeight="1">
      <c r="B2" s="43"/>
      <c r="C2" s="103" t="s">
        <v>0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44"/>
    </row>
    <row r="3" spans="2:18" ht="18.75" customHeight="1">
      <c r="B3" s="4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44"/>
    </row>
    <row r="4" spans="2:18" ht="18.75" customHeight="1">
      <c r="B4" s="43"/>
      <c r="C4" s="112" t="s">
        <v>1</v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44"/>
    </row>
    <row r="5" spans="2:18" ht="15.75">
      <c r="B5" s="45"/>
      <c r="C5" s="46"/>
      <c r="D5" s="46"/>
      <c r="E5" s="46"/>
      <c r="F5" s="46"/>
      <c r="G5" s="46"/>
      <c r="H5" s="46"/>
      <c r="I5" s="46"/>
      <c r="K5" s="46"/>
      <c r="L5" s="46"/>
      <c r="M5" s="46"/>
      <c r="N5" s="44"/>
    </row>
    <row r="6" spans="2:18" ht="15.75" customHeight="1">
      <c r="B6" s="47" t="s">
        <v>2</v>
      </c>
      <c r="C6" s="104"/>
      <c r="D6" s="105"/>
      <c r="E6" s="105"/>
      <c r="F6" s="105"/>
      <c r="G6" s="105"/>
      <c r="H6" s="105"/>
      <c r="I6" s="106"/>
      <c r="J6" s="73"/>
      <c r="K6" s="9" t="s">
        <v>3</v>
      </c>
      <c r="L6" s="46"/>
      <c r="M6" s="46"/>
      <c r="N6" s="44"/>
      <c r="P6" s="10" t="s">
        <v>4</v>
      </c>
      <c r="R6" s="10" t="s">
        <v>5</v>
      </c>
    </row>
    <row r="7" spans="2:18" ht="15.75" customHeight="1">
      <c r="B7" s="47" t="s">
        <v>6</v>
      </c>
      <c r="C7" s="109"/>
      <c r="D7" s="110"/>
      <c r="E7" s="110"/>
      <c r="F7" s="110"/>
      <c r="G7" s="110"/>
      <c r="H7" s="110"/>
      <c r="I7" s="111"/>
      <c r="J7" s="74"/>
      <c r="K7" s="3"/>
      <c r="L7" s="48" t="s">
        <v>7</v>
      </c>
      <c r="N7" s="44"/>
      <c r="P7" s="10" t="s">
        <v>8</v>
      </c>
      <c r="R7" s="10" t="s">
        <v>9</v>
      </c>
    </row>
    <row r="8" spans="2:18" ht="15">
      <c r="B8" s="43"/>
      <c r="C8" s="46"/>
      <c r="D8" s="46"/>
      <c r="E8" s="46"/>
      <c r="F8" s="46"/>
      <c r="G8" s="46"/>
      <c r="H8" s="46"/>
      <c r="I8" s="46"/>
      <c r="K8" s="46"/>
      <c r="L8" s="46"/>
      <c r="M8" s="46"/>
      <c r="N8" s="44"/>
      <c r="P8" s="10" t="s">
        <v>10</v>
      </c>
      <c r="R8" s="10" t="s">
        <v>11</v>
      </c>
    </row>
    <row r="9" spans="2:18" ht="15.75">
      <c r="B9" s="49" t="s">
        <v>12</v>
      </c>
      <c r="D9" s="46"/>
      <c r="E9" s="46"/>
      <c r="F9" s="46"/>
      <c r="G9" s="46"/>
      <c r="H9" s="46"/>
      <c r="I9" s="46"/>
      <c r="K9" s="46"/>
      <c r="L9" s="46"/>
      <c r="M9" s="46"/>
      <c r="N9" s="44"/>
      <c r="O9" s="11"/>
      <c r="P9" s="10" t="s">
        <v>13</v>
      </c>
      <c r="Q9" s="12"/>
      <c r="R9" s="10" t="s">
        <v>14</v>
      </c>
    </row>
    <row r="10" spans="2:18" ht="15.75">
      <c r="B10" s="50" t="s">
        <v>15</v>
      </c>
      <c r="C10" s="107"/>
      <c r="D10" s="107"/>
      <c r="E10" s="107"/>
      <c r="F10" s="107"/>
      <c r="G10" s="13" t="s">
        <v>16</v>
      </c>
      <c r="H10" s="107"/>
      <c r="I10" s="107"/>
      <c r="J10" s="75"/>
      <c r="K10" s="108" t="s">
        <v>17</v>
      </c>
      <c r="L10" s="108"/>
      <c r="M10" s="108"/>
      <c r="N10" s="51"/>
      <c r="P10" s="10" t="s">
        <v>18</v>
      </c>
      <c r="R10" s="10" t="s">
        <v>19</v>
      </c>
    </row>
    <row r="11" spans="2:18" ht="15.75">
      <c r="B11" s="50" t="s">
        <v>20</v>
      </c>
      <c r="C11" s="122"/>
      <c r="D11" s="123"/>
      <c r="E11" s="123"/>
      <c r="F11" s="123"/>
      <c r="G11" s="13" t="s">
        <v>21</v>
      </c>
      <c r="H11" s="107"/>
      <c r="I11" s="107"/>
      <c r="J11" s="75"/>
      <c r="K11" s="113"/>
      <c r="L11" s="113"/>
      <c r="M11" s="113"/>
      <c r="N11" s="52"/>
      <c r="P11" s="10" t="s">
        <v>22</v>
      </c>
      <c r="R11" s="10" t="s">
        <v>23</v>
      </c>
    </row>
    <row r="12" spans="2:18" ht="15.75">
      <c r="B12" s="50" t="s">
        <v>24</v>
      </c>
      <c r="C12" s="107"/>
      <c r="D12" s="107"/>
      <c r="E12" s="107"/>
      <c r="F12" s="107"/>
      <c r="G12" s="13" t="s">
        <v>25</v>
      </c>
      <c r="H12" s="114"/>
      <c r="I12" s="114"/>
      <c r="J12" s="76"/>
      <c r="K12" s="113"/>
      <c r="L12" s="113"/>
      <c r="M12" s="113"/>
      <c r="N12" s="52"/>
      <c r="P12" s="10"/>
      <c r="R12" s="10" t="s">
        <v>26</v>
      </c>
    </row>
    <row r="13" spans="2:18" ht="15.75">
      <c r="B13" s="50" t="s">
        <v>27</v>
      </c>
      <c r="C13" s="107"/>
      <c r="D13" s="107"/>
      <c r="E13" s="107"/>
      <c r="F13" s="107"/>
      <c r="G13" s="13" t="s">
        <v>28</v>
      </c>
      <c r="H13" s="114"/>
      <c r="I13" s="114"/>
      <c r="J13" s="76"/>
      <c r="K13" s="113"/>
      <c r="L13" s="113"/>
      <c r="M13" s="113"/>
      <c r="N13" s="52"/>
      <c r="P13" s="10" t="s">
        <v>29</v>
      </c>
      <c r="R13" s="10" t="s">
        <v>30</v>
      </c>
    </row>
    <row r="14" spans="2:18" ht="15.75">
      <c r="B14" s="50" t="s">
        <v>31</v>
      </c>
      <c r="C14" s="115"/>
      <c r="D14" s="115"/>
      <c r="E14" s="115"/>
      <c r="F14" s="115"/>
      <c r="G14" s="13" t="s">
        <v>32</v>
      </c>
      <c r="H14" s="116"/>
      <c r="I14" s="116"/>
      <c r="J14" s="77"/>
      <c r="K14" s="113"/>
      <c r="L14" s="113"/>
      <c r="M14" s="113"/>
      <c r="N14" s="52"/>
      <c r="P14" s="10" t="s">
        <v>33</v>
      </c>
      <c r="R14" s="10" t="s">
        <v>34</v>
      </c>
    </row>
    <row r="15" spans="2:18" ht="15.75">
      <c r="B15" s="50" t="s">
        <v>35</v>
      </c>
      <c r="C15" s="117"/>
      <c r="D15" s="117"/>
      <c r="E15" s="117"/>
      <c r="F15" s="117"/>
      <c r="G15" s="13" t="s">
        <v>36</v>
      </c>
      <c r="H15" s="120"/>
      <c r="I15" s="121"/>
      <c r="J15" s="78"/>
      <c r="K15" s="113"/>
      <c r="L15" s="113"/>
      <c r="M15" s="113"/>
      <c r="N15" s="52"/>
      <c r="P15" s="10" t="s">
        <v>18</v>
      </c>
      <c r="R15" s="10" t="s">
        <v>37</v>
      </c>
    </row>
    <row r="16" spans="2:18" ht="15.75">
      <c r="B16" s="50" t="s">
        <v>38</v>
      </c>
      <c r="C16" s="114"/>
      <c r="D16" s="114"/>
      <c r="E16" s="114"/>
      <c r="F16" s="114"/>
      <c r="G16" s="13" t="s">
        <v>39</v>
      </c>
      <c r="H16" s="118"/>
      <c r="I16" s="118"/>
      <c r="J16" s="79"/>
      <c r="K16" s="113"/>
      <c r="L16" s="113"/>
      <c r="M16" s="113"/>
      <c r="N16" s="52"/>
      <c r="P16" s="10" t="s">
        <v>40</v>
      </c>
      <c r="R16" s="10" t="s">
        <v>41</v>
      </c>
    </row>
    <row r="17" spans="2:21" ht="15.75">
      <c r="B17" s="50" t="s">
        <v>42</v>
      </c>
      <c r="C17" s="119"/>
      <c r="D17" s="119"/>
      <c r="E17" s="119"/>
      <c r="F17" s="119"/>
      <c r="G17" s="13" t="s">
        <v>43</v>
      </c>
      <c r="H17" s="118"/>
      <c r="I17" s="118"/>
      <c r="J17" s="79"/>
      <c r="K17" s="113"/>
      <c r="L17" s="113"/>
      <c r="M17" s="113"/>
      <c r="N17" s="52"/>
      <c r="P17" s="10"/>
      <c r="R17" s="10" t="s">
        <v>44</v>
      </c>
    </row>
    <row r="18" spans="2:21" ht="15.75">
      <c r="B18" s="93"/>
      <c r="C18" s="94"/>
      <c r="D18" s="94"/>
      <c r="E18" s="94"/>
      <c r="F18" s="94"/>
      <c r="G18" s="94"/>
      <c r="H18" s="94"/>
      <c r="I18" s="94"/>
      <c r="J18" s="96"/>
      <c r="K18" s="94"/>
      <c r="L18" s="94"/>
      <c r="M18" s="94"/>
      <c r="N18" s="52"/>
      <c r="P18" s="10"/>
      <c r="R18" s="10" t="s">
        <v>45</v>
      </c>
    </row>
    <row r="19" spans="2:21" ht="15.75">
      <c r="B19" s="93" t="s">
        <v>46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5"/>
      <c r="N19" s="52"/>
      <c r="P19" s="10"/>
      <c r="R19" s="10"/>
    </row>
    <row r="20" spans="2:21" ht="15.75"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52"/>
      <c r="P20" s="10"/>
      <c r="R20" s="10"/>
    </row>
    <row r="21" spans="2:21" ht="46.5" customHeight="1"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52"/>
      <c r="P21" s="10"/>
      <c r="R21" s="10"/>
    </row>
    <row r="22" spans="2:21" ht="15.75">
      <c r="B22" s="99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52"/>
      <c r="P22" s="10" t="s">
        <v>47</v>
      </c>
      <c r="R22" s="10"/>
      <c r="U22" s="10" t="s">
        <v>48</v>
      </c>
    </row>
    <row r="23" spans="2:21" s="1" customFormat="1" ht="15.75" customHeight="1">
      <c r="B23" s="69" t="s">
        <v>49</v>
      </c>
      <c r="C23" s="37"/>
      <c r="D23" s="102"/>
      <c r="E23" s="102"/>
      <c r="F23" s="39"/>
      <c r="G23" s="69" t="s">
        <v>50</v>
      </c>
      <c r="H23" s="101"/>
      <c r="I23" s="101"/>
      <c r="J23" s="33"/>
      <c r="K23" s="69" t="s">
        <v>51</v>
      </c>
      <c r="L23" s="37"/>
      <c r="M23" s="36"/>
      <c r="N23" s="44"/>
      <c r="P23" s="10" t="s">
        <v>52</v>
      </c>
      <c r="Q23" s="10" t="s">
        <v>53</v>
      </c>
      <c r="R23" s="10" t="s">
        <v>54</v>
      </c>
      <c r="S23" s="10" t="s">
        <v>55</v>
      </c>
      <c r="U23" s="10" t="s">
        <v>56</v>
      </c>
    </row>
    <row r="24" spans="2:21" s="1" customFormat="1" ht="15.75" customHeight="1">
      <c r="B24" s="69" t="s">
        <v>57</v>
      </c>
      <c r="C24" s="37"/>
      <c r="D24" s="102"/>
      <c r="E24" s="102"/>
      <c r="F24" s="39"/>
      <c r="G24" s="69" t="s">
        <v>58</v>
      </c>
      <c r="H24" s="157"/>
      <c r="I24" s="157"/>
      <c r="J24" s="80"/>
      <c r="K24" s="69" t="s">
        <v>59</v>
      </c>
      <c r="L24" s="37"/>
      <c r="M24" s="36"/>
      <c r="N24" s="44"/>
      <c r="P24" s="10" t="s">
        <v>60</v>
      </c>
      <c r="Q24" s="10" t="s">
        <v>61</v>
      </c>
      <c r="R24" s="10" t="s">
        <v>62</v>
      </c>
      <c r="S24" s="10" t="s">
        <v>63</v>
      </c>
      <c r="U24" s="10" t="s">
        <v>64</v>
      </c>
    </row>
    <row r="25" spans="2:21" s="1" customFormat="1" ht="15.75" customHeight="1">
      <c r="B25" s="69" t="s">
        <v>65</v>
      </c>
      <c r="C25" s="38"/>
      <c r="D25" s="102"/>
      <c r="E25" s="102"/>
      <c r="F25" s="33"/>
      <c r="G25" s="69" t="s">
        <v>66</v>
      </c>
      <c r="H25" s="160"/>
      <c r="I25" s="160"/>
      <c r="J25" s="81"/>
      <c r="K25" s="69" t="s">
        <v>67</v>
      </c>
      <c r="L25" s="38"/>
      <c r="M25" s="36"/>
      <c r="N25" s="44"/>
      <c r="P25" s="10" t="s">
        <v>68</v>
      </c>
      <c r="Q25" s="10"/>
      <c r="R25" s="10" t="s">
        <v>69</v>
      </c>
      <c r="S25" s="10" t="s">
        <v>70</v>
      </c>
      <c r="U25" s="10" t="s">
        <v>18</v>
      </c>
    </row>
    <row r="26" spans="2:21" s="1" customFormat="1" ht="15.75">
      <c r="B26" s="69" t="s">
        <v>71</v>
      </c>
      <c r="C26" s="38"/>
      <c r="D26" s="35"/>
      <c r="E26" s="35"/>
      <c r="F26" s="33"/>
      <c r="G26" s="69" t="s">
        <v>72</v>
      </c>
      <c r="H26" s="160"/>
      <c r="I26" s="160"/>
      <c r="J26" s="81"/>
      <c r="K26" s="36"/>
      <c r="L26" s="36"/>
      <c r="M26" s="70"/>
      <c r="N26" s="44"/>
      <c r="P26" s="10"/>
      <c r="Q26" s="10"/>
      <c r="R26" s="10"/>
      <c r="S26" s="10"/>
      <c r="U26" s="10"/>
    </row>
    <row r="27" spans="2:21" s="1" customFormat="1" ht="15.75">
      <c r="B27" s="69" t="s">
        <v>73</v>
      </c>
      <c r="C27" s="38"/>
      <c r="D27" s="35"/>
      <c r="E27" s="35"/>
      <c r="F27" s="33"/>
      <c r="G27" s="36"/>
      <c r="H27" s="36"/>
      <c r="I27" s="36"/>
      <c r="J27" s="36"/>
      <c r="K27" s="36"/>
      <c r="L27" s="36"/>
      <c r="M27" s="70"/>
      <c r="N27" s="44"/>
      <c r="P27" s="10"/>
      <c r="Q27" s="10"/>
      <c r="R27" s="10"/>
      <c r="S27" s="10"/>
      <c r="U27" s="10"/>
    </row>
    <row r="28" spans="2:21" s="1" customFormat="1" ht="15.75">
      <c r="B28" s="71" t="s">
        <v>74</v>
      </c>
      <c r="C28" s="38"/>
      <c r="D28" s="35"/>
      <c r="E28" s="35"/>
      <c r="F28" s="33"/>
      <c r="G28" s="36"/>
      <c r="H28" s="36"/>
      <c r="I28" s="36"/>
      <c r="J28" s="36"/>
      <c r="K28" s="36"/>
      <c r="L28" s="36"/>
      <c r="M28" s="36"/>
      <c r="N28" s="44"/>
      <c r="P28" s="10"/>
      <c r="Q28" s="10"/>
      <c r="R28" s="10"/>
      <c r="S28" s="10"/>
    </row>
    <row r="29" spans="2:21" ht="15.75">
      <c r="B29" s="158" t="s">
        <v>75</v>
      </c>
      <c r="C29" s="159"/>
      <c r="D29" s="128"/>
      <c r="E29" s="128"/>
      <c r="F29" s="128"/>
      <c r="G29" s="128"/>
      <c r="H29" s="128"/>
      <c r="I29" s="144"/>
      <c r="J29" s="82"/>
      <c r="K29" s="108" t="s">
        <v>76</v>
      </c>
      <c r="L29" s="108"/>
      <c r="M29" s="108"/>
      <c r="N29" s="51"/>
      <c r="R29" s="10" t="s">
        <v>54</v>
      </c>
    </row>
    <row r="30" spans="2:21" ht="15.75" customHeight="1">
      <c r="B30" s="127" t="s">
        <v>77</v>
      </c>
      <c r="C30" s="128"/>
      <c r="D30" s="128"/>
      <c r="E30" s="128"/>
      <c r="F30" s="128"/>
      <c r="G30" s="128"/>
      <c r="H30" s="128"/>
      <c r="I30" s="129"/>
      <c r="J30" s="83"/>
      <c r="K30" s="130"/>
      <c r="L30" s="130"/>
      <c r="M30" s="130"/>
      <c r="N30" s="54"/>
      <c r="R30" s="10" t="s">
        <v>62</v>
      </c>
    </row>
    <row r="31" spans="2:21" ht="15.75">
      <c r="B31" s="53"/>
      <c r="C31" s="34"/>
      <c r="D31" s="34"/>
      <c r="E31" s="34"/>
      <c r="F31" s="34"/>
      <c r="G31" s="34"/>
      <c r="H31" s="34"/>
      <c r="I31" s="34"/>
      <c r="J31" s="63"/>
      <c r="K31" s="34"/>
      <c r="L31" s="34"/>
      <c r="M31" s="34"/>
      <c r="N31" s="54"/>
      <c r="R31" s="10" t="s">
        <v>69</v>
      </c>
    </row>
    <row r="32" spans="2:21" ht="15.75">
      <c r="B32" s="55"/>
      <c r="C32" s="124"/>
      <c r="D32" s="125"/>
      <c r="E32" s="15"/>
      <c r="F32" s="15"/>
      <c r="G32" s="92" t="s">
        <v>78</v>
      </c>
      <c r="H32" s="92"/>
      <c r="I32" s="92"/>
      <c r="J32" s="82"/>
      <c r="K32" s="126"/>
      <c r="L32" s="126"/>
      <c r="M32" s="126"/>
      <c r="N32" s="52"/>
      <c r="R32" s="10" t="s">
        <v>79</v>
      </c>
    </row>
    <row r="33" spans="2:18" ht="36.75" customHeight="1">
      <c r="B33" s="56" t="s">
        <v>80</v>
      </c>
      <c r="C33" s="17" t="s">
        <v>81</v>
      </c>
      <c r="D33" s="18"/>
      <c r="E33" s="17" t="s">
        <v>82</v>
      </c>
      <c r="F33" s="16"/>
      <c r="G33" s="19" t="s">
        <v>83</v>
      </c>
      <c r="H33" s="20" t="s">
        <v>84</v>
      </c>
      <c r="I33" s="21" t="s">
        <v>85</v>
      </c>
      <c r="J33" s="84"/>
      <c r="K33" s="92" t="s">
        <v>86</v>
      </c>
      <c r="L33" s="92"/>
      <c r="M33" s="92"/>
      <c r="N33" s="57"/>
      <c r="R33" s="10" t="s">
        <v>87</v>
      </c>
    </row>
    <row r="34" spans="2:18" ht="15.75" customHeight="1">
      <c r="B34" s="58" t="s">
        <v>88</v>
      </c>
      <c r="C34" s="3"/>
      <c r="D34" s="22" t="str" cm="1">
        <f t="array" ref="D34">_xlfn.IFS(C34="Low",$O34,C34="Average",$P34,C34="High",$Q34,TRUE,"")</f>
        <v/>
      </c>
      <c r="E34" s="3"/>
      <c r="F34" s="22" t="str" cm="1">
        <f t="array" ref="F34">_xlfn.IFS(E34="Low",$O34,E34="Average",$P34,E34="High",$Q34,TRUE,"")</f>
        <v/>
      </c>
      <c r="G34" s="23" t="s">
        <v>89</v>
      </c>
      <c r="H34" s="24" t="s">
        <v>90</v>
      </c>
      <c r="I34" s="25" t="s">
        <v>91</v>
      </c>
      <c r="J34" s="85"/>
      <c r="K34" s="131"/>
      <c r="L34" s="132"/>
      <c r="M34" s="133"/>
      <c r="N34" s="52"/>
      <c r="O34" s="26">
        <v>2</v>
      </c>
      <c r="P34" s="26">
        <v>4</v>
      </c>
      <c r="Q34" s="26">
        <v>6</v>
      </c>
      <c r="R34" s="10" t="s">
        <v>92</v>
      </c>
    </row>
    <row r="35" spans="2:18" ht="15.75" customHeight="1">
      <c r="B35" s="58" t="s">
        <v>93</v>
      </c>
      <c r="C35" s="3"/>
      <c r="D35" s="22" t="str" cm="1">
        <f t="array" ref="D35">_xlfn.IFS(C35="Low",$O35,C35="Average",$P35,C35="High",$Q35,TRUE,"")</f>
        <v/>
      </c>
      <c r="E35" s="3"/>
      <c r="F35" s="22" t="str" cm="1">
        <f t="array" ref="F35">_xlfn.IFS(E35="Low",O35,E35="Average",P35,E35="High",Q35,TRUE,"")</f>
        <v/>
      </c>
      <c r="G35" s="23" t="s">
        <v>94</v>
      </c>
      <c r="H35" s="24" t="s">
        <v>95</v>
      </c>
      <c r="I35" s="25" t="s">
        <v>96</v>
      </c>
      <c r="J35" s="85"/>
      <c r="K35" s="131"/>
      <c r="L35" s="132"/>
      <c r="M35" s="133"/>
      <c r="N35" s="52"/>
      <c r="O35" s="26">
        <v>0</v>
      </c>
      <c r="P35" s="26">
        <v>2</v>
      </c>
      <c r="Q35" s="26">
        <v>4</v>
      </c>
      <c r="R35" s="10" t="s">
        <v>29</v>
      </c>
    </row>
    <row r="36" spans="2:18" ht="15.75">
      <c r="B36" s="58" t="s">
        <v>97</v>
      </c>
      <c r="C36" s="3"/>
      <c r="D36" s="22" t="str" cm="1">
        <f t="array" ref="D36">_xlfn.IFS(C36="Low",$O36,C36="Average",$P36,C36="High",$Q36,TRUE,"")</f>
        <v/>
      </c>
      <c r="E36" s="3"/>
      <c r="F36" s="22" t="str" cm="1">
        <f t="array" ref="F36">_xlfn.IFS(E36="Low",O36,E36="Average",P36,E36="High",Q36,TRUE,"")</f>
        <v/>
      </c>
      <c r="G36" s="23" t="s">
        <v>98</v>
      </c>
      <c r="H36" s="24" t="s">
        <v>99</v>
      </c>
      <c r="I36" s="25" t="s">
        <v>100</v>
      </c>
      <c r="J36" s="85"/>
      <c r="K36" s="131"/>
      <c r="L36" s="132"/>
      <c r="M36" s="133"/>
      <c r="N36" s="52"/>
      <c r="O36" s="26">
        <v>1</v>
      </c>
      <c r="P36" s="26">
        <v>4</v>
      </c>
      <c r="Q36" s="26">
        <v>6</v>
      </c>
    </row>
    <row r="37" spans="2:18" ht="15.75">
      <c r="B37" s="58" t="s">
        <v>101</v>
      </c>
      <c r="C37" s="3"/>
      <c r="D37" s="22" t="str" cm="1">
        <f t="array" ref="D37">_xlfn.IFS(C37="Low",O37,C37="Average",P37,C37="High",Q37,TRUE,"")</f>
        <v/>
      </c>
      <c r="E37" s="3"/>
      <c r="F37" s="22" t="str" cm="1">
        <f t="array" ref="F37">_xlfn.IFS(E37="Low",O37,E37="Average",P37,E37="High",Q37,TRUE,"")</f>
        <v/>
      </c>
      <c r="G37" s="23" t="s">
        <v>102</v>
      </c>
      <c r="H37" s="24" t="s">
        <v>103</v>
      </c>
      <c r="I37" s="25" t="s">
        <v>104</v>
      </c>
      <c r="J37" s="85"/>
      <c r="K37" s="131"/>
      <c r="L37" s="132"/>
      <c r="M37" s="133"/>
      <c r="N37" s="52"/>
      <c r="O37" s="26">
        <v>1</v>
      </c>
      <c r="P37" s="26">
        <v>2</v>
      </c>
      <c r="Q37" s="26">
        <v>4</v>
      </c>
    </row>
    <row r="38" spans="2:18" ht="15.75" customHeight="1">
      <c r="B38" s="58" t="s">
        <v>105</v>
      </c>
      <c r="C38" s="3"/>
      <c r="D38" s="22" t="str" cm="1">
        <f t="array" ref="D38">_xlfn.IFS(C38="Low",O38,C38="Average",P38,C38="High",Q38,TRUE,"")</f>
        <v/>
      </c>
      <c r="E38" s="3"/>
      <c r="F38" s="22" t="str" cm="1">
        <f t="array" ref="F38">_xlfn.IFS(E38="Low",O38,E38="Average",P38,E38="High",Q38,TRUE,"")</f>
        <v/>
      </c>
      <c r="G38" s="23" t="s">
        <v>106</v>
      </c>
      <c r="H38" s="24" t="s">
        <v>107</v>
      </c>
      <c r="I38" s="25" t="s">
        <v>108</v>
      </c>
      <c r="J38" s="85"/>
      <c r="K38" s="131"/>
      <c r="L38" s="132"/>
      <c r="M38" s="133"/>
      <c r="N38" s="52"/>
      <c r="O38" s="26">
        <v>1</v>
      </c>
      <c r="P38" s="26">
        <v>3</v>
      </c>
      <c r="Q38" s="26">
        <v>5</v>
      </c>
    </row>
    <row r="39" spans="2:18" ht="47.25">
      <c r="B39" s="58" t="s">
        <v>109</v>
      </c>
      <c r="C39" s="3"/>
      <c r="D39" s="22" t="str" cm="1">
        <f t="array" ref="D39">_xlfn.IFS(C39="Low",O39,C39="Average",P39,C39="High",Q39,TRUE,"")</f>
        <v/>
      </c>
      <c r="E39" s="3"/>
      <c r="F39" s="22" t="str" cm="1">
        <f t="array" ref="F39">_xlfn.IFS(E39="Low",O39,E39="Average",P39,E39="High",Q39,TRUE,"")</f>
        <v/>
      </c>
      <c r="G39" s="23" t="s">
        <v>110</v>
      </c>
      <c r="H39" s="24" t="s">
        <v>111</v>
      </c>
      <c r="I39" s="25" t="s">
        <v>112</v>
      </c>
      <c r="J39" s="85"/>
      <c r="K39" s="131"/>
      <c r="L39" s="132"/>
      <c r="M39" s="133"/>
      <c r="N39" s="52"/>
      <c r="O39" s="26">
        <v>2</v>
      </c>
      <c r="P39" s="26">
        <v>4</v>
      </c>
      <c r="Q39" s="26">
        <v>6</v>
      </c>
    </row>
    <row r="40" spans="2:18" ht="15.75">
      <c r="B40" s="58" t="s">
        <v>113</v>
      </c>
      <c r="C40" s="3"/>
      <c r="D40" s="22" t="str" cm="1">
        <f t="array" ref="D40">_xlfn.IFS(C40="Low",O40,C40="Average",P40,C40="High",Q40,TRUE,"")</f>
        <v/>
      </c>
      <c r="E40" s="3"/>
      <c r="F40" s="22" t="str" cm="1">
        <f t="array" ref="F40">_xlfn.IFS(E40="Low",O40,E40="Average",P40,E40="High",Q40,TRUE,"")</f>
        <v/>
      </c>
      <c r="G40" s="23" t="s">
        <v>114</v>
      </c>
      <c r="H40" s="24" t="s">
        <v>115</v>
      </c>
      <c r="I40" s="25" t="s">
        <v>116</v>
      </c>
      <c r="J40" s="85"/>
      <c r="K40" s="92" t="s">
        <v>117</v>
      </c>
      <c r="L40" s="92"/>
      <c r="M40" s="92"/>
      <c r="N40" s="57"/>
      <c r="O40" s="26">
        <v>0</v>
      </c>
      <c r="P40" s="26">
        <v>3</v>
      </c>
      <c r="Q40" s="26">
        <v>6</v>
      </c>
    </row>
    <row r="41" spans="2:18" ht="15.75">
      <c r="B41" s="58" t="s">
        <v>118</v>
      </c>
      <c r="C41" s="3"/>
      <c r="D41" s="22" t="str" cm="1">
        <f t="array" ref="D41">_xlfn.IFS(C41="Low",O41,C41="Average",P41,C41="High",Q41,TRUE,"")</f>
        <v/>
      </c>
      <c r="E41" s="3"/>
      <c r="F41" s="22" t="str" cm="1">
        <f t="array" ref="F41">_xlfn.IFS(E41="Low",O41,E41="Average",P41,E41="High",Q41,TRUE,"")</f>
        <v/>
      </c>
      <c r="G41" s="23" t="s">
        <v>119</v>
      </c>
      <c r="H41" s="24" t="s">
        <v>120</v>
      </c>
      <c r="I41" s="25" t="s">
        <v>121</v>
      </c>
      <c r="J41" s="85"/>
      <c r="K41" s="134"/>
      <c r="L41" s="89"/>
      <c r="M41" s="90"/>
      <c r="N41" s="52"/>
      <c r="O41" s="26">
        <v>1</v>
      </c>
      <c r="P41" s="26">
        <v>4</v>
      </c>
      <c r="Q41" s="26">
        <v>5</v>
      </c>
    </row>
    <row r="42" spans="2:18" ht="15.75">
      <c r="B42" s="58" t="s">
        <v>122</v>
      </c>
      <c r="C42" s="3"/>
      <c r="D42" s="22" t="str" cm="1">
        <f t="array" ref="D42">_xlfn.IFS(C42="Low",O42,C42="Average",P42,C42="High",Q42,TRUE,"")</f>
        <v/>
      </c>
      <c r="E42" s="3"/>
      <c r="F42" s="22" t="str" cm="1">
        <f t="array" ref="F42">_xlfn.IFS(E42="Low",O42,E42="Average",P42,E42="High",Q42,TRUE,"")</f>
        <v/>
      </c>
      <c r="G42" s="23" t="s">
        <v>123</v>
      </c>
      <c r="H42" s="24" t="s">
        <v>124</v>
      </c>
      <c r="I42" s="25" t="s">
        <v>125</v>
      </c>
      <c r="J42" s="85"/>
      <c r="K42" s="134"/>
      <c r="L42" s="89"/>
      <c r="M42" s="90"/>
      <c r="N42" s="52"/>
      <c r="O42" s="26">
        <v>1</v>
      </c>
      <c r="P42" s="26">
        <v>2</v>
      </c>
      <c r="Q42" s="26">
        <v>4</v>
      </c>
    </row>
    <row r="43" spans="2:18" ht="15.75">
      <c r="B43" s="58" t="s">
        <v>126</v>
      </c>
      <c r="C43" s="3"/>
      <c r="D43" s="22" t="str" cm="1">
        <f t="array" ref="D43">_xlfn.IFS(C43="Low",O43,C43="Average",P43,C43="High",Q43,TRUE,"")</f>
        <v/>
      </c>
      <c r="E43" s="3"/>
      <c r="F43" s="22" t="str" cm="1">
        <f t="array" ref="F43">_xlfn.IFS(E43="Low",O43,E43="Average",P43,E43="High",Q43,TRUE,"")</f>
        <v/>
      </c>
      <c r="G43" s="23" t="s">
        <v>127</v>
      </c>
      <c r="H43" s="24" t="s">
        <v>128</v>
      </c>
      <c r="I43" s="25" t="s">
        <v>129</v>
      </c>
      <c r="J43" s="85"/>
      <c r="K43" s="134"/>
      <c r="L43" s="89"/>
      <c r="M43" s="90"/>
      <c r="N43" s="52"/>
      <c r="O43" s="26">
        <v>0</v>
      </c>
      <c r="P43" s="26">
        <v>3</v>
      </c>
      <c r="Q43" s="26">
        <v>5</v>
      </c>
    </row>
    <row r="44" spans="2:18" ht="15.75">
      <c r="B44" s="58" t="s">
        <v>130</v>
      </c>
      <c r="C44" s="3"/>
      <c r="D44" s="22" t="str" cm="1">
        <f t="array" ref="D44">_xlfn.IFS(C44="Low",O44,C44="Average",P44,C44="High",Q44,TRUE,"")</f>
        <v/>
      </c>
      <c r="E44" s="3"/>
      <c r="F44" s="22" t="str" cm="1">
        <f t="array" ref="F44">_xlfn.IFS(E44="Low",O44,E44="Average",P44,E44="High",Q44,TRUE,"")</f>
        <v/>
      </c>
      <c r="G44" s="23" t="s">
        <v>127</v>
      </c>
      <c r="H44" s="24" t="s">
        <v>128</v>
      </c>
      <c r="I44" s="25" t="s">
        <v>129</v>
      </c>
      <c r="J44" s="85"/>
      <c r="K44" s="134"/>
      <c r="L44" s="89"/>
      <c r="M44" s="90"/>
      <c r="N44" s="52"/>
      <c r="O44" s="26">
        <v>0</v>
      </c>
      <c r="P44" s="26">
        <v>3</v>
      </c>
      <c r="Q44" s="26">
        <v>5</v>
      </c>
    </row>
    <row r="45" spans="2:18" ht="15.75">
      <c r="B45" s="58" t="s">
        <v>131</v>
      </c>
      <c r="C45" s="3"/>
      <c r="D45" s="22" t="str" cm="1">
        <f t="array" ref="D45">_xlfn.IFS(C45="Low",O45,C45="Average",P45,C45="High",Q45,TRUE,"")</f>
        <v/>
      </c>
      <c r="E45" s="3"/>
      <c r="F45" s="22" t="str" cm="1">
        <f t="array" ref="F45">_xlfn.IFS(E45="Low",O45,E45="Average",P45,E45="High",Q45,TRUE,"")</f>
        <v/>
      </c>
      <c r="G45" s="23" t="s">
        <v>132</v>
      </c>
      <c r="H45" s="24" t="s">
        <v>133</v>
      </c>
      <c r="I45" s="25" t="s">
        <v>134</v>
      </c>
      <c r="J45" s="85"/>
      <c r="K45" s="134"/>
      <c r="L45" s="89"/>
      <c r="M45" s="90"/>
      <c r="N45" s="52"/>
      <c r="O45" s="26">
        <v>1</v>
      </c>
      <c r="P45" s="26">
        <v>3</v>
      </c>
      <c r="Q45" s="26">
        <v>4</v>
      </c>
    </row>
    <row r="46" spans="2:18" s="8" customFormat="1" ht="15.75" customHeight="1">
      <c r="B46" s="58" t="s">
        <v>135</v>
      </c>
      <c r="C46" s="3"/>
      <c r="D46" s="22" t="str" cm="1">
        <f t="array" ref="D46">_xlfn.IFS(C46="Low",O46,C46="Average",P46,C46="High",Q46,TRUE,"")</f>
        <v/>
      </c>
      <c r="E46" s="3"/>
      <c r="F46" s="22" t="str" cm="1">
        <f t="array" ref="F46">_xlfn.IFS(E46="Low",O46,E46="Average",P46,E46="High",Q46,TRUE,"")</f>
        <v/>
      </c>
      <c r="G46" s="23" t="s">
        <v>136</v>
      </c>
      <c r="H46" s="24" t="s">
        <v>137</v>
      </c>
      <c r="I46" s="25" t="s">
        <v>138</v>
      </c>
      <c r="J46" s="85"/>
      <c r="K46" s="27" t="s">
        <v>139</v>
      </c>
      <c r="L46" s="92" t="s">
        <v>140</v>
      </c>
      <c r="M46" s="92"/>
      <c r="N46" s="57"/>
      <c r="O46" s="28">
        <v>1</v>
      </c>
      <c r="P46" s="28">
        <v>4</v>
      </c>
      <c r="Q46" s="28">
        <v>5</v>
      </c>
      <c r="R46"/>
    </row>
    <row r="47" spans="2:18" ht="15.75">
      <c r="B47" s="58" t="s">
        <v>141</v>
      </c>
      <c r="C47" s="3"/>
      <c r="D47" s="22" t="str" cm="1">
        <f t="array" ref="D47">_xlfn.IFS(C47="Low",O47,C47="Average",P47,C47="High",Q47,TRUE,"")</f>
        <v/>
      </c>
      <c r="E47" s="3"/>
      <c r="F47" s="22" t="str" cm="1">
        <f t="array" ref="F47">_xlfn.IFS(E47="Low",O47,E47="Average",P47,E47="High",Q47,TRUE,"")</f>
        <v/>
      </c>
      <c r="G47" s="23" t="s">
        <v>142</v>
      </c>
      <c r="H47" s="24" t="s">
        <v>143</v>
      </c>
      <c r="I47" s="25" t="s">
        <v>144</v>
      </c>
      <c r="J47" s="85"/>
      <c r="K47" s="4"/>
      <c r="L47" s="134"/>
      <c r="M47" s="90"/>
      <c r="N47" s="52"/>
      <c r="O47" s="26">
        <v>1</v>
      </c>
      <c r="P47" s="26">
        <v>4</v>
      </c>
      <c r="Q47" s="26">
        <v>5</v>
      </c>
    </row>
    <row r="48" spans="2:18" ht="15.75">
      <c r="B48" s="58" t="s">
        <v>145</v>
      </c>
      <c r="C48" s="3"/>
      <c r="D48" s="22" t="str" cm="1">
        <f t="array" ref="D48">_xlfn.IFS(C48="Low",O48,C48="Average",P48,C48="High",Q48,TRUE,"")</f>
        <v/>
      </c>
      <c r="E48" s="3"/>
      <c r="F48" s="22" t="str" cm="1">
        <f t="array" ref="F48">_xlfn.IFS(E48="Low",O48,E48="Average",P48,E48="High",Q48,TRUE,"")</f>
        <v/>
      </c>
      <c r="G48" s="23" t="s">
        <v>146</v>
      </c>
      <c r="H48" s="24" t="s">
        <v>147</v>
      </c>
      <c r="I48" s="25" t="s">
        <v>148</v>
      </c>
      <c r="J48" s="85"/>
      <c r="K48" s="4"/>
      <c r="L48" s="134"/>
      <c r="M48" s="90"/>
      <c r="N48" s="52"/>
      <c r="O48" s="26">
        <v>1</v>
      </c>
      <c r="P48" s="26">
        <v>3</v>
      </c>
      <c r="Q48" s="26">
        <v>5</v>
      </c>
    </row>
    <row r="49" spans="2:18" ht="15.75">
      <c r="B49" s="58" t="s">
        <v>149</v>
      </c>
      <c r="C49" s="3"/>
      <c r="D49" s="22" t="str" cm="1">
        <f t="array" ref="D49">_xlfn.IFS(C49="Low",O49,C49="Average",P49,C49="High",Q49,TRUE,"")</f>
        <v/>
      </c>
      <c r="E49" s="3"/>
      <c r="F49" s="22" t="str" cm="1">
        <f t="array" ref="F49">_xlfn.IFS(E49="Low",O49,E49="Average",P49,E49="High",Q49,TRUE,"")</f>
        <v/>
      </c>
      <c r="G49" s="23" t="s">
        <v>150</v>
      </c>
      <c r="H49" s="24" t="s">
        <v>151</v>
      </c>
      <c r="I49" s="25" t="s">
        <v>152</v>
      </c>
      <c r="J49" s="85"/>
      <c r="K49" s="4"/>
      <c r="L49" s="134"/>
      <c r="M49" s="90"/>
      <c r="N49" s="52"/>
      <c r="O49" s="26">
        <v>2</v>
      </c>
      <c r="P49" s="26">
        <v>5</v>
      </c>
      <c r="Q49" s="26">
        <v>7</v>
      </c>
    </row>
    <row r="50" spans="2:18" ht="15.75">
      <c r="B50" s="58" t="s">
        <v>153</v>
      </c>
      <c r="C50" s="3"/>
      <c r="D50" s="22" t="str" cm="1">
        <f t="array" ref="D50">_xlfn.IFS(C50="Low",O50,C50="Average",P50,C50="High",Q50,TRUE,"")</f>
        <v/>
      </c>
      <c r="E50" s="3"/>
      <c r="F50" s="22" t="str" cm="1">
        <f t="array" ref="F50">_xlfn.IFS(E50="Low",O50,E50="Average",P50,E50="High",Q50,TRUE,"")</f>
        <v/>
      </c>
      <c r="G50" s="23" t="s">
        <v>154</v>
      </c>
      <c r="H50" s="24" t="s">
        <v>155</v>
      </c>
      <c r="I50" s="25" t="s">
        <v>156</v>
      </c>
      <c r="J50" s="85"/>
      <c r="K50" s="4"/>
      <c r="L50" s="134"/>
      <c r="M50" s="90"/>
      <c r="N50" s="52"/>
      <c r="O50" s="26">
        <v>1</v>
      </c>
      <c r="P50" s="26">
        <v>3</v>
      </c>
      <c r="Q50" s="26">
        <v>6</v>
      </c>
      <c r="R50" s="8"/>
    </row>
    <row r="51" spans="2:18" ht="15.75">
      <c r="B51" s="58" t="s">
        <v>157</v>
      </c>
      <c r="C51" s="3"/>
      <c r="D51" s="22" t="str" cm="1">
        <f t="array" ref="D51">_xlfn.IFS(C51="Low",O51,C51="Average",P51,C51="High",Q51,TRUE,"")</f>
        <v/>
      </c>
      <c r="E51" s="3"/>
      <c r="F51" s="22" t="str" cm="1">
        <f t="array" ref="F51">_xlfn.IFS(E51="Low",O51,E51="Average",P51,E51="High",Q51,TRUE,"")</f>
        <v/>
      </c>
      <c r="G51" s="23" t="s">
        <v>158</v>
      </c>
      <c r="H51" s="24" t="s">
        <v>159</v>
      </c>
      <c r="I51" s="25" t="s">
        <v>160</v>
      </c>
      <c r="J51" s="85"/>
      <c r="K51" s="4"/>
      <c r="L51" s="134"/>
      <c r="M51" s="90"/>
      <c r="N51" s="52"/>
      <c r="O51" s="26">
        <v>2</v>
      </c>
      <c r="P51" s="26">
        <v>4</v>
      </c>
      <c r="Q51" s="26">
        <v>6</v>
      </c>
    </row>
    <row r="52" spans="2:18" ht="15.75" customHeight="1">
      <c r="B52" s="58" t="s">
        <v>161</v>
      </c>
      <c r="C52" s="3"/>
      <c r="D52" s="22" t="str" cm="1">
        <f t="array" ref="D52">_xlfn.IFS(C52="Low",O52,C52="Average",P52,C52="High",Q52,TRUE,"")</f>
        <v/>
      </c>
      <c r="E52" s="3"/>
      <c r="F52" s="22" t="str" cm="1">
        <f t="array" ref="F52">_xlfn.IFS(E52="Low",O52,E52="Average",P52,E52="High",Q52,TRUE,"")</f>
        <v/>
      </c>
      <c r="G52" s="23" t="s">
        <v>162</v>
      </c>
      <c r="H52" s="24" t="s">
        <v>163</v>
      </c>
      <c r="I52" s="25" t="s">
        <v>164</v>
      </c>
      <c r="J52" s="85"/>
      <c r="K52" s="4"/>
      <c r="L52" s="29" t="s">
        <v>165</v>
      </c>
      <c r="M52" s="88"/>
      <c r="N52" s="57"/>
      <c r="O52" s="26">
        <v>2</v>
      </c>
      <c r="P52" s="26">
        <v>4</v>
      </c>
      <c r="Q52" s="26">
        <v>6</v>
      </c>
    </row>
    <row r="53" spans="2:18" ht="15.75" customHeight="1">
      <c r="B53" s="58" t="s">
        <v>166</v>
      </c>
      <c r="C53" s="3"/>
      <c r="D53" s="22" t="str" cm="1">
        <f t="array" ref="D53">_xlfn.IFS(C53="Low",O53,C53="Average",P53,C53="High",Q53,TRUE,"")</f>
        <v/>
      </c>
      <c r="E53" s="3"/>
      <c r="F53" s="22" t="str" cm="1">
        <f t="array" ref="F53">_xlfn.IFS(E53="Low",O53,E53="Average",P53,E53="High",Q53,TRUE,"")</f>
        <v/>
      </c>
      <c r="G53" s="23" t="s">
        <v>167</v>
      </c>
      <c r="H53" s="24" t="s">
        <v>168</v>
      </c>
      <c r="I53" s="25" t="s">
        <v>169</v>
      </c>
      <c r="J53" s="85"/>
      <c r="K53" s="30" t="s">
        <v>170</v>
      </c>
      <c r="L53" s="91" t="s">
        <v>171</v>
      </c>
      <c r="M53" s="92"/>
      <c r="N53" s="57"/>
      <c r="O53" s="26">
        <v>1</v>
      </c>
      <c r="P53" s="26">
        <v>4</v>
      </c>
      <c r="Q53" s="26">
        <v>6</v>
      </c>
    </row>
    <row r="54" spans="2:18" ht="15.75">
      <c r="B54" s="135"/>
      <c r="C54" s="136"/>
      <c r="D54" s="136"/>
      <c r="E54" s="136"/>
      <c r="F54" s="136"/>
      <c r="G54" s="31" t="s">
        <v>172</v>
      </c>
      <c r="H54" s="24" t="s">
        <v>173</v>
      </c>
      <c r="I54" s="32" t="s">
        <v>174</v>
      </c>
      <c r="J54" s="85"/>
      <c r="K54" s="2"/>
      <c r="L54" s="89"/>
      <c r="M54" s="90"/>
      <c r="N54" s="52"/>
      <c r="O54" s="26">
        <f>SUM(O34:O53)</f>
        <v>21</v>
      </c>
      <c r="P54" s="26">
        <f t="shared" ref="P54:Q54" si="0">SUM(P34:P53)</f>
        <v>68</v>
      </c>
      <c r="Q54" s="26">
        <f t="shared" si="0"/>
        <v>106</v>
      </c>
    </row>
    <row r="55" spans="2:18" ht="16.5" thickBot="1">
      <c r="B55" s="137"/>
      <c r="C55" s="138"/>
      <c r="D55" s="138"/>
      <c r="E55" s="138"/>
      <c r="F55" s="138"/>
      <c r="G55" s="138"/>
      <c r="H55" s="138"/>
      <c r="I55" s="139"/>
      <c r="J55" s="86"/>
      <c r="K55" s="2"/>
      <c r="L55" s="89"/>
      <c r="M55" s="90"/>
      <c r="N55" s="52"/>
    </row>
    <row r="56" spans="2:18" ht="15.75">
      <c r="B56" s="59" t="s">
        <v>175</v>
      </c>
      <c r="C56" s="14">
        <f>SUM(D34:D53)</f>
        <v>0</v>
      </c>
      <c r="D56" s="60"/>
      <c r="E56" s="14">
        <f>SUM(F34:F53)</f>
        <v>0</v>
      </c>
      <c r="F56" s="138"/>
      <c r="G56" s="140" t="s">
        <v>176</v>
      </c>
      <c r="H56" s="141"/>
      <c r="I56" s="142"/>
      <c r="J56" s="82"/>
      <c r="K56" s="2"/>
      <c r="L56" s="89"/>
      <c r="M56" s="90"/>
      <c r="N56" s="52"/>
    </row>
    <row r="57" spans="2:18" ht="47.25">
      <c r="B57" s="59" t="s">
        <v>177</v>
      </c>
      <c r="C57" s="143">
        <f>E56-C56</f>
        <v>0</v>
      </c>
      <c r="D57" s="128"/>
      <c r="E57" s="144"/>
      <c r="F57" s="138"/>
      <c r="G57" s="145" t="s">
        <v>178</v>
      </c>
      <c r="H57" s="108"/>
      <c r="I57" s="143"/>
      <c r="J57" s="82"/>
      <c r="K57" s="2"/>
      <c r="L57" s="89"/>
      <c r="M57" s="90"/>
      <c r="N57" s="52"/>
    </row>
    <row r="58" spans="2:18" ht="15.75">
      <c r="B58" s="137"/>
      <c r="C58" s="138"/>
      <c r="D58" s="138"/>
      <c r="E58" s="138"/>
      <c r="F58" s="138"/>
      <c r="G58" s="149" t="s">
        <v>179</v>
      </c>
      <c r="H58" s="92"/>
      <c r="I58" s="150"/>
      <c r="J58" s="82"/>
      <c r="K58" s="2"/>
      <c r="L58" s="89"/>
      <c r="M58" s="90"/>
      <c r="N58" s="52"/>
    </row>
    <row r="59" spans="2:18" ht="16.5" thickBot="1">
      <c r="B59" s="137"/>
      <c r="C59" s="138"/>
      <c r="D59" s="138"/>
      <c r="E59" s="138"/>
      <c r="F59" s="138"/>
      <c r="G59" s="151" t="s">
        <v>180</v>
      </c>
      <c r="H59" s="152"/>
      <c r="I59" s="153"/>
      <c r="J59" s="82"/>
      <c r="K59" s="2"/>
      <c r="L59" s="89"/>
      <c r="M59" s="90"/>
      <c r="N59" s="52"/>
    </row>
    <row r="60" spans="2:18" ht="15.75">
      <c r="B60" s="154"/>
      <c r="C60" s="155"/>
      <c r="D60" s="155"/>
      <c r="E60" s="155"/>
      <c r="F60" s="155"/>
      <c r="G60" s="155"/>
      <c r="H60" s="155"/>
      <c r="I60" s="156"/>
      <c r="J60" s="86"/>
      <c r="K60" s="2"/>
      <c r="L60" s="29" t="s">
        <v>165</v>
      </c>
      <c r="M60" s="88"/>
      <c r="N60" s="52"/>
    </row>
    <row r="61" spans="2:18" ht="15.75">
      <c r="B61" s="47" t="s">
        <v>181</v>
      </c>
      <c r="C61" s="146"/>
      <c r="D61" s="147"/>
      <c r="E61" s="147"/>
      <c r="F61" s="147"/>
      <c r="G61" s="147"/>
      <c r="H61" s="147"/>
      <c r="I61" s="148"/>
      <c r="J61" s="87"/>
      <c r="K61" s="30" t="s">
        <v>182</v>
      </c>
      <c r="L61" s="91" t="s">
        <v>183</v>
      </c>
      <c r="M61" s="92"/>
      <c r="N61" s="44"/>
    </row>
    <row r="62" spans="2:18" ht="15.75">
      <c r="B62" s="47" t="s">
        <v>184</v>
      </c>
      <c r="C62" s="146"/>
      <c r="D62" s="147"/>
      <c r="E62" s="147"/>
      <c r="F62" s="147"/>
      <c r="G62" s="147"/>
      <c r="H62" s="147"/>
      <c r="I62" s="148"/>
      <c r="J62" s="87"/>
      <c r="K62" s="2"/>
      <c r="L62" s="89"/>
      <c r="M62" s="90"/>
      <c r="N62" s="44"/>
    </row>
    <row r="63" spans="2:18" ht="15.75">
      <c r="B63" s="47" t="s">
        <v>185</v>
      </c>
      <c r="C63" s="146"/>
      <c r="D63" s="147"/>
      <c r="E63" s="147"/>
      <c r="F63" s="147"/>
      <c r="G63" s="147"/>
      <c r="H63" s="147"/>
      <c r="I63" s="148"/>
      <c r="J63" s="87"/>
      <c r="K63" s="2"/>
      <c r="L63" s="89"/>
      <c r="M63" s="90"/>
      <c r="N63" s="44"/>
    </row>
    <row r="64" spans="2:18" ht="15.75">
      <c r="B64" s="47" t="s">
        <v>186</v>
      </c>
      <c r="C64" s="146"/>
      <c r="D64" s="147"/>
      <c r="E64" s="147"/>
      <c r="F64" s="147"/>
      <c r="G64" s="147"/>
      <c r="H64" s="147"/>
      <c r="I64" s="148"/>
      <c r="J64" s="87"/>
      <c r="K64" s="2"/>
      <c r="L64" s="89"/>
      <c r="M64" s="90"/>
      <c r="N64" s="44"/>
    </row>
    <row r="65" spans="2:16" ht="15.75">
      <c r="B65" s="47" t="s">
        <v>187</v>
      </c>
      <c r="C65" s="146"/>
      <c r="D65" s="147"/>
      <c r="E65" s="147"/>
      <c r="F65" s="147"/>
      <c r="G65" s="147"/>
      <c r="H65" s="147"/>
      <c r="I65" s="148"/>
      <c r="J65" s="87"/>
      <c r="K65" s="2"/>
      <c r="L65" s="89"/>
      <c r="M65" s="90"/>
      <c r="N65" s="44"/>
    </row>
    <row r="66" spans="2:16" ht="15.75">
      <c r="B66" s="53"/>
      <c r="D66" s="46"/>
      <c r="E66" s="46"/>
      <c r="F66" s="46"/>
      <c r="G66" s="46"/>
      <c r="H66" s="46"/>
      <c r="I66" s="46"/>
      <c r="K66" s="2"/>
      <c r="L66" s="89"/>
      <c r="M66" s="90"/>
      <c r="N66" s="44"/>
    </row>
    <row r="67" spans="2:16" ht="15.75">
      <c r="B67" s="61"/>
      <c r="C67" s="17" t="s">
        <v>188</v>
      </c>
      <c r="D67" s="46"/>
      <c r="E67" s="46"/>
      <c r="F67" s="46"/>
      <c r="G67" s="46"/>
      <c r="H67" s="46"/>
      <c r="I67" s="46"/>
      <c r="K67" s="2"/>
      <c r="L67" s="89"/>
      <c r="M67" s="90"/>
      <c r="N67" s="44"/>
    </row>
    <row r="68" spans="2:16" ht="15.75">
      <c r="B68" s="72" t="s">
        <v>189</v>
      </c>
      <c r="C68" s="5"/>
      <c r="D68" s="46"/>
      <c r="E68" s="46"/>
      <c r="F68" s="46"/>
      <c r="G68" s="46"/>
      <c r="H68" s="46"/>
      <c r="I68" s="46"/>
      <c r="K68" s="2"/>
      <c r="L68" s="29" t="s">
        <v>165</v>
      </c>
      <c r="M68" s="88"/>
      <c r="N68" s="44"/>
      <c r="P68" s="10" t="s">
        <v>190</v>
      </c>
    </row>
    <row r="69" spans="2:16" ht="17.25" customHeight="1">
      <c r="B69" s="47" t="s">
        <v>191</v>
      </c>
      <c r="C69" s="5"/>
      <c r="D69" s="62" t="s">
        <v>192</v>
      </c>
      <c r="E69" s="46"/>
      <c r="F69" s="46"/>
      <c r="G69" s="46"/>
      <c r="H69" s="46"/>
      <c r="I69" s="46"/>
      <c r="K69" s="46"/>
      <c r="L69" s="46"/>
      <c r="M69" s="46"/>
      <c r="N69" s="44"/>
      <c r="O69" s="10" t="s">
        <v>193</v>
      </c>
      <c r="P69" s="10" t="s">
        <v>194</v>
      </c>
    </row>
    <row r="70" spans="2:16" ht="15.75">
      <c r="B70" s="47" t="s">
        <v>195</v>
      </c>
      <c r="C70" s="6"/>
      <c r="D70" s="46"/>
      <c r="E70" s="46"/>
      <c r="F70" s="46"/>
      <c r="G70" s="46"/>
      <c r="H70" s="46"/>
      <c r="I70" s="46"/>
      <c r="K70" s="46"/>
      <c r="L70" s="46"/>
      <c r="M70" s="46"/>
      <c r="N70" s="44"/>
      <c r="O70" s="10" t="s">
        <v>196</v>
      </c>
    </row>
    <row r="71" spans="2:16" ht="15.75">
      <c r="B71" s="47" t="s">
        <v>197</v>
      </c>
      <c r="C71" s="6"/>
      <c r="D71" s="46"/>
      <c r="E71" s="46"/>
      <c r="F71" s="46"/>
      <c r="G71" s="46"/>
      <c r="H71" s="63"/>
      <c r="I71" s="46"/>
      <c r="K71" s="46"/>
      <c r="L71" s="46"/>
      <c r="M71" s="46"/>
      <c r="N71" s="44"/>
      <c r="O71" s="10" t="s">
        <v>198</v>
      </c>
      <c r="P71" s="10" t="s">
        <v>199</v>
      </c>
    </row>
    <row r="72" spans="2:16" ht="16.5" thickBot="1">
      <c r="B72" s="64" t="s">
        <v>200</v>
      </c>
      <c r="C72" s="65"/>
      <c r="D72" s="66"/>
      <c r="E72" s="66"/>
      <c r="F72" s="66"/>
      <c r="G72" s="66"/>
      <c r="H72" s="66"/>
      <c r="I72" s="67"/>
      <c r="J72" s="67"/>
      <c r="K72" s="66"/>
      <c r="L72" s="66"/>
      <c r="M72" s="66"/>
      <c r="N72" s="68"/>
      <c r="P72" s="10" t="s">
        <v>201</v>
      </c>
    </row>
    <row r="73" spans="2:16" ht="15">
      <c r="P73" s="10" t="s">
        <v>202</v>
      </c>
    </row>
    <row r="74" spans="2:16" ht="15"/>
    <row r="75" spans="2:16" ht="15"/>
    <row r="76" spans="2:16" ht="15"/>
    <row r="77" spans="2:16" ht="15"/>
    <row r="78" spans="2:16" ht="15"/>
    <row r="79" spans="2:16" ht="15"/>
    <row r="80" spans="2:16" ht="15"/>
    <row r="81" spans="2:2" ht="15"/>
    <row r="82" spans="2:2" ht="15"/>
    <row r="83" spans="2:2" ht="15"/>
    <row r="84" spans="2:2" ht="15">
      <c r="B84" s="7" t="s">
        <v>203</v>
      </c>
    </row>
    <row r="85" spans="2:2" ht="15">
      <c r="B85" t="s">
        <v>204</v>
      </c>
    </row>
    <row r="86" spans="2:2" ht="15">
      <c r="B86" t="s">
        <v>205</v>
      </c>
    </row>
    <row r="87" spans="2:2" ht="15"/>
    <row r="88" spans="2:2" ht="15">
      <c r="B88" s="7" t="s">
        <v>206</v>
      </c>
    </row>
    <row r="89" spans="2:2" ht="15">
      <c r="B89" t="s">
        <v>207</v>
      </c>
    </row>
    <row r="90" spans="2:2" ht="15">
      <c r="B90" t="s">
        <v>208</v>
      </c>
    </row>
    <row r="91" spans="2:2" ht="15"/>
    <row r="92" spans="2:2" ht="15">
      <c r="B92" s="7" t="s">
        <v>209</v>
      </c>
    </row>
    <row r="93" spans="2:2" ht="15">
      <c r="B93" t="s">
        <v>210</v>
      </c>
    </row>
    <row r="94" spans="2:2" ht="15">
      <c r="B94" t="s">
        <v>211</v>
      </c>
    </row>
    <row r="95" spans="2:2" ht="15">
      <c r="B95" t="s">
        <v>212</v>
      </c>
    </row>
    <row r="96" spans="2:2" ht="15"/>
    <row r="97" spans="2:2" ht="15">
      <c r="B97" s="7" t="s">
        <v>213</v>
      </c>
    </row>
    <row r="98" spans="2:2" ht="15">
      <c r="B98" t="s">
        <v>214</v>
      </c>
    </row>
    <row r="99" spans="2:2" ht="15"/>
    <row r="100" spans="2:2" ht="15">
      <c r="B100" s="7" t="s">
        <v>215</v>
      </c>
    </row>
    <row r="101" spans="2:2" ht="15">
      <c r="B101" t="s">
        <v>216</v>
      </c>
    </row>
    <row r="102" spans="2:2" ht="15">
      <c r="B102" t="s">
        <v>217</v>
      </c>
    </row>
    <row r="103" spans="2:2" ht="15"/>
    <row r="104" spans="2:2" ht="15">
      <c r="B104" s="7" t="s">
        <v>218</v>
      </c>
    </row>
    <row r="105" spans="2:2" ht="15">
      <c r="B105" t="s">
        <v>219</v>
      </c>
    </row>
    <row r="106" spans="2:2" ht="15"/>
    <row r="107" spans="2:2" ht="15">
      <c r="B107" s="7" t="s">
        <v>220</v>
      </c>
    </row>
    <row r="108" spans="2:2" ht="18.75" customHeight="1">
      <c r="B108" t="s">
        <v>221</v>
      </c>
    </row>
    <row r="109" spans="2:2" ht="18.75" customHeight="1">
      <c r="B109" t="s">
        <v>222</v>
      </c>
    </row>
    <row r="110" spans="2:2" ht="18.75" customHeight="1">
      <c r="B110" t="s">
        <v>223</v>
      </c>
    </row>
    <row r="111" spans="2:2" ht="18.75" customHeight="1">
      <c r="B111" t="s">
        <v>224</v>
      </c>
    </row>
    <row r="113" spans="2:2" ht="15">
      <c r="B113" s="7" t="s">
        <v>225</v>
      </c>
    </row>
    <row r="114" spans="2:2" ht="18.75" customHeight="1">
      <c r="B114" t="s">
        <v>226</v>
      </c>
    </row>
    <row r="116" spans="2:2" ht="15">
      <c r="B116" s="7" t="s">
        <v>227</v>
      </c>
    </row>
    <row r="117" spans="2:2" ht="18.75" customHeight="1">
      <c r="B117" t="s">
        <v>228</v>
      </c>
    </row>
    <row r="118" spans="2:2" ht="18.75" customHeight="1">
      <c r="B118" t="s">
        <v>229</v>
      </c>
    </row>
    <row r="120" spans="2:2" ht="18.75" customHeight="1">
      <c r="B120" s="7" t="s">
        <v>230</v>
      </c>
    </row>
    <row r="121" spans="2:2" ht="18.75" customHeight="1">
      <c r="B121" t="s">
        <v>231</v>
      </c>
    </row>
    <row r="123" spans="2:2" ht="18.75" customHeight="1">
      <c r="B123" s="7" t="s">
        <v>232</v>
      </c>
    </row>
    <row r="124" spans="2:2" ht="18.75" customHeight="1">
      <c r="B124" t="s">
        <v>233</v>
      </c>
    </row>
    <row r="126" spans="2:2" ht="18.75" customHeight="1">
      <c r="B126" s="7" t="s">
        <v>234</v>
      </c>
    </row>
    <row r="127" spans="2:2" ht="18.75" customHeight="1">
      <c r="B127" t="s">
        <v>235</v>
      </c>
    </row>
    <row r="128" spans="2:2" ht="18.75" customHeight="1">
      <c r="B128" t="s">
        <v>236</v>
      </c>
    </row>
    <row r="129" spans="2:2" ht="18.75" customHeight="1">
      <c r="B129" t="s">
        <v>237</v>
      </c>
    </row>
    <row r="130" spans="2:2" ht="18.75" customHeight="1">
      <c r="B130" t="s">
        <v>238</v>
      </c>
    </row>
    <row r="131" spans="2:2" ht="18.75" customHeight="1">
      <c r="B131" t="s">
        <v>239</v>
      </c>
    </row>
  </sheetData>
  <sheetProtection algorithmName="SHA-512" hashValue="JslZY66rNXi7a/V6mGt0a6xvxh+idX/RU9GJw7MhKa1zOLpydPudo/YnqVKqE6BoMHkRFVCSi9B71agOV4wU4w==" saltValue="+MlMyQlR0ulC1/w6/XwGxQ==" spinCount="100000" sheet="1" selectLockedCells="1"/>
  <sortState xmlns:xlrd2="http://schemas.microsoft.com/office/spreadsheetml/2017/richdata2" ref="P22:P23">
    <sortCondition ref="P22:P23"/>
  </sortState>
  <mergeCells count="88">
    <mergeCell ref="H24:I24"/>
    <mergeCell ref="C61:I61"/>
    <mergeCell ref="C62:I62"/>
    <mergeCell ref="C63:I63"/>
    <mergeCell ref="C64:I64"/>
    <mergeCell ref="B29:I29"/>
    <mergeCell ref="D24:E24"/>
    <mergeCell ref="H25:I25"/>
    <mergeCell ref="D25:E25"/>
    <mergeCell ref="H26:I26"/>
    <mergeCell ref="C65:I65"/>
    <mergeCell ref="B58:F59"/>
    <mergeCell ref="G58:I58"/>
    <mergeCell ref="G59:I59"/>
    <mergeCell ref="B60:I60"/>
    <mergeCell ref="L47:M47"/>
    <mergeCell ref="B54:F54"/>
    <mergeCell ref="B55:I55"/>
    <mergeCell ref="F56:F57"/>
    <mergeCell ref="G56:I56"/>
    <mergeCell ref="C57:E57"/>
    <mergeCell ref="G57:I57"/>
    <mergeCell ref="L48:M48"/>
    <mergeCell ref="L49:M49"/>
    <mergeCell ref="L50:M50"/>
    <mergeCell ref="L51:M51"/>
    <mergeCell ref="L54:M54"/>
    <mergeCell ref="K33:M33"/>
    <mergeCell ref="K40:M40"/>
    <mergeCell ref="L46:M46"/>
    <mergeCell ref="K35:M35"/>
    <mergeCell ref="K37:M37"/>
    <mergeCell ref="K38:M38"/>
    <mergeCell ref="K39:M39"/>
    <mergeCell ref="K41:M41"/>
    <mergeCell ref="K42:M42"/>
    <mergeCell ref="K43:M43"/>
    <mergeCell ref="K44:M44"/>
    <mergeCell ref="K45:M45"/>
    <mergeCell ref="K36:M36"/>
    <mergeCell ref="K34:M34"/>
    <mergeCell ref="K29:M29"/>
    <mergeCell ref="C32:D32"/>
    <mergeCell ref="G32:I32"/>
    <mergeCell ref="K32:M32"/>
    <mergeCell ref="B30:I30"/>
    <mergeCell ref="K30:M30"/>
    <mergeCell ref="H11:I11"/>
    <mergeCell ref="K11:M17"/>
    <mergeCell ref="C12:F12"/>
    <mergeCell ref="H12:I12"/>
    <mergeCell ref="C13:F13"/>
    <mergeCell ref="H13:I13"/>
    <mergeCell ref="C14:F14"/>
    <mergeCell ref="H14:I14"/>
    <mergeCell ref="C15:F15"/>
    <mergeCell ref="C16:F16"/>
    <mergeCell ref="H16:I16"/>
    <mergeCell ref="C17:F17"/>
    <mergeCell ref="H17:I17"/>
    <mergeCell ref="H15:I15"/>
    <mergeCell ref="C11:F11"/>
    <mergeCell ref="C2:M3"/>
    <mergeCell ref="C6:I6"/>
    <mergeCell ref="C10:F10"/>
    <mergeCell ref="H10:I10"/>
    <mergeCell ref="K10:M10"/>
    <mergeCell ref="C7:I7"/>
    <mergeCell ref="C4:M4"/>
    <mergeCell ref="L59:M59"/>
    <mergeCell ref="L53:M53"/>
    <mergeCell ref="L55:M55"/>
    <mergeCell ref="L56:M56"/>
    <mergeCell ref="L57:M57"/>
    <mergeCell ref="L58:M58"/>
    <mergeCell ref="B19:M19"/>
    <mergeCell ref="B18:M18"/>
    <mergeCell ref="B20:M21"/>
    <mergeCell ref="B22:M22"/>
    <mergeCell ref="H23:I23"/>
    <mergeCell ref="D23:E23"/>
    <mergeCell ref="L66:M66"/>
    <mergeCell ref="L67:M67"/>
    <mergeCell ref="L61:M61"/>
    <mergeCell ref="L62:M62"/>
    <mergeCell ref="L63:M63"/>
    <mergeCell ref="L64:M64"/>
    <mergeCell ref="L65:M65"/>
  </mergeCells>
  <conditionalFormatting sqref="C57:E57">
    <cfRule type="colorScale" priority="57">
      <colorScale>
        <cfvo type="formula" val="$C$57&lt;60"/>
        <cfvo type="formula" val="$C$57&gt;59&lt;74"/>
        <cfvo type="formula" val="$C$57&gt;74"/>
        <color rgb="FFFF0000"/>
        <color rgb="FFFFEB84"/>
        <color rgb="FF92D050"/>
      </colorScale>
    </cfRule>
  </conditionalFormatting>
  <conditionalFormatting sqref="D34">
    <cfRule type="colorScale" priority="9">
      <colorScale>
        <cfvo type="num" val="2"/>
        <cfvo type="num" val="4"/>
        <cfvo type="num" val="6"/>
        <color rgb="FFF8696B"/>
        <color rgb="FFFFEB84"/>
        <color rgb="FF63BE7B"/>
      </colorScale>
    </cfRule>
  </conditionalFormatting>
  <conditionalFormatting sqref="D36">
    <cfRule type="colorScale" priority="8">
      <colorScale>
        <cfvo type="num" val="1"/>
        <cfvo type="num" val="4"/>
        <cfvo type="num" val="6"/>
        <color rgb="FFF8696B"/>
        <color rgb="FFFFEB84"/>
        <color rgb="FF63BE7B"/>
      </colorScale>
    </cfRule>
  </conditionalFormatting>
  <conditionalFormatting sqref="D37">
    <cfRule type="colorScale" priority="50">
      <colorScale>
        <cfvo type="num" val="1"/>
        <cfvo type="num" val="2"/>
        <cfvo type="num" val="4"/>
        <color rgb="FFF8696B"/>
        <color rgb="FFFFEB84"/>
        <color rgb="FF63BE7B"/>
      </colorScale>
    </cfRule>
  </conditionalFormatting>
  <conditionalFormatting sqref="D38">
    <cfRule type="colorScale" priority="48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D39">
    <cfRule type="colorScale" priority="45">
      <colorScale>
        <cfvo type="num" val="2"/>
        <cfvo type="num" val="4"/>
        <cfvo type="num" val="6"/>
        <color rgb="FFF8696B"/>
        <color rgb="FFFFEB84"/>
        <color rgb="FF63BE7B"/>
      </colorScale>
    </cfRule>
  </conditionalFormatting>
  <conditionalFormatting sqref="D40">
    <cfRule type="colorScale" priority="43">
      <colorScale>
        <cfvo type="num" val="0"/>
        <cfvo type="num" val="3"/>
        <cfvo type="num" val="6"/>
        <color rgb="FFF8696B"/>
        <color rgb="FFFFEB84"/>
        <color rgb="FF63BE7B"/>
      </colorScale>
    </cfRule>
  </conditionalFormatting>
  <conditionalFormatting sqref="D41">
    <cfRule type="colorScale" priority="41">
      <colorScale>
        <cfvo type="num" val="1"/>
        <cfvo type="num" val="4"/>
        <cfvo type="num" val="5"/>
        <color rgb="FFF8696B"/>
        <color rgb="FFFFEB84"/>
        <color rgb="FF63BE7B"/>
      </colorScale>
    </cfRule>
  </conditionalFormatting>
  <conditionalFormatting sqref="D42">
    <cfRule type="colorScale" priority="39">
      <colorScale>
        <cfvo type="num" val="1"/>
        <cfvo type="num" val="2"/>
        <cfvo type="num" val="4"/>
        <color rgb="FFF8696B"/>
        <color rgb="FFFFEB84"/>
        <color rgb="FF63BE7B"/>
      </colorScale>
    </cfRule>
  </conditionalFormatting>
  <conditionalFormatting sqref="D43">
    <cfRule type="colorScale" priority="37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D44">
    <cfRule type="colorScale" priority="35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D45">
    <cfRule type="colorScale" priority="33">
      <colorScale>
        <cfvo type="num" val="1"/>
        <cfvo type="num" val="3"/>
        <cfvo type="num" val="4"/>
        <color rgb="FFF8696B"/>
        <color rgb="FFFFEB84"/>
        <color rgb="FF63BE7B"/>
      </colorScale>
    </cfRule>
  </conditionalFormatting>
  <conditionalFormatting sqref="D46">
    <cfRule type="colorScale" priority="31">
      <colorScale>
        <cfvo type="num" val="1"/>
        <cfvo type="num" val="4"/>
        <cfvo type="num" val="5"/>
        <color rgb="FFF8696B"/>
        <color rgb="FFFFEB84"/>
        <color rgb="FF63BE7B"/>
      </colorScale>
    </cfRule>
  </conditionalFormatting>
  <conditionalFormatting sqref="D47">
    <cfRule type="colorScale" priority="29">
      <colorScale>
        <cfvo type="num" val="1"/>
        <cfvo type="num" val="4"/>
        <cfvo type="num" val="5"/>
        <color rgb="FFF8696B"/>
        <color rgb="FFFFEB84"/>
        <color rgb="FF63BE7B"/>
      </colorScale>
    </cfRule>
  </conditionalFormatting>
  <conditionalFormatting sqref="D48">
    <cfRule type="colorScale" priority="27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D49">
    <cfRule type="colorScale" priority="25">
      <colorScale>
        <cfvo type="num" val="2"/>
        <cfvo type="num" val="5"/>
        <cfvo type="num" val="7"/>
        <color rgb="FFF8696B"/>
        <color rgb="FFFFEB84"/>
        <color rgb="FF63BE7B"/>
      </colorScale>
    </cfRule>
  </conditionalFormatting>
  <conditionalFormatting sqref="D50">
    <cfRule type="colorScale" priority="23">
      <colorScale>
        <cfvo type="num" val="1"/>
        <cfvo type="num" val="3"/>
        <cfvo type="num" val="6"/>
        <color rgb="FFF8696B"/>
        <color rgb="FFFFEB84"/>
        <color rgb="FF63BE7B"/>
      </colorScale>
    </cfRule>
  </conditionalFormatting>
  <conditionalFormatting sqref="D51">
    <cfRule type="colorScale" priority="21">
      <colorScale>
        <cfvo type="num" val="2"/>
        <cfvo type="num" val="4"/>
        <cfvo type="num" val="6"/>
        <color rgb="FFF8696B"/>
        <color rgb="FFFFEB84"/>
        <color rgb="FF63BE7B"/>
      </colorScale>
    </cfRule>
  </conditionalFormatting>
  <conditionalFormatting sqref="D52">
    <cfRule type="colorScale" priority="19">
      <colorScale>
        <cfvo type="num" val="2"/>
        <cfvo type="num" val="4"/>
        <cfvo type="num" val="6"/>
        <color rgb="FFF8696B"/>
        <color rgb="FFFFEB84"/>
        <color rgb="FF63BE7B"/>
      </colorScale>
    </cfRule>
  </conditionalFormatting>
  <conditionalFormatting sqref="D53">
    <cfRule type="colorScale" priority="14">
      <colorScale>
        <cfvo type="num" val="1"/>
        <cfvo type="num" val="4"/>
        <cfvo type="num" val="6"/>
        <color rgb="FFF8696B"/>
        <color rgb="FFFFEB84"/>
        <color rgb="FF63BE7B"/>
      </colorScale>
    </cfRule>
    <cfRule type="colorScale" priority="17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34">
    <cfRule type="colorScale" priority="7">
      <colorScale>
        <cfvo type="num" val="2"/>
        <cfvo type="num" val="4"/>
        <cfvo type="num" val="6"/>
        <color rgb="FFF8696B"/>
        <color rgb="FFFFEB84"/>
        <color rgb="FF63BE7B"/>
      </colorScale>
    </cfRule>
  </conditionalFormatting>
  <conditionalFormatting sqref="F36">
    <cfRule type="colorScale" priority="6">
      <colorScale>
        <cfvo type="num" val="1"/>
        <cfvo type="num" val="4"/>
        <cfvo type="num" val="6"/>
        <color rgb="FFF8696B"/>
        <color rgb="FFFFEB84"/>
        <color rgb="FF63BE7B"/>
      </colorScale>
    </cfRule>
  </conditionalFormatting>
  <conditionalFormatting sqref="F37">
    <cfRule type="colorScale" priority="49">
      <colorScale>
        <cfvo type="num" val="1"/>
        <cfvo type="num" val="2"/>
        <cfvo type="num" val="4"/>
        <color rgb="FFF8696B"/>
        <color rgb="FFFFEB84"/>
        <color rgb="FF63BE7B"/>
      </colorScale>
    </cfRule>
  </conditionalFormatting>
  <conditionalFormatting sqref="F38">
    <cfRule type="colorScale" priority="47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39">
    <cfRule type="colorScale" priority="44">
      <colorScale>
        <cfvo type="num" val="2"/>
        <cfvo type="num" val="4"/>
        <cfvo type="num" val="6"/>
        <color rgb="FFF8696B"/>
        <color rgb="FFFFEB84"/>
        <color rgb="FF63BE7B"/>
      </colorScale>
    </cfRule>
  </conditionalFormatting>
  <conditionalFormatting sqref="F40">
    <cfRule type="colorScale" priority="42">
      <colorScale>
        <cfvo type="num" val="0"/>
        <cfvo type="num" val="3"/>
        <cfvo type="num" val="6"/>
        <color rgb="FFF8696B"/>
        <color rgb="FFFFEB84"/>
        <color rgb="FF63BE7B"/>
      </colorScale>
    </cfRule>
  </conditionalFormatting>
  <conditionalFormatting sqref="F41">
    <cfRule type="colorScale" priority="40">
      <colorScale>
        <cfvo type="num" val="1"/>
        <cfvo type="num" val="4"/>
        <cfvo type="num" val="5"/>
        <color rgb="FFF8696B"/>
        <color rgb="FFFFEB84"/>
        <color rgb="FF63BE7B"/>
      </colorScale>
    </cfRule>
  </conditionalFormatting>
  <conditionalFormatting sqref="F42">
    <cfRule type="colorScale" priority="38">
      <colorScale>
        <cfvo type="num" val="1"/>
        <cfvo type="num" val="2"/>
        <cfvo type="num" val="4"/>
        <color rgb="FFF8696B"/>
        <color rgb="FFFFEB84"/>
        <color rgb="FF63BE7B"/>
      </colorScale>
    </cfRule>
  </conditionalFormatting>
  <conditionalFormatting sqref="F43">
    <cfRule type="colorScale" priority="36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F44">
    <cfRule type="colorScale" priority="34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F45">
    <cfRule type="colorScale" priority="4">
      <colorScale>
        <cfvo type="num" val="1"/>
        <cfvo type="num" val="3"/>
        <cfvo type="num" val="4"/>
        <color rgb="FFF8696B"/>
        <color rgb="FFFFEB84"/>
        <color rgb="FF63BE7B"/>
      </colorScale>
    </cfRule>
  </conditionalFormatting>
  <conditionalFormatting sqref="F46">
    <cfRule type="colorScale" priority="5">
      <colorScale>
        <cfvo type="num" val="1"/>
        <cfvo type="num" val="4"/>
        <cfvo type="num" val="5"/>
        <color rgb="FFF8696B"/>
        <color rgb="FFFFEB84"/>
        <color rgb="FF63BE7B"/>
      </colorScale>
    </cfRule>
  </conditionalFormatting>
  <conditionalFormatting sqref="F47">
    <cfRule type="colorScale" priority="28">
      <colorScale>
        <cfvo type="num" val="1"/>
        <cfvo type="num" val="4"/>
        <cfvo type="num" val="5"/>
        <color rgb="FFF8696B"/>
        <color rgb="FFFFEB84"/>
        <color rgb="FF63BE7B"/>
      </colorScale>
    </cfRule>
  </conditionalFormatting>
  <conditionalFormatting sqref="F48">
    <cfRule type="colorScale" priority="26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49">
    <cfRule type="colorScale" priority="24">
      <colorScale>
        <cfvo type="num" val="2"/>
        <cfvo type="num" val="5"/>
        <cfvo type="num" val="7"/>
        <color rgb="FFF8696B"/>
        <color rgb="FFFFEB84"/>
        <color rgb="FF63BE7B"/>
      </colorScale>
    </cfRule>
  </conditionalFormatting>
  <conditionalFormatting sqref="F50">
    <cfRule type="colorScale" priority="3">
      <colorScale>
        <cfvo type="num" val="1"/>
        <cfvo type="num" val="3"/>
        <cfvo type="num" val="6"/>
        <color rgb="FFF8696B"/>
        <color rgb="FFFFEB84"/>
        <color rgb="FF63BE7B"/>
      </colorScale>
    </cfRule>
  </conditionalFormatting>
  <conditionalFormatting sqref="F51">
    <cfRule type="colorScale" priority="20">
      <colorScale>
        <cfvo type="num" val="2"/>
        <cfvo type="num" val="4"/>
        <cfvo type="num" val="6"/>
        <color rgb="FFF8696B"/>
        <color rgb="FFFFEB84"/>
        <color rgb="FF63BE7B"/>
      </colorScale>
    </cfRule>
  </conditionalFormatting>
  <conditionalFormatting sqref="F52">
    <cfRule type="colorScale" priority="18">
      <colorScale>
        <cfvo type="num" val="2"/>
        <cfvo type="num" val="4"/>
        <cfvo type="num" val="6"/>
        <color rgb="FFF8696B"/>
        <color rgb="FFFFEB84"/>
        <color rgb="FF63BE7B"/>
      </colorScale>
    </cfRule>
  </conditionalFormatting>
  <conditionalFormatting sqref="F53">
    <cfRule type="colorScale" priority="11">
      <colorScale>
        <cfvo type="num" val="1"/>
        <cfvo type="num" val="4"/>
        <cfvo type="num" val="6"/>
        <color rgb="FFF8696B"/>
        <color rgb="FFFFEB84"/>
        <color rgb="FF63BE7B"/>
      </colorScale>
    </cfRule>
    <cfRule type="colorScale" priority="12">
      <colorScale>
        <cfvo type="num" val="1"/>
        <cfvo type="num" val="2"/>
        <cfvo type="num" val="3"/>
        <color rgb="FFF8696B"/>
        <color rgb="FFFFEB84"/>
        <color rgb="FF63BE7B"/>
      </colorScale>
    </cfRule>
    <cfRule type="colorScale" priority="1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D35">
    <cfRule type="colorScale" priority="2">
      <colorScale>
        <cfvo type="num" val="0"/>
        <cfvo type="num" val="2"/>
        <cfvo type="num" val="4"/>
        <color rgb="FFF8696B"/>
        <color rgb="FFFFEB84"/>
        <color rgb="FF63BE7B"/>
      </colorScale>
    </cfRule>
  </conditionalFormatting>
  <conditionalFormatting sqref="F35">
    <cfRule type="colorScale" priority="1">
      <colorScale>
        <cfvo type="num" val="0"/>
        <cfvo type="num" val="2"/>
        <cfvo type="num" val="4"/>
        <color rgb="FFF8696B"/>
        <color rgb="FFFFEB84"/>
        <color rgb="FF63BE7B"/>
      </colorScale>
    </cfRule>
  </conditionalFormatting>
  <dataValidations count="13">
    <dataValidation type="list" allowBlank="1" showInputMessage="1" showErrorMessage="1" sqref="C34:C53 E34:E53" xr:uid="{B30F4A9D-79E1-47DC-BF68-42BF5CB3D843}">
      <formula1>"Low,Average,High"</formula1>
    </dataValidation>
    <dataValidation type="list" allowBlank="1" showInputMessage="1" showErrorMessage="1" sqref="K7" xr:uid="{19C91314-8BE1-4E08-B894-FD2CD0514843}">
      <formula1>$P$6:$P$11</formula1>
    </dataValidation>
    <dataValidation type="list" allowBlank="1" showInputMessage="1" showErrorMessage="1" sqref="H15:J15" xr:uid="{E4C3415B-CDB9-4020-ABF9-6C7F48291329}">
      <formula1>$P$13:$P$16</formula1>
    </dataValidation>
    <dataValidation type="list" allowBlank="1" showInputMessage="1" showErrorMessage="1" sqref="C69" xr:uid="{A556E58D-BC8D-4601-BFF2-8F9C6928853B}">
      <formula1>$O$69:$O$72</formula1>
    </dataValidation>
    <dataValidation type="list" allowBlank="1" showInputMessage="1" showErrorMessage="1" sqref="C12:F12" xr:uid="{7654AD95-1149-4D33-8485-3115D143B06F}">
      <formula1>$R$6:$R$22</formula1>
    </dataValidation>
    <dataValidation type="list" allowBlank="1" showInputMessage="1" showErrorMessage="1" sqref="C68" xr:uid="{A0156389-EEB6-4A3F-A72A-6CCC3300B039}">
      <formula1>$P$68:$P$69</formula1>
    </dataValidation>
    <dataValidation type="list" allowBlank="1" showInputMessage="1" showErrorMessage="1" sqref="C23 H26:J26 L23 C26:C28" xr:uid="{701B2E8F-3EB0-4C61-ADCA-04B61795780A}">
      <formula1>$Q$23:$Q$24</formula1>
    </dataValidation>
    <dataValidation type="list" allowBlank="1" showInputMessage="1" showErrorMessage="1" sqref="C24" xr:uid="{C1049719-5AE1-4C4E-981A-9B336F80E272}">
      <formula1>$R$29:$R$35</formula1>
    </dataValidation>
    <dataValidation type="list" allowBlank="1" showInputMessage="1" showErrorMessage="1" sqref="F23:F28 H23" xr:uid="{E7BC2F68-058B-4395-BB98-57B0B81B1CBC}">
      <formula1>$Q$23:$Q$28</formula1>
    </dataValidation>
    <dataValidation type="list" allowBlank="1" showInputMessage="1" showErrorMessage="1" sqref="H11:J11" xr:uid="{6922E789-A4E1-46DF-BC8E-315E48666F57}">
      <formula1>$P$22:$P$28</formula1>
    </dataValidation>
    <dataValidation type="list" allowBlank="1" showInputMessage="1" showErrorMessage="1" sqref="H24" xr:uid="{1F3BE71A-4E48-4763-9EE7-DFB0C17C9374}">
      <formula1>$S$23:$S$28</formula1>
    </dataValidation>
    <dataValidation type="list" allowBlank="1" showInputMessage="1" showErrorMessage="1" sqref="L24" xr:uid="{DF261E8C-358C-4703-B466-16C72687D089}">
      <formula1>$U$22:$U$25</formula1>
    </dataValidation>
    <dataValidation type="list" allowBlank="1" showInputMessage="1" showErrorMessage="1" sqref="C64:I64" xr:uid="{3C283E47-A1B3-433B-B211-C12FF17C4DBF}">
      <formula1>$P$71:$P$73</formula1>
    </dataValidation>
  </dataValidations>
  <pageMargins left="0.7" right="0.7" top="0.75" bottom="0.75" header="0.3" footer="0.3"/>
  <pageSetup paperSize="17" scale="71" fitToHeight="0" orientation="landscape" horizontalDpi="4294967295" verticalDpi="4294967295" r:id="rId1"/>
  <rowBreaks count="1" manualBreakCount="1">
    <brk id="54" min="1" max="12" man="1"/>
  </rowBreaks>
  <colBreaks count="1" manualBreakCount="1">
    <brk id="1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989982C95E14EBE57AF46ABC927D6" ma:contentTypeVersion="8" ma:contentTypeDescription="Create a new document." ma:contentTypeScope="" ma:versionID="d38b65db42d4db5ac4dfc72cfa551177">
  <xsd:schema xmlns:xsd="http://www.w3.org/2001/XMLSchema" xmlns:xs="http://www.w3.org/2001/XMLSchema" xmlns:p="http://schemas.microsoft.com/office/2006/metadata/properties" xmlns:ns2="81b9044c-fec7-4192-b635-7032ff2b68cb" targetNamespace="http://schemas.microsoft.com/office/2006/metadata/properties" ma:root="true" ma:fieldsID="c811cf13f4ee9cfbba218ce493c9c421" ns2:_="">
    <xsd:import namespace="81b9044c-fec7-4192-b635-7032ff2b6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044c-fec7-4192-b635-7032ff2b68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0E903A-4087-4B68-8A05-8444CD11A861}"/>
</file>

<file path=customXml/itemProps2.xml><?xml version="1.0" encoding="utf-8"?>
<ds:datastoreItem xmlns:ds="http://schemas.openxmlformats.org/officeDocument/2006/customXml" ds:itemID="{346F4469-BF8D-42FE-9382-21A6EBDAE6EE}"/>
</file>

<file path=customXml/itemProps3.xml><?xml version="1.0" encoding="utf-8"?>
<ds:datastoreItem xmlns:ds="http://schemas.openxmlformats.org/officeDocument/2006/customXml" ds:itemID="{1E624430-47D9-4F5A-ABA1-6BE500016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GO/NOGO Worksheet</dc:title>
  <dc:subject/>
  <dc:creator/>
  <cp:keywords>Go NOGO</cp:keywords>
  <dc:description/>
  <cp:lastModifiedBy>Caitlin Looby</cp:lastModifiedBy>
  <cp:revision/>
  <dcterms:created xsi:type="dcterms:W3CDTF">2024-04-16T13:23:40Z</dcterms:created>
  <dcterms:modified xsi:type="dcterms:W3CDTF">2025-12-05T20:40:33Z</dcterms:modified>
  <cp:category>Preconstruction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0x01010017C989982C95E14EBE57AF46ABC927D6</vt:lpwstr>
  </property>
</Properties>
</file>