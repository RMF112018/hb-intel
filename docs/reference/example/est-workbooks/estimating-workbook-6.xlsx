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hedrickbrotherscom.sharepoint.com/sites/2025Projects/Shared Documents/25-499-01 Bourbon Hotel/03 EstSummary/"/>
    </mc:Choice>
  </mc:AlternateContent>
  <xr:revisionPtr revIDLastSave="0" documentId="8_{2B8C052A-5EC7-4160-B375-9C9B26794790}" xr6:coauthVersionLast="47" xr6:coauthVersionMax="47" xr10:uidLastSave="{00000000-0000-0000-0000-000000000000}"/>
  <bookViews>
    <workbookView xWindow="-28920" yWindow="-120" windowWidth="29040" windowHeight="16440" tabRatio="841" firstSheet="4" activeTab="4" xr2:uid="{00000000-000D-0000-FFFF-FFFF00000000}"/>
  </bookViews>
  <sheets>
    <sheet name="Area Calculations" sheetId="21" r:id="rId1"/>
    <sheet name="Allowances" sheetId="49" r:id="rId2"/>
    <sheet name="Word C&amp;A" sheetId="106" r:id="rId3"/>
    <sheet name="Documents" sheetId="123" r:id="rId4"/>
    <sheet name="Cost Summary" sheetId="20" r:id="rId5"/>
    <sheet name="GCs &amp; GRs" sheetId="48" r:id="rId6"/>
    <sheet name="Labor Rates" sheetId="125" r:id="rId7"/>
    <sheet name="02 21 Survey " sheetId="2" r:id="rId8"/>
    <sheet name="02 41 Demo" sheetId="126" r:id="rId9"/>
    <sheet name="03 30 Conc &amp; CMU" sheetId="3" r:id="rId10"/>
    <sheet name="04 40 Stone Cladding" sheetId="132" r:id="rId11"/>
    <sheet name="05 10 Structural Steel" sheetId="127" r:id="rId12"/>
    <sheet name="05 52 Misc Metals" sheetId="57" r:id="rId13"/>
    <sheet name="05 70 Railings Glass" sheetId="129" r:id="rId14"/>
    <sheet name="06 10 Rough Carpentry" sheetId="58" r:id="rId15"/>
    <sheet name="06 50 Millwork" sheetId="111" r:id="rId16"/>
    <sheet name="07 17 Waterproofing &amp; Caulk" sheetId="6" r:id="rId17"/>
    <sheet name="07 21 Spray Foam Ins" sheetId="140" r:id="rId18"/>
    <sheet name="07 42 Metal Panel" sheetId="133" r:id="rId19"/>
    <sheet name="07 50 Roofing" sheetId="7" r:id="rId20"/>
    <sheet name="08 14 DFH" sheetId="8" r:id="rId21"/>
    <sheet name="08 30 Retractable Screens" sheetId="68" state="hidden" r:id="rId22"/>
    <sheet name="08 50 Storefront" sheetId="9" r:id="rId23"/>
    <sheet name="09 24 Stucco" sheetId="137" r:id="rId24"/>
    <sheet name="09 29 Gypsum Board" sheetId="10" r:id="rId25"/>
    <sheet name="09 51 ACT" sheetId="77" r:id="rId26"/>
    <sheet name="09 60 Flooring" sheetId="75" r:id="rId27"/>
    <sheet name="09 90 Painting" sheetId="30" r:id="rId28"/>
    <sheet name="10 28 Specialties" sheetId="81" r:id="rId29"/>
    <sheet name="10 22 Operable Partitions" sheetId="82" state="hidden" r:id="rId30"/>
    <sheet name="10 30 Fireplace" sheetId="79" state="hidden" r:id="rId31"/>
    <sheet name="11 11 Laundry Equip." sheetId="85" state="hidden" r:id="rId32"/>
    <sheet name="10 53 Signage" sheetId="41" r:id="rId33"/>
    <sheet name="12 30 Wall Protection" sheetId="92" state="hidden" r:id="rId34"/>
    <sheet name="14 80 Scaffolding" sheetId="90" state="hidden" r:id="rId35"/>
    <sheet name="13 11 Pool" sheetId="134" r:id="rId36"/>
    <sheet name="10 73 Canopies" sheetId="136" r:id="rId37"/>
    <sheet name="14 00 Elevators" sheetId="130" r:id="rId38"/>
    <sheet name="14 91 Laundry Chute" sheetId="131" r:id="rId39"/>
    <sheet name="21 13 Fire Protection" sheetId="46" r:id="rId40"/>
    <sheet name="22 00 Plumbing " sheetId="95" r:id="rId41"/>
    <sheet name="23 00 HVAC" sheetId="16" r:id="rId42"/>
    <sheet name="26 00 Electrical" sheetId="13" r:id="rId43"/>
    <sheet name="31 30 Site Work" sheetId="135" r:id="rId44"/>
    <sheet name="32 14 00 Hardscape" sheetId="139" r:id="rId45"/>
    <sheet name="32 80 00 Landscape" sheetId="138" r:id="rId46"/>
    <sheet name="41 22 Crane and Hoist" sheetId="109" state="hidden" r:id="rId47"/>
    <sheet name="SiteWorkPrices" sheetId="107" state="hidden" r:id="rId48"/>
    <sheet name="UnitPrices" sheetId="108" state="hidden" r:id="rId49"/>
  </sheets>
  <definedNames>
    <definedName name="_xlnm.Print_Area" localSheetId="7">'02 21 Survey '!$A$1:$S$57</definedName>
    <definedName name="_xlnm.Print_Area" localSheetId="8">'02 41 Demo'!$A$1:$S$57</definedName>
    <definedName name="_xlnm.Print_Area" localSheetId="9">'03 30 Conc &amp; CMU'!$A$1:$S$69</definedName>
    <definedName name="_xlnm.Print_Area" localSheetId="10">'04 40 Stone Cladding'!$A$1:$S$57</definedName>
    <definedName name="_xlnm.Print_Area" localSheetId="11">'05 10 Structural Steel'!$A$1:$S$57</definedName>
    <definedName name="_xlnm.Print_Area" localSheetId="12">'05 52 Misc Metals'!$A$1:$S$61</definedName>
    <definedName name="_xlnm.Print_Area" localSheetId="13">'05 70 Railings Glass'!$A$1:$S$57</definedName>
    <definedName name="_xlnm.Print_Area" localSheetId="14">'06 10 Rough Carpentry'!$A$1:$S$57</definedName>
    <definedName name="_xlnm.Print_Area" localSheetId="15">'06 50 Millwork'!$A$1:$S$57</definedName>
    <definedName name="_xlnm.Print_Area" localSheetId="16">'07 17 Waterproofing &amp; Caulk'!$A$1:$S$62</definedName>
    <definedName name="_xlnm.Print_Area" localSheetId="17">'07 21 Spray Foam Ins'!$A$1:$S$58</definedName>
    <definedName name="_xlnm.Print_Area" localSheetId="18">'07 42 Metal Panel'!$A$1:$S$57</definedName>
    <definedName name="_xlnm.Print_Area" localSheetId="19">'07 50 Roofing'!$A$1:$S$57</definedName>
    <definedName name="_xlnm.Print_Area" localSheetId="20">'08 14 DFH'!$A$1:$S$57</definedName>
    <definedName name="_xlnm.Print_Area" localSheetId="22">'08 50 Storefront'!$A$1:$S$57</definedName>
    <definedName name="_xlnm.Print_Area" localSheetId="23">'09 24 Stucco'!$A$1:$S$61</definedName>
    <definedName name="_xlnm.Print_Area" localSheetId="24">'09 29 Gypsum Board'!$A$1:$S$57</definedName>
    <definedName name="_xlnm.Print_Area" localSheetId="25">'09 51 ACT'!$A$1:$S$57</definedName>
    <definedName name="_xlnm.Print_Area" localSheetId="26">'09 60 Flooring'!$A$1:$S$57</definedName>
    <definedName name="_xlnm.Print_Area" localSheetId="27">'09 90 Painting'!$A$1:$S$57</definedName>
    <definedName name="_xlnm.Print_Area" localSheetId="28">'10 28 Specialties'!$A$1:$S$57</definedName>
    <definedName name="_xlnm.Print_Area" localSheetId="32">'10 53 Signage'!$A$1:$S$57</definedName>
    <definedName name="_xlnm.Print_Area" localSheetId="36">'10 73 Canopies'!$A$1:$S$57</definedName>
    <definedName name="_xlnm.Print_Area" localSheetId="35">'13 11 Pool'!$A$1:$S$58</definedName>
    <definedName name="_xlnm.Print_Area" localSheetId="37">'14 00 Elevators'!$A$1:$S$59</definedName>
    <definedName name="_xlnm.Print_Area" localSheetId="38">'14 91 Laundry Chute'!$A$1:$S$57</definedName>
    <definedName name="_xlnm.Print_Area" localSheetId="39">'21 13 Fire Protection'!$A$1:$S$57</definedName>
    <definedName name="_xlnm.Print_Area" localSheetId="40">'22 00 Plumbing '!$A$1:$S$57</definedName>
    <definedName name="_xlnm.Print_Area" localSheetId="41">'23 00 HVAC'!$A$1:$S$57</definedName>
    <definedName name="_xlnm.Print_Area" localSheetId="42">'26 00 Electrical'!$A$1:$S$57</definedName>
    <definedName name="_xlnm.Print_Area" localSheetId="43">'31 30 Site Work'!$A$1:$S$67</definedName>
    <definedName name="_xlnm.Print_Area" localSheetId="44">'32 14 00 Hardscape'!$A$1:$S$57</definedName>
    <definedName name="_xlnm.Print_Area" localSheetId="45">'32 80 00 Landscape'!$A$1:$S$57</definedName>
    <definedName name="_xlnm.Print_Area" localSheetId="1">Allowances!$A$1:$C$27</definedName>
    <definedName name="_xlnm.Print_Area" localSheetId="4">'Cost Summary'!$A$1:$E$100</definedName>
    <definedName name="_xlnm.Print_Area" localSheetId="5">'GCs &amp; GRs'!$A$1:$N$164</definedName>
  </definedNames>
  <calcPr calcId="191028" iterate="1" iterateCount="1000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3" l="1"/>
  <c r="D24" i="3"/>
  <c r="A28" i="3"/>
  <c r="D27" i="3"/>
  <c r="D28" i="3"/>
  <c r="G27" i="3"/>
  <c r="G28" i="3"/>
  <c r="G29" i="3"/>
  <c r="I5" i="48"/>
  <c r="F23" i="9" l="1"/>
  <c r="G40" i="139" l="1"/>
  <c r="I40" i="139"/>
  <c r="G41" i="139"/>
  <c r="I41" i="139"/>
  <c r="G42" i="139"/>
  <c r="I42" i="139"/>
  <c r="G43" i="139"/>
  <c r="I43" i="139"/>
  <c r="G44" i="139"/>
  <c r="I44" i="139"/>
  <c r="G59" i="135"/>
  <c r="I59" i="135" s="1"/>
  <c r="G45" i="13"/>
  <c r="I45" i="13"/>
  <c r="G46" i="13"/>
  <c r="I46" i="13"/>
  <c r="G47" i="13"/>
  <c r="I47" i="13"/>
  <c r="G48" i="13"/>
  <c r="I48" i="13"/>
  <c r="G36" i="46"/>
  <c r="I36" i="46" s="1"/>
  <c r="G37" i="46"/>
  <c r="I37" i="46"/>
  <c r="G38" i="46"/>
  <c r="I38" i="46" s="1"/>
  <c r="G39" i="46"/>
  <c r="I39" i="46" s="1"/>
  <c r="G40" i="46"/>
  <c r="I40" i="46" s="1"/>
  <c r="G41" i="46"/>
  <c r="I41" i="46" s="1"/>
  <c r="G42" i="46"/>
  <c r="I42" i="46"/>
  <c r="G43" i="46"/>
  <c r="I43" i="46" s="1"/>
  <c r="G21" i="131"/>
  <c r="I21" i="131" s="1"/>
  <c r="G21" i="30"/>
  <c r="I21" i="30" s="1"/>
  <c r="G22" i="30"/>
  <c r="I22" i="30" s="1"/>
  <c r="G23" i="30"/>
  <c r="I23" i="30"/>
  <c r="G24" i="30"/>
  <c r="I24" i="30"/>
  <c r="G25" i="30"/>
  <c r="I25" i="30"/>
  <c r="G26" i="30"/>
  <c r="I26" i="30"/>
  <c r="G27" i="30"/>
  <c r="I27" i="30" s="1"/>
  <c r="G28" i="30"/>
  <c r="I28" i="30" s="1"/>
  <c r="G34" i="3"/>
  <c r="I34" i="3"/>
  <c r="G35" i="3"/>
  <c r="I35" i="3" s="1"/>
  <c r="G36" i="3"/>
  <c r="I36" i="3"/>
  <c r="C18" i="20"/>
  <c r="I22" i="140"/>
  <c r="S52" i="140" l="1"/>
  <c r="S54" i="140" s="1"/>
  <c r="Q52" i="140"/>
  <c r="Q54" i="140" s="1"/>
  <c r="O52" i="140"/>
  <c r="O54" i="140" s="1"/>
  <c r="M52" i="140"/>
  <c r="K52" i="140"/>
  <c r="I52" i="140"/>
  <c r="G50" i="140"/>
  <c r="G49" i="140"/>
  <c r="G48" i="140"/>
  <c r="G47" i="140"/>
  <c r="G46" i="140"/>
  <c r="G45" i="140"/>
  <c r="G44" i="140"/>
  <c r="G43" i="140"/>
  <c r="G42" i="140"/>
  <c r="G41" i="140"/>
  <c r="G40" i="140"/>
  <c r="G39" i="140"/>
  <c r="G38" i="140"/>
  <c r="G37" i="140"/>
  <c r="G36" i="140"/>
  <c r="G35" i="140"/>
  <c r="G34" i="140"/>
  <c r="G33" i="140"/>
  <c r="G32" i="140"/>
  <c r="G52" i="140" s="1"/>
  <c r="G31" i="140"/>
  <c r="G30" i="140"/>
  <c r="G29" i="140"/>
  <c r="G28" i="140"/>
  <c r="G27" i="140"/>
  <c r="G26" i="140"/>
  <c r="G25" i="140"/>
  <c r="G24" i="140"/>
  <c r="G23" i="140"/>
  <c r="G22" i="140"/>
  <c r="G21" i="140"/>
  <c r="G54" i="140" l="1"/>
  <c r="G56" i="140" s="1"/>
  <c r="S56" i="140"/>
  <c r="I54" i="140"/>
  <c r="I56" i="140" s="1"/>
  <c r="O56" i="140"/>
  <c r="Q56" i="140"/>
  <c r="K54" i="140"/>
  <c r="K56" i="140" s="1"/>
  <c r="M54" i="140"/>
  <c r="M56" i="140" s="1"/>
  <c r="L9" i="140" l="1"/>
  <c r="J9" i="140"/>
  <c r="B91" i="140"/>
  <c r="H9" i="140"/>
  <c r="N9" i="140"/>
  <c r="P9" i="140"/>
  <c r="R9" i="140"/>
  <c r="D88" i="20" l="1"/>
  <c r="O11" i="48"/>
  <c r="O12" i="48"/>
  <c r="O13" i="48"/>
  <c r="O14" i="48"/>
  <c r="O15" i="48"/>
  <c r="O16" i="48"/>
  <c r="O17" i="48"/>
  <c r="O18" i="48"/>
  <c r="O19" i="48"/>
  <c r="O20" i="48"/>
  <c r="O21" i="48"/>
  <c r="O22" i="48"/>
  <c r="O23" i="48"/>
  <c r="O24" i="48"/>
  <c r="O25" i="48"/>
  <c r="O26" i="48"/>
  <c r="O10" i="48"/>
  <c r="K21" i="16"/>
  <c r="C59" i="21"/>
  <c r="C58" i="21"/>
  <c r="C56" i="21"/>
  <c r="C57" i="21"/>
  <c r="C53" i="20" l="1"/>
  <c r="D21" i="16" l="1"/>
  <c r="D26" i="95"/>
  <c r="D21" i="46"/>
  <c r="G6" i="21"/>
  <c r="G44" i="13"/>
  <c r="I44" i="13" s="1"/>
  <c r="G43" i="13"/>
  <c r="I43" i="13" s="1"/>
  <c r="G42" i="13"/>
  <c r="I42" i="13" s="1"/>
  <c r="G41" i="13"/>
  <c r="I41" i="13" s="1"/>
  <c r="G40" i="13"/>
  <c r="I40" i="13" s="1"/>
  <c r="G39" i="13"/>
  <c r="I39" i="13" s="1"/>
  <c r="G38" i="13"/>
  <c r="I38" i="13" s="1"/>
  <c r="G37" i="13"/>
  <c r="I37" i="13" s="1"/>
  <c r="G36" i="13"/>
  <c r="I36" i="13" s="1"/>
  <c r="G35" i="13"/>
  <c r="I35" i="13" s="1"/>
  <c r="G34" i="13"/>
  <c r="I34" i="13" s="1"/>
  <c r="G33" i="13"/>
  <c r="I33" i="13" s="1"/>
  <c r="G32" i="13"/>
  <c r="I32" i="13" s="1"/>
  <c r="G31" i="13"/>
  <c r="I31" i="13" s="1"/>
  <c r="G30" i="13"/>
  <c r="I30" i="13" s="1"/>
  <c r="G29" i="13"/>
  <c r="I29" i="13" s="1"/>
  <c r="G26" i="13"/>
  <c r="I26" i="13" s="1"/>
  <c r="G25" i="13"/>
  <c r="I25" i="13" s="1"/>
  <c r="G24" i="13"/>
  <c r="I24" i="13" s="1"/>
  <c r="G23" i="13"/>
  <c r="I23" i="13" s="1"/>
  <c r="G21" i="13"/>
  <c r="I21" i="13" s="1"/>
  <c r="C45" i="20" l="1"/>
  <c r="J45" i="20" s="1"/>
  <c r="D52" i="3"/>
  <c r="D23" i="139"/>
  <c r="G23" i="139" s="1"/>
  <c r="I23" i="139" s="1"/>
  <c r="S51" i="139"/>
  <c r="S53" i="139" s="1"/>
  <c r="Q51" i="139"/>
  <c r="Q53" i="139" s="1"/>
  <c r="Q55" i="139" s="1"/>
  <c r="O51" i="139"/>
  <c r="O53" i="139" s="1"/>
  <c r="O55" i="139" s="1"/>
  <c r="M51" i="139"/>
  <c r="M53" i="139" s="1"/>
  <c r="K51" i="139"/>
  <c r="G49" i="139"/>
  <c r="I49" i="139" s="1"/>
  <c r="G48" i="139"/>
  <c r="I48" i="139" s="1"/>
  <c r="G47" i="139"/>
  <c r="I47" i="139" s="1"/>
  <c r="G46" i="139"/>
  <c r="I46" i="139" s="1"/>
  <c r="G45" i="139"/>
  <c r="I45" i="139" s="1"/>
  <c r="G39" i="139"/>
  <c r="I39" i="139" s="1"/>
  <c r="G38" i="139"/>
  <c r="I38" i="139" s="1"/>
  <c r="G37" i="139"/>
  <c r="I37" i="139" s="1"/>
  <c r="G36" i="139"/>
  <c r="I36" i="139" s="1"/>
  <c r="G35" i="139"/>
  <c r="I35" i="139" s="1"/>
  <c r="G34" i="139"/>
  <c r="I34" i="139" s="1"/>
  <c r="G33" i="139"/>
  <c r="I33" i="139" s="1"/>
  <c r="G32" i="139"/>
  <c r="I32" i="139" s="1"/>
  <c r="G31" i="139"/>
  <c r="I31" i="139" s="1"/>
  <c r="G30" i="139"/>
  <c r="I30" i="139" s="1"/>
  <c r="G29" i="139"/>
  <c r="I29" i="139" s="1"/>
  <c r="G28" i="139"/>
  <c r="I28" i="139" s="1"/>
  <c r="G27" i="139"/>
  <c r="I27" i="139" s="1"/>
  <c r="G26" i="139"/>
  <c r="I26" i="139" s="1"/>
  <c r="G25" i="139"/>
  <c r="G24" i="139"/>
  <c r="I24" i="139" s="1"/>
  <c r="G22" i="139"/>
  <c r="I22" i="139" s="1"/>
  <c r="B5" i="139"/>
  <c r="F47" i="20"/>
  <c r="F48" i="20"/>
  <c r="C48" i="20" s="1"/>
  <c r="C50" i="21"/>
  <c r="C47" i="20"/>
  <c r="J124" i="48"/>
  <c r="K92" i="48"/>
  <c r="J91" i="48"/>
  <c r="K91" i="48" s="1"/>
  <c r="K90" i="48"/>
  <c r="J89" i="48"/>
  <c r="K87" i="48"/>
  <c r="K86" i="48"/>
  <c r="K83" i="48"/>
  <c r="S55" i="139" l="1"/>
  <c r="R9" i="139" s="1"/>
  <c r="G51" i="139"/>
  <c r="G53" i="139" s="1"/>
  <c r="G55" i="139" s="1"/>
  <c r="N9" i="139"/>
  <c r="P9" i="139"/>
  <c r="M55" i="139"/>
  <c r="I25" i="139"/>
  <c r="I51" i="139" s="1"/>
  <c r="K53" i="139"/>
  <c r="K55" i="139" s="1"/>
  <c r="H5" i="48"/>
  <c r="J9" i="139" l="1"/>
  <c r="I53" i="139"/>
  <c r="I55" i="139" s="1"/>
  <c r="L9" i="139"/>
  <c r="D82" i="20"/>
  <c r="D86" i="20"/>
  <c r="D87" i="20"/>
  <c r="C100" i="20"/>
  <c r="C93" i="20"/>
  <c r="C94" i="20"/>
  <c r="D90" i="20"/>
  <c r="C75" i="20"/>
  <c r="C74" i="20"/>
  <c r="C51" i="20"/>
  <c r="C52" i="20"/>
  <c r="C76" i="20"/>
  <c r="C77" i="20"/>
  <c r="C78" i="20"/>
  <c r="C79" i="20"/>
  <c r="C49" i="20"/>
  <c r="C50" i="20"/>
  <c r="C80" i="20"/>
  <c r="B90" i="139" l="1"/>
  <c r="H9" i="139"/>
  <c r="C41" i="20" s="1"/>
  <c r="C81" i="20"/>
  <c r="D45" i="135" l="1"/>
  <c r="D44" i="135"/>
  <c r="G44" i="135" s="1"/>
  <c r="I44" i="135" s="1"/>
  <c r="D47" i="135"/>
  <c r="G47" i="135" s="1"/>
  <c r="I47" i="135" s="1"/>
  <c r="G56" i="135"/>
  <c r="I56" i="135" s="1"/>
  <c r="D43" i="135"/>
  <c r="G43" i="135" s="1"/>
  <c r="I43" i="135" s="1"/>
  <c r="S51" i="138"/>
  <c r="S53" i="138" s="1"/>
  <c r="S55" i="138" s="1"/>
  <c r="Q51" i="138"/>
  <c r="Q53" i="138" s="1"/>
  <c r="Q55" i="138" s="1"/>
  <c r="O51" i="138"/>
  <c r="O53" i="138" s="1"/>
  <c r="O55" i="138" s="1"/>
  <c r="M51" i="138"/>
  <c r="K51" i="138"/>
  <c r="K53" i="138" s="1"/>
  <c r="K55" i="138" s="1"/>
  <c r="G49" i="138"/>
  <c r="I49" i="138" s="1"/>
  <c r="G48" i="138"/>
  <c r="I48" i="138" s="1"/>
  <c r="G47" i="138"/>
  <c r="I47" i="138" s="1"/>
  <c r="G46" i="138"/>
  <c r="I46" i="138" s="1"/>
  <c r="G45" i="138"/>
  <c r="I45" i="138" s="1"/>
  <c r="G44" i="138"/>
  <c r="I44" i="138" s="1"/>
  <c r="G43" i="138"/>
  <c r="I43" i="138" s="1"/>
  <c r="G42" i="138"/>
  <c r="I42" i="138" s="1"/>
  <c r="G41" i="138"/>
  <c r="I41" i="138" s="1"/>
  <c r="G40" i="138"/>
  <c r="I40" i="138" s="1"/>
  <c r="G39" i="138"/>
  <c r="I39" i="138" s="1"/>
  <c r="G38" i="138"/>
  <c r="I38" i="138" s="1"/>
  <c r="G37" i="138"/>
  <c r="I37" i="138" s="1"/>
  <c r="G36" i="138"/>
  <c r="I36" i="138" s="1"/>
  <c r="G35" i="138"/>
  <c r="I35" i="138" s="1"/>
  <c r="G34" i="138"/>
  <c r="I34" i="138" s="1"/>
  <c r="G33" i="138"/>
  <c r="I33" i="138" s="1"/>
  <c r="G32" i="138"/>
  <c r="I32" i="138" s="1"/>
  <c r="G31" i="138"/>
  <c r="I31" i="138" s="1"/>
  <c r="G30" i="138"/>
  <c r="I30" i="138" s="1"/>
  <c r="G29" i="138"/>
  <c r="I29" i="138" s="1"/>
  <c r="G28" i="138"/>
  <c r="I28" i="138" s="1"/>
  <c r="G27" i="138"/>
  <c r="I27" i="138" s="1"/>
  <c r="G26" i="138"/>
  <c r="I26" i="138" s="1"/>
  <c r="G25" i="138"/>
  <c r="G24" i="138"/>
  <c r="I24" i="138" s="1"/>
  <c r="G23" i="138"/>
  <c r="I23" i="138" s="1"/>
  <c r="G22" i="138"/>
  <c r="I22" i="138" s="1"/>
  <c r="B5" i="138"/>
  <c r="D42" i="135"/>
  <c r="G45" i="135"/>
  <c r="I45" i="135" s="1"/>
  <c r="G46" i="135"/>
  <c r="I46" i="135" s="1"/>
  <c r="G48" i="135"/>
  <c r="I48" i="135"/>
  <c r="G49" i="135"/>
  <c r="I49" i="135" s="1"/>
  <c r="G50" i="135"/>
  <c r="I50" i="135" s="1"/>
  <c r="G51" i="135"/>
  <c r="I51" i="135" s="1"/>
  <c r="G52" i="135"/>
  <c r="I52" i="135" s="1"/>
  <c r="G53" i="135"/>
  <c r="I53" i="135" s="1"/>
  <c r="G54" i="135"/>
  <c r="I54" i="135"/>
  <c r="G55" i="135"/>
  <c r="I55" i="135" s="1"/>
  <c r="G58" i="135"/>
  <c r="I58" i="135" s="1"/>
  <c r="G51" i="138" l="1"/>
  <c r="G53" i="138" s="1"/>
  <c r="G55" i="138" s="1"/>
  <c r="N9" i="138"/>
  <c r="P9" i="138"/>
  <c r="J9" i="138"/>
  <c r="R9" i="138"/>
  <c r="I25" i="138"/>
  <c r="I51" i="138" s="1"/>
  <c r="M53" i="138"/>
  <c r="M55" i="138" s="1"/>
  <c r="L9" i="138" l="1"/>
  <c r="I53" i="138"/>
  <c r="I55" i="138" s="1"/>
  <c r="B90" i="138" l="1"/>
  <c r="H9" i="138"/>
  <c r="D41" i="20" l="1"/>
  <c r="C42" i="20"/>
  <c r="D42" i="20" s="1"/>
  <c r="N10" i="21"/>
  <c r="N11" i="21"/>
  <c r="N12" i="21"/>
  <c r="N13" i="21"/>
  <c r="N9" i="21"/>
  <c r="O15" i="21"/>
  <c r="D24" i="95" s="1"/>
  <c r="P15" i="21"/>
  <c r="Q15" i="21"/>
  <c r="D22" i="95" s="1"/>
  <c r="C55" i="21"/>
  <c r="C51" i="21"/>
  <c r="C52" i="21"/>
  <c r="C53" i="21"/>
  <c r="C31" i="21"/>
  <c r="F46" i="20" s="1"/>
  <c r="C46" i="20" s="1"/>
  <c r="H54" i="21"/>
  <c r="D21" i="95" l="1"/>
  <c r="D23" i="95"/>
  <c r="D21" i="10"/>
  <c r="D26" i="10"/>
  <c r="S51" i="127" l="1"/>
  <c r="Q51" i="127"/>
  <c r="O51" i="127"/>
  <c r="M51" i="127"/>
  <c r="K51" i="127"/>
  <c r="F27" i="127"/>
  <c r="D28" i="133" l="1"/>
  <c r="F24" i="134"/>
  <c r="F22" i="134" l="1"/>
  <c r="G22" i="134"/>
  <c r="I22" i="134" s="1"/>
  <c r="F21" i="134"/>
  <c r="G24" i="134"/>
  <c r="I24" i="134" s="1"/>
  <c r="D26" i="137"/>
  <c r="G26" i="137" s="1"/>
  <c r="I26" i="137" s="1"/>
  <c r="D27" i="137"/>
  <c r="G27" i="137" s="1"/>
  <c r="I27" i="137" s="1"/>
  <c r="G22" i="137"/>
  <c r="I22" i="137" s="1"/>
  <c r="G23" i="137"/>
  <c r="I23" i="137" s="1"/>
  <c r="G24" i="137"/>
  <c r="I24" i="137" s="1"/>
  <c r="G25" i="137"/>
  <c r="I25" i="137"/>
  <c r="S55" i="137"/>
  <c r="S57" i="137" s="1"/>
  <c r="S59" i="137" s="1"/>
  <c r="Q55" i="137"/>
  <c r="Q57" i="137" s="1"/>
  <c r="Q59" i="137" s="1"/>
  <c r="O55" i="137"/>
  <c r="O57" i="137" s="1"/>
  <c r="O59" i="137" s="1"/>
  <c r="M55" i="137"/>
  <c r="M57" i="137" s="1"/>
  <c r="K55" i="137"/>
  <c r="K57" i="137" s="1"/>
  <c r="G53" i="137"/>
  <c r="I53" i="137" s="1"/>
  <c r="G52" i="137"/>
  <c r="I52" i="137" s="1"/>
  <c r="G51" i="137"/>
  <c r="I51" i="137" s="1"/>
  <c r="G50" i="137"/>
  <c r="I50" i="137" s="1"/>
  <c r="G49" i="137"/>
  <c r="I49" i="137" s="1"/>
  <c r="G48" i="137"/>
  <c r="I48" i="137" s="1"/>
  <c r="G47" i="137"/>
  <c r="I47" i="137" s="1"/>
  <c r="G46" i="137"/>
  <c r="I46" i="137" s="1"/>
  <c r="G45" i="137"/>
  <c r="I45" i="137" s="1"/>
  <c r="G44" i="137"/>
  <c r="I44" i="137" s="1"/>
  <c r="G43" i="137"/>
  <c r="I43" i="137" s="1"/>
  <c r="G42" i="137"/>
  <c r="I42" i="137" s="1"/>
  <c r="G41" i="137"/>
  <c r="I41" i="137" s="1"/>
  <c r="G40" i="137"/>
  <c r="I40" i="137" s="1"/>
  <c r="G39" i="137"/>
  <c r="I39" i="137" s="1"/>
  <c r="G38" i="137"/>
  <c r="I38" i="137" s="1"/>
  <c r="G37" i="137"/>
  <c r="I37" i="137" s="1"/>
  <c r="G36" i="137"/>
  <c r="I36" i="137" s="1"/>
  <c r="G35" i="137"/>
  <c r="I35" i="137" s="1"/>
  <c r="G34" i="137"/>
  <c r="I34" i="137" s="1"/>
  <c r="G33" i="137"/>
  <c r="I33" i="137" s="1"/>
  <c r="G32" i="137"/>
  <c r="I32" i="137" s="1"/>
  <c r="G31" i="137"/>
  <c r="I31" i="137" s="1"/>
  <c r="G30" i="137"/>
  <c r="I30" i="137" s="1"/>
  <c r="G29" i="137"/>
  <c r="G28" i="137"/>
  <c r="I28" i="137" s="1"/>
  <c r="B5" i="137"/>
  <c r="D21" i="137" l="1"/>
  <c r="N9" i="137"/>
  <c r="P9" i="137"/>
  <c r="R9" i="137"/>
  <c r="K59" i="137"/>
  <c r="M59" i="137"/>
  <c r="I29" i="137"/>
  <c r="G21" i="137" l="1"/>
  <c r="D22" i="30"/>
  <c r="B94" i="137"/>
  <c r="L9" i="137"/>
  <c r="J9" i="137"/>
  <c r="I21" i="137" l="1"/>
  <c r="I55" i="137" s="1"/>
  <c r="I57" i="137" s="1"/>
  <c r="I59" i="137" s="1"/>
  <c r="H9" i="137" s="1"/>
  <c r="G55" i="137"/>
  <c r="G57" i="137" s="1"/>
  <c r="G59" i="137" s="1"/>
  <c r="D25" i="9" l="1"/>
  <c r="D26" i="133"/>
  <c r="D25" i="133"/>
  <c r="G32" i="6"/>
  <c r="I32" i="6"/>
  <c r="D27" i="57"/>
  <c r="D26" i="57"/>
  <c r="G30" i="6" l="1"/>
  <c r="I30" i="6" s="1"/>
  <c r="G31" i="6"/>
  <c r="I31" i="6" s="1"/>
  <c r="G33" i="6"/>
  <c r="I33" i="6" s="1"/>
  <c r="G35" i="6"/>
  <c r="I35" i="6" s="1"/>
  <c r="D34" i="6"/>
  <c r="G34" i="6" s="1"/>
  <c r="I34" i="6" s="1"/>
  <c r="G72" i="21"/>
  <c r="G78" i="21"/>
  <c r="G75" i="21"/>
  <c r="G61" i="21" s="1"/>
  <c r="D50" i="3"/>
  <c r="G50" i="3" s="1"/>
  <c r="I50" i="3" s="1"/>
  <c r="G55" i="3"/>
  <c r="I55" i="3" s="1"/>
  <c r="G56" i="3"/>
  <c r="I56" i="3" s="1"/>
  <c r="G57" i="3"/>
  <c r="I57" i="3" s="1"/>
  <c r="D53" i="3"/>
  <c r="G46" i="3"/>
  <c r="I46" i="3" s="1"/>
  <c r="G49" i="3"/>
  <c r="I49" i="3" s="1"/>
  <c r="G52" i="3"/>
  <c r="I52" i="3" s="1"/>
  <c r="D48" i="3"/>
  <c r="G48" i="3" s="1"/>
  <c r="I48" i="3" s="1"/>
  <c r="D47" i="3"/>
  <c r="G47" i="3" s="1"/>
  <c r="I47" i="3" s="1"/>
  <c r="C32" i="21" l="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8" i="21"/>
  <c r="C54" i="21"/>
  <c r="S51" i="13" l="1"/>
  <c r="Q51" i="13"/>
  <c r="O51" i="13"/>
  <c r="M51" i="13"/>
  <c r="K51" i="13"/>
  <c r="N15" i="21"/>
  <c r="G9" i="21" s="1"/>
  <c r="D23" i="16"/>
  <c r="S53" i="136"/>
  <c r="S55" i="136" s="1"/>
  <c r="S51" i="136"/>
  <c r="Q51" i="136"/>
  <c r="Q53" i="136" s="1"/>
  <c r="Q55" i="136" s="1"/>
  <c r="O51" i="136"/>
  <c r="O53" i="136" s="1"/>
  <c r="O55" i="136" s="1"/>
  <c r="M51" i="136"/>
  <c r="M53" i="136" s="1"/>
  <c r="M55" i="136" s="1"/>
  <c r="K51" i="136"/>
  <c r="K53" i="136" s="1"/>
  <c r="K55" i="136" s="1"/>
  <c r="G48" i="136"/>
  <c r="I48" i="136" s="1"/>
  <c r="I47" i="136"/>
  <c r="G47" i="136"/>
  <c r="G46" i="136"/>
  <c r="I46" i="136" s="1"/>
  <c r="G45" i="136"/>
  <c r="I45" i="136" s="1"/>
  <c r="G44" i="136"/>
  <c r="I44" i="136" s="1"/>
  <c r="G43" i="136"/>
  <c r="I43" i="136" s="1"/>
  <c r="G42" i="136"/>
  <c r="I42" i="136" s="1"/>
  <c r="G41" i="136"/>
  <c r="I41" i="136" s="1"/>
  <c r="G40" i="136"/>
  <c r="I40" i="136" s="1"/>
  <c r="I39" i="136"/>
  <c r="G39" i="136"/>
  <c r="G38" i="136"/>
  <c r="I38" i="136" s="1"/>
  <c r="G37" i="136"/>
  <c r="I37" i="136" s="1"/>
  <c r="G36" i="136"/>
  <c r="I36" i="136" s="1"/>
  <c r="G35" i="136"/>
  <c r="I35" i="136" s="1"/>
  <c r="G34" i="136"/>
  <c r="I34" i="136" s="1"/>
  <c r="G33" i="136"/>
  <c r="I33" i="136" s="1"/>
  <c r="G32" i="136"/>
  <c r="I32" i="136" s="1"/>
  <c r="I31" i="136"/>
  <c r="G31" i="136"/>
  <c r="G30" i="136"/>
  <c r="I30" i="136" s="1"/>
  <c r="G29" i="136"/>
  <c r="I29" i="136" s="1"/>
  <c r="G28" i="136"/>
  <c r="I28" i="136" s="1"/>
  <c r="G27" i="136"/>
  <c r="I27" i="136" s="1"/>
  <c r="G26" i="136"/>
  <c r="I26" i="136" s="1"/>
  <c r="G25" i="136"/>
  <c r="I25" i="136" s="1"/>
  <c r="G24" i="136"/>
  <c r="I24" i="136" s="1"/>
  <c r="G23" i="136"/>
  <c r="I23" i="136" s="1"/>
  <c r="G22" i="136"/>
  <c r="I22" i="136" s="1"/>
  <c r="G21" i="136"/>
  <c r="I21" i="136" s="1"/>
  <c r="B5" i="136"/>
  <c r="K26" i="3"/>
  <c r="O26" i="3" s="1"/>
  <c r="G45" i="6"/>
  <c r="I45" i="6" s="1"/>
  <c r="G46" i="6"/>
  <c r="I46" i="6" s="1"/>
  <c r="G47" i="6"/>
  <c r="I47" i="6" s="1"/>
  <c r="G48" i="6"/>
  <c r="I48" i="6" s="1"/>
  <c r="D37" i="6"/>
  <c r="D22" i="6"/>
  <c r="D24" i="6"/>
  <c r="S61" i="135"/>
  <c r="S63" i="135" s="1"/>
  <c r="S65" i="135" s="1"/>
  <c r="Q61" i="135"/>
  <c r="Q63" i="135" s="1"/>
  <c r="Q65" i="135" s="1"/>
  <c r="O61" i="135"/>
  <c r="O63" i="135" s="1"/>
  <c r="O65" i="135" s="1"/>
  <c r="M61" i="135"/>
  <c r="M63" i="135" s="1"/>
  <c r="K61" i="135"/>
  <c r="K63" i="135" s="1"/>
  <c r="G57" i="135"/>
  <c r="I57" i="135" s="1"/>
  <c r="G42" i="135"/>
  <c r="I42" i="135" s="1"/>
  <c r="G40" i="135"/>
  <c r="I40" i="135" s="1"/>
  <c r="G39" i="135"/>
  <c r="I39" i="135" s="1"/>
  <c r="G37" i="135"/>
  <c r="I37" i="135" s="1"/>
  <c r="G36" i="135"/>
  <c r="I36" i="135" s="1"/>
  <c r="G35" i="135"/>
  <c r="I35" i="135" s="1"/>
  <c r="G34" i="135"/>
  <c r="I34" i="135" s="1"/>
  <c r="G33" i="135"/>
  <c r="I33" i="135" s="1"/>
  <c r="G32" i="135"/>
  <c r="I32" i="135" s="1"/>
  <c r="G31" i="135"/>
  <c r="I31" i="135" s="1"/>
  <c r="G30" i="135"/>
  <c r="I30" i="135" s="1"/>
  <c r="G29" i="135"/>
  <c r="I29" i="135" s="1"/>
  <c r="G28" i="135"/>
  <c r="I28" i="135" s="1"/>
  <c r="G27" i="135"/>
  <c r="I27" i="135" s="1"/>
  <c r="G26" i="135"/>
  <c r="I26" i="135" s="1"/>
  <c r="G25" i="135"/>
  <c r="I25" i="135" s="1"/>
  <c r="G24" i="135"/>
  <c r="I24" i="135" s="1"/>
  <c r="G23" i="135"/>
  <c r="I23" i="135" s="1"/>
  <c r="G22" i="135"/>
  <c r="I22" i="135" s="1"/>
  <c r="B5" i="135"/>
  <c r="D28" i="6"/>
  <c r="D29" i="6"/>
  <c r="D21" i="132"/>
  <c r="S52" i="134"/>
  <c r="S54" i="134" s="1"/>
  <c r="S56" i="134" s="1"/>
  <c r="Q52" i="134"/>
  <c r="Q54" i="134" s="1"/>
  <c r="Q56" i="134" s="1"/>
  <c r="O52" i="134"/>
  <c r="O54" i="134" s="1"/>
  <c r="O56" i="134" s="1"/>
  <c r="M52" i="134"/>
  <c r="M54" i="134" s="1"/>
  <c r="M56" i="134" s="1"/>
  <c r="K52" i="134"/>
  <c r="K54" i="134" s="1"/>
  <c r="K56" i="134" s="1"/>
  <c r="G52" i="134"/>
  <c r="G49" i="134"/>
  <c r="I49" i="134" s="1"/>
  <c r="G48" i="134"/>
  <c r="I48" i="134" s="1"/>
  <c r="G47" i="134"/>
  <c r="I47" i="134" s="1"/>
  <c r="G46" i="134"/>
  <c r="I46" i="134" s="1"/>
  <c r="G45" i="134"/>
  <c r="I45" i="134" s="1"/>
  <c r="G44" i="134"/>
  <c r="I44" i="134" s="1"/>
  <c r="G43" i="134"/>
  <c r="I43" i="134" s="1"/>
  <c r="G42" i="134"/>
  <c r="I42" i="134" s="1"/>
  <c r="G41" i="134"/>
  <c r="I41" i="134" s="1"/>
  <c r="G40" i="134"/>
  <c r="I40" i="134" s="1"/>
  <c r="G39" i="134"/>
  <c r="I39" i="134" s="1"/>
  <c r="G38" i="134"/>
  <c r="I38" i="134" s="1"/>
  <c r="G37" i="134"/>
  <c r="I37" i="134" s="1"/>
  <c r="G36" i="134"/>
  <c r="I36" i="134" s="1"/>
  <c r="G35" i="134"/>
  <c r="I35" i="134" s="1"/>
  <c r="G34" i="134"/>
  <c r="I34" i="134" s="1"/>
  <c r="G33" i="134"/>
  <c r="I33" i="134" s="1"/>
  <c r="G32" i="134"/>
  <c r="I32" i="134" s="1"/>
  <c r="G31" i="134"/>
  <c r="I31" i="134" s="1"/>
  <c r="G30" i="134"/>
  <c r="I30" i="134" s="1"/>
  <c r="G29" i="134"/>
  <c r="I29" i="134" s="1"/>
  <c r="G28" i="134"/>
  <c r="I28" i="134" s="1"/>
  <c r="G27" i="134"/>
  <c r="I27" i="134" s="1"/>
  <c r="G26" i="134"/>
  <c r="I26" i="134" s="1"/>
  <c r="G25" i="134"/>
  <c r="I25" i="134" s="1"/>
  <c r="G23" i="134"/>
  <c r="I23" i="134" s="1"/>
  <c r="G21" i="134"/>
  <c r="I21" i="134" s="1"/>
  <c r="B5" i="134"/>
  <c r="G51" i="136" l="1"/>
  <c r="G53" i="136" s="1"/>
  <c r="G55" i="136" s="1"/>
  <c r="J9" i="136"/>
  <c r="L9" i="136"/>
  <c r="P9" i="136"/>
  <c r="I51" i="136"/>
  <c r="N9" i="136"/>
  <c r="R9" i="136"/>
  <c r="N9" i="135"/>
  <c r="P9" i="135"/>
  <c r="R9" i="135"/>
  <c r="M65" i="135"/>
  <c r="K65" i="135"/>
  <c r="I52" i="134"/>
  <c r="J9" i="134"/>
  <c r="L9" i="134"/>
  <c r="N9" i="134"/>
  <c r="P9" i="134"/>
  <c r="R9" i="134"/>
  <c r="G54" i="134"/>
  <c r="G56" i="134" s="1"/>
  <c r="I53" i="136" l="1"/>
  <c r="I55" i="136"/>
  <c r="J9" i="135"/>
  <c r="L9" i="135"/>
  <c r="I54" i="134"/>
  <c r="I56" i="134"/>
  <c r="B90" i="136" l="1"/>
  <c r="H9" i="136"/>
  <c r="C32" i="20" s="1"/>
  <c r="B91" i="134"/>
  <c r="H9" i="134"/>
  <c r="C33" i="20" s="1"/>
  <c r="S53" i="133" l="1"/>
  <c r="S55" i="133" s="1"/>
  <c r="S51" i="133"/>
  <c r="Q51" i="133"/>
  <c r="Q53" i="133" s="1"/>
  <c r="Q55" i="133" s="1"/>
  <c r="O51" i="133"/>
  <c r="O53" i="133" s="1"/>
  <c r="O55" i="133" s="1"/>
  <c r="M51" i="133"/>
  <c r="M53" i="133" s="1"/>
  <c r="M55" i="133" s="1"/>
  <c r="K51" i="133"/>
  <c r="K53" i="133" s="1"/>
  <c r="K55" i="133" s="1"/>
  <c r="G49" i="133"/>
  <c r="I49" i="133" s="1"/>
  <c r="I48" i="133"/>
  <c r="G48" i="133"/>
  <c r="G47" i="133"/>
  <c r="I47" i="133" s="1"/>
  <c r="G46" i="133"/>
  <c r="I46" i="133" s="1"/>
  <c r="G45" i="133"/>
  <c r="I45" i="133" s="1"/>
  <c r="G44" i="133"/>
  <c r="I44" i="133" s="1"/>
  <c r="G43" i="133"/>
  <c r="I43" i="133" s="1"/>
  <c r="G42" i="133"/>
  <c r="I42" i="133" s="1"/>
  <c r="G41" i="133"/>
  <c r="I41" i="133" s="1"/>
  <c r="I40" i="133"/>
  <c r="G40" i="133"/>
  <c r="G39" i="133"/>
  <c r="I39" i="133" s="1"/>
  <c r="G38" i="133"/>
  <c r="I38" i="133" s="1"/>
  <c r="G37" i="133"/>
  <c r="I37" i="133" s="1"/>
  <c r="G36" i="133"/>
  <c r="I36" i="133" s="1"/>
  <c r="G35" i="133"/>
  <c r="I35" i="133" s="1"/>
  <c r="G34" i="133"/>
  <c r="I34" i="133" s="1"/>
  <c r="G33" i="133"/>
  <c r="I33" i="133" s="1"/>
  <c r="G32" i="133"/>
  <c r="I32" i="133" s="1"/>
  <c r="G31" i="133"/>
  <c r="I31" i="133" s="1"/>
  <c r="G30" i="133"/>
  <c r="I30" i="133" s="1"/>
  <c r="G29" i="133"/>
  <c r="I29" i="133" s="1"/>
  <c r="G28" i="133"/>
  <c r="I28" i="133" s="1"/>
  <c r="G27" i="133"/>
  <c r="I27" i="133" s="1"/>
  <c r="G26" i="133"/>
  <c r="I26" i="133" s="1"/>
  <c r="G25" i="133"/>
  <c r="I25" i="133" s="1"/>
  <c r="G24" i="133"/>
  <c r="I24" i="133" s="1"/>
  <c r="G23" i="133"/>
  <c r="I23" i="133" s="1"/>
  <c r="G22" i="133"/>
  <c r="I22" i="133" s="1"/>
  <c r="G21" i="133"/>
  <c r="I21" i="133" s="1"/>
  <c r="B5" i="133"/>
  <c r="S53" i="132"/>
  <c r="S51" i="132"/>
  <c r="S55" i="132" s="1"/>
  <c r="Q51" i="132"/>
  <c r="Q53" i="132" s="1"/>
  <c r="Q55" i="132" s="1"/>
  <c r="O51" i="132"/>
  <c r="O53" i="132" s="1"/>
  <c r="O55" i="132" s="1"/>
  <c r="M51" i="132"/>
  <c r="M53" i="132" s="1"/>
  <c r="K51" i="132"/>
  <c r="K53" i="132" s="1"/>
  <c r="K55" i="132" s="1"/>
  <c r="I51" i="132"/>
  <c r="I53" i="132" s="1"/>
  <c r="I55" i="132" s="1"/>
  <c r="G51" i="132"/>
  <c r="G49" i="132"/>
  <c r="G48" i="132"/>
  <c r="G47" i="132"/>
  <c r="G46" i="132"/>
  <c r="G45" i="132"/>
  <c r="G44" i="132"/>
  <c r="G43" i="132"/>
  <c r="G42" i="132"/>
  <c r="G41" i="132"/>
  <c r="G40" i="132"/>
  <c r="G39" i="132"/>
  <c r="G38" i="132"/>
  <c r="G37" i="132"/>
  <c r="G36" i="132"/>
  <c r="G35" i="132"/>
  <c r="G34" i="132"/>
  <c r="G33" i="132"/>
  <c r="G32" i="132"/>
  <c r="G31" i="132"/>
  <c r="G30" i="132"/>
  <c r="G29" i="132"/>
  <c r="G28" i="132"/>
  <c r="G27" i="132"/>
  <c r="G26" i="132"/>
  <c r="G25" i="132"/>
  <c r="G24" i="132"/>
  <c r="G23" i="132"/>
  <c r="G22" i="132"/>
  <c r="I22" i="132" s="1"/>
  <c r="G21" i="132"/>
  <c r="I21" i="132" s="1"/>
  <c r="B5" i="132"/>
  <c r="D22" i="58"/>
  <c r="G22" i="58" s="1"/>
  <c r="I22" i="58" s="1"/>
  <c r="D22" i="46"/>
  <c r="S53" i="131"/>
  <c r="S51" i="131"/>
  <c r="Q51" i="131"/>
  <c r="Q53" i="131" s="1"/>
  <c r="Q55" i="131" s="1"/>
  <c r="O51" i="131"/>
  <c r="O53" i="131" s="1"/>
  <c r="O55" i="131" s="1"/>
  <c r="M51" i="131"/>
  <c r="M53" i="131" s="1"/>
  <c r="M55" i="131" s="1"/>
  <c r="K51" i="131"/>
  <c r="K53" i="131" s="1"/>
  <c r="K55" i="131" s="1"/>
  <c r="G51" i="131"/>
  <c r="G53" i="131" s="1"/>
  <c r="G49" i="131"/>
  <c r="I49" i="131" s="1"/>
  <c r="I48" i="131"/>
  <c r="G48" i="131"/>
  <c r="G47" i="131"/>
  <c r="I47" i="131" s="1"/>
  <c r="G46" i="131"/>
  <c r="I46" i="131" s="1"/>
  <c r="G45" i="131"/>
  <c r="I45" i="131" s="1"/>
  <c r="G44" i="131"/>
  <c r="I44" i="131" s="1"/>
  <c r="G43" i="131"/>
  <c r="I43" i="131" s="1"/>
  <c r="G42" i="131"/>
  <c r="I42" i="131" s="1"/>
  <c r="G41" i="131"/>
  <c r="I41" i="131" s="1"/>
  <c r="I40" i="131"/>
  <c r="G40" i="131"/>
  <c r="G39" i="131"/>
  <c r="I39" i="131" s="1"/>
  <c r="G38" i="131"/>
  <c r="I38" i="131" s="1"/>
  <c r="G37" i="131"/>
  <c r="I37" i="131" s="1"/>
  <c r="G36" i="131"/>
  <c r="I36" i="131" s="1"/>
  <c r="G35" i="131"/>
  <c r="I35" i="131" s="1"/>
  <c r="G34" i="131"/>
  <c r="I34" i="131" s="1"/>
  <c r="G33" i="131"/>
  <c r="I33" i="131" s="1"/>
  <c r="I32" i="131"/>
  <c r="G32" i="131"/>
  <c r="G31" i="131"/>
  <c r="I31" i="131" s="1"/>
  <c r="G30" i="131"/>
  <c r="I30" i="131" s="1"/>
  <c r="G29" i="131"/>
  <c r="I29" i="131" s="1"/>
  <c r="G28" i="131"/>
  <c r="I28" i="131" s="1"/>
  <c r="G27" i="131"/>
  <c r="I27" i="131" s="1"/>
  <c r="G26" i="131"/>
  <c r="I26" i="131" s="1"/>
  <c r="G25" i="131"/>
  <c r="I25" i="131" s="1"/>
  <c r="I24" i="131"/>
  <c r="G24" i="131"/>
  <c r="G23" i="131"/>
  <c r="I23" i="131" s="1"/>
  <c r="G22" i="131"/>
  <c r="I22" i="131" s="1"/>
  <c r="B5" i="131"/>
  <c r="F46" i="130"/>
  <c r="G46" i="130" s="1"/>
  <c r="G42" i="130"/>
  <c r="I42" i="130" s="1"/>
  <c r="G43" i="130"/>
  <c r="I43" i="130" s="1"/>
  <c r="G44" i="130"/>
  <c r="I44" i="130" s="1"/>
  <c r="G45" i="130"/>
  <c r="I45" i="130" s="1"/>
  <c r="G51" i="130"/>
  <c r="I51" i="130" s="1"/>
  <c r="G22" i="130"/>
  <c r="G23" i="130"/>
  <c r="G24" i="130"/>
  <c r="G25" i="130"/>
  <c r="G26" i="130"/>
  <c r="G27" i="130"/>
  <c r="G28" i="130"/>
  <c r="G29" i="130"/>
  <c r="G30" i="130"/>
  <c r="G31" i="130"/>
  <c r="G32" i="130"/>
  <c r="G33" i="130"/>
  <c r="G34" i="130"/>
  <c r="G35" i="130"/>
  <c r="G36" i="130"/>
  <c r="G37" i="130"/>
  <c r="G38" i="130"/>
  <c r="G39" i="130"/>
  <c r="G40" i="130"/>
  <c r="G41" i="130"/>
  <c r="G47" i="130"/>
  <c r="G48" i="130"/>
  <c r="G49" i="130"/>
  <c r="G50" i="130"/>
  <c r="I39" i="130"/>
  <c r="S55" i="131" l="1"/>
  <c r="G51" i="133"/>
  <c r="G53" i="133" s="1"/>
  <c r="I51" i="133"/>
  <c r="L9" i="133"/>
  <c r="J9" i="133"/>
  <c r="N9" i="133"/>
  <c r="P9" i="133"/>
  <c r="R9" i="133"/>
  <c r="H9" i="132"/>
  <c r="C11" i="20" s="1"/>
  <c r="B90" i="132"/>
  <c r="J9" i="132"/>
  <c r="N9" i="132"/>
  <c r="R9" i="132"/>
  <c r="P9" i="132"/>
  <c r="G53" i="132"/>
  <c r="G55" i="132" s="1"/>
  <c r="M55" i="132"/>
  <c r="I51" i="131"/>
  <c r="J9" i="131"/>
  <c r="L9" i="131"/>
  <c r="N9" i="131"/>
  <c r="P9" i="131"/>
  <c r="R9" i="131"/>
  <c r="G55" i="131"/>
  <c r="G55" i="133" l="1"/>
  <c r="I53" i="133"/>
  <c r="I55" i="133" s="1"/>
  <c r="L9" i="132"/>
  <c r="I53" i="131"/>
  <c r="I55" i="131"/>
  <c r="B90" i="133" l="1"/>
  <c r="H9" i="133"/>
  <c r="C19" i="20" s="1"/>
  <c r="B90" i="131"/>
  <c r="H9" i="131"/>
  <c r="C35" i="20" s="1"/>
  <c r="S53" i="130" l="1"/>
  <c r="S55" i="130" s="1"/>
  <c r="S57" i="130" s="1"/>
  <c r="Q53" i="130"/>
  <c r="Q55" i="130" s="1"/>
  <c r="Q57" i="130" s="1"/>
  <c r="O53" i="130"/>
  <c r="O55" i="130" s="1"/>
  <c r="O57" i="130" s="1"/>
  <c r="M53" i="130"/>
  <c r="M55" i="130" s="1"/>
  <c r="M57" i="130" s="1"/>
  <c r="K53" i="130"/>
  <c r="K55" i="130" s="1"/>
  <c r="K57" i="130" s="1"/>
  <c r="I50" i="130"/>
  <c r="I49" i="130"/>
  <c r="I48" i="130"/>
  <c r="I47" i="130"/>
  <c r="I46" i="130"/>
  <c r="I40" i="130"/>
  <c r="I38" i="130"/>
  <c r="I37" i="130"/>
  <c r="I36" i="130"/>
  <c r="I35" i="130"/>
  <c r="I34" i="130"/>
  <c r="I33" i="130"/>
  <c r="I32" i="130"/>
  <c r="I31" i="130"/>
  <c r="I30" i="130"/>
  <c r="I29" i="130"/>
  <c r="I28" i="130"/>
  <c r="I27" i="130"/>
  <c r="I26" i="130"/>
  <c r="I25" i="130"/>
  <c r="I24" i="130"/>
  <c r="I23" i="130"/>
  <c r="I22" i="130"/>
  <c r="G21" i="130"/>
  <c r="I21" i="130" s="1"/>
  <c r="B5" i="130"/>
  <c r="D25" i="57"/>
  <c r="D23" i="57"/>
  <c r="D24" i="57"/>
  <c r="G24" i="57" s="1"/>
  <c r="I24" i="57" s="1"/>
  <c r="G23" i="57"/>
  <c r="I23" i="57" s="1"/>
  <c r="D22" i="57"/>
  <c r="G22" i="57"/>
  <c r="I22" i="57" s="1"/>
  <c r="J9" i="130" l="1"/>
  <c r="L9" i="130"/>
  <c r="N9" i="130"/>
  <c r="P9" i="130"/>
  <c r="R9" i="130"/>
  <c r="G25" i="57"/>
  <c r="I25" i="57" s="1"/>
  <c r="G26" i="57"/>
  <c r="I26" i="57" s="1"/>
  <c r="D42" i="3" l="1"/>
  <c r="D43" i="3"/>
  <c r="D38" i="3"/>
  <c r="D39" i="3"/>
  <c r="S53" i="129"/>
  <c r="S55" i="129" s="1"/>
  <c r="S51" i="129"/>
  <c r="Q51" i="129"/>
  <c r="Q53" i="129" s="1"/>
  <c r="Q55" i="129" s="1"/>
  <c r="O51" i="129"/>
  <c r="O53" i="129" s="1"/>
  <c r="O55" i="129" s="1"/>
  <c r="M51" i="129"/>
  <c r="M53" i="129" s="1"/>
  <c r="K51" i="129"/>
  <c r="K53" i="129" s="1"/>
  <c r="K55" i="129" s="1"/>
  <c r="G49" i="129"/>
  <c r="I49" i="129" s="1"/>
  <c r="I48" i="129"/>
  <c r="G48" i="129"/>
  <c r="G47" i="129"/>
  <c r="I47" i="129" s="1"/>
  <c r="G46" i="129"/>
  <c r="I46" i="129" s="1"/>
  <c r="G45" i="129"/>
  <c r="I45" i="129" s="1"/>
  <c r="G44" i="129"/>
  <c r="I44" i="129" s="1"/>
  <c r="G43" i="129"/>
  <c r="I43" i="129" s="1"/>
  <c r="G42" i="129"/>
  <c r="I42" i="129" s="1"/>
  <c r="G41" i="129"/>
  <c r="I41" i="129" s="1"/>
  <c r="I40" i="129"/>
  <c r="G40" i="129"/>
  <c r="G39" i="129"/>
  <c r="I39" i="129" s="1"/>
  <c r="G38" i="129"/>
  <c r="I38" i="129" s="1"/>
  <c r="G37" i="129"/>
  <c r="I37" i="129" s="1"/>
  <c r="G36" i="129"/>
  <c r="I36" i="129" s="1"/>
  <c r="I35" i="129"/>
  <c r="G35" i="129"/>
  <c r="G34" i="129"/>
  <c r="I34" i="129" s="1"/>
  <c r="G33" i="129"/>
  <c r="I33" i="129" s="1"/>
  <c r="I32" i="129"/>
  <c r="G32" i="129"/>
  <c r="G31" i="129"/>
  <c r="I31" i="129" s="1"/>
  <c r="G30" i="129"/>
  <c r="I30" i="129" s="1"/>
  <c r="G29" i="129"/>
  <c r="I29" i="129" s="1"/>
  <c r="G28" i="129"/>
  <c r="I28" i="129" s="1"/>
  <c r="G27" i="129"/>
  <c r="I27" i="129" s="1"/>
  <c r="G26" i="129"/>
  <c r="I26" i="129" s="1"/>
  <c r="I25" i="129"/>
  <c r="G25" i="129"/>
  <c r="I24" i="129"/>
  <c r="G24" i="129"/>
  <c r="G23" i="129"/>
  <c r="I23" i="129" s="1"/>
  <c r="G22" i="129"/>
  <c r="I22" i="129" s="1"/>
  <c r="G21" i="129"/>
  <c r="I21" i="129" s="1"/>
  <c r="B5" i="129"/>
  <c r="G51" i="129" l="1"/>
  <c r="G53" i="129" s="1"/>
  <c r="I51" i="129"/>
  <c r="J9" i="129"/>
  <c r="N9" i="129"/>
  <c r="P9" i="129"/>
  <c r="R9" i="129"/>
  <c r="M55" i="129"/>
  <c r="G55" i="129" l="1"/>
  <c r="L9" i="129"/>
  <c r="I53" i="129"/>
  <c r="I55" i="129" s="1"/>
  <c r="D31" i="3"/>
  <c r="K31" i="3" s="1"/>
  <c r="K30" i="3"/>
  <c r="O30" i="3" s="1"/>
  <c r="K29" i="3"/>
  <c r="I28" i="3"/>
  <c r="G26" i="3"/>
  <c r="I26" i="3" s="1"/>
  <c r="D25" i="3"/>
  <c r="G24" i="3"/>
  <c r="I24" i="3" s="1"/>
  <c r="D23" i="3"/>
  <c r="G23" i="3" s="1"/>
  <c r="I23" i="3" s="1"/>
  <c r="D22" i="3"/>
  <c r="G22" i="3" s="1"/>
  <c r="I22" i="3" s="1"/>
  <c r="K27" i="3"/>
  <c r="O27" i="3" s="1"/>
  <c r="S63" i="3"/>
  <c r="Q63" i="3"/>
  <c r="M63" i="3"/>
  <c r="G7" i="21"/>
  <c r="D21" i="2" l="1"/>
  <c r="D38" i="135"/>
  <c r="G38" i="135" s="1"/>
  <c r="D41" i="135"/>
  <c r="G41" i="135" s="1"/>
  <c r="I41" i="135" s="1"/>
  <c r="G25" i="3"/>
  <c r="I25" i="3" s="1"/>
  <c r="K25" i="3"/>
  <c r="O25" i="3" s="1"/>
  <c r="D33" i="3"/>
  <c r="B90" i="129"/>
  <c r="H9" i="129"/>
  <c r="C14" i="20" s="1"/>
  <c r="S53" i="127"/>
  <c r="S55" i="127" s="1"/>
  <c r="Q53" i="127"/>
  <c r="Q55" i="127" s="1"/>
  <c r="O53" i="127"/>
  <c r="O55" i="127" s="1"/>
  <c r="M53" i="127"/>
  <c r="M55" i="127" s="1"/>
  <c r="K53" i="127"/>
  <c r="K55" i="127" s="1"/>
  <c r="G49" i="127"/>
  <c r="I49" i="127" s="1"/>
  <c r="G48" i="127"/>
  <c r="I48" i="127" s="1"/>
  <c r="G47" i="127"/>
  <c r="I47" i="127" s="1"/>
  <c r="G46" i="127"/>
  <c r="I46" i="127" s="1"/>
  <c r="G45" i="127"/>
  <c r="I45" i="127" s="1"/>
  <c r="G44" i="127"/>
  <c r="I44" i="127" s="1"/>
  <c r="G43" i="127"/>
  <c r="I43" i="127" s="1"/>
  <c r="G42" i="127"/>
  <c r="I42" i="127" s="1"/>
  <c r="G41" i="127"/>
  <c r="I41" i="127" s="1"/>
  <c r="G40" i="127"/>
  <c r="I40" i="127" s="1"/>
  <c r="G39" i="127"/>
  <c r="I39" i="127" s="1"/>
  <c r="G38" i="127"/>
  <c r="I38" i="127" s="1"/>
  <c r="G37" i="127"/>
  <c r="I37" i="127" s="1"/>
  <c r="G36" i="127"/>
  <c r="I36" i="127" s="1"/>
  <c r="G35" i="127"/>
  <c r="I35" i="127" s="1"/>
  <c r="G34" i="127"/>
  <c r="I34" i="127" s="1"/>
  <c r="G33" i="127"/>
  <c r="I33" i="127" s="1"/>
  <c r="G32" i="127"/>
  <c r="I32" i="127" s="1"/>
  <c r="G31" i="127"/>
  <c r="I31" i="127" s="1"/>
  <c r="G30" i="127"/>
  <c r="I30" i="127" s="1"/>
  <c r="G29" i="127"/>
  <c r="I29" i="127" s="1"/>
  <c r="G28" i="127"/>
  <c r="I28" i="127" s="1"/>
  <c r="G27" i="127"/>
  <c r="I27" i="127" s="1"/>
  <c r="G26" i="127"/>
  <c r="I26" i="127" s="1"/>
  <c r="G24" i="127"/>
  <c r="I24" i="127" s="1"/>
  <c r="G23" i="127"/>
  <c r="I23" i="127" s="1"/>
  <c r="G25" i="127"/>
  <c r="I25" i="127" s="1"/>
  <c r="G22" i="127"/>
  <c r="I22" i="127" s="1"/>
  <c r="B5" i="127"/>
  <c r="C9" i="20"/>
  <c r="K33" i="3" l="1"/>
  <c r="K63" i="3" s="1"/>
  <c r="G33" i="3"/>
  <c r="I38" i="135"/>
  <c r="I61" i="135" s="1"/>
  <c r="I63" i="135" s="1"/>
  <c r="I65" i="135" s="1"/>
  <c r="G61" i="135"/>
  <c r="G63" i="135" s="1"/>
  <c r="G65" i="135" s="1"/>
  <c r="O32" i="3"/>
  <c r="O63" i="3" s="1"/>
  <c r="J9" i="127"/>
  <c r="L9" i="127"/>
  <c r="N9" i="127"/>
  <c r="P9" i="127"/>
  <c r="R9" i="127"/>
  <c r="B100" i="135" l="1"/>
  <c r="H9" i="135"/>
  <c r="C40" i="20" s="1"/>
  <c r="D40" i="20" s="1"/>
  <c r="S53" i="126"/>
  <c r="S51" i="126"/>
  <c r="S55" i="126" s="1"/>
  <c r="Q51" i="126"/>
  <c r="Q53" i="126" s="1"/>
  <c r="O51" i="126"/>
  <c r="O53" i="126" s="1"/>
  <c r="O55" i="126" s="1"/>
  <c r="M51" i="126"/>
  <c r="M53" i="126" s="1"/>
  <c r="M55" i="126" s="1"/>
  <c r="K51" i="126"/>
  <c r="I51" i="126"/>
  <c r="G49" i="126"/>
  <c r="G48" i="126"/>
  <c r="G47" i="126"/>
  <c r="G46" i="126"/>
  <c r="G45" i="126"/>
  <c r="G44" i="126"/>
  <c r="G43" i="126"/>
  <c r="G42" i="126"/>
  <c r="G41" i="126"/>
  <c r="G40" i="126"/>
  <c r="G39" i="126"/>
  <c r="G38" i="126"/>
  <c r="G37" i="126"/>
  <c r="G36" i="126"/>
  <c r="G35" i="126"/>
  <c r="G34" i="126"/>
  <c r="G33" i="126"/>
  <c r="G32" i="126"/>
  <c r="G31" i="126"/>
  <c r="G51" i="126" s="1"/>
  <c r="G30" i="126"/>
  <c r="G29" i="126"/>
  <c r="G28" i="126"/>
  <c r="G27" i="126"/>
  <c r="G26" i="126"/>
  <c r="G25" i="126"/>
  <c r="G24" i="126"/>
  <c r="G23" i="126"/>
  <c r="G22" i="126"/>
  <c r="G21" i="126"/>
  <c r="R9" i="126"/>
  <c r="P9" i="126"/>
  <c r="N9" i="126"/>
  <c r="L9" i="126"/>
  <c r="J9" i="126"/>
  <c r="B5" i="126"/>
  <c r="C70" i="20"/>
  <c r="C71" i="20"/>
  <c r="D22" i="16"/>
  <c r="K18" i="21"/>
  <c r="E18" i="21" s="1"/>
  <c r="E15" i="21"/>
  <c r="D125" i="48" s="1"/>
  <c r="E21" i="21"/>
  <c r="O33" i="48"/>
  <c r="O38" i="48"/>
  <c r="O39" i="48"/>
  <c r="F22" i="48"/>
  <c r="F23" i="48"/>
  <c r="O41" i="48"/>
  <c r="O42" i="48"/>
  <c r="F26" i="48"/>
  <c r="F24" i="125"/>
  <c r="G24" i="125" s="1"/>
  <c r="F25" i="125"/>
  <c r="G25" i="125" s="1"/>
  <c r="F40" i="125"/>
  <c r="G40" i="125" s="1"/>
  <c r="G39" i="125"/>
  <c r="F39" i="125"/>
  <c r="F38" i="125"/>
  <c r="G38" i="125" s="1"/>
  <c r="F37" i="125"/>
  <c r="G37" i="125" s="1"/>
  <c r="F36" i="125"/>
  <c r="G36" i="125" s="1"/>
  <c r="F35" i="125"/>
  <c r="G35" i="125" s="1"/>
  <c r="F16" i="125"/>
  <c r="G16" i="125" s="1"/>
  <c r="F15" i="125"/>
  <c r="G15" i="125" s="1"/>
  <c r="F22" i="125"/>
  <c r="G22" i="125" s="1"/>
  <c r="F26" i="125"/>
  <c r="G26" i="125" s="1"/>
  <c r="F10" i="125"/>
  <c r="G10" i="125" s="1"/>
  <c r="F34" i="125"/>
  <c r="G34" i="125" s="1"/>
  <c r="F11" i="125"/>
  <c r="G11" i="125" s="1"/>
  <c r="F12" i="125"/>
  <c r="G12" i="125" s="1"/>
  <c r="F13" i="125"/>
  <c r="G13" i="125" s="1"/>
  <c r="F14" i="125"/>
  <c r="G14" i="125" s="1"/>
  <c r="F17" i="125"/>
  <c r="G17" i="125" s="1"/>
  <c r="F33" i="125"/>
  <c r="G33" i="125" s="1"/>
  <c r="F32" i="125"/>
  <c r="G32" i="125" s="1"/>
  <c r="F18" i="125"/>
  <c r="G18" i="125" s="1"/>
  <c r="F19" i="125"/>
  <c r="G19" i="125" s="1"/>
  <c r="F20" i="125"/>
  <c r="G20" i="125" s="1"/>
  <c r="G21" i="125"/>
  <c r="F21" i="125"/>
  <c r="F23" i="125"/>
  <c r="G23" i="125" s="1"/>
  <c r="F31" i="125"/>
  <c r="G31" i="125" s="1"/>
  <c r="F30" i="125"/>
  <c r="G30" i="125" s="1"/>
  <c r="F29" i="125"/>
  <c r="G29" i="125" s="1"/>
  <c r="F28" i="125"/>
  <c r="G28" i="125" s="1"/>
  <c r="F27" i="125"/>
  <c r="G27" i="125" s="1"/>
  <c r="K158" i="48"/>
  <c r="L158" i="48" s="1"/>
  <c r="K157" i="48"/>
  <c r="L157" i="48" s="1"/>
  <c r="K156" i="48"/>
  <c r="L156" i="48" s="1"/>
  <c r="L155" i="48" s="1"/>
  <c r="K154" i="48"/>
  <c r="L154" i="48" s="1"/>
  <c r="K153" i="48"/>
  <c r="L153" i="48" s="1"/>
  <c r="K152" i="48"/>
  <c r="L152" i="48" s="1"/>
  <c r="K151" i="48"/>
  <c r="L151" i="48" s="1"/>
  <c r="K149" i="48"/>
  <c r="L149" i="48" s="1"/>
  <c r="K148" i="48"/>
  <c r="L148" i="48" s="1"/>
  <c r="L147" i="48"/>
  <c r="K147" i="48"/>
  <c r="K146" i="48"/>
  <c r="L146" i="48" s="1"/>
  <c r="L145" i="48" s="1"/>
  <c r="K144" i="48"/>
  <c r="L144" i="48" s="1"/>
  <c r="K143" i="48"/>
  <c r="L143" i="48" s="1"/>
  <c r="K142" i="48"/>
  <c r="L142" i="48" s="1"/>
  <c r="L141" i="48" s="1"/>
  <c r="I138" i="48"/>
  <c r="L138" i="48" s="1"/>
  <c r="K137" i="48"/>
  <c r="L137" i="48" s="1"/>
  <c r="L136" i="48"/>
  <c r="K136" i="48"/>
  <c r="K134" i="48"/>
  <c r="L134" i="48" s="1"/>
  <c r="L133" i="48"/>
  <c r="K133" i="48"/>
  <c r="K132" i="48"/>
  <c r="L132" i="48" s="1"/>
  <c r="K129" i="48"/>
  <c r="L129" i="48" s="1"/>
  <c r="D129" i="48"/>
  <c r="K127" i="48"/>
  <c r="L127" i="48" s="1"/>
  <c r="K125" i="48"/>
  <c r="L125" i="48" s="1"/>
  <c r="L118" i="48"/>
  <c r="K118" i="48"/>
  <c r="K115" i="48"/>
  <c r="L115" i="48" s="1"/>
  <c r="K114" i="48"/>
  <c r="L114" i="48" s="1"/>
  <c r="K113" i="48"/>
  <c r="L113" i="48" s="1"/>
  <c r="K112" i="48"/>
  <c r="L112" i="48" s="1"/>
  <c r="L111" i="48"/>
  <c r="K111" i="48"/>
  <c r="K110" i="48"/>
  <c r="L110" i="48" s="1"/>
  <c r="K109" i="48"/>
  <c r="L109" i="48" s="1"/>
  <c r="L108" i="48"/>
  <c r="K108" i="48"/>
  <c r="K105" i="48"/>
  <c r="L105" i="48" s="1"/>
  <c r="L104" i="48"/>
  <c r="K104" i="48"/>
  <c r="K103" i="48"/>
  <c r="L103" i="48" s="1"/>
  <c r="K102" i="48"/>
  <c r="L102" i="48" s="1"/>
  <c r="K101" i="48"/>
  <c r="L101" i="48" s="1"/>
  <c r="K99" i="48"/>
  <c r="L99" i="48" s="1"/>
  <c r="K94" i="48"/>
  <c r="L94" i="48" s="1"/>
  <c r="L92" i="48"/>
  <c r="L91" i="48"/>
  <c r="L90" i="48"/>
  <c r="L87" i="48"/>
  <c r="L86" i="48"/>
  <c r="L83" i="48"/>
  <c r="K81" i="48"/>
  <c r="L81" i="48" s="1"/>
  <c r="K79" i="48"/>
  <c r="L79" i="48" s="1"/>
  <c r="K77" i="48"/>
  <c r="L77" i="48" s="1"/>
  <c r="K76" i="48"/>
  <c r="L76" i="48" s="1"/>
  <c r="K72" i="48"/>
  <c r="L72" i="48" s="1"/>
  <c r="L69" i="48"/>
  <c r="K69" i="48"/>
  <c r="K67" i="48"/>
  <c r="L67" i="48" s="1"/>
  <c r="I65" i="48"/>
  <c r="L65" i="48" s="1"/>
  <c r="I64" i="48"/>
  <c r="L64" i="48" s="1"/>
  <c r="I63" i="48"/>
  <c r="L63" i="48" s="1"/>
  <c r="I60" i="48"/>
  <c r="L60" i="48" s="1"/>
  <c r="I59" i="48"/>
  <c r="L59" i="48" s="1"/>
  <c r="I58" i="48"/>
  <c r="L58" i="48" s="1"/>
  <c r="I54" i="48"/>
  <c r="L54" i="48" s="1"/>
  <c r="I51" i="48"/>
  <c r="L51" i="48" s="1"/>
  <c r="I45" i="48"/>
  <c r="Y43" i="48"/>
  <c r="Q43" i="48"/>
  <c r="P43" i="48"/>
  <c r="M43" i="48"/>
  <c r="F43" i="48" s="1"/>
  <c r="Y42" i="48"/>
  <c r="Q42" i="48"/>
  <c r="P42" i="48"/>
  <c r="M42" i="48"/>
  <c r="Y41" i="48"/>
  <c r="Q41" i="48"/>
  <c r="P41" i="48"/>
  <c r="M41" i="48"/>
  <c r="F41" i="48"/>
  <c r="Y40" i="48"/>
  <c r="Q40" i="48"/>
  <c r="P40" i="48"/>
  <c r="M40" i="48"/>
  <c r="Y39" i="48"/>
  <c r="Q39" i="48"/>
  <c r="P39" i="48"/>
  <c r="M39" i="48"/>
  <c r="F39" i="48" s="1"/>
  <c r="Y38" i="48"/>
  <c r="Q38" i="48"/>
  <c r="P38" i="48"/>
  <c r="M38" i="48"/>
  <c r="Y37" i="48"/>
  <c r="Q37" i="48"/>
  <c r="P37" i="48"/>
  <c r="O37" i="48"/>
  <c r="M37" i="48"/>
  <c r="F37" i="48" s="1"/>
  <c r="Y36" i="48"/>
  <c r="Q36" i="48"/>
  <c r="P36" i="48"/>
  <c r="M36" i="48"/>
  <c r="Y35" i="48"/>
  <c r="Q35" i="48"/>
  <c r="P35" i="48"/>
  <c r="M35" i="48"/>
  <c r="F35" i="48"/>
  <c r="Y34" i="48"/>
  <c r="Q34" i="48"/>
  <c r="P34" i="48"/>
  <c r="M34" i="48"/>
  <c r="F34" i="48" s="1"/>
  <c r="Y33" i="48"/>
  <c r="Q33" i="48"/>
  <c r="P33" i="48"/>
  <c r="M33" i="48"/>
  <c r="Y32" i="48"/>
  <c r="Q32" i="48"/>
  <c r="P32" i="48"/>
  <c r="M32" i="48"/>
  <c r="F32" i="48"/>
  <c r="Y31" i="48"/>
  <c r="Q31" i="48"/>
  <c r="P31" i="48"/>
  <c r="M31" i="48"/>
  <c r="P30" i="48"/>
  <c r="M30" i="48"/>
  <c r="F30" i="48"/>
  <c r="Y29" i="48"/>
  <c r="Q29" i="48"/>
  <c r="P29" i="48"/>
  <c r="O29" i="48"/>
  <c r="M29" i="48"/>
  <c r="Y28" i="48"/>
  <c r="Q28" i="48"/>
  <c r="P28" i="48"/>
  <c r="F28" i="48"/>
  <c r="F25" i="48"/>
  <c r="F19" i="48"/>
  <c r="O36" i="48"/>
  <c r="F18" i="48"/>
  <c r="O35" i="48"/>
  <c r="F17" i="48"/>
  <c r="O34" i="48"/>
  <c r="F16" i="48"/>
  <c r="F15" i="48"/>
  <c r="O32" i="48"/>
  <c r="F14" i="48"/>
  <c r="F13" i="48"/>
  <c r="O30" i="48"/>
  <c r="F11" i="48"/>
  <c r="F10" i="48"/>
  <c r="X8" i="48"/>
  <c r="W8" i="48"/>
  <c r="V8" i="48"/>
  <c r="V5" i="48"/>
  <c r="W5" i="48" s="1"/>
  <c r="J5" i="48"/>
  <c r="K5" i="48" s="1"/>
  <c r="J4" i="48"/>
  <c r="K4" i="48" s="1"/>
  <c r="D122" i="48" s="1"/>
  <c r="K122" i="48" s="1"/>
  <c r="L122" i="48" s="1"/>
  <c r="L150" i="48" l="1"/>
  <c r="F40" i="48"/>
  <c r="F38" i="48"/>
  <c r="F33" i="48"/>
  <c r="F42" i="48"/>
  <c r="F29" i="48"/>
  <c r="F36" i="48"/>
  <c r="F31" i="48"/>
  <c r="D21" i="58"/>
  <c r="G21" i="58" s="1"/>
  <c r="I21" i="58" s="1"/>
  <c r="D21" i="127"/>
  <c r="G21" i="127" s="1"/>
  <c r="G53" i="126"/>
  <c r="G55" i="126"/>
  <c r="Q55" i="126"/>
  <c r="I53" i="126"/>
  <c r="I55" i="126" s="1"/>
  <c r="K53" i="126"/>
  <c r="K55" i="126" s="1"/>
  <c r="F20" i="48"/>
  <c r="O40" i="48"/>
  <c r="F21" i="48"/>
  <c r="F24" i="48"/>
  <c r="D35" i="48"/>
  <c r="G35" i="48" s="1"/>
  <c r="L35" i="48" s="1"/>
  <c r="D42" i="48"/>
  <c r="G42" i="48" s="1"/>
  <c r="L42" i="48" s="1"/>
  <c r="D33" i="48"/>
  <c r="D40" i="48"/>
  <c r="G40" i="48" s="1"/>
  <c r="L40" i="48" s="1"/>
  <c r="D31" i="48"/>
  <c r="G31" i="48" s="1"/>
  <c r="L31" i="48" s="1"/>
  <c r="D29" i="48"/>
  <c r="G29" i="48" s="1"/>
  <c r="L29" i="48" s="1"/>
  <c r="D28" i="48"/>
  <c r="G28" i="48" s="1"/>
  <c r="L28" i="48" s="1"/>
  <c r="D37" i="48"/>
  <c r="G37" i="48" s="1"/>
  <c r="L37" i="48" s="1"/>
  <c r="D38" i="48"/>
  <c r="G38" i="48" s="1"/>
  <c r="L38" i="48" s="1"/>
  <c r="D30" i="48"/>
  <c r="G30" i="48" s="1"/>
  <c r="L30" i="48" s="1"/>
  <c r="D41" i="48"/>
  <c r="G41" i="48" s="1"/>
  <c r="L41" i="48" s="1"/>
  <c r="D32" i="48"/>
  <c r="G32" i="48" s="1"/>
  <c r="L32" i="48" s="1"/>
  <c r="D36" i="48"/>
  <c r="K121" i="48"/>
  <c r="L121" i="48" s="1"/>
  <c r="D43" i="48"/>
  <c r="G43" i="48" s="1"/>
  <c r="L43" i="48" s="1"/>
  <c r="D34" i="48"/>
  <c r="G34" i="48" s="1"/>
  <c r="L34" i="48" s="1"/>
  <c r="D39" i="48"/>
  <c r="G39" i="48" s="1"/>
  <c r="L39" i="48" s="1"/>
  <c r="D20" i="48"/>
  <c r="K120" i="48"/>
  <c r="L120" i="48" s="1"/>
  <c r="D124" i="48"/>
  <c r="K124" i="48" s="1"/>
  <c r="L124" i="48" s="1"/>
  <c r="D23" i="48"/>
  <c r="G23" i="48" s="1"/>
  <c r="L23" i="48" s="1"/>
  <c r="D17" i="48"/>
  <c r="G17" i="48" s="1"/>
  <c r="L17" i="48" s="1"/>
  <c r="D26" i="48"/>
  <c r="G26" i="48" s="1"/>
  <c r="L26" i="48" s="1"/>
  <c r="D10" i="48"/>
  <c r="G10" i="48" s="1"/>
  <c r="D24" i="48"/>
  <c r="G24" i="48" s="1"/>
  <c r="L24" i="48" s="1"/>
  <c r="D13" i="48"/>
  <c r="G13" i="48" s="1"/>
  <c r="L13" i="48" s="1"/>
  <c r="D15" i="48"/>
  <c r="G15" i="48" s="1"/>
  <c r="L15" i="48" s="1"/>
  <c r="D123" i="48"/>
  <c r="K123" i="48" s="1"/>
  <c r="L123" i="48" s="1"/>
  <c r="D16" i="48"/>
  <c r="G16" i="48" s="1"/>
  <c r="L16" i="48" s="1"/>
  <c r="D18" i="48"/>
  <c r="G18" i="48" s="1"/>
  <c r="L18" i="48" s="1"/>
  <c r="D19" i="48"/>
  <c r="G19" i="48" s="1"/>
  <c r="L19" i="48" s="1"/>
  <c r="D22" i="48"/>
  <c r="G22" i="48" s="1"/>
  <c r="L22" i="48" s="1"/>
  <c r="D21" i="48"/>
  <c r="G21" i="48" s="1"/>
  <c r="L21" i="48" s="1"/>
  <c r="D25" i="48"/>
  <c r="G25" i="48" s="1"/>
  <c r="L25" i="48" s="1"/>
  <c r="D11" i="48"/>
  <c r="G11" i="48" s="1"/>
  <c r="L11" i="48" s="1"/>
  <c r="D12" i="48"/>
  <c r="D107" i="48"/>
  <c r="K107" i="48" s="1"/>
  <c r="L107" i="48" s="1"/>
  <c r="D14" i="48"/>
  <c r="G14" i="48" s="1"/>
  <c r="L14" i="48" s="1"/>
  <c r="L4" i="48"/>
  <c r="D128" i="48" s="1"/>
  <c r="K128" i="48" s="1"/>
  <c r="L128" i="48" s="1"/>
  <c r="L45" i="48"/>
  <c r="L5" i="48"/>
  <c r="O28" i="48"/>
  <c r="X5" i="48"/>
  <c r="F12" i="48"/>
  <c r="O43" i="48"/>
  <c r="O31" i="48"/>
  <c r="G36" i="48" l="1"/>
  <c r="L36" i="48" s="1"/>
  <c r="G33" i="48"/>
  <c r="L33" i="48" s="1"/>
  <c r="G20" i="48"/>
  <c r="L20" i="48" s="1"/>
  <c r="I21" i="127"/>
  <c r="G51" i="127"/>
  <c r="B90" i="126"/>
  <c r="H9" i="126"/>
  <c r="G12" i="48"/>
  <c r="L12" i="48" s="1"/>
  <c r="D139" i="48"/>
  <c r="I139" i="48" s="1"/>
  <c r="L139" i="48" s="1"/>
  <c r="D131" i="48"/>
  <c r="K131" i="48" s="1"/>
  <c r="L131" i="48" s="1"/>
  <c r="D70" i="48"/>
  <c r="K70" i="48" s="1"/>
  <c r="L70" i="48" s="1"/>
  <c r="D56" i="48"/>
  <c r="I56" i="48" s="1"/>
  <c r="L56" i="48" s="1"/>
  <c r="I50" i="48"/>
  <c r="L50" i="48" s="1"/>
  <c r="D57" i="48"/>
  <c r="I57" i="48" s="1"/>
  <c r="L57" i="48" s="1"/>
  <c r="D89" i="48"/>
  <c r="D62" i="48"/>
  <c r="I62" i="48" s="1"/>
  <c r="L62" i="48" s="1"/>
  <c r="D75" i="48"/>
  <c r="K75" i="48" s="1"/>
  <c r="L75" i="48" s="1"/>
  <c r="D130" i="48"/>
  <c r="K130" i="48" s="1"/>
  <c r="L130" i="48" s="1"/>
  <c r="D117" i="48"/>
  <c r="K117" i="48" s="1"/>
  <c r="L117" i="48" s="1"/>
  <c r="D95" i="48"/>
  <c r="K95" i="48" s="1"/>
  <c r="L95" i="48" s="1"/>
  <c r="D55" i="48"/>
  <c r="I55" i="48" s="1"/>
  <c r="L55" i="48" s="1"/>
  <c r="I49" i="48"/>
  <c r="L49" i="48" s="1"/>
  <c r="D97" i="48"/>
  <c r="K97" i="48" s="1"/>
  <c r="L97" i="48" s="1"/>
  <c r="D88" i="48"/>
  <c r="I61" i="48"/>
  <c r="L61" i="48" s="1"/>
  <c r="D74" i="48"/>
  <c r="K74" i="48" s="1"/>
  <c r="L74" i="48" s="1"/>
  <c r="D68" i="48"/>
  <c r="K68" i="48" s="1"/>
  <c r="D98" i="48"/>
  <c r="K98" i="48" s="1"/>
  <c r="L98" i="48" s="1"/>
  <c r="D140" i="48"/>
  <c r="I140" i="48" s="1"/>
  <c r="L140" i="48" s="1"/>
  <c r="D116" i="48"/>
  <c r="K116" i="48" s="1"/>
  <c r="L116" i="48" s="1"/>
  <c r="D80" i="48"/>
  <c r="K80" i="48" s="1"/>
  <c r="L80" i="48" s="1"/>
  <c r="I48" i="48"/>
  <c r="L48" i="48" s="1"/>
  <c r="D46" i="48"/>
  <c r="I46" i="48" s="1"/>
  <c r="D84" i="48"/>
  <c r="D93" i="48"/>
  <c r="D73" i="48"/>
  <c r="K73" i="48" s="1"/>
  <c r="L73" i="48" s="1"/>
  <c r="D53" i="48"/>
  <c r="I53" i="48" s="1"/>
  <c r="L53" i="48" s="1"/>
  <c r="D71" i="48"/>
  <c r="K71" i="48" s="1"/>
  <c r="L71" i="48" s="1"/>
  <c r="I47" i="48"/>
  <c r="L47" i="48" s="1"/>
  <c r="D106" i="48"/>
  <c r="K106" i="48" s="1"/>
  <c r="L106" i="48" s="1"/>
  <c r="D85" i="48"/>
  <c r="D78" i="48"/>
  <c r="K78" i="48" s="1"/>
  <c r="L78" i="48" s="1"/>
  <c r="D52" i="48"/>
  <c r="I52" i="48" s="1"/>
  <c r="L52" i="48" s="1"/>
  <c r="L10" i="48"/>
  <c r="L9" i="48" s="1"/>
  <c r="G159" i="48"/>
  <c r="L161" i="48" s="1"/>
  <c r="C59" i="20" s="1"/>
  <c r="L27" i="48"/>
  <c r="L119" i="48"/>
  <c r="K89" i="48" l="1"/>
  <c r="L89" i="48" s="1"/>
  <c r="K88" i="48"/>
  <c r="L88" i="48" s="1"/>
  <c r="K93" i="48"/>
  <c r="L93" i="48" s="1"/>
  <c r="L126" i="48"/>
  <c r="K85" i="48"/>
  <c r="L85" i="48" s="1"/>
  <c r="K84" i="48"/>
  <c r="K159" i="48" s="1"/>
  <c r="I51" i="127"/>
  <c r="I53" i="127" s="1"/>
  <c r="I55" i="127" s="1"/>
  <c r="L100" i="48"/>
  <c r="L96" i="48"/>
  <c r="G53" i="127"/>
  <c r="G55" i="127" s="1"/>
  <c r="L46" i="48"/>
  <c r="L44" i="48" s="1"/>
  <c r="I159" i="48"/>
  <c r="M161" i="48"/>
  <c r="L68" i="48"/>
  <c r="N66" i="48" s="1"/>
  <c r="L135" i="48"/>
  <c r="L84" i="48" l="1"/>
  <c r="L82" i="48" s="1"/>
  <c r="H9" i="127"/>
  <c r="C12" i="20" s="1"/>
  <c r="B90" i="127"/>
  <c r="L162" i="48"/>
  <c r="C60" i="20" s="1"/>
  <c r="L159" i="48"/>
  <c r="G48" i="41"/>
  <c r="I48" i="41" s="1"/>
  <c r="G47" i="41"/>
  <c r="I47" i="41" s="1"/>
  <c r="G46" i="41"/>
  <c r="I46" i="41" s="1"/>
  <c r="G45" i="41"/>
  <c r="I45" i="41" s="1"/>
  <c r="G44" i="41"/>
  <c r="I44" i="41" s="1"/>
  <c r="G43" i="41"/>
  <c r="I43" i="41" s="1"/>
  <c r="G42" i="41"/>
  <c r="I42" i="41" s="1"/>
  <c r="G41" i="41"/>
  <c r="I41" i="41" s="1"/>
  <c r="G40" i="41"/>
  <c r="I40" i="41" s="1"/>
  <c r="G39" i="41"/>
  <c r="I39" i="41" s="1"/>
  <c r="G38" i="41"/>
  <c r="I38" i="41" s="1"/>
  <c r="G37" i="41"/>
  <c r="I37" i="41" s="1"/>
  <c r="G36" i="41"/>
  <c r="I36" i="41" s="1"/>
  <c r="G35" i="41"/>
  <c r="I35" i="41" s="1"/>
  <c r="G34" i="41"/>
  <c r="I34" i="41" s="1"/>
  <c r="G33" i="41"/>
  <c r="I33" i="41" s="1"/>
  <c r="G32" i="41"/>
  <c r="I32" i="41" s="1"/>
  <c r="G31" i="41"/>
  <c r="I31" i="41" s="1"/>
  <c r="G30" i="41"/>
  <c r="I30" i="41" s="1"/>
  <c r="G29" i="41"/>
  <c r="I29" i="41" s="1"/>
  <c r="G28" i="41"/>
  <c r="I28" i="41" s="1"/>
  <c r="G27" i="41"/>
  <c r="I27" i="41" s="1"/>
  <c r="G26" i="41"/>
  <c r="I26" i="41" s="1"/>
  <c r="G25" i="41"/>
  <c r="I25" i="41" s="1"/>
  <c r="G24" i="41"/>
  <c r="I24" i="41" s="1"/>
  <c r="G23" i="41"/>
  <c r="I23" i="41" s="1"/>
  <c r="G22" i="41"/>
  <c r="I22" i="41" s="1"/>
  <c r="G21" i="41"/>
  <c r="I21" i="41" s="1"/>
  <c r="G49" i="81"/>
  <c r="I49" i="81" s="1"/>
  <c r="I48" i="81"/>
  <c r="G48" i="81"/>
  <c r="I47" i="81"/>
  <c r="G47" i="81"/>
  <c r="G46" i="81"/>
  <c r="I46" i="81" s="1"/>
  <c r="G45" i="81"/>
  <c r="I45" i="81" s="1"/>
  <c r="G44" i="81"/>
  <c r="I44" i="81" s="1"/>
  <c r="I43" i="81"/>
  <c r="G43" i="81"/>
  <c r="G42" i="81"/>
  <c r="I42" i="81" s="1"/>
  <c r="G41" i="81"/>
  <c r="I41" i="81" s="1"/>
  <c r="I40" i="81"/>
  <c r="G40" i="81"/>
  <c r="I39" i="81"/>
  <c r="G39" i="81"/>
  <c r="G38" i="81"/>
  <c r="I38" i="81" s="1"/>
  <c r="G37" i="81"/>
  <c r="I37" i="81" s="1"/>
  <c r="G36" i="81"/>
  <c r="I36" i="81" s="1"/>
  <c r="I35" i="81"/>
  <c r="G35" i="81"/>
  <c r="G34" i="81"/>
  <c r="I34" i="81" s="1"/>
  <c r="G33" i="81"/>
  <c r="I33" i="81" s="1"/>
  <c r="I32" i="81"/>
  <c r="G32" i="81"/>
  <c r="I31" i="81"/>
  <c r="G31" i="81"/>
  <c r="G30" i="81"/>
  <c r="I30" i="81" s="1"/>
  <c r="G29" i="81"/>
  <c r="I29" i="81" s="1"/>
  <c r="G28" i="81"/>
  <c r="I28" i="81" s="1"/>
  <c r="I27" i="81"/>
  <c r="G27" i="81"/>
  <c r="G26" i="81"/>
  <c r="I26" i="81" s="1"/>
  <c r="G25" i="81"/>
  <c r="I25" i="81" s="1"/>
  <c r="I24" i="81"/>
  <c r="G24" i="81"/>
  <c r="I23" i="81"/>
  <c r="G23" i="81"/>
  <c r="G22" i="81"/>
  <c r="I22" i="81" s="1"/>
  <c r="G21" i="81"/>
  <c r="I21" i="81" s="1"/>
  <c r="G49" i="13"/>
  <c r="I49" i="13" s="1"/>
  <c r="G49" i="16"/>
  <c r="I49" i="16" s="1"/>
  <c r="G48" i="16"/>
  <c r="I48" i="16" s="1"/>
  <c r="G47" i="16"/>
  <c r="I47" i="16" s="1"/>
  <c r="G46" i="16"/>
  <c r="I46" i="16" s="1"/>
  <c r="G45" i="16"/>
  <c r="I45" i="16" s="1"/>
  <c r="G44" i="16"/>
  <c r="I44" i="16" s="1"/>
  <c r="G43" i="16"/>
  <c r="I43" i="16" s="1"/>
  <c r="G42" i="16"/>
  <c r="I42" i="16" s="1"/>
  <c r="G41" i="16"/>
  <c r="I41" i="16" s="1"/>
  <c r="G40" i="16"/>
  <c r="I40" i="16" s="1"/>
  <c r="G39" i="16"/>
  <c r="I39" i="16" s="1"/>
  <c r="G38" i="16"/>
  <c r="I38" i="16" s="1"/>
  <c r="G37" i="16"/>
  <c r="I37" i="16" s="1"/>
  <c r="G36" i="16"/>
  <c r="I36" i="16" s="1"/>
  <c r="G35" i="16"/>
  <c r="I35" i="16" s="1"/>
  <c r="G34" i="16"/>
  <c r="I34" i="16" s="1"/>
  <c r="G33" i="16"/>
  <c r="I33" i="16" s="1"/>
  <c r="G32" i="16"/>
  <c r="I32" i="16" s="1"/>
  <c r="G31" i="16"/>
  <c r="I31" i="16" s="1"/>
  <c r="G30" i="16"/>
  <c r="I30" i="16" s="1"/>
  <c r="G29" i="16"/>
  <c r="I29" i="16" s="1"/>
  <c r="G28" i="16"/>
  <c r="I28" i="16" s="1"/>
  <c r="G27" i="16"/>
  <c r="I27" i="16" s="1"/>
  <c r="G26" i="16"/>
  <c r="I26" i="16" s="1"/>
  <c r="G25" i="16"/>
  <c r="I25" i="16" s="1"/>
  <c r="G24" i="16"/>
  <c r="I24" i="16" s="1"/>
  <c r="G23" i="16"/>
  <c r="I23" i="16" s="1"/>
  <c r="G22" i="16"/>
  <c r="I22" i="16" s="1"/>
  <c r="G21" i="16"/>
  <c r="I21" i="16" s="1"/>
  <c r="G49" i="95"/>
  <c r="I49" i="95" s="1"/>
  <c r="G48" i="95"/>
  <c r="I48" i="95" s="1"/>
  <c r="G47" i="95"/>
  <c r="I47" i="95" s="1"/>
  <c r="I46" i="95"/>
  <c r="G46" i="95"/>
  <c r="G45" i="95"/>
  <c r="I45" i="95" s="1"/>
  <c r="G44" i="95"/>
  <c r="I44" i="95" s="1"/>
  <c r="G43" i="95"/>
  <c r="I43" i="95" s="1"/>
  <c r="G42" i="95"/>
  <c r="I42" i="95" s="1"/>
  <c r="G41" i="95"/>
  <c r="I41" i="95" s="1"/>
  <c r="G40" i="95"/>
  <c r="I40" i="95" s="1"/>
  <c r="G39" i="95"/>
  <c r="I39" i="95" s="1"/>
  <c r="I38" i="95"/>
  <c r="G38" i="95"/>
  <c r="G37" i="95"/>
  <c r="I37" i="95" s="1"/>
  <c r="G36" i="95"/>
  <c r="I36" i="95" s="1"/>
  <c r="G35" i="95"/>
  <c r="I35" i="95" s="1"/>
  <c r="G34" i="95"/>
  <c r="I34" i="95" s="1"/>
  <c r="G33" i="95"/>
  <c r="I33" i="95" s="1"/>
  <c r="G32" i="95"/>
  <c r="I32" i="95" s="1"/>
  <c r="G31" i="95"/>
  <c r="I31" i="95" s="1"/>
  <c r="I30" i="95"/>
  <c r="G30" i="95"/>
  <c r="G29" i="95"/>
  <c r="I29" i="95" s="1"/>
  <c r="G28" i="95"/>
  <c r="I28" i="95" s="1"/>
  <c r="G27" i="95"/>
  <c r="I27" i="95" s="1"/>
  <c r="G25" i="95"/>
  <c r="I25" i="95" s="1"/>
  <c r="G24" i="95"/>
  <c r="I24" i="95" s="1"/>
  <c r="G23" i="95"/>
  <c r="I23" i="95" s="1"/>
  <c r="G22" i="95"/>
  <c r="I22" i="95" s="1"/>
  <c r="G21" i="95"/>
  <c r="I21" i="95" s="1"/>
  <c r="G49" i="46"/>
  <c r="I49" i="46" s="1"/>
  <c r="G48" i="46"/>
  <c r="I48" i="46" s="1"/>
  <c r="G47" i="46"/>
  <c r="I47" i="46" s="1"/>
  <c r="G46" i="46"/>
  <c r="I46" i="46" s="1"/>
  <c r="G45" i="46"/>
  <c r="I45" i="46" s="1"/>
  <c r="G44" i="46"/>
  <c r="I44" i="46" s="1"/>
  <c r="G35" i="46"/>
  <c r="I35" i="46" s="1"/>
  <c r="G34" i="46"/>
  <c r="I34" i="46" s="1"/>
  <c r="G33" i="46"/>
  <c r="I33" i="46" s="1"/>
  <c r="G32" i="46"/>
  <c r="I32" i="46" s="1"/>
  <c r="G31" i="46"/>
  <c r="I31" i="46" s="1"/>
  <c r="G30" i="46"/>
  <c r="I30" i="46" s="1"/>
  <c r="G29" i="46"/>
  <c r="I29" i="46" s="1"/>
  <c r="G28" i="46"/>
  <c r="I28" i="46" s="1"/>
  <c r="G27" i="46"/>
  <c r="I27" i="46" s="1"/>
  <c r="G26" i="46"/>
  <c r="I26" i="46" s="1"/>
  <c r="G25" i="46"/>
  <c r="I25" i="46" s="1"/>
  <c r="G24" i="46"/>
  <c r="I24" i="46" s="1"/>
  <c r="G23" i="46"/>
  <c r="I23" i="46" s="1"/>
  <c r="G22" i="46"/>
  <c r="I22" i="46" s="1"/>
  <c r="G21" i="46"/>
  <c r="I21" i="46" s="1"/>
  <c r="G49" i="30"/>
  <c r="I49" i="30" s="1"/>
  <c r="G48" i="30"/>
  <c r="I48" i="30" s="1"/>
  <c r="G47" i="30"/>
  <c r="I47" i="30" s="1"/>
  <c r="G46" i="30"/>
  <c r="I46" i="30" s="1"/>
  <c r="G45" i="30"/>
  <c r="I45" i="30" s="1"/>
  <c r="G44" i="30"/>
  <c r="I44" i="30" s="1"/>
  <c r="G43" i="30"/>
  <c r="I43" i="30" s="1"/>
  <c r="G42" i="30"/>
  <c r="I42" i="30" s="1"/>
  <c r="G41" i="30"/>
  <c r="I41" i="30" s="1"/>
  <c r="G40" i="30"/>
  <c r="I40" i="30" s="1"/>
  <c r="G39" i="30"/>
  <c r="I39" i="30" s="1"/>
  <c r="G38" i="30"/>
  <c r="I38" i="30" s="1"/>
  <c r="G37" i="30"/>
  <c r="I37" i="30" s="1"/>
  <c r="G36" i="30"/>
  <c r="I36" i="30" s="1"/>
  <c r="G35" i="30"/>
  <c r="I35" i="30" s="1"/>
  <c r="G34" i="30"/>
  <c r="I34" i="30" s="1"/>
  <c r="G33" i="30"/>
  <c r="I33" i="30" s="1"/>
  <c r="G32" i="30"/>
  <c r="I32" i="30" s="1"/>
  <c r="G31" i="30"/>
  <c r="I31" i="30" s="1"/>
  <c r="G30" i="30"/>
  <c r="I30" i="30" s="1"/>
  <c r="G29" i="30"/>
  <c r="I29" i="30" s="1"/>
  <c r="G49" i="75"/>
  <c r="I49" i="75" s="1"/>
  <c r="G48" i="75"/>
  <c r="I48" i="75" s="1"/>
  <c r="I47" i="75"/>
  <c r="G47" i="75"/>
  <c r="G46" i="75"/>
  <c r="I46" i="75" s="1"/>
  <c r="G45" i="75"/>
  <c r="I45" i="75" s="1"/>
  <c r="G44" i="75"/>
  <c r="I44" i="75" s="1"/>
  <c r="G43" i="75"/>
  <c r="I43" i="75" s="1"/>
  <c r="G42" i="75"/>
  <c r="I42" i="75" s="1"/>
  <c r="G41" i="75"/>
  <c r="I41" i="75" s="1"/>
  <c r="G40" i="75"/>
  <c r="I40" i="75" s="1"/>
  <c r="I39" i="75"/>
  <c r="G39" i="75"/>
  <c r="G38" i="75"/>
  <c r="I38" i="75" s="1"/>
  <c r="G37" i="75"/>
  <c r="I37" i="75" s="1"/>
  <c r="G36" i="75"/>
  <c r="I36" i="75" s="1"/>
  <c r="G35" i="75"/>
  <c r="I35" i="75" s="1"/>
  <c r="G34" i="75"/>
  <c r="I34" i="75" s="1"/>
  <c r="G33" i="75"/>
  <c r="I33" i="75" s="1"/>
  <c r="G32" i="75"/>
  <c r="I32" i="75" s="1"/>
  <c r="I31" i="75"/>
  <c r="G31" i="75"/>
  <c r="G30" i="75"/>
  <c r="I30" i="75" s="1"/>
  <c r="G29" i="75"/>
  <c r="I29" i="75" s="1"/>
  <c r="G28" i="75"/>
  <c r="I28" i="75" s="1"/>
  <c r="G27" i="75"/>
  <c r="I27" i="75" s="1"/>
  <c r="G26" i="75"/>
  <c r="I26" i="75" s="1"/>
  <c r="G25" i="75"/>
  <c r="I25" i="75" s="1"/>
  <c r="G24" i="75"/>
  <c r="I24" i="75" s="1"/>
  <c r="I23" i="75"/>
  <c r="G23" i="75"/>
  <c r="G22" i="75"/>
  <c r="I22" i="75" s="1"/>
  <c r="G21" i="75"/>
  <c r="I21" i="75" s="1"/>
  <c r="G49" i="77"/>
  <c r="I49" i="77" s="1"/>
  <c r="I48" i="77"/>
  <c r="G48" i="77"/>
  <c r="I47" i="77"/>
  <c r="G47" i="77"/>
  <c r="G46" i="77"/>
  <c r="I46" i="77" s="1"/>
  <c r="G45" i="77"/>
  <c r="I45" i="77" s="1"/>
  <c r="G44" i="77"/>
  <c r="I44" i="77" s="1"/>
  <c r="G43" i="77"/>
  <c r="I43" i="77" s="1"/>
  <c r="G42" i="77"/>
  <c r="I42" i="77" s="1"/>
  <c r="G41" i="77"/>
  <c r="I41" i="77" s="1"/>
  <c r="I40" i="77"/>
  <c r="G40" i="77"/>
  <c r="I39" i="77"/>
  <c r="G39" i="77"/>
  <c r="G38" i="77"/>
  <c r="I38" i="77" s="1"/>
  <c r="G37" i="77"/>
  <c r="I37" i="77" s="1"/>
  <c r="G36" i="77"/>
  <c r="I36" i="77" s="1"/>
  <c r="G35" i="77"/>
  <c r="I35" i="77" s="1"/>
  <c r="G34" i="77"/>
  <c r="I34" i="77" s="1"/>
  <c r="G33" i="77"/>
  <c r="I33" i="77" s="1"/>
  <c r="I32" i="77"/>
  <c r="G32" i="77"/>
  <c r="I31" i="77"/>
  <c r="G31" i="77"/>
  <c r="G30" i="77"/>
  <c r="I30" i="77" s="1"/>
  <c r="G29" i="77"/>
  <c r="I29" i="77" s="1"/>
  <c r="G28" i="77"/>
  <c r="I28" i="77" s="1"/>
  <c r="G27" i="77"/>
  <c r="I27" i="77" s="1"/>
  <c r="G26" i="77"/>
  <c r="I26" i="77" s="1"/>
  <c r="G25" i="77"/>
  <c r="I25" i="77" s="1"/>
  <c r="I24" i="77"/>
  <c r="G24" i="77"/>
  <c r="I23" i="77"/>
  <c r="G23" i="77"/>
  <c r="G22" i="77"/>
  <c r="I22" i="77" s="1"/>
  <c r="G21" i="77"/>
  <c r="I21" i="77" s="1"/>
  <c r="G49" i="10"/>
  <c r="I49" i="10" s="1"/>
  <c r="I48" i="10"/>
  <c r="G48" i="10"/>
  <c r="G47" i="10"/>
  <c r="I47" i="10" s="1"/>
  <c r="G46" i="10"/>
  <c r="I46" i="10" s="1"/>
  <c r="I45" i="10"/>
  <c r="G45" i="10"/>
  <c r="G44" i="10"/>
  <c r="I44" i="10" s="1"/>
  <c r="G43" i="10"/>
  <c r="I43" i="10" s="1"/>
  <c r="G42" i="10"/>
  <c r="I42" i="10" s="1"/>
  <c r="G41" i="10"/>
  <c r="I41" i="10" s="1"/>
  <c r="I40" i="10"/>
  <c r="G40" i="10"/>
  <c r="G39" i="10"/>
  <c r="I39" i="10" s="1"/>
  <c r="G38" i="10"/>
  <c r="I38" i="10" s="1"/>
  <c r="G37" i="10"/>
  <c r="I37" i="10" s="1"/>
  <c r="G36" i="10"/>
  <c r="I36" i="10" s="1"/>
  <c r="G35" i="10"/>
  <c r="I35" i="10" s="1"/>
  <c r="G34" i="10"/>
  <c r="I34" i="10" s="1"/>
  <c r="G33" i="10"/>
  <c r="I33" i="10" s="1"/>
  <c r="I32" i="10"/>
  <c r="G32" i="10"/>
  <c r="G31" i="10"/>
  <c r="I31" i="10" s="1"/>
  <c r="G30" i="10"/>
  <c r="I30" i="10" s="1"/>
  <c r="G29" i="10"/>
  <c r="I29" i="10" s="1"/>
  <c r="G28" i="10"/>
  <c r="I28" i="10" s="1"/>
  <c r="G27" i="10"/>
  <c r="I27" i="10" s="1"/>
  <c r="G26" i="10"/>
  <c r="I26" i="10" s="1"/>
  <c r="G25" i="10"/>
  <c r="I25" i="10" s="1"/>
  <c r="I24" i="10"/>
  <c r="G24" i="10"/>
  <c r="G23" i="10"/>
  <c r="I23" i="10" s="1"/>
  <c r="G22" i="10"/>
  <c r="I22" i="10" s="1"/>
  <c r="G21" i="10"/>
  <c r="I21" i="10" s="1"/>
  <c r="G49" i="9"/>
  <c r="I49" i="9" s="1"/>
  <c r="I48" i="9"/>
  <c r="G48" i="9"/>
  <c r="G47" i="9"/>
  <c r="I47" i="9" s="1"/>
  <c r="G46" i="9"/>
  <c r="I46" i="9" s="1"/>
  <c r="I45" i="9"/>
  <c r="G45" i="9"/>
  <c r="I44" i="9"/>
  <c r="G44" i="9"/>
  <c r="G43" i="9"/>
  <c r="I43" i="9" s="1"/>
  <c r="G42" i="9"/>
  <c r="I42" i="9" s="1"/>
  <c r="G41" i="9"/>
  <c r="I41" i="9" s="1"/>
  <c r="I40" i="9"/>
  <c r="G40" i="9"/>
  <c r="G39" i="9"/>
  <c r="I39" i="9" s="1"/>
  <c r="G38" i="9"/>
  <c r="I38" i="9" s="1"/>
  <c r="G37" i="9"/>
  <c r="I37" i="9" s="1"/>
  <c r="G36" i="9"/>
  <c r="I36" i="9" s="1"/>
  <c r="G35" i="9"/>
  <c r="I35" i="9" s="1"/>
  <c r="G34" i="9"/>
  <c r="I34" i="9" s="1"/>
  <c r="G33" i="9"/>
  <c r="I33" i="9" s="1"/>
  <c r="I32" i="9"/>
  <c r="G32" i="9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I24" i="9"/>
  <c r="G24" i="9"/>
  <c r="G23" i="9"/>
  <c r="I23" i="9" s="1"/>
  <c r="G22" i="9"/>
  <c r="I22" i="9" s="1"/>
  <c r="G21" i="9"/>
  <c r="I21" i="9" s="1"/>
  <c r="G49" i="8"/>
  <c r="I49" i="8" s="1"/>
  <c r="G48" i="8"/>
  <c r="I48" i="8" s="1"/>
  <c r="G47" i="8"/>
  <c r="I47" i="8" s="1"/>
  <c r="G46" i="8"/>
  <c r="I46" i="8" s="1"/>
  <c r="G45" i="8"/>
  <c r="I45" i="8" s="1"/>
  <c r="G44" i="8"/>
  <c r="I44" i="8" s="1"/>
  <c r="G43" i="8"/>
  <c r="I43" i="8" s="1"/>
  <c r="G42" i="8"/>
  <c r="I42" i="8" s="1"/>
  <c r="G41" i="8"/>
  <c r="I41" i="8" s="1"/>
  <c r="G40" i="8"/>
  <c r="I40" i="8" s="1"/>
  <c r="G39" i="8"/>
  <c r="I39" i="8" s="1"/>
  <c r="G38" i="8"/>
  <c r="I38" i="8" s="1"/>
  <c r="G37" i="8"/>
  <c r="I37" i="8" s="1"/>
  <c r="G36" i="8"/>
  <c r="I36" i="8" s="1"/>
  <c r="G35" i="8"/>
  <c r="I35" i="8" s="1"/>
  <c r="G34" i="8"/>
  <c r="I34" i="8" s="1"/>
  <c r="G33" i="8"/>
  <c r="I33" i="8" s="1"/>
  <c r="G32" i="8"/>
  <c r="I32" i="8" s="1"/>
  <c r="G31" i="8"/>
  <c r="I31" i="8" s="1"/>
  <c r="G30" i="8"/>
  <c r="I30" i="8" s="1"/>
  <c r="G29" i="8"/>
  <c r="I29" i="8" s="1"/>
  <c r="G28" i="8"/>
  <c r="I28" i="8" s="1"/>
  <c r="G27" i="8"/>
  <c r="I27" i="8" s="1"/>
  <c r="G26" i="8"/>
  <c r="I26" i="8" s="1"/>
  <c r="G25" i="8"/>
  <c r="I25" i="8" s="1"/>
  <c r="G24" i="8"/>
  <c r="I24" i="8" s="1"/>
  <c r="G23" i="8"/>
  <c r="I23" i="8" s="1"/>
  <c r="G22" i="8"/>
  <c r="I22" i="8" s="1"/>
  <c r="G21" i="8"/>
  <c r="I21" i="8" s="1"/>
  <c r="G49" i="7"/>
  <c r="I49" i="7" s="1"/>
  <c r="I48" i="7"/>
  <c r="G48" i="7"/>
  <c r="G47" i="7"/>
  <c r="I47" i="7" s="1"/>
  <c r="G46" i="7"/>
  <c r="I46" i="7" s="1"/>
  <c r="I45" i="7"/>
  <c r="G45" i="7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54" i="6"/>
  <c r="I54" i="6" s="1"/>
  <c r="G53" i="6"/>
  <c r="I53" i="6" s="1"/>
  <c r="G52" i="6"/>
  <c r="I52" i="6" s="1"/>
  <c r="G51" i="6"/>
  <c r="I51" i="6" s="1"/>
  <c r="G50" i="6"/>
  <c r="I50" i="6" s="1"/>
  <c r="G49" i="6"/>
  <c r="I49" i="6" s="1"/>
  <c r="G44" i="6"/>
  <c r="I44" i="6" s="1"/>
  <c r="G43" i="6"/>
  <c r="I43" i="6" s="1"/>
  <c r="G42" i="6"/>
  <c r="I42" i="6" s="1"/>
  <c r="G41" i="6"/>
  <c r="I41" i="6" s="1"/>
  <c r="G40" i="6"/>
  <c r="I40" i="6" s="1"/>
  <c r="G39" i="6"/>
  <c r="I39" i="6" s="1"/>
  <c r="G37" i="6"/>
  <c r="I37" i="6" s="1"/>
  <c r="G36" i="6"/>
  <c r="I36" i="6" s="1"/>
  <c r="G29" i="6"/>
  <c r="I29" i="6" s="1"/>
  <c r="G28" i="6"/>
  <c r="I28" i="6" s="1"/>
  <c r="G27" i="6"/>
  <c r="I27" i="6" s="1"/>
  <c r="G26" i="6"/>
  <c r="I26" i="6" s="1"/>
  <c r="G25" i="6"/>
  <c r="I25" i="6" s="1"/>
  <c r="G24" i="6"/>
  <c r="I24" i="6" s="1"/>
  <c r="G23" i="6"/>
  <c r="I23" i="6" s="1"/>
  <c r="G22" i="6"/>
  <c r="I22" i="6" s="1"/>
  <c r="G21" i="6"/>
  <c r="I21" i="6" s="1"/>
  <c r="G49" i="111"/>
  <c r="I49" i="111" s="1"/>
  <c r="I48" i="111"/>
  <c r="G48" i="111"/>
  <c r="I47" i="111"/>
  <c r="G47" i="111"/>
  <c r="G46" i="111"/>
  <c r="I46" i="111" s="1"/>
  <c r="G45" i="111"/>
  <c r="I45" i="111" s="1"/>
  <c r="G44" i="111"/>
  <c r="I44" i="111" s="1"/>
  <c r="G43" i="111"/>
  <c r="I43" i="111" s="1"/>
  <c r="G42" i="111"/>
  <c r="I42" i="111" s="1"/>
  <c r="G41" i="111"/>
  <c r="I41" i="111" s="1"/>
  <c r="G40" i="111"/>
  <c r="I40" i="111" s="1"/>
  <c r="I39" i="111"/>
  <c r="G39" i="111"/>
  <c r="G38" i="111"/>
  <c r="I38" i="111" s="1"/>
  <c r="G37" i="111"/>
  <c r="I37" i="111" s="1"/>
  <c r="G36" i="111"/>
  <c r="I36" i="111" s="1"/>
  <c r="G35" i="111"/>
  <c r="I35" i="111" s="1"/>
  <c r="G34" i="111"/>
  <c r="I34" i="111" s="1"/>
  <c r="G33" i="111"/>
  <c r="I33" i="111" s="1"/>
  <c r="G32" i="111"/>
  <c r="I32" i="111" s="1"/>
  <c r="I31" i="111"/>
  <c r="G31" i="111"/>
  <c r="G30" i="111"/>
  <c r="I30" i="111" s="1"/>
  <c r="G29" i="111"/>
  <c r="I29" i="111" s="1"/>
  <c r="G28" i="111"/>
  <c r="I28" i="111" s="1"/>
  <c r="I27" i="111"/>
  <c r="G27" i="111"/>
  <c r="I26" i="111"/>
  <c r="G26" i="111"/>
  <c r="G25" i="111"/>
  <c r="I25" i="111" s="1"/>
  <c r="G24" i="111"/>
  <c r="I24" i="111" s="1"/>
  <c r="I23" i="111"/>
  <c r="G23" i="111"/>
  <c r="G22" i="111"/>
  <c r="I22" i="111" s="1"/>
  <c r="G21" i="111"/>
  <c r="I21" i="111" s="1"/>
  <c r="G49" i="58"/>
  <c r="I49" i="58" s="1"/>
  <c r="G48" i="58"/>
  <c r="I48" i="58" s="1"/>
  <c r="I47" i="58"/>
  <c r="G47" i="58"/>
  <c r="G46" i="58"/>
  <c r="I46" i="58" s="1"/>
  <c r="G45" i="58"/>
  <c r="I45" i="58" s="1"/>
  <c r="I44" i="58"/>
  <c r="G44" i="58"/>
  <c r="G43" i="58"/>
  <c r="I43" i="58" s="1"/>
  <c r="G42" i="58"/>
  <c r="I42" i="58" s="1"/>
  <c r="G41" i="58"/>
  <c r="I41" i="58" s="1"/>
  <c r="G40" i="58"/>
  <c r="I40" i="58" s="1"/>
  <c r="I39" i="58"/>
  <c r="G39" i="58"/>
  <c r="G38" i="58"/>
  <c r="I38" i="58" s="1"/>
  <c r="G37" i="58"/>
  <c r="I37" i="58" s="1"/>
  <c r="G36" i="58"/>
  <c r="I36" i="58" s="1"/>
  <c r="G35" i="58"/>
  <c r="I35" i="58" s="1"/>
  <c r="G34" i="58"/>
  <c r="I34" i="58" s="1"/>
  <c r="G33" i="58"/>
  <c r="I33" i="58" s="1"/>
  <c r="G32" i="58"/>
  <c r="I32" i="58" s="1"/>
  <c r="I31" i="58"/>
  <c r="G31" i="58"/>
  <c r="G30" i="58"/>
  <c r="I30" i="58" s="1"/>
  <c r="G29" i="58"/>
  <c r="I29" i="58" s="1"/>
  <c r="G28" i="58"/>
  <c r="I28" i="58" s="1"/>
  <c r="G27" i="58"/>
  <c r="I27" i="58" s="1"/>
  <c r="G26" i="58"/>
  <c r="I26" i="58" s="1"/>
  <c r="G25" i="58"/>
  <c r="I25" i="58" s="1"/>
  <c r="G24" i="58"/>
  <c r="I24" i="58" s="1"/>
  <c r="I23" i="58"/>
  <c r="G23" i="58"/>
  <c r="G47" i="57"/>
  <c r="I47" i="57" s="1"/>
  <c r="G48" i="57"/>
  <c r="I48" i="57" s="1"/>
  <c r="G49" i="57"/>
  <c r="I49" i="57" s="1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I21" i="2" s="1"/>
  <c r="G27" i="57"/>
  <c r="I27" i="57" s="1"/>
  <c r="G28" i="57"/>
  <c r="I28" i="57" s="1"/>
  <c r="G29" i="57"/>
  <c r="I29" i="57" s="1"/>
  <c r="G30" i="57"/>
  <c r="I30" i="57" s="1"/>
  <c r="G31" i="57"/>
  <c r="I31" i="57" s="1"/>
  <c r="G32" i="57"/>
  <c r="I32" i="57" s="1"/>
  <c r="G33" i="57"/>
  <c r="I33" i="57" s="1"/>
  <c r="G34" i="57"/>
  <c r="I34" i="57" s="1"/>
  <c r="G35" i="57"/>
  <c r="I35" i="57" s="1"/>
  <c r="G36" i="57"/>
  <c r="I36" i="57" s="1"/>
  <c r="G37" i="57"/>
  <c r="I37" i="57" s="1"/>
  <c r="G38" i="57"/>
  <c r="I38" i="57" s="1"/>
  <c r="G39" i="57"/>
  <c r="I39" i="57" s="1"/>
  <c r="G40" i="57"/>
  <c r="I40" i="57" s="1"/>
  <c r="G41" i="57"/>
  <c r="I41" i="57" s="1"/>
  <c r="G42" i="57"/>
  <c r="I42" i="57" s="1"/>
  <c r="G43" i="57"/>
  <c r="I43" i="57" s="1"/>
  <c r="G44" i="57"/>
  <c r="I44" i="57" s="1"/>
  <c r="G45" i="57"/>
  <c r="I45" i="57" s="1"/>
  <c r="G46" i="57"/>
  <c r="I46" i="57" s="1"/>
  <c r="G50" i="57"/>
  <c r="I50" i="57" s="1"/>
  <c r="G51" i="57"/>
  <c r="I51" i="57" s="1"/>
  <c r="G52" i="57"/>
  <c r="I52" i="57" s="1"/>
  <c r="G53" i="57"/>
  <c r="I53" i="57" s="1"/>
  <c r="I29" i="3"/>
  <c r="G30" i="3"/>
  <c r="I30" i="3" s="1"/>
  <c r="G31" i="3"/>
  <c r="I31" i="3" s="1"/>
  <c r="G32" i="3"/>
  <c r="I32" i="3" s="1"/>
  <c r="G37" i="3"/>
  <c r="I37" i="3" s="1"/>
  <c r="G38" i="3"/>
  <c r="I38" i="3" s="1"/>
  <c r="G39" i="3"/>
  <c r="I39" i="3" s="1"/>
  <c r="G40" i="3"/>
  <c r="I40" i="3" s="1"/>
  <c r="G41" i="3"/>
  <c r="I41" i="3" s="1"/>
  <c r="G42" i="3"/>
  <c r="I42" i="3" s="1"/>
  <c r="G43" i="3"/>
  <c r="I43" i="3" s="1"/>
  <c r="G44" i="3"/>
  <c r="I44" i="3" s="1"/>
  <c r="G45" i="3"/>
  <c r="I45" i="3" s="1"/>
  <c r="G53" i="3"/>
  <c r="I53" i="3" s="1"/>
  <c r="G54" i="3"/>
  <c r="I54" i="3" s="1"/>
  <c r="G58" i="3"/>
  <c r="I58" i="3" s="1"/>
  <c r="G59" i="3"/>
  <c r="I59" i="3" s="1"/>
  <c r="G60" i="3"/>
  <c r="I60" i="3" s="1"/>
  <c r="G61" i="3"/>
  <c r="I61" i="3" s="1"/>
  <c r="M162" i="48" l="1"/>
  <c r="L163" i="48"/>
  <c r="M163" i="48" s="1"/>
  <c r="L164" i="48" l="1"/>
  <c r="A6" i="123"/>
  <c r="C3" i="123"/>
  <c r="A3" i="123"/>
  <c r="K51" i="16" l="1"/>
  <c r="O51" i="7"/>
  <c r="K51" i="2" l="1"/>
  <c r="M51" i="7"/>
  <c r="O53" i="13" l="1"/>
  <c r="O55" i="13" s="1"/>
  <c r="M53" i="13"/>
  <c r="M55" i="13" s="1"/>
  <c r="K53" i="13"/>
  <c r="K55" i="13" s="1"/>
  <c r="S51" i="16"/>
  <c r="Q51" i="16"/>
  <c r="Q53" i="16" s="1"/>
  <c r="Q55" i="16" s="1"/>
  <c r="O51" i="16"/>
  <c r="O53" i="16" s="1"/>
  <c r="O55" i="16" s="1"/>
  <c r="M51" i="16"/>
  <c r="M53" i="16" s="1"/>
  <c r="M55" i="16" s="1"/>
  <c r="K53" i="16"/>
  <c r="K55" i="16" s="1"/>
  <c r="S51" i="95"/>
  <c r="Q51" i="95"/>
  <c r="O51" i="95"/>
  <c r="O53" i="95" s="1"/>
  <c r="O55" i="95" s="1"/>
  <c r="M51" i="95"/>
  <c r="M53" i="95" s="1"/>
  <c r="M55" i="95" s="1"/>
  <c r="S51" i="46"/>
  <c r="Q51" i="46"/>
  <c r="Q53" i="46" s="1"/>
  <c r="Q55" i="46" s="1"/>
  <c r="O51" i="46"/>
  <c r="O53" i="46" s="1"/>
  <c r="O55" i="46" s="1"/>
  <c r="M51" i="46"/>
  <c r="M53" i="46" s="1"/>
  <c r="M55" i="46" s="1"/>
  <c r="K51" i="46"/>
  <c r="K53" i="46" s="1"/>
  <c r="K55" i="46" s="1"/>
  <c r="S53" i="81"/>
  <c r="S55" i="81" s="1"/>
  <c r="Q53" i="81"/>
  <c r="S51" i="81"/>
  <c r="Q51" i="81"/>
  <c r="O51" i="81"/>
  <c r="O53" i="81" s="1"/>
  <c r="O55" i="81" s="1"/>
  <c r="M51" i="81"/>
  <c r="M53" i="81" s="1"/>
  <c r="M55" i="81" s="1"/>
  <c r="K51" i="81"/>
  <c r="K53" i="81" s="1"/>
  <c r="K55" i="81" s="1"/>
  <c r="S51" i="41"/>
  <c r="S53" i="41" s="1"/>
  <c r="S55" i="41" s="1"/>
  <c r="Q51" i="41"/>
  <c r="Q53" i="41" s="1"/>
  <c r="Q55" i="41" s="1"/>
  <c r="O51" i="41"/>
  <c r="O53" i="41" s="1"/>
  <c r="O55" i="41" s="1"/>
  <c r="M51" i="41"/>
  <c r="M53" i="41" s="1"/>
  <c r="M55" i="41" s="1"/>
  <c r="K51" i="41"/>
  <c r="K53" i="41" s="1"/>
  <c r="K55" i="41" s="1"/>
  <c r="S51" i="30"/>
  <c r="S53" i="30" s="1"/>
  <c r="S55" i="30" s="1"/>
  <c r="Q51" i="30"/>
  <c r="Q53" i="30" s="1"/>
  <c r="Q55" i="30" s="1"/>
  <c r="O51" i="30"/>
  <c r="O53" i="30" s="1"/>
  <c r="O55" i="30" s="1"/>
  <c r="M51" i="30"/>
  <c r="M53" i="30" s="1"/>
  <c r="K51" i="30"/>
  <c r="K53" i="30" s="1"/>
  <c r="S53" i="75"/>
  <c r="S51" i="75"/>
  <c r="Q51" i="75"/>
  <c r="Q53" i="75" s="1"/>
  <c r="Q55" i="75" s="1"/>
  <c r="O51" i="75"/>
  <c r="O53" i="75" s="1"/>
  <c r="O55" i="75" s="1"/>
  <c r="M51" i="75"/>
  <c r="M53" i="75" s="1"/>
  <c r="K51" i="75"/>
  <c r="K53" i="75" s="1"/>
  <c r="S51" i="77"/>
  <c r="S53" i="77" s="1"/>
  <c r="S55" i="77" s="1"/>
  <c r="Q51" i="77"/>
  <c r="O51" i="77"/>
  <c r="O53" i="77" s="1"/>
  <c r="M51" i="77"/>
  <c r="M53" i="77" s="1"/>
  <c r="M55" i="77" s="1"/>
  <c r="K51" i="77"/>
  <c r="K53" i="77" s="1"/>
  <c r="K55" i="77" s="1"/>
  <c r="S51" i="10"/>
  <c r="S53" i="10" s="1"/>
  <c r="S55" i="10" s="1"/>
  <c r="Q51" i="10"/>
  <c r="O51" i="10"/>
  <c r="O53" i="10" s="1"/>
  <c r="O55" i="10" s="1"/>
  <c r="S51" i="9"/>
  <c r="S53" i="9" s="1"/>
  <c r="Q51" i="9"/>
  <c r="Q53" i="9" s="1"/>
  <c r="Q55" i="9" s="1"/>
  <c r="O51" i="9"/>
  <c r="O53" i="9" s="1"/>
  <c r="O55" i="9" s="1"/>
  <c r="M51" i="9"/>
  <c r="M53" i="9" s="1"/>
  <c r="M55" i="9" s="1"/>
  <c r="S51" i="8"/>
  <c r="Q51" i="8"/>
  <c r="Q53" i="8" s="1"/>
  <c r="O51" i="8"/>
  <c r="O53" i="8" s="1"/>
  <c r="O55" i="8" s="1"/>
  <c r="M51" i="8"/>
  <c r="M53" i="8" s="1"/>
  <c r="M55" i="8" s="1"/>
  <c r="K51" i="8"/>
  <c r="K53" i="8" s="1"/>
  <c r="K55" i="8" s="1"/>
  <c r="S51" i="7"/>
  <c r="Q51" i="7"/>
  <c r="O53" i="7"/>
  <c r="O55" i="7" s="1"/>
  <c r="M53" i="7"/>
  <c r="M55" i="7" s="1"/>
  <c r="S56" i="6"/>
  <c r="Q56" i="6"/>
  <c r="Q58" i="6" s="1"/>
  <c r="Q60" i="6" s="1"/>
  <c r="O56" i="6"/>
  <c r="O58" i="6" s="1"/>
  <c r="O60" i="6" s="1"/>
  <c r="M56" i="6"/>
  <c r="M58" i="6" s="1"/>
  <c r="M60" i="6" s="1"/>
  <c r="K56" i="6"/>
  <c r="K58" i="6" s="1"/>
  <c r="K60" i="6" s="1"/>
  <c r="S51" i="111"/>
  <c r="Q51" i="111"/>
  <c r="Q53" i="111" s="1"/>
  <c r="Q55" i="111" s="1"/>
  <c r="O51" i="111"/>
  <c r="O53" i="111" s="1"/>
  <c r="O55" i="111" s="1"/>
  <c r="M51" i="111"/>
  <c r="M53" i="111" s="1"/>
  <c r="M55" i="111" s="1"/>
  <c r="K51" i="111"/>
  <c r="K53" i="111" s="1"/>
  <c r="K55" i="111" s="1"/>
  <c r="S55" i="57"/>
  <c r="S57" i="57" s="1"/>
  <c r="Q55" i="57"/>
  <c r="Q57" i="57" s="1"/>
  <c r="O55" i="57"/>
  <c r="O57" i="57" s="1"/>
  <c r="O59" i="57" s="1"/>
  <c r="M55" i="57"/>
  <c r="M57" i="57" s="1"/>
  <c r="M59" i="57" s="1"/>
  <c r="K55" i="57"/>
  <c r="K57" i="57" s="1"/>
  <c r="K59" i="57" s="1"/>
  <c r="G21" i="57"/>
  <c r="I21" i="57" s="1"/>
  <c r="Q55" i="81" l="1"/>
  <c r="S53" i="46"/>
  <c r="S55" i="46" s="1"/>
  <c r="S55" i="75"/>
  <c r="Q53" i="77"/>
  <c r="Q55" i="77" s="1"/>
  <c r="S53" i="8"/>
  <c r="S55" i="8" s="1"/>
  <c r="Q55" i="8"/>
  <c r="S58" i="6"/>
  <c r="S60" i="6" s="1"/>
  <c r="S53" i="16"/>
  <c r="S55" i="16" s="1"/>
  <c r="G51" i="16"/>
  <c r="G53" i="16" s="1"/>
  <c r="G55" i="16" s="1"/>
  <c r="Q53" i="95"/>
  <c r="Q55" i="95" s="1"/>
  <c r="S53" i="95"/>
  <c r="S55" i="95" s="1"/>
  <c r="S53" i="111"/>
  <c r="S55" i="111" s="1"/>
  <c r="G51" i="75"/>
  <c r="G53" i="75" s="1"/>
  <c r="G55" i="75" s="1"/>
  <c r="Q53" i="13"/>
  <c r="Q55" i="13" s="1"/>
  <c r="S53" i="13"/>
  <c r="S55" i="13" s="1"/>
  <c r="G51" i="46"/>
  <c r="G53" i="46" s="1"/>
  <c r="G55" i="46" s="1"/>
  <c r="G51" i="81"/>
  <c r="G53" i="81" s="1"/>
  <c r="G51" i="30"/>
  <c r="G53" i="30" s="1"/>
  <c r="G55" i="30" s="1"/>
  <c r="G51" i="10"/>
  <c r="G53" i="10" s="1"/>
  <c r="Q53" i="10"/>
  <c r="Q55" i="10" s="1"/>
  <c r="I51" i="9"/>
  <c r="I53" i="9" s="1"/>
  <c r="I55" i="9" s="1"/>
  <c r="B90" i="9" s="1"/>
  <c r="S55" i="9"/>
  <c r="Q53" i="7"/>
  <c r="Q55" i="7" s="1"/>
  <c r="S53" i="7"/>
  <c r="S55" i="7" s="1"/>
  <c r="G51" i="111"/>
  <c r="G53" i="111" s="1"/>
  <c r="G51" i="58"/>
  <c r="G53" i="58" s="1"/>
  <c r="G55" i="58" s="1"/>
  <c r="I51" i="16"/>
  <c r="I51" i="81"/>
  <c r="K55" i="30"/>
  <c r="M55" i="30"/>
  <c r="K55" i="75"/>
  <c r="M55" i="75"/>
  <c r="I51" i="77"/>
  <c r="G51" i="77"/>
  <c r="O55" i="77"/>
  <c r="G51" i="9"/>
  <c r="G51" i="8"/>
  <c r="G51" i="7"/>
  <c r="S59" i="57"/>
  <c r="Q59" i="57"/>
  <c r="G55" i="57"/>
  <c r="G57" i="57" s="1"/>
  <c r="G59" i="57" s="1"/>
  <c r="I27" i="3"/>
  <c r="I63" i="3" s="1"/>
  <c r="G55" i="81" l="1"/>
  <c r="G51" i="41"/>
  <c r="G53" i="41" s="1"/>
  <c r="G55" i="41" s="1"/>
  <c r="K51" i="7"/>
  <c r="K53" i="7" s="1"/>
  <c r="K55" i="7" s="1"/>
  <c r="I51" i="46"/>
  <c r="I53" i="46" s="1"/>
  <c r="I51" i="41"/>
  <c r="I51" i="75"/>
  <c r="I53" i="75" s="1"/>
  <c r="I51" i="10"/>
  <c r="I53" i="10" s="1"/>
  <c r="I55" i="10" s="1"/>
  <c r="H9" i="10" s="1"/>
  <c r="C24" i="20" s="1"/>
  <c r="K51" i="10"/>
  <c r="K53" i="10" s="1"/>
  <c r="K55" i="10" s="1"/>
  <c r="G55" i="10"/>
  <c r="M51" i="10"/>
  <c r="M53" i="10" s="1"/>
  <c r="M55" i="10" s="1"/>
  <c r="K51" i="9"/>
  <c r="K53" i="9" s="1"/>
  <c r="K55" i="9" s="1"/>
  <c r="I51" i="8"/>
  <c r="I53" i="8" s="1"/>
  <c r="I55" i="8" s="1"/>
  <c r="G55" i="111"/>
  <c r="I51" i="111"/>
  <c r="I53" i="111" s="1"/>
  <c r="I55" i="111" s="1"/>
  <c r="K51" i="58"/>
  <c r="K53" i="58" s="1"/>
  <c r="K55" i="58" s="1"/>
  <c r="I55" i="57"/>
  <c r="I57" i="57" s="1"/>
  <c r="I53" i="16"/>
  <c r="I55" i="16" s="1"/>
  <c r="I53" i="81"/>
  <c r="I55" i="81" s="1"/>
  <c r="G53" i="77"/>
  <c r="G55" i="77"/>
  <c r="I53" i="77"/>
  <c r="I55" i="77" s="1"/>
  <c r="G53" i="9"/>
  <c r="G55" i="9" s="1"/>
  <c r="G53" i="8"/>
  <c r="G55" i="8" s="1"/>
  <c r="G53" i="7"/>
  <c r="G55" i="7" s="1"/>
  <c r="I51" i="7"/>
  <c r="G51" i="2"/>
  <c r="B5" i="111"/>
  <c r="C3" i="49"/>
  <c r="A3" i="49"/>
  <c r="B5" i="13"/>
  <c r="B5" i="16"/>
  <c r="B5" i="95"/>
  <c r="B5" i="46"/>
  <c r="I51" i="30" l="1"/>
  <c r="I53" i="30" s="1"/>
  <c r="I55" i="30" s="1"/>
  <c r="J9" i="7"/>
  <c r="I55" i="46"/>
  <c r="I53" i="41"/>
  <c r="I55" i="41" s="1"/>
  <c r="I55" i="75"/>
  <c r="O51" i="58"/>
  <c r="O53" i="58" s="1"/>
  <c r="O55" i="58" s="1"/>
  <c r="I59" i="57"/>
  <c r="I51" i="2"/>
  <c r="I53" i="7"/>
  <c r="I55" i="7" s="1"/>
  <c r="G53" i="2"/>
  <c r="G55" i="2" s="1"/>
  <c r="L9" i="111"/>
  <c r="N9" i="111"/>
  <c r="P9" i="111"/>
  <c r="R9" i="111"/>
  <c r="P9" i="13"/>
  <c r="J9" i="13"/>
  <c r="L9" i="13"/>
  <c r="N9" i="13"/>
  <c r="R9" i="13"/>
  <c r="J9" i="16"/>
  <c r="L9" i="16"/>
  <c r="N9" i="16"/>
  <c r="P9" i="16"/>
  <c r="R9" i="16"/>
  <c r="L9" i="95"/>
  <c r="N9" i="95"/>
  <c r="P9" i="95"/>
  <c r="J9" i="46"/>
  <c r="L9" i="46"/>
  <c r="N9" i="46"/>
  <c r="P9" i="46"/>
  <c r="R9" i="46"/>
  <c r="M51" i="58" l="1"/>
  <c r="M53" i="58" s="1"/>
  <c r="M55" i="58" s="1"/>
  <c r="J9" i="111"/>
  <c r="B90" i="16"/>
  <c r="H9" i="16"/>
  <c r="C38" i="20" s="1"/>
  <c r="R9" i="95"/>
  <c r="I51" i="58" l="1"/>
  <c r="I53" i="58" s="1"/>
  <c r="I55" i="58" s="1"/>
  <c r="B90" i="58" s="1"/>
  <c r="B90" i="111"/>
  <c r="H9" i="111"/>
  <c r="B90" i="46"/>
  <c r="H9" i="46"/>
  <c r="C36" i="20" s="1"/>
  <c r="S51" i="58" l="1"/>
  <c r="S53" i="58" s="1"/>
  <c r="S55" i="58" s="1"/>
  <c r="Q51" i="58"/>
  <c r="Q53" i="58" s="1"/>
  <c r="Q55" i="58" s="1"/>
  <c r="B5" i="81"/>
  <c r="B5" i="41"/>
  <c r="B5" i="30"/>
  <c r="J9" i="81" l="1"/>
  <c r="L9" i="81"/>
  <c r="R9" i="81"/>
  <c r="N9" i="81"/>
  <c r="P9" i="81"/>
  <c r="J9" i="41"/>
  <c r="L9" i="41"/>
  <c r="R9" i="41"/>
  <c r="N9" i="41"/>
  <c r="P9" i="41"/>
  <c r="L9" i="30"/>
  <c r="P9" i="30"/>
  <c r="J9" i="30"/>
  <c r="N9" i="30"/>
  <c r="R9" i="30"/>
  <c r="B5" i="75"/>
  <c r="B5" i="77"/>
  <c r="B5" i="10"/>
  <c r="B5" i="9"/>
  <c r="N9" i="75" l="1"/>
  <c r="L9" i="75"/>
  <c r="P9" i="75"/>
  <c r="R9" i="75"/>
  <c r="L9" i="77"/>
  <c r="J9" i="77"/>
  <c r="N9" i="77"/>
  <c r="P9" i="77"/>
  <c r="R9" i="77"/>
  <c r="J9" i="10"/>
  <c r="N9" i="10"/>
  <c r="P9" i="10"/>
  <c r="R9" i="10"/>
  <c r="H9" i="9"/>
  <c r="C22" i="20" s="1"/>
  <c r="L9" i="9"/>
  <c r="N9" i="9"/>
  <c r="P9" i="9"/>
  <c r="R9" i="9"/>
  <c r="B90" i="81" l="1"/>
  <c r="H9" i="81"/>
  <c r="B90" i="41"/>
  <c r="H9" i="41"/>
  <c r="C31" i="20" s="1"/>
  <c r="B90" i="30"/>
  <c r="H9" i="30"/>
  <c r="C28" i="20" s="1"/>
  <c r="J9" i="75"/>
  <c r="B90" i="75" l="1"/>
  <c r="H9" i="75"/>
  <c r="B90" i="77"/>
  <c r="H9" i="77"/>
  <c r="B90" i="10"/>
  <c r="L9" i="10"/>
  <c r="J9" i="9"/>
  <c r="B5" i="8" l="1"/>
  <c r="J9" i="8" l="1"/>
  <c r="L9" i="8"/>
  <c r="N9" i="8"/>
  <c r="P9" i="8"/>
  <c r="R9" i="8"/>
  <c r="B90" i="8" l="1"/>
  <c r="H9" i="8"/>
  <c r="B5" i="7" l="1"/>
  <c r="B5" i="6"/>
  <c r="L9" i="7" l="1"/>
  <c r="N9" i="7"/>
  <c r="P9" i="7"/>
  <c r="R9" i="7"/>
  <c r="L9" i="6"/>
  <c r="J9" i="6"/>
  <c r="N9" i="6"/>
  <c r="R9" i="6"/>
  <c r="P9" i="6" l="1"/>
  <c r="B90" i="7" l="1"/>
  <c r="H9" i="7"/>
  <c r="C20" i="20" s="1"/>
  <c r="B5" i="58" l="1"/>
  <c r="B5" i="57"/>
  <c r="S65" i="3"/>
  <c r="S67" i="3" s="1"/>
  <c r="Q65" i="3"/>
  <c r="Q67" i="3" s="1"/>
  <c r="I65" i="3"/>
  <c r="I67" i="3" s="1"/>
  <c r="K65" i="3"/>
  <c r="K67" i="3" s="1"/>
  <c r="B102" i="3" s="1"/>
  <c r="M65" i="3"/>
  <c r="M67" i="3" s="1"/>
  <c r="B5" i="3"/>
  <c r="G63" i="3" l="1"/>
  <c r="G65" i="3" s="1"/>
  <c r="G67" i="3" s="1"/>
  <c r="P9" i="58"/>
  <c r="N9" i="58"/>
  <c r="L9" i="58"/>
  <c r="R9" i="58"/>
  <c r="H9" i="58"/>
  <c r="C15" i="20" s="1"/>
  <c r="J9" i="57"/>
  <c r="P9" i="57"/>
  <c r="L9" i="57"/>
  <c r="N9" i="57"/>
  <c r="R9" i="57"/>
  <c r="J9" i="3"/>
  <c r="L9" i="3"/>
  <c r="H9" i="3"/>
  <c r="C10" i="20" s="1"/>
  <c r="P9" i="3"/>
  <c r="R9" i="3"/>
  <c r="O65" i="3" l="1"/>
  <c r="O67" i="3" l="1"/>
  <c r="J9" i="58"/>
  <c r="B94" i="57"/>
  <c r="H9" i="57"/>
  <c r="C13" i="20" s="1"/>
  <c r="N9" i="3" l="1"/>
  <c r="S51" i="2"/>
  <c r="Q51" i="2"/>
  <c r="O51" i="2"/>
  <c r="M51" i="2"/>
  <c r="S53" i="2" l="1"/>
  <c r="Q53" i="2"/>
  <c r="Q55" i="2" s="1"/>
  <c r="O53" i="2"/>
  <c r="O55" i="2" s="1"/>
  <c r="M53" i="2"/>
  <c r="M55" i="2" s="1"/>
  <c r="R9" i="2"/>
  <c r="P9" i="2"/>
  <c r="N9" i="2"/>
  <c r="L9" i="2"/>
  <c r="J9" i="2"/>
  <c r="B5" i="2"/>
  <c r="S55" i="2" l="1"/>
  <c r="I53" i="2"/>
  <c r="I55" i="2" s="1"/>
  <c r="K53" i="2"/>
  <c r="K55" i="2" s="1"/>
  <c r="B90" i="2" l="1"/>
  <c r="H9" i="2"/>
  <c r="C8" i="20" s="1"/>
  <c r="A4" i="20"/>
  <c r="A3" i="20"/>
  <c r="C28" i="21" l="1"/>
  <c r="D28" i="21"/>
  <c r="C69" i="20" s="1"/>
  <c r="E28" i="21"/>
  <c r="G5" i="21" s="1"/>
  <c r="F28" i="21"/>
  <c r="D18" i="20" l="1"/>
  <c r="D28" i="13"/>
  <c r="G28" i="13" s="1"/>
  <c r="I28" i="13" s="1"/>
  <c r="D27" i="13"/>
  <c r="G27" i="13" s="1"/>
  <c r="I27" i="13" s="1"/>
  <c r="D22" i="13"/>
  <c r="G22" i="13" s="1"/>
  <c r="I22" i="13" s="1"/>
  <c r="G26" i="95"/>
  <c r="S56" i="139"/>
  <c r="O56" i="139"/>
  <c r="Q56" i="139"/>
  <c r="G56" i="139"/>
  <c r="K56" i="139"/>
  <c r="M56" i="139"/>
  <c r="C99" i="20"/>
  <c r="I56" i="139"/>
  <c r="Q56" i="138"/>
  <c r="K56" i="138"/>
  <c r="S56" i="138"/>
  <c r="O56" i="138"/>
  <c r="G56" i="138"/>
  <c r="M56" i="138"/>
  <c r="I56" i="138"/>
  <c r="O60" i="137"/>
  <c r="Q60" i="137"/>
  <c r="S60" i="137"/>
  <c r="G60" i="137"/>
  <c r="M60" i="137"/>
  <c r="K60" i="137"/>
  <c r="I60" i="137"/>
  <c r="D38" i="6"/>
  <c r="G38" i="6" s="1"/>
  <c r="D32" i="20"/>
  <c r="D33" i="20"/>
  <c r="Q66" i="135"/>
  <c r="S57" i="134"/>
  <c r="M56" i="136"/>
  <c r="O56" i="136"/>
  <c r="M57" i="134"/>
  <c r="O57" i="134"/>
  <c r="Q57" i="134"/>
  <c r="S66" i="135"/>
  <c r="Q56" i="136"/>
  <c r="S56" i="136"/>
  <c r="K56" i="136"/>
  <c r="K57" i="134"/>
  <c r="O66" i="135"/>
  <c r="G66" i="135"/>
  <c r="G56" i="136"/>
  <c r="K66" i="135"/>
  <c r="M66" i="135"/>
  <c r="G57" i="134"/>
  <c r="I56" i="136"/>
  <c r="I57" i="134"/>
  <c r="I66" i="135"/>
  <c r="D35" i="20"/>
  <c r="K56" i="132"/>
  <c r="O56" i="132"/>
  <c r="S56" i="131"/>
  <c r="M56" i="131"/>
  <c r="Q56" i="131"/>
  <c r="Q56" i="132"/>
  <c r="I56" i="132"/>
  <c r="O56" i="131"/>
  <c r="M56" i="133"/>
  <c r="K56" i="133"/>
  <c r="S56" i="132"/>
  <c r="O56" i="133"/>
  <c r="Q56" i="133"/>
  <c r="K56" i="131"/>
  <c r="S56" i="133"/>
  <c r="G56" i="133"/>
  <c r="G56" i="132"/>
  <c r="G56" i="131"/>
  <c r="M56" i="132"/>
  <c r="D11" i="20"/>
  <c r="I56" i="133"/>
  <c r="I56" i="131"/>
  <c r="D19" i="20"/>
  <c r="K58" i="130"/>
  <c r="Q58" i="130"/>
  <c r="M58" i="130"/>
  <c r="O58" i="130"/>
  <c r="S58" i="130"/>
  <c r="K56" i="129"/>
  <c r="S56" i="129"/>
  <c r="O56" i="129"/>
  <c r="Q56" i="129"/>
  <c r="M56" i="129"/>
  <c r="G56" i="129"/>
  <c r="I56" i="129"/>
  <c r="D9" i="20"/>
  <c r="D14" i="20"/>
  <c r="K56" i="127"/>
  <c r="M56" i="127"/>
  <c r="O56" i="127"/>
  <c r="Q56" i="127"/>
  <c r="S56" i="127"/>
  <c r="C68" i="20"/>
  <c r="M56" i="126"/>
  <c r="O56" i="126"/>
  <c r="S56" i="126"/>
  <c r="Q56" i="126"/>
  <c r="G56" i="126"/>
  <c r="I56" i="126"/>
  <c r="K56" i="126"/>
  <c r="I56" i="127"/>
  <c r="D12" i="20"/>
  <c r="G56" i="127"/>
  <c r="D24" i="20"/>
  <c r="D38" i="20"/>
  <c r="D36" i="20"/>
  <c r="D22" i="20"/>
  <c r="D28" i="20"/>
  <c r="D31" i="20"/>
  <c r="D20" i="20"/>
  <c r="D10" i="20"/>
  <c r="D15" i="20"/>
  <c r="D13" i="20"/>
  <c r="D8" i="20"/>
  <c r="D70" i="20" s="1"/>
  <c r="K56" i="7"/>
  <c r="O56" i="30"/>
  <c r="O56" i="58"/>
  <c r="O56" i="81"/>
  <c r="M56" i="7"/>
  <c r="Q56" i="77"/>
  <c r="S56" i="95"/>
  <c r="M56" i="81"/>
  <c r="Q56" i="13"/>
  <c r="M56" i="41"/>
  <c r="Q56" i="9"/>
  <c r="O56" i="46"/>
  <c r="Q56" i="8"/>
  <c r="K56" i="77"/>
  <c r="K60" i="57"/>
  <c r="M56" i="95"/>
  <c r="S56" i="111"/>
  <c r="O56" i="95"/>
  <c r="O56" i="41"/>
  <c r="M56" i="9"/>
  <c r="Q56" i="30"/>
  <c r="I56" i="10"/>
  <c r="O56" i="13"/>
  <c r="I56" i="9"/>
  <c r="K56" i="8"/>
  <c r="Q56" i="95"/>
  <c r="M60" i="57"/>
  <c r="S56" i="7"/>
  <c r="O61" i="6"/>
  <c r="Q56" i="75"/>
  <c r="Q56" i="10"/>
  <c r="Q56" i="46"/>
  <c r="S56" i="10"/>
  <c r="O56" i="16"/>
  <c r="Q56" i="81"/>
  <c r="K56" i="111"/>
  <c r="Q56" i="58"/>
  <c r="M56" i="16"/>
  <c r="S56" i="9"/>
  <c r="S56" i="41"/>
  <c r="S56" i="8"/>
  <c r="S56" i="46"/>
  <c r="S56" i="81"/>
  <c r="O60" i="57"/>
  <c r="K56" i="16"/>
  <c r="M61" i="6"/>
  <c r="K56" i="81"/>
  <c r="S56" i="13"/>
  <c r="K56" i="41"/>
  <c r="O56" i="9"/>
  <c r="S56" i="75"/>
  <c r="K61" i="6"/>
  <c r="M56" i="111"/>
  <c r="O56" i="8"/>
  <c r="O56" i="7"/>
  <c r="K56" i="10"/>
  <c r="O56" i="75"/>
  <c r="Q56" i="41"/>
  <c r="M56" i="46"/>
  <c r="S61" i="6"/>
  <c r="S56" i="30"/>
  <c r="M56" i="13"/>
  <c r="Q56" i="111"/>
  <c r="O56" i="10"/>
  <c r="O56" i="111"/>
  <c r="K56" i="46"/>
  <c r="M56" i="58"/>
  <c r="M56" i="8"/>
  <c r="S56" i="77"/>
  <c r="Q56" i="16"/>
  <c r="Q61" i="6"/>
  <c r="I56" i="58"/>
  <c r="K56" i="13"/>
  <c r="S56" i="58"/>
  <c r="M56" i="77"/>
  <c r="Q56" i="7"/>
  <c r="S56" i="16"/>
  <c r="G56" i="16"/>
  <c r="G56" i="111"/>
  <c r="G56" i="58"/>
  <c r="S60" i="57"/>
  <c r="G56" i="10"/>
  <c r="G60" i="57"/>
  <c r="K56" i="30"/>
  <c r="M56" i="75"/>
  <c r="K56" i="75"/>
  <c r="G56" i="46"/>
  <c r="G56" i="75"/>
  <c r="G56" i="81"/>
  <c r="G56" i="30"/>
  <c r="G56" i="41"/>
  <c r="M56" i="30"/>
  <c r="Q60" i="57"/>
  <c r="O56" i="77"/>
  <c r="I56" i="77"/>
  <c r="I56" i="30"/>
  <c r="M56" i="10"/>
  <c r="I56" i="111"/>
  <c r="K56" i="58"/>
  <c r="K56" i="9"/>
  <c r="I56" i="16"/>
  <c r="I60" i="57"/>
  <c r="I56" i="46"/>
  <c r="G56" i="7"/>
  <c r="I56" i="8"/>
  <c r="G56" i="77"/>
  <c r="I56" i="81"/>
  <c r="I56" i="41"/>
  <c r="G56" i="8"/>
  <c r="G56" i="9"/>
  <c r="I56" i="75"/>
  <c r="G56" i="2"/>
  <c r="I56" i="7"/>
  <c r="G68" i="3"/>
  <c r="M68" i="3"/>
  <c r="Q68" i="3"/>
  <c r="I68" i="3"/>
  <c r="K68" i="3"/>
  <c r="S68" i="3"/>
  <c r="O68" i="3"/>
  <c r="Q56" i="2"/>
  <c r="M56" i="2"/>
  <c r="O56" i="2"/>
  <c r="I56" i="2"/>
  <c r="S56" i="2"/>
  <c r="K56" i="2"/>
  <c r="S47" i="68"/>
  <c r="S46" i="68"/>
  <c r="Q47" i="68"/>
  <c r="Q46" i="68"/>
  <c r="O47" i="68"/>
  <c r="O46" i="68"/>
  <c r="M47" i="68"/>
  <c r="M46" i="68"/>
  <c r="K47" i="68"/>
  <c r="K46" i="68"/>
  <c r="I47" i="68"/>
  <c r="I46" i="68"/>
  <c r="Q72" i="82"/>
  <c r="Q70" i="82"/>
  <c r="P8" i="82"/>
  <c r="S66" i="82"/>
  <c r="Q68" i="82"/>
  <c r="Q66" i="82"/>
  <c r="O72" i="82"/>
  <c r="O71" i="82"/>
  <c r="M72" i="82"/>
  <c r="M71" i="82"/>
  <c r="K72" i="82"/>
  <c r="K71" i="82"/>
  <c r="I72" i="82"/>
  <c r="I71" i="82"/>
  <c r="S72" i="79"/>
  <c r="S71" i="79"/>
  <c r="Q72" i="79"/>
  <c r="Q71" i="79"/>
  <c r="O72" i="79"/>
  <c r="O71" i="79"/>
  <c r="M72" i="79"/>
  <c r="M71" i="79"/>
  <c r="K72" i="79"/>
  <c r="K71" i="79"/>
  <c r="I72" i="79"/>
  <c r="I71" i="79"/>
  <c r="S53" i="85"/>
  <c r="S52" i="85"/>
  <c r="Q53" i="85"/>
  <c r="Q52" i="85"/>
  <c r="O53" i="85"/>
  <c r="O52" i="85"/>
  <c r="M53" i="85"/>
  <c r="M52" i="85"/>
  <c r="K53" i="85"/>
  <c r="K52" i="85"/>
  <c r="I53" i="85"/>
  <c r="I52" i="85"/>
  <c r="S54" i="92"/>
  <c r="S53" i="92"/>
  <c r="Q54" i="92"/>
  <c r="Q53" i="92"/>
  <c r="O54" i="92"/>
  <c r="O53" i="92"/>
  <c r="M54" i="92"/>
  <c r="M53" i="92"/>
  <c r="K54" i="92"/>
  <c r="K53" i="92"/>
  <c r="I54" i="92"/>
  <c r="I53" i="92"/>
  <c r="S60" i="90"/>
  <c r="S59" i="90"/>
  <c r="Q60" i="90"/>
  <c r="Q59" i="90"/>
  <c r="O60" i="90"/>
  <c r="O59" i="90"/>
  <c r="M60" i="90"/>
  <c r="M59" i="90"/>
  <c r="K60" i="90"/>
  <c r="K59" i="90"/>
  <c r="I60" i="90"/>
  <c r="I59" i="90"/>
  <c r="S75" i="109"/>
  <c r="S74" i="109"/>
  <c r="Q75" i="109"/>
  <c r="Q74" i="109"/>
  <c r="O75" i="109"/>
  <c r="O74" i="109"/>
  <c r="M75" i="109"/>
  <c r="M74" i="109"/>
  <c r="K75" i="109"/>
  <c r="K74" i="109"/>
  <c r="I75" i="109"/>
  <c r="I74" i="109"/>
  <c r="B4" i="109"/>
  <c r="B4" i="90"/>
  <c r="B4" i="92"/>
  <c r="B4" i="85"/>
  <c r="B4" i="79"/>
  <c r="B4" i="82"/>
  <c r="B4" i="68"/>
  <c r="I26" i="95" l="1"/>
  <c r="I51" i="95" s="1"/>
  <c r="G51" i="95"/>
  <c r="G53" i="95" s="1"/>
  <c r="G55" i="95" s="1"/>
  <c r="G56" i="95" s="1"/>
  <c r="I51" i="13"/>
  <c r="I53" i="13" s="1"/>
  <c r="I55" i="13" s="1"/>
  <c r="G51" i="13"/>
  <c r="G53" i="13" s="1"/>
  <c r="G55" i="13" s="1"/>
  <c r="G56" i="13" s="1"/>
  <c r="I38" i="6"/>
  <c r="I56" i="6" s="1"/>
  <c r="I58" i="6" s="1"/>
  <c r="I60" i="6" s="1"/>
  <c r="I61" i="6" s="1"/>
  <c r="G56" i="6"/>
  <c r="G58" i="6" s="1"/>
  <c r="G60" i="6" s="1"/>
  <c r="G61" i="6" s="1"/>
  <c r="S70" i="82"/>
  <c r="S68" i="82"/>
  <c r="Q71" i="82"/>
  <c r="I53" i="95" l="1"/>
  <c r="I55" i="95"/>
  <c r="B90" i="13"/>
  <c r="H9" i="13"/>
  <c r="C39" i="20" s="1"/>
  <c r="I56" i="13"/>
  <c r="B95" i="6"/>
  <c r="H9" i="6"/>
  <c r="C17" i="20" s="1"/>
  <c r="D17" i="20" s="1"/>
  <c r="S72" i="82"/>
  <c r="S71" i="82"/>
  <c r="I57" i="95" l="1"/>
  <c r="H9" i="95"/>
  <c r="B90" i="95"/>
  <c r="I56" i="95"/>
  <c r="D39" i="20"/>
  <c r="A6" i="20"/>
  <c r="C37" i="20" l="1"/>
  <c r="D37" i="20" s="1"/>
  <c r="K21" i="95"/>
  <c r="K51" i="95" s="1"/>
  <c r="K53" i="95" s="1"/>
  <c r="K55" i="95" s="1"/>
  <c r="S69" i="109"/>
  <c r="S71" i="109" s="1"/>
  <c r="S73" i="109" s="1"/>
  <c r="Q69" i="109"/>
  <c r="Q71" i="109" s="1"/>
  <c r="Q73" i="109" s="1"/>
  <c r="O69" i="109"/>
  <c r="M69" i="109"/>
  <c r="M71" i="109" s="1"/>
  <c r="M73" i="109" s="1"/>
  <c r="K69" i="109"/>
  <c r="I69" i="109"/>
  <c r="B19" i="109"/>
  <c r="B18" i="109"/>
  <c r="B17" i="109"/>
  <c r="B16" i="109"/>
  <c r="B15" i="109"/>
  <c r="B14" i="109"/>
  <c r="B13" i="109"/>
  <c r="B12" i="109"/>
  <c r="B11" i="109"/>
  <c r="J9" i="95" l="1"/>
  <c r="K56" i="95"/>
  <c r="O71" i="109"/>
  <c r="O73" i="109" s="1"/>
  <c r="P8" i="109"/>
  <c r="L8" i="109"/>
  <c r="R8" i="109"/>
  <c r="I71" i="109"/>
  <c r="I73" i="109" s="1"/>
  <c r="K71" i="109"/>
  <c r="K73" i="109" s="1"/>
  <c r="N8" i="109" l="1"/>
  <c r="J8" i="109"/>
  <c r="H8" i="109"/>
  <c r="CR46" i="108"/>
  <c r="CJ46" i="108"/>
  <c r="CB46" i="108"/>
  <c r="BT46" i="108"/>
  <c r="BL46" i="108"/>
  <c r="BD46" i="108"/>
  <c r="AV46" i="108"/>
  <c r="AN46" i="108"/>
  <c r="AF46" i="108"/>
  <c r="X46" i="108"/>
  <c r="P46" i="108"/>
  <c r="H46" i="108"/>
  <c r="CU46" i="108" s="1"/>
  <c r="CR45" i="108"/>
  <c r="CJ45" i="108"/>
  <c r="CU45" i="108" s="1"/>
  <c r="CB45" i="108"/>
  <c r="BT45" i="108"/>
  <c r="BL45" i="108"/>
  <c r="BD45" i="108"/>
  <c r="AV45" i="108"/>
  <c r="AN45" i="108"/>
  <c r="AF45" i="108"/>
  <c r="X45" i="108"/>
  <c r="P45" i="108"/>
  <c r="H45" i="108"/>
  <c r="CR44" i="108"/>
  <c r="CJ44" i="108"/>
  <c r="CB44" i="108"/>
  <c r="BT44" i="108"/>
  <c r="BL44" i="108"/>
  <c r="CU44" i="108" s="1"/>
  <c r="BD44" i="108"/>
  <c r="AV44" i="108"/>
  <c r="AN44" i="108"/>
  <c r="AF44" i="108"/>
  <c r="X44" i="108"/>
  <c r="P44" i="108"/>
  <c r="H44" i="108"/>
  <c r="CR43" i="108"/>
  <c r="CJ43" i="108"/>
  <c r="CB43" i="108"/>
  <c r="BT43" i="108"/>
  <c r="BL43" i="108"/>
  <c r="BD43" i="108"/>
  <c r="AV43" i="108"/>
  <c r="CU43" i="108" s="1"/>
  <c r="AN43" i="108"/>
  <c r="AF43" i="108"/>
  <c r="X43" i="108"/>
  <c r="P43" i="108"/>
  <c r="H43" i="108"/>
  <c r="CR41" i="108"/>
  <c r="CJ41" i="108"/>
  <c r="CB41" i="108"/>
  <c r="BT41" i="108"/>
  <c r="BL41" i="108"/>
  <c r="BD41" i="108"/>
  <c r="AV41" i="108"/>
  <c r="AN41" i="108"/>
  <c r="AF41" i="108"/>
  <c r="X41" i="108"/>
  <c r="P41" i="108"/>
  <c r="CU41" i="108" s="1"/>
  <c r="H41" i="108"/>
  <c r="CR40" i="108"/>
  <c r="CJ40" i="108"/>
  <c r="CB40" i="108"/>
  <c r="BT40" i="108"/>
  <c r="BL40" i="108"/>
  <c r="BD40" i="108"/>
  <c r="AV40" i="108"/>
  <c r="AN40" i="108"/>
  <c r="AF40" i="108"/>
  <c r="X40" i="108"/>
  <c r="P40" i="108"/>
  <c r="H40" i="108"/>
  <c r="CU40" i="108" s="1"/>
  <c r="CR38" i="108"/>
  <c r="CU38" i="108" s="1"/>
  <c r="CJ38" i="108"/>
  <c r="CB38" i="108"/>
  <c r="BT38" i="108"/>
  <c r="BL38" i="108"/>
  <c r="BD38" i="108"/>
  <c r="AV38" i="108"/>
  <c r="AN38" i="108"/>
  <c r="AF38" i="108"/>
  <c r="X38" i="108"/>
  <c r="P38" i="108"/>
  <c r="H38" i="108"/>
  <c r="CR36" i="108"/>
  <c r="CJ36" i="108"/>
  <c r="CB36" i="108"/>
  <c r="BT36" i="108"/>
  <c r="CU36" i="108" s="1"/>
  <c r="BL36" i="108"/>
  <c r="BD36" i="108"/>
  <c r="AV36" i="108"/>
  <c r="AN36" i="108"/>
  <c r="AF36" i="108"/>
  <c r="X36" i="108"/>
  <c r="P36" i="108"/>
  <c r="H36" i="108"/>
  <c r="CR35" i="108"/>
  <c r="CJ35" i="108"/>
  <c r="CB35" i="108"/>
  <c r="BT35" i="108"/>
  <c r="BL35" i="108"/>
  <c r="BD35" i="108"/>
  <c r="AV35" i="108"/>
  <c r="CU35" i="108" s="1"/>
  <c r="AN35" i="108"/>
  <c r="AF35" i="108"/>
  <c r="X35" i="108"/>
  <c r="P35" i="108"/>
  <c r="H35" i="108"/>
  <c r="CR34" i="108"/>
  <c r="CJ34" i="108"/>
  <c r="CB34" i="108"/>
  <c r="BT34" i="108"/>
  <c r="BL34" i="108"/>
  <c r="BD34" i="108"/>
  <c r="AV34" i="108"/>
  <c r="AN34" i="108"/>
  <c r="AF34" i="108"/>
  <c r="X34" i="108"/>
  <c r="CU34" i="108" s="1"/>
  <c r="P34" i="108"/>
  <c r="H34" i="108"/>
  <c r="CR33" i="108"/>
  <c r="CJ33" i="108"/>
  <c r="CB33" i="108"/>
  <c r="BT33" i="108"/>
  <c r="BL33" i="108"/>
  <c r="BD33" i="108"/>
  <c r="AV33" i="108"/>
  <c r="AN33" i="108"/>
  <c r="AF33" i="108"/>
  <c r="X33" i="108"/>
  <c r="P33" i="108"/>
  <c r="H33" i="108"/>
  <c r="CU33" i="108" s="1"/>
  <c r="CP31" i="108"/>
  <c r="CR31" i="108" s="1"/>
  <c r="CH31" i="108"/>
  <c r="CJ31" i="108" s="1"/>
  <c r="BZ31" i="108"/>
  <c r="CB31" i="108" s="1"/>
  <c r="BT31" i="108"/>
  <c r="BR31" i="108"/>
  <c r="BJ31" i="108"/>
  <c r="BL31" i="108" s="1"/>
  <c r="BB31" i="108"/>
  <c r="BD31" i="108" s="1"/>
  <c r="AT31" i="108"/>
  <c r="AV31" i="108" s="1"/>
  <c r="AL31" i="108"/>
  <c r="AN31" i="108" s="1"/>
  <c r="AD31" i="108"/>
  <c r="AF31" i="108" s="1"/>
  <c r="V31" i="108"/>
  <c r="X31" i="108" s="1"/>
  <c r="N31" i="108"/>
  <c r="P31" i="108" s="1"/>
  <c r="CU31" i="108" s="1"/>
  <c r="H31" i="108"/>
  <c r="F31" i="108"/>
  <c r="CP30" i="108"/>
  <c r="CR30" i="108" s="1"/>
  <c r="CH30" i="108"/>
  <c r="CJ30" i="108" s="1"/>
  <c r="BZ30" i="108"/>
  <c r="CB30" i="108" s="1"/>
  <c r="BT30" i="108"/>
  <c r="BR30" i="108"/>
  <c r="BJ30" i="108"/>
  <c r="BL30" i="108" s="1"/>
  <c r="BB30" i="108"/>
  <c r="BD30" i="108" s="1"/>
  <c r="AT30" i="108"/>
  <c r="AV30" i="108" s="1"/>
  <c r="AL30" i="108"/>
  <c r="AN30" i="108" s="1"/>
  <c r="AD30" i="108"/>
  <c r="AF30" i="108" s="1"/>
  <c r="V30" i="108"/>
  <c r="X30" i="108" s="1"/>
  <c r="N30" i="108"/>
  <c r="P30" i="108" s="1"/>
  <c r="H30" i="108"/>
  <c r="CU30" i="108" s="1"/>
  <c r="F30" i="108"/>
  <c r="CP29" i="108"/>
  <c r="CR29" i="108" s="1"/>
  <c r="CH29" i="108"/>
  <c r="CJ29" i="108" s="1"/>
  <c r="CB29" i="108"/>
  <c r="BZ29" i="108"/>
  <c r="BR29" i="108"/>
  <c r="BT29" i="108" s="1"/>
  <c r="BJ29" i="108"/>
  <c r="BL29" i="108" s="1"/>
  <c r="BB29" i="108"/>
  <c r="BD29" i="108" s="1"/>
  <c r="AT29" i="108"/>
  <c r="AV29" i="108" s="1"/>
  <c r="AL29" i="108"/>
  <c r="AN29" i="108" s="1"/>
  <c r="AD29" i="108"/>
  <c r="AF29" i="108" s="1"/>
  <c r="V29" i="108"/>
  <c r="X29" i="108" s="1"/>
  <c r="P29" i="108"/>
  <c r="N29" i="108"/>
  <c r="F29" i="108"/>
  <c r="H29" i="108" s="1"/>
  <c r="CU29" i="108" s="1"/>
  <c r="CP28" i="108"/>
  <c r="CR28" i="108" s="1"/>
  <c r="CH28" i="108"/>
  <c r="CJ28" i="108" s="1"/>
  <c r="CB28" i="108"/>
  <c r="BZ28" i="108"/>
  <c r="BT28" i="108"/>
  <c r="BR28" i="108"/>
  <c r="BJ28" i="108"/>
  <c r="BL28" i="108" s="1"/>
  <c r="BB28" i="108"/>
  <c r="BD28" i="108" s="1"/>
  <c r="AT28" i="108"/>
  <c r="AV28" i="108" s="1"/>
  <c r="AL28" i="108"/>
  <c r="AN28" i="108" s="1"/>
  <c r="AD28" i="108"/>
  <c r="AF28" i="108" s="1"/>
  <c r="V28" i="108"/>
  <c r="X28" i="108" s="1"/>
  <c r="P28" i="108"/>
  <c r="N28" i="108"/>
  <c r="H28" i="108"/>
  <c r="F28" i="108"/>
  <c r="CP27" i="108"/>
  <c r="CR27" i="108" s="1"/>
  <c r="CJ27" i="108"/>
  <c r="CH27" i="108"/>
  <c r="BZ27" i="108"/>
  <c r="CB27" i="108" s="1"/>
  <c r="BR27" i="108"/>
  <c r="BR7" i="108" s="1"/>
  <c r="BT7" i="108" s="1"/>
  <c r="BJ27" i="108"/>
  <c r="BJ7" i="108" s="1"/>
  <c r="BL7" i="108" s="1"/>
  <c r="BB27" i="108"/>
  <c r="BD27" i="108" s="1"/>
  <c r="AT27" i="108"/>
  <c r="AV27" i="108" s="1"/>
  <c r="AL27" i="108"/>
  <c r="AN27" i="108" s="1"/>
  <c r="AD27" i="108"/>
  <c r="AF27" i="108" s="1"/>
  <c r="X27" i="108"/>
  <c r="V27" i="108"/>
  <c r="N27" i="108"/>
  <c r="P27" i="108" s="1"/>
  <c r="F27" i="108"/>
  <c r="H27" i="108" s="1"/>
  <c r="CP26" i="108"/>
  <c r="CR26" i="108" s="1"/>
  <c r="CJ26" i="108"/>
  <c r="CH26" i="108"/>
  <c r="CB26" i="108"/>
  <c r="BZ26" i="108"/>
  <c r="BR26" i="108"/>
  <c r="BT26" i="108" s="1"/>
  <c r="BJ26" i="108"/>
  <c r="BL26" i="108" s="1"/>
  <c r="BB26" i="108"/>
  <c r="BD26" i="108" s="1"/>
  <c r="AT26" i="108"/>
  <c r="AV26" i="108" s="1"/>
  <c r="AL26" i="108"/>
  <c r="AN26" i="108" s="1"/>
  <c r="AD26" i="108"/>
  <c r="AF26" i="108" s="1"/>
  <c r="X26" i="108"/>
  <c r="V26" i="108"/>
  <c r="P26" i="108"/>
  <c r="N26" i="108"/>
  <c r="F26" i="108"/>
  <c r="H26" i="108" s="1"/>
  <c r="CR25" i="108"/>
  <c r="CJ25" i="108"/>
  <c r="CB25" i="108"/>
  <c r="BT25" i="108"/>
  <c r="BL25" i="108"/>
  <c r="BD25" i="108"/>
  <c r="AV25" i="108"/>
  <c r="AN25" i="108"/>
  <c r="AF25" i="108"/>
  <c r="X25" i="108"/>
  <c r="CU25" i="108" s="1"/>
  <c r="P25" i="108"/>
  <c r="H25" i="108"/>
  <c r="CR24" i="108"/>
  <c r="CJ24" i="108"/>
  <c r="CB24" i="108"/>
  <c r="BT24" i="108"/>
  <c r="BL24" i="108"/>
  <c r="BD24" i="108"/>
  <c r="AV24" i="108"/>
  <c r="AN24" i="108"/>
  <c r="AF24" i="108"/>
  <c r="X24" i="108"/>
  <c r="P24" i="108"/>
  <c r="H24" i="108"/>
  <c r="CU24" i="108" s="1"/>
  <c r="CU23" i="108"/>
  <c r="CR23" i="108"/>
  <c r="CJ23" i="108"/>
  <c r="CB23" i="108"/>
  <c r="BT23" i="108"/>
  <c r="BL23" i="108"/>
  <c r="BD23" i="108"/>
  <c r="AV23" i="108"/>
  <c r="AN23" i="108"/>
  <c r="AF23" i="108"/>
  <c r="X23" i="108"/>
  <c r="P23" i="108"/>
  <c r="H23" i="108"/>
  <c r="CR21" i="108"/>
  <c r="CJ21" i="108"/>
  <c r="CB21" i="108"/>
  <c r="CU21" i="108" s="1"/>
  <c r="BT21" i="108"/>
  <c r="BL21" i="108"/>
  <c r="BD21" i="108"/>
  <c r="AV21" i="108"/>
  <c r="AN21" i="108"/>
  <c r="AF21" i="108"/>
  <c r="X21" i="108"/>
  <c r="P21" i="108"/>
  <c r="H21" i="108"/>
  <c r="CR20" i="108"/>
  <c r="CJ20" i="108"/>
  <c r="CB20" i="108"/>
  <c r="BT20" i="108"/>
  <c r="BL20" i="108"/>
  <c r="BD20" i="108"/>
  <c r="CU20" i="108" s="1"/>
  <c r="AV20" i="108"/>
  <c r="AN20" i="108"/>
  <c r="AF20" i="108"/>
  <c r="X20" i="108"/>
  <c r="P20" i="108"/>
  <c r="H20" i="108"/>
  <c r="CR19" i="108"/>
  <c r="CJ19" i="108"/>
  <c r="CB19" i="108"/>
  <c r="BT19" i="108"/>
  <c r="BL19" i="108"/>
  <c r="BD19" i="108"/>
  <c r="AV19" i="108"/>
  <c r="AN19" i="108"/>
  <c r="AF19" i="108"/>
  <c r="CU19" i="108" s="1"/>
  <c r="X19" i="108"/>
  <c r="CR18" i="108"/>
  <c r="CJ18" i="108"/>
  <c r="CB18" i="108"/>
  <c r="BT18" i="108"/>
  <c r="BL18" i="108"/>
  <c r="BD18" i="108"/>
  <c r="AV18" i="108"/>
  <c r="AN18" i="108"/>
  <c r="AF18" i="108"/>
  <c r="X18" i="108"/>
  <c r="P18" i="108"/>
  <c r="H18" i="108"/>
  <c r="CU18" i="108" s="1"/>
  <c r="CR17" i="108"/>
  <c r="CU17" i="108" s="1"/>
  <c r="CJ17" i="108"/>
  <c r="CB17" i="108"/>
  <c r="BT17" i="108"/>
  <c r="BL17" i="108"/>
  <c r="BD17" i="108"/>
  <c r="AV17" i="108"/>
  <c r="AN17" i="108"/>
  <c r="AF17" i="108"/>
  <c r="X17" i="108"/>
  <c r="P17" i="108"/>
  <c r="H17" i="108"/>
  <c r="CR15" i="108"/>
  <c r="CJ15" i="108"/>
  <c r="CB15" i="108"/>
  <c r="BT15" i="108"/>
  <c r="CU15" i="108" s="1"/>
  <c r="BL15" i="108"/>
  <c r="BD15" i="108"/>
  <c r="AV15" i="108"/>
  <c r="AN15" i="108"/>
  <c r="AF15" i="108"/>
  <c r="X15" i="108"/>
  <c r="P15" i="108"/>
  <c r="H15" i="108"/>
  <c r="CR14" i="108"/>
  <c r="CJ14" i="108"/>
  <c r="CB14" i="108"/>
  <c r="BT14" i="108"/>
  <c r="BL14" i="108"/>
  <c r="BD14" i="108"/>
  <c r="AV14" i="108"/>
  <c r="CU14" i="108" s="1"/>
  <c r="AN14" i="108"/>
  <c r="AF14" i="108"/>
  <c r="X14" i="108"/>
  <c r="P14" i="108"/>
  <c r="H14" i="108"/>
  <c r="CR13" i="108"/>
  <c r="CJ13" i="108"/>
  <c r="CB13" i="108"/>
  <c r="BT13" i="108"/>
  <c r="BL13" i="108"/>
  <c r="BD13" i="108"/>
  <c r="AV13" i="108"/>
  <c r="AN13" i="108"/>
  <c r="AF13" i="108"/>
  <c r="X13" i="108"/>
  <c r="CU13" i="108" s="1"/>
  <c r="P13" i="108"/>
  <c r="H13" i="108"/>
  <c r="CR12" i="108"/>
  <c r="CJ12" i="108"/>
  <c r="CB12" i="108"/>
  <c r="BT12" i="108"/>
  <c r="BL12" i="108"/>
  <c r="BD12" i="108"/>
  <c r="AV12" i="108"/>
  <c r="AN12" i="108"/>
  <c r="AF12" i="108"/>
  <c r="X12" i="108"/>
  <c r="P12" i="108"/>
  <c r="H12" i="108"/>
  <c r="CU12" i="108" s="1"/>
  <c r="CU11" i="108"/>
  <c r="CR11" i="108"/>
  <c r="CJ11" i="108"/>
  <c r="CB11" i="108"/>
  <c r="BT11" i="108"/>
  <c r="BL11" i="108"/>
  <c r="BD11" i="108"/>
  <c r="AV11" i="108"/>
  <c r="AN11" i="108"/>
  <c r="AF11" i="108"/>
  <c r="X11" i="108"/>
  <c r="P11" i="108"/>
  <c r="H11" i="108"/>
  <c r="CR10" i="108"/>
  <c r="CJ10" i="108"/>
  <c r="CB10" i="108"/>
  <c r="CU10" i="108" s="1"/>
  <c r="BT10" i="108"/>
  <c r="BL10" i="108"/>
  <c r="BD10" i="108"/>
  <c r="AV10" i="108"/>
  <c r="AN10" i="108"/>
  <c r="AF10" i="108"/>
  <c r="X10" i="108"/>
  <c r="P10" i="108"/>
  <c r="H10" i="108"/>
  <c r="CP7" i="108"/>
  <c r="CR7" i="108" s="1"/>
  <c r="CH7" i="108"/>
  <c r="CJ7" i="108" s="1"/>
  <c r="BZ7" i="108"/>
  <c r="CB7" i="108" s="1"/>
  <c r="AV7" i="108"/>
  <c r="AT7" i="108"/>
  <c r="AL7" i="108"/>
  <c r="AN7" i="108" s="1"/>
  <c r="AD7" i="108"/>
  <c r="AF7" i="108" s="1"/>
  <c r="V7" i="108"/>
  <c r="X7" i="108" s="1"/>
  <c r="N7" i="108"/>
  <c r="P7" i="108" s="1"/>
  <c r="CR6" i="108"/>
  <c r="CJ6" i="108"/>
  <c r="CB6" i="108"/>
  <c r="BT6" i="108"/>
  <c r="BL6" i="108"/>
  <c r="BD6" i="108"/>
  <c r="AV6" i="108"/>
  <c r="AN6" i="108"/>
  <c r="AF6" i="108"/>
  <c r="X6" i="108"/>
  <c r="P6" i="108"/>
  <c r="H6" i="108"/>
  <c r="CU6" i="108" s="1"/>
  <c r="CU5" i="108"/>
  <c r="CR5" i="108"/>
  <c r="CJ5" i="108"/>
  <c r="CB5" i="108"/>
  <c r="BT5" i="108"/>
  <c r="BL5" i="108"/>
  <c r="BD5" i="108"/>
  <c r="AV5" i="108"/>
  <c r="AN5" i="108"/>
  <c r="AF5" i="108"/>
  <c r="X5" i="108"/>
  <c r="P5" i="108"/>
  <c r="H5" i="108"/>
  <c r="CR4" i="108"/>
  <c r="CJ4" i="108"/>
  <c r="CB4" i="108"/>
  <c r="CU4" i="108" s="1"/>
  <c r="BT4" i="108"/>
  <c r="BL4" i="108"/>
  <c r="BD4" i="108"/>
  <c r="AV4" i="108"/>
  <c r="AN4" i="108"/>
  <c r="AF4" i="108"/>
  <c r="X4" i="108"/>
  <c r="P4" i="108"/>
  <c r="H4" i="108"/>
  <c r="CR2" i="108"/>
  <c r="CJ2" i="108"/>
  <c r="CB2" i="108"/>
  <c r="BT2" i="108"/>
  <c r="BL2" i="108"/>
  <c r="BD2" i="108"/>
  <c r="CU2" i="108" s="1"/>
  <c r="AV2" i="108"/>
  <c r="AN2" i="108"/>
  <c r="AF2" i="108"/>
  <c r="X2" i="108"/>
  <c r="P2" i="108"/>
  <c r="H2" i="108"/>
  <c r="G206" i="107"/>
  <c r="G205" i="107"/>
  <c r="G204" i="107"/>
  <c r="G203" i="107"/>
  <c r="G202" i="107"/>
  <c r="G201" i="107"/>
  <c r="G200" i="107"/>
  <c r="G197" i="107"/>
  <c r="G196" i="107"/>
  <c r="G195" i="107"/>
  <c r="G194" i="107"/>
  <c r="G193" i="107"/>
  <c r="G192" i="107"/>
  <c r="G191" i="107"/>
  <c r="G190" i="107"/>
  <c r="G189" i="107"/>
  <c r="G188" i="107"/>
  <c r="G187" i="107"/>
  <c r="G184" i="107"/>
  <c r="G183" i="107"/>
  <c r="G182" i="107"/>
  <c r="G181" i="107"/>
  <c r="G180" i="107"/>
  <c r="G177" i="107"/>
  <c r="G176" i="107"/>
  <c r="G175" i="107"/>
  <c r="G174" i="107"/>
  <c r="G173" i="107"/>
  <c r="G172" i="107"/>
  <c r="G171" i="107"/>
  <c r="G170" i="107"/>
  <c r="G169" i="107"/>
  <c r="CU28" i="108" l="1"/>
  <c r="CU26" i="108"/>
  <c r="BL27" i="108"/>
  <c r="CU27" i="108" s="1"/>
  <c r="BT27" i="108"/>
  <c r="BB7" i="108"/>
  <c r="BD7" i="108" s="1"/>
  <c r="F7" i="108"/>
  <c r="H7" i="108" s="1"/>
  <c r="CU7" i="108" s="1"/>
  <c r="S54" i="90" l="1"/>
  <c r="Q54" i="90"/>
  <c r="Q56" i="90" s="1"/>
  <c r="O54" i="90"/>
  <c r="M54" i="90"/>
  <c r="M56" i="90" s="1"/>
  <c r="K54" i="90"/>
  <c r="S50" i="92"/>
  <c r="S48" i="92"/>
  <c r="Q48" i="92"/>
  <c r="O48" i="92"/>
  <c r="M48" i="92"/>
  <c r="M50" i="92" s="1"/>
  <c r="K48" i="92"/>
  <c r="K50" i="92" s="1"/>
  <c r="S47" i="85"/>
  <c r="Q47" i="85"/>
  <c r="O47" i="85"/>
  <c r="M47" i="85"/>
  <c r="M49" i="85" s="1"/>
  <c r="K47" i="85"/>
  <c r="K49" i="85" s="1"/>
  <c r="K51" i="85" s="1"/>
  <c r="S66" i="79"/>
  <c r="Q66" i="79"/>
  <c r="Q68" i="79" s="1"/>
  <c r="Q70" i="79" s="1"/>
  <c r="O66" i="79"/>
  <c r="O68" i="79" s="1"/>
  <c r="M66" i="79"/>
  <c r="K66" i="79"/>
  <c r="O66" i="82"/>
  <c r="O68" i="82" s="1"/>
  <c r="M66" i="82"/>
  <c r="M68" i="82" s="1"/>
  <c r="K66" i="82"/>
  <c r="S52" i="92" l="1"/>
  <c r="K52" i="92"/>
  <c r="K56" i="90"/>
  <c r="K58" i="90" s="1"/>
  <c r="O56" i="90"/>
  <c r="O58" i="90" s="1"/>
  <c r="Q58" i="90"/>
  <c r="S56" i="90"/>
  <c r="S58" i="90" s="1"/>
  <c r="M58" i="90"/>
  <c r="Q50" i="92"/>
  <c r="Q52" i="92" s="1"/>
  <c r="O50" i="92"/>
  <c r="O52" i="92" s="1"/>
  <c r="M52" i="92"/>
  <c r="S49" i="85"/>
  <c r="S51" i="85" s="1"/>
  <c r="Q49" i="85"/>
  <c r="Q51" i="85" s="1"/>
  <c r="O49" i="85"/>
  <c r="O51" i="85" s="1"/>
  <c r="M51" i="85"/>
  <c r="S68" i="79"/>
  <c r="S70" i="79" s="1"/>
  <c r="O70" i="79"/>
  <c r="M68" i="79"/>
  <c r="M70" i="79" s="1"/>
  <c r="K68" i="79"/>
  <c r="K70" i="79" s="1"/>
  <c r="O70" i="82"/>
  <c r="M70" i="82"/>
  <c r="K68" i="82"/>
  <c r="K70" i="82" s="1"/>
  <c r="I54" i="90" l="1"/>
  <c r="B19" i="90"/>
  <c r="B18" i="90"/>
  <c r="B17" i="90"/>
  <c r="B16" i="90"/>
  <c r="B15" i="90"/>
  <c r="B14" i="90"/>
  <c r="B13" i="90"/>
  <c r="B12" i="90"/>
  <c r="B11" i="90"/>
  <c r="R8" i="90"/>
  <c r="P8" i="90"/>
  <c r="L8" i="90" l="1"/>
  <c r="N8" i="90"/>
  <c r="J8" i="90"/>
  <c r="I56" i="90"/>
  <c r="I58" i="90" s="1"/>
  <c r="I48" i="92"/>
  <c r="B19" i="92"/>
  <c r="B18" i="92"/>
  <c r="B17" i="92"/>
  <c r="B16" i="92"/>
  <c r="B15" i="92"/>
  <c r="B14" i="92"/>
  <c r="B13" i="92"/>
  <c r="B12" i="92"/>
  <c r="B11" i="92"/>
  <c r="R8" i="92"/>
  <c r="P8" i="92"/>
  <c r="I47" i="85"/>
  <c r="B19" i="85"/>
  <c r="B18" i="85"/>
  <c r="B17" i="85"/>
  <c r="B16" i="85"/>
  <c r="B15" i="85"/>
  <c r="B14" i="85"/>
  <c r="B13" i="85"/>
  <c r="B12" i="85"/>
  <c r="B11" i="85"/>
  <c r="R8" i="85"/>
  <c r="P8" i="85"/>
  <c r="I66" i="79"/>
  <c r="B19" i="79"/>
  <c r="B18" i="79"/>
  <c r="B17" i="79"/>
  <c r="B16" i="79"/>
  <c r="B15" i="79"/>
  <c r="B14" i="79"/>
  <c r="B13" i="79"/>
  <c r="B12" i="79"/>
  <c r="B11" i="79"/>
  <c r="R8" i="79"/>
  <c r="P8" i="79"/>
  <c r="I66" i="82"/>
  <c r="B19" i="82"/>
  <c r="B18" i="82"/>
  <c r="B17" i="82"/>
  <c r="B16" i="82"/>
  <c r="B15" i="82"/>
  <c r="B14" i="82"/>
  <c r="B13" i="82"/>
  <c r="B12" i="82"/>
  <c r="B11" i="82"/>
  <c r="R8" i="82"/>
  <c r="H8" i="90" l="1"/>
  <c r="J8" i="92"/>
  <c r="L8" i="92"/>
  <c r="N8" i="92"/>
  <c r="I50" i="92"/>
  <c r="I52" i="92" s="1"/>
  <c r="I49" i="85"/>
  <c r="I51" i="85" s="1"/>
  <c r="J8" i="79"/>
  <c r="L8" i="79"/>
  <c r="N8" i="79"/>
  <c r="I68" i="79"/>
  <c r="I70" i="79" s="1"/>
  <c r="L8" i="82"/>
  <c r="N8" i="82"/>
  <c r="J8" i="82"/>
  <c r="I68" i="82"/>
  <c r="I70" i="82" s="1"/>
  <c r="H8" i="92" l="1"/>
  <c r="H8" i="85"/>
  <c r="N8" i="85"/>
  <c r="L8" i="85"/>
  <c r="J8" i="85"/>
  <c r="H8" i="79"/>
  <c r="H8" i="82"/>
  <c r="S41" i="68" l="1"/>
  <c r="S43" i="68" s="1"/>
  <c r="S45" i="68" s="1"/>
  <c r="Q41" i="68"/>
  <c r="Q43" i="68" s="1"/>
  <c r="Q45" i="68" s="1"/>
  <c r="O41" i="68"/>
  <c r="O43" i="68" s="1"/>
  <c r="O45" i="68" s="1"/>
  <c r="M41" i="68"/>
  <c r="M43" i="68" s="1"/>
  <c r="M45" i="68" s="1"/>
  <c r="K41" i="68"/>
  <c r="K43" i="68" s="1"/>
  <c r="I41" i="68"/>
  <c r="B19" i="68"/>
  <c r="B18" i="68"/>
  <c r="B17" i="68"/>
  <c r="B16" i="68"/>
  <c r="B15" i="68"/>
  <c r="B14" i="68"/>
  <c r="B13" i="68"/>
  <c r="B12" i="68"/>
  <c r="B11" i="68"/>
  <c r="A10" i="49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6" i="49"/>
  <c r="K45" i="68" l="1"/>
  <c r="I43" i="68"/>
  <c r="I45" i="68" s="1"/>
  <c r="C47" i="21" l="1"/>
  <c r="C46" i="21"/>
  <c r="C49" i="21" l="1"/>
  <c r="C27" i="49" l="1"/>
  <c r="I41" i="130" l="1"/>
  <c r="I53" i="130" s="1"/>
  <c r="G53" i="130"/>
  <c r="I55" i="130" l="1"/>
  <c r="I57" i="130" s="1"/>
  <c r="G55" i="130"/>
  <c r="G57" i="130" s="1"/>
  <c r="G58" i="130" s="1"/>
  <c r="B92" i="130" l="1"/>
  <c r="H9" i="130"/>
  <c r="C34" i="20" s="1"/>
  <c r="I58" i="130"/>
  <c r="D34" i="20" l="1"/>
  <c r="C56" i="20"/>
  <c r="C57" i="20" l="1"/>
  <c r="C58" i="20" s="1"/>
  <c r="D60" i="20" l="1"/>
  <c r="D85" i="20" s="1"/>
  <c r="D59" i="20"/>
  <c r="D84" i="20" s="1"/>
  <c r="C61" i="20"/>
  <c r="C62" i="20" s="1"/>
  <c r="C82" i="20" l="1"/>
  <c r="C83" i="20" s="1"/>
  <c r="C86" i="20" l="1"/>
  <c r="C85" i="20"/>
  <c r="C84" i="20"/>
  <c r="C87" i="20" l="1"/>
  <c r="C89" i="20" l="1"/>
  <c r="C90" i="20" s="1"/>
  <c r="C91" i="20" s="1"/>
  <c r="C88" i="20" s="1"/>
  <c r="D91" i="20" l="1"/>
  <c r="D97" i="20" s="1"/>
  <c r="C97" i="20"/>
  <c r="D94" i="20"/>
  <c r="D93" i="20"/>
  <c r="C63" i="20"/>
  <c r="C64" i="20"/>
  <c r="C65" i="20"/>
  <c r="C66" i="20"/>
  <c r="D66" i="20"/>
  <c r="D68" i="20"/>
  <c r="D69" i="20"/>
  <c r="D71" i="20"/>
  <c r="C96" i="20"/>
  <c r="D96" i="20"/>
  <c r="C98" i="20"/>
  <c r="D98" i="20"/>
  <c r="D99" i="20"/>
  <c r="D100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Hutchins</author>
  </authors>
  <commentList>
    <comment ref="N64" authorId="0" shapeId="0" xr:uid="{B14F35A6-CE0B-42A6-A358-C301D5B3760D}">
      <text>
        <r>
          <rPr>
            <b/>
            <sz val="9"/>
            <color indexed="81"/>
            <rFont val="Tahoma"/>
            <family val="2"/>
          </rPr>
          <t>Ryan Hutchins:</t>
        </r>
        <r>
          <rPr>
            <sz val="9"/>
            <color indexed="81"/>
            <rFont val="Tahoma"/>
            <family val="2"/>
          </rPr>
          <t xml:space="preserve">
Lets update. Please referfnece vender and quote date for tracking purposes</t>
        </r>
      </text>
    </comment>
  </commentList>
</comments>
</file>

<file path=xl/sharedStrings.xml><?xml version="1.0" encoding="utf-8"?>
<sst xmlns="http://schemas.openxmlformats.org/spreadsheetml/2006/main" count="6026" uniqueCount="976">
  <si>
    <t>PROJECT AREA CALCULATIONS</t>
  </si>
  <si>
    <t>Bourbon Hotel Orlando</t>
  </si>
  <si>
    <t>Orlando</t>
  </si>
  <si>
    <t>Gross (sf)</t>
  </si>
  <si>
    <t>AC (sf)</t>
  </si>
  <si>
    <t>Site (acres)</t>
  </si>
  <si>
    <t>Parking Spaces</t>
  </si>
  <si>
    <t>Rooms</t>
  </si>
  <si>
    <t>penthouse</t>
  </si>
  <si>
    <t>suite</t>
  </si>
  <si>
    <t>standard</t>
  </si>
  <si>
    <t>No. of Rooms</t>
  </si>
  <si>
    <t>Build Duration (months)</t>
  </si>
  <si>
    <t>I.</t>
  </si>
  <si>
    <t>Floors</t>
  </si>
  <si>
    <t>Units</t>
  </si>
  <si>
    <t>AC SF</t>
  </si>
  <si>
    <t>Gross SF</t>
  </si>
  <si>
    <t>LSF</t>
  </si>
  <si>
    <t>Garage Level</t>
  </si>
  <si>
    <t>Restaurant</t>
  </si>
  <si>
    <t>Restaurant Roof Garden</t>
  </si>
  <si>
    <t>Level 1 Hotel</t>
  </si>
  <si>
    <t>Level 2 thru 6</t>
  </si>
  <si>
    <t>Level 7</t>
  </si>
  <si>
    <t>Level 7 Terrace</t>
  </si>
  <si>
    <t>Bridge</t>
  </si>
  <si>
    <t>TOTAL</t>
  </si>
  <si>
    <t>total</t>
  </si>
  <si>
    <t>garage</t>
  </si>
  <si>
    <t>ground</t>
  </si>
  <si>
    <t>2nd</t>
  </si>
  <si>
    <t>3rd</t>
  </si>
  <si>
    <t>4th - 6th</t>
  </si>
  <si>
    <t>7th</t>
  </si>
  <si>
    <t>Corridors</t>
  </si>
  <si>
    <t>IV.</t>
  </si>
  <si>
    <t>Corridors / Stairs</t>
  </si>
  <si>
    <t>III.</t>
  </si>
  <si>
    <t>Elevator</t>
  </si>
  <si>
    <t>Stairs</t>
  </si>
  <si>
    <t>BOH / Service</t>
  </si>
  <si>
    <t>MEP</t>
  </si>
  <si>
    <t>Lobby / Reception</t>
  </si>
  <si>
    <t>Restaurant / Spa / Amenity</t>
  </si>
  <si>
    <t>Meeting</t>
  </si>
  <si>
    <t>Restrooms</t>
  </si>
  <si>
    <t>Terrace</t>
  </si>
  <si>
    <t>Bridge 2</t>
  </si>
  <si>
    <t>SF</t>
  </si>
  <si>
    <t>Bridge 3</t>
  </si>
  <si>
    <t>Elevation - Back</t>
  </si>
  <si>
    <t>Elevation - Front</t>
  </si>
  <si>
    <t>Elevation - Left</t>
  </si>
  <si>
    <t>Elevation - Right</t>
  </si>
  <si>
    <t>Fountain</t>
  </si>
  <si>
    <t>EA</t>
  </si>
  <si>
    <t>LF</t>
  </si>
  <si>
    <t>Hotel - Prep Kitchen - Lev 2</t>
  </si>
  <si>
    <t>Level 1</t>
  </si>
  <si>
    <t>Level 1 Terrace</t>
  </si>
  <si>
    <t>Level 2</t>
  </si>
  <si>
    <t>Level 3</t>
  </si>
  <si>
    <t>Level 3 Terrace</t>
  </si>
  <si>
    <t>Level 4 thru 6</t>
  </si>
  <si>
    <t>Pool</t>
  </si>
  <si>
    <t>Pool Deck</t>
  </si>
  <si>
    <t>Pool Deck - lower</t>
  </si>
  <si>
    <t>Restaraunt - Level 1</t>
  </si>
  <si>
    <t>Restaraunt - Level Mezz</t>
  </si>
  <si>
    <t>Restaraunt - Level Roof</t>
  </si>
  <si>
    <t>Restaraunt - Roof Garden</t>
  </si>
  <si>
    <t>Site</t>
  </si>
  <si>
    <t>Space- Bar / Lounge</t>
  </si>
  <si>
    <t>Space- Cafe / Deli</t>
  </si>
  <si>
    <t>Space- Destination Club</t>
  </si>
  <si>
    <t>Space- Corridor</t>
  </si>
  <si>
    <t>Space- Elevator</t>
  </si>
  <si>
    <t>Space- Gelato</t>
  </si>
  <si>
    <t>Space- KIBO / Lounge (7)</t>
  </si>
  <si>
    <t>Space- Kids Area</t>
  </si>
  <si>
    <t>Space- Lobby / Reception</t>
  </si>
  <si>
    <t>Space- Meeting - Lev 2</t>
  </si>
  <si>
    <t>Space- MEP</t>
  </si>
  <si>
    <t>Space- Pre-Function</t>
  </si>
  <si>
    <t>Space- Restrooms (1)</t>
  </si>
  <si>
    <t>Space- Retail</t>
  </si>
  <si>
    <t>Space- Service</t>
  </si>
  <si>
    <t>Space- Spa / Fitness (7)</t>
  </si>
  <si>
    <t>Space- Stair</t>
  </si>
  <si>
    <t>Water Feature Lobby</t>
  </si>
  <si>
    <t>Water Features</t>
  </si>
  <si>
    <t>Water Features - shallow</t>
  </si>
  <si>
    <t>Allowances</t>
  </si>
  <si>
    <t>NO.</t>
  </si>
  <si>
    <t>DESCRIPTION</t>
  </si>
  <si>
    <t>VALUE</t>
  </si>
  <si>
    <t>Total</t>
  </si>
  <si>
    <t>*All ALLOWANCES IN BID TABS MUST BE LISTED HERE</t>
  </si>
  <si>
    <t xml:space="preserve"> </t>
  </si>
  <si>
    <t>List of Drawings</t>
  </si>
  <si>
    <t>SHEET  NO.</t>
  </si>
  <si>
    <t>DATE</t>
  </si>
  <si>
    <t>Conceptual Estimate - Cost Summary</t>
  </si>
  <si>
    <t>CSI</t>
  </si>
  <si>
    <t>CSI DESCRIPTION</t>
  </si>
  <si>
    <t>$/</t>
  </si>
  <si>
    <t>02 21 00</t>
  </si>
  <si>
    <t>Surveying</t>
  </si>
  <si>
    <t>ACRE</t>
  </si>
  <si>
    <t>02 41 00</t>
  </si>
  <si>
    <t>Demolition</t>
  </si>
  <si>
    <t>GSF</t>
  </si>
  <si>
    <t>03 30 00</t>
  </si>
  <si>
    <t>Concrete &amp; CMU</t>
  </si>
  <si>
    <t>04 40 00</t>
  </si>
  <si>
    <t>Stone Cladding</t>
  </si>
  <si>
    <t>05 30 00</t>
  </si>
  <si>
    <t>Structural Steel</t>
  </si>
  <si>
    <t>05 52 00</t>
  </si>
  <si>
    <t>Miscellaneous Metals</t>
  </si>
  <si>
    <t>Railings - Glass</t>
  </si>
  <si>
    <t>06 10 00</t>
  </si>
  <si>
    <t>Rough Carpentry</t>
  </si>
  <si>
    <t>06 50 00</t>
  </si>
  <si>
    <t>Millwork</t>
  </si>
  <si>
    <t>Inc Buildout Cost</t>
  </si>
  <si>
    <t>07 17 00</t>
  </si>
  <si>
    <t>Waterproofing &amp; Caulking</t>
  </si>
  <si>
    <t>07 21 00</t>
  </si>
  <si>
    <t>Sound Insulation</t>
  </si>
  <si>
    <t>07 42 00</t>
  </si>
  <si>
    <t>Metal Panel</t>
  </si>
  <si>
    <t>07 50 00</t>
  </si>
  <si>
    <t>Roofing</t>
  </si>
  <si>
    <t>08 12 70</t>
  </si>
  <si>
    <t>Doors, Frames, &amp; Hardware</t>
  </si>
  <si>
    <t>08 50 00</t>
  </si>
  <si>
    <t>Storefront &amp; Curtainwall</t>
  </si>
  <si>
    <t>Interior Glazing</t>
  </si>
  <si>
    <t>09 29 00</t>
  </si>
  <si>
    <t>Exterior Wall Framing</t>
  </si>
  <si>
    <t>Drywall</t>
  </si>
  <si>
    <t>09 51 00</t>
  </si>
  <si>
    <t>Acoustical Ceilings</t>
  </si>
  <si>
    <t>09 60 00</t>
  </si>
  <si>
    <t>Flooring</t>
  </si>
  <si>
    <t>09 90 00</t>
  </si>
  <si>
    <t>Painting - Exterior</t>
  </si>
  <si>
    <t>Painting - Interior</t>
  </si>
  <si>
    <t>10 28 00</t>
  </si>
  <si>
    <t>Specialties</t>
  </si>
  <si>
    <t>10 53 00</t>
  </si>
  <si>
    <t>Signage</t>
  </si>
  <si>
    <t>10 73 00</t>
  </si>
  <si>
    <t>Canopies / Trellis</t>
  </si>
  <si>
    <t>13 11 00</t>
  </si>
  <si>
    <t>Pool &amp; Water Features</t>
  </si>
  <si>
    <t>14 00 00</t>
  </si>
  <si>
    <t>Elevators</t>
  </si>
  <si>
    <t>14 91 00</t>
  </si>
  <si>
    <t>Laundry Chute</t>
  </si>
  <si>
    <t>21 13 00</t>
  </si>
  <si>
    <t xml:space="preserve">Fire Protection Systems </t>
  </si>
  <si>
    <t>22 00 00</t>
  </si>
  <si>
    <t>Plumbing</t>
  </si>
  <si>
    <t>23 00 00</t>
  </si>
  <si>
    <t>HVAC</t>
  </si>
  <si>
    <t>26 00 00</t>
  </si>
  <si>
    <t xml:space="preserve">Electrical </t>
  </si>
  <si>
    <t>31 30 00</t>
  </si>
  <si>
    <t>Sitework</t>
  </si>
  <si>
    <t>32 14 00</t>
  </si>
  <si>
    <t>Hardscape</t>
  </si>
  <si>
    <t>32 80 00</t>
  </si>
  <si>
    <t>Landscape</t>
  </si>
  <si>
    <t>Build-Out (Div 6 thru 11):</t>
  </si>
  <si>
    <t>Guestroom Interior Buildout - 296 Guestrooms</t>
  </si>
  <si>
    <t>Key</t>
  </si>
  <si>
    <t>sf</t>
  </si>
  <si>
    <t>key</t>
  </si>
  <si>
    <t>Corridors / Common Area</t>
  </si>
  <si>
    <t>General Event / Amenity Space</t>
  </si>
  <si>
    <t>Back of House</t>
  </si>
  <si>
    <t>Retail - White Box</t>
  </si>
  <si>
    <t>Hotel - Prep Kitchen</t>
  </si>
  <si>
    <t>Bar / Lounge</t>
  </si>
  <si>
    <t>Destination Club</t>
  </si>
  <si>
    <t xml:space="preserve"> SUB-TOTAL</t>
  </si>
  <si>
    <t>Construction Contingency</t>
  </si>
  <si>
    <t>General Conditions</t>
  </si>
  <si>
    <t>General Requirements</t>
  </si>
  <si>
    <t>Subcontractor Default Insurance</t>
  </si>
  <si>
    <t>OCIP (DIC)</t>
  </si>
  <si>
    <t>Procore</t>
  </si>
  <si>
    <t>SUB-TOTAL</t>
  </si>
  <si>
    <t>Construction Fee</t>
  </si>
  <si>
    <t>TOTAL CONSTRUCTION COST</t>
  </si>
  <si>
    <t>Gross (sf) / Cost Per Gross SF</t>
  </si>
  <si>
    <t>AC (sf) / Cost Per AC SF</t>
  </si>
  <si>
    <t>Site (acres) / Site Work Cost Per Acre</t>
  </si>
  <si>
    <t>No. of Rooms / Cost Per Key</t>
  </si>
  <si>
    <t>Build-Out (Div 6 thru 28):</t>
  </si>
  <si>
    <t>Restaurant  - Pavilion</t>
  </si>
  <si>
    <t>1501 Colins high end restaurant + add for kitchen equipment</t>
  </si>
  <si>
    <t>Restaurant  - Pavilion Mezzanine</t>
  </si>
  <si>
    <t>Cafe / Deli</t>
  </si>
  <si>
    <t>NORA Juice Bar + add for appliances &amp; kitchen equipment</t>
  </si>
  <si>
    <t>Gelato</t>
  </si>
  <si>
    <t>KIBO Restaurant / Lounge</t>
  </si>
  <si>
    <t xml:space="preserve">Spa / Fitness </t>
  </si>
  <si>
    <t>1501 Colins high end spa inc spa equipment</t>
  </si>
  <si>
    <t>General Liability Insurance</t>
  </si>
  <si>
    <t>TOTAL RESTAURANT, BAR, SPA</t>
  </si>
  <si>
    <t>TOTAL PROJECT COST</t>
  </si>
  <si>
    <t>Combined - Gross (sf) / Cost Per Gross SF</t>
  </si>
  <si>
    <t>Combined - No. of Rooms / Cost Per Key</t>
  </si>
  <si>
    <t xml:space="preserve">Contract Reference </t>
  </si>
  <si>
    <t>General Condition Ref.</t>
  </si>
  <si>
    <t>TEST</t>
  </si>
  <si>
    <t xml:space="preserve">Construction </t>
  </si>
  <si>
    <t xml:space="preserve">Activity </t>
  </si>
  <si>
    <t xml:space="preserve">Start </t>
  </si>
  <si>
    <t xml:space="preserve">Finish </t>
  </si>
  <si>
    <t>Days</t>
  </si>
  <si>
    <t xml:space="preserve">Weeks </t>
  </si>
  <si>
    <t xml:space="preserve">Months </t>
  </si>
  <si>
    <t>% Time</t>
  </si>
  <si>
    <t xml:space="preserve">Remarks </t>
  </si>
  <si>
    <t>CUSTOMIZED LABOR RATES</t>
  </si>
  <si>
    <t>LABOR RATE                  FY 2025               *Updated 09.26.24</t>
  </si>
  <si>
    <t>Demo to building pad</t>
  </si>
  <si>
    <t xml:space="preserve">Close Out </t>
  </si>
  <si>
    <t>General Req. - Field Office</t>
  </si>
  <si>
    <t>General Req.</t>
  </si>
  <si>
    <t xml:space="preserve">Total </t>
  </si>
  <si>
    <t>Building</t>
  </si>
  <si>
    <t xml:space="preserve">Description </t>
  </si>
  <si>
    <t>Qty.</t>
  </si>
  <si>
    <t>U</t>
  </si>
  <si>
    <t xml:space="preserve">Unit </t>
  </si>
  <si>
    <t>Const.</t>
  </si>
  <si>
    <t xml:space="preserve">General </t>
  </si>
  <si>
    <t>LABOR RATE (MIAMI/FT. LAUDERDALE)</t>
  </si>
  <si>
    <t>LABOR RATE (MF CENTRAL FLORIDA)</t>
  </si>
  <si>
    <t xml:space="preserve">Cost </t>
  </si>
  <si>
    <t>Cond.</t>
  </si>
  <si>
    <t>Req.</t>
  </si>
  <si>
    <t xml:space="preserve">Field Labor - Construction </t>
  </si>
  <si>
    <t xml:space="preserve">Project Executive </t>
  </si>
  <si>
    <t>wks</t>
  </si>
  <si>
    <t>Senior Project Manager</t>
  </si>
  <si>
    <t>Project Manager - Level 3</t>
  </si>
  <si>
    <t>Project Manager - Level 2</t>
  </si>
  <si>
    <t>Project Manager - Level 1</t>
  </si>
  <si>
    <t>Project Administator</t>
  </si>
  <si>
    <t>Project Accountant</t>
  </si>
  <si>
    <t xml:space="preserve">Assistant Project Manager </t>
  </si>
  <si>
    <t>Superintendent - Level 3</t>
  </si>
  <si>
    <t>Superintendent - Level 2</t>
  </si>
  <si>
    <t>Superintendent - Level 1</t>
  </si>
  <si>
    <t>Assistant Superinterndent</t>
  </si>
  <si>
    <t>Quality Control Manager</t>
  </si>
  <si>
    <t>Foreman</t>
  </si>
  <si>
    <t xml:space="preserve">Accounting </t>
  </si>
  <si>
    <t xml:space="preserve">VDC Manager </t>
  </si>
  <si>
    <t>Safety Supervisor/Inspector</t>
  </si>
  <si>
    <t xml:space="preserve">Field Labor - Close Out </t>
  </si>
  <si>
    <t xml:space="preserve">Project Coordinator </t>
  </si>
  <si>
    <t xml:space="preserve">Field Office - Contractor </t>
  </si>
  <si>
    <t>Field Office Set Up / Removal - Double Wide</t>
  </si>
  <si>
    <t>ea</t>
  </si>
  <si>
    <t>`</t>
  </si>
  <si>
    <t>Field Office - Double Wide</t>
  </si>
  <si>
    <t>mos</t>
  </si>
  <si>
    <t>Field Office Set Up / Removal - Single Wide</t>
  </si>
  <si>
    <t>WILLSCOT 4/16/2024 (36x10 mobile office)</t>
  </si>
  <si>
    <t>Field Office - Single Wide</t>
  </si>
  <si>
    <t>Field Office Set Up / Removal - Connex</t>
  </si>
  <si>
    <t>WILLSCOT 20' COMBO W/10' OFFICE</t>
  </si>
  <si>
    <t>Field Office - Conex</t>
  </si>
  <si>
    <t>Connect Telephone Lines</t>
  </si>
  <si>
    <t xml:space="preserve">Telephone </t>
  </si>
  <si>
    <t>Cellular Telephones</t>
  </si>
  <si>
    <t>In labor rates</t>
  </si>
  <si>
    <t xml:space="preserve">Furniture </t>
  </si>
  <si>
    <t>ls</t>
  </si>
  <si>
    <t>Office Supplies</t>
  </si>
  <si>
    <t>Drinking Water</t>
  </si>
  <si>
    <t>Janitor Supplies/Cleaning</t>
  </si>
  <si>
    <t>Software Charge</t>
  </si>
  <si>
    <t>%</t>
  </si>
  <si>
    <t>.25% of GMP Total</t>
  </si>
  <si>
    <t xml:space="preserve">Computers </t>
  </si>
  <si>
    <t xml:space="preserve">Printers </t>
  </si>
  <si>
    <t>Copy Machine</t>
  </si>
  <si>
    <t xml:space="preserve">Alarm System </t>
  </si>
  <si>
    <t xml:space="preserve">Installation Office Equip. </t>
  </si>
  <si>
    <t xml:space="preserve">Storage Trailers Set Up / Removal </t>
  </si>
  <si>
    <t>willscot 40' trailer</t>
  </si>
  <si>
    <t xml:space="preserve">Storage Trailers </t>
  </si>
  <si>
    <t>Rate - $1200 ea. per month</t>
  </si>
  <si>
    <t xml:space="preserve">Field Office - Owner </t>
  </si>
  <si>
    <t xml:space="preserve">Field Office Set Up / Removal </t>
  </si>
  <si>
    <t xml:space="preserve">assume not required </t>
  </si>
  <si>
    <t xml:space="preserve">Field Office </t>
  </si>
  <si>
    <t>Telephone</t>
  </si>
  <si>
    <t>Janitor Supplies</t>
  </si>
  <si>
    <t>Fax Machine</t>
  </si>
  <si>
    <t>Temporary Utilities</t>
  </si>
  <si>
    <t xml:space="preserve">Temp. Electrical Service </t>
  </si>
  <si>
    <t>Temp. Electrical - Const. Phase</t>
  </si>
  <si>
    <t>Temp.  Electrical - Operate Phase</t>
  </si>
  <si>
    <t>Temp. Wiring &amp; Lighting</t>
  </si>
  <si>
    <t>Temporary Water - Service</t>
  </si>
  <si>
    <t xml:space="preserve">Temporary Water  </t>
  </si>
  <si>
    <t>Temporary Toilets</t>
  </si>
  <si>
    <t xml:space="preserve">Temporary Toilet Set Up / Removal </t>
  </si>
  <si>
    <t>Temporary Washing Station</t>
  </si>
  <si>
    <t xml:space="preserve">Temporary Washing Station Set Up / Removal </t>
  </si>
  <si>
    <t>Temporary Holding Tanks</t>
  </si>
  <si>
    <t xml:space="preserve">Temporary Ventilation </t>
  </si>
  <si>
    <t xml:space="preserve">Temporary Cooling </t>
  </si>
  <si>
    <t xml:space="preserve">Equipment </t>
  </si>
  <si>
    <t xml:space="preserve">Small Tools </t>
  </si>
  <si>
    <t xml:space="preserve">Equipment Rental </t>
  </si>
  <si>
    <t>Engineering Instruments</t>
  </si>
  <si>
    <t xml:space="preserve">Security </t>
  </si>
  <si>
    <t>Temporary Fence - 6' Post Driven w/ windscreen</t>
  </si>
  <si>
    <t>lf</t>
  </si>
  <si>
    <t>Temporary Fence - 8' Post Driven w/ windscreen</t>
  </si>
  <si>
    <t>Temporary Fence - 6' Panels w/ windscreen</t>
  </si>
  <si>
    <t>Temporary Fence - 8' Panels w/ windscreen</t>
  </si>
  <si>
    <t>Temporary Fence - Gates 8'x24'</t>
  </si>
  <si>
    <t xml:space="preserve">Temporary Fence Maintain </t>
  </si>
  <si>
    <t>Security Service</t>
  </si>
  <si>
    <t>Additional Safety Material/Modifications</t>
  </si>
  <si>
    <t>Protection Floor &amp; Roof Openings</t>
  </si>
  <si>
    <t>Protection Existing Floors &amp; Walls</t>
  </si>
  <si>
    <t>Protection Service Elevator</t>
  </si>
  <si>
    <t>Temporary Enclosures</t>
  </si>
  <si>
    <t>Temporary Ladders</t>
  </si>
  <si>
    <t>Building Barricades</t>
  </si>
  <si>
    <t>Site Barricades</t>
  </si>
  <si>
    <t xml:space="preserve">Fire Protection </t>
  </si>
  <si>
    <t>First Aid</t>
  </si>
  <si>
    <t xml:space="preserve">Drug Testing </t>
  </si>
  <si>
    <t xml:space="preserve">Cleaning </t>
  </si>
  <si>
    <t>Trash Removal - 10yd dumpsters</t>
  </si>
  <si>
    <t>4/15/2024 Coastal Waste *see 02 10 Site Prep</t>
  </si>
  <si>
    <t>Trash Removal - 20yd dumpsters</t>
  </si>
  <si>
    <t>Trash Removal - 30yd dumpsters</t>
  </si>
  <si>
    <t xml:space="preserve">Trash Removal - Field Offices </t>
  </si>
  <si>
    <t xml:space="preserve">General Building Cleaning </t>
  </si>
  <si>
    <t xml:space="preserve">Final Building Clean </t>
  </si>
  <si>
    <t xml:space="preserve">Services </t>
  </si>
  <si>
    <t xml:space="preserve">CMP Schedule - Set Up </t>
  </si>
  <si>
    <t>Call Assaf Newmark (Spectrum Consulting) to confirm 404-819-4663</t>
  </si>
  <si>
    <t>CPM Schedule - Updates (Standard Reports)</t>
  </si>
  <si>
    <t>Call Assaf Newmark (Spectrum Consulting) to confirm 404-819-4664</t>
  </si>
  <si>
    <t>CPM Schedule - Updates (Bifurcated Reports)</t>
  </si>
  <si>
    <t>Call Assaf Newmark (Spectrum Consulting) to confirm 404-819-4665</t>
  </si>
  <si>
    <t>Progress Photos Bldg. - Ground</t>
  </si>
  <si>
    <t>Progress Photos Bldg. - Aerial</t>
  </si>
  <si>
    <t>Video - Existing Conditions</t>
  </si>
  <si>
    <t xml:space="preserve">Video - Owner O&amp;M Demo. </t>
  </si>
  <si>
    <t>Legal</t>
  </si>
  <si>
    <t xml:space="preserve">Drawings </t>
  </si>
  <si>
    <t>As Built Survey</t>
  </si>
  <si>
    <t xml:space="preserve">As Built Drawings </t>
  </si>
  <si>
    <t>Plan/Copy Expense</t>
  </si>
  <si>
    <t>Postage - USPS</t>
  </si>
  <si>
    <t>Postage - Fed-X</t>
  </si>
  <si>
    <t xml:space="preserve">Testing </t>
  </si>
  <si>
    <t xml:space="preserve">Concrete Testing </t>
  </si>
  <si>
    <t>by owner</t>
  </si>
  <si>
    <t xml:space="preserve">Steel Testing </t>
  </si>
  <si>
    <t>Special Inspectors</t>
  </si>
  <si>
    <t xml:space="preserve">Permits </t>
  </si>
  <si>
    <t xml:space="preserve">Building Permits </t>
  </si>
  <si>
    <t>Impact Fees</t>
  </si>
  <si>
    <t>Trailer Permits</t>
  </si>
  <si>
    <t>Off Site Permits</t>
  </si>
  <si>
    <t>Travel</t>
  </si>
  <si>
    <t>Airfare</t>
  </si>
  <si>
    <t>round trip</t>
  </si>
  <si>
    <t>Hotel</t>
  </si>
  <si>
    <t>per night</t>
  </si>
  <si>
    <t>2 nights</t>
  </si>
  <si>
    <t>Per Diem</t>
  </si>
  <si>
    <t>per day</t>
  </si>
  <si>
    <t xml:space="preserve">Other </t>
  </si>
  <si>
    <t xml:space="preserve">Project Sign </t>
  </si>
  <si>
    <t xml:space="preserve">Temporary Parking </t>
  </si>
  <si>
    <t>Legal Notices</t>
  </si>
  <si>
    <t>Total GCs</t>
  </si>
  <si>
    <t>Total GRs</t>
  </si>
  <si>
    <t>Total GCs &amp; GRs</t>
  </si>
  <si>
    <t>per month</t>
  </si>
  <si>
    <t>RE: West Melbourne Water Treatment Plant</t>
  </si>
  <si>
    <t>Hedrick Brothers Construction Co., Inc.</t>
  </si>
  <si>
    <t>Salaries and Burden Calculations</t>
  </si>
  <si>
    <t>As of 8/22/24</t>
  </si>
  <si>
    <t xml:space="preserve">MARK-UP </t>
  </si>
  <si>
    <t>Burdened Rate</t>
  </si>
  <si>
    <t xml:space="preserve">Mark-up </t>
  </si>
  <si>
    <t>Proj Exec</t>
  </si>
  <si>
    <t>Sr PM</t>
  </si>
  <si>
    <t>PM 3</t>
  </si>
  <si>
    <t>PM 2</t>
  </si>
  <si>
    <t>PM 1</t>
  </si>
  <si>
    <t>Proj Admin</t>
  </si>
  <si>
    <t>Proj Acct</t>
  </si>
  <si>
    <t>Asst PM</t>
  </si>
  <si>
    <t>Supt 3</t>
  </si>
  <si>
    <t>Supt 2</t>
  </si>
  <si>
    <t>Supt 1</t>
  </si>
  <si>
    <t>Asst Supt</t>
  </si>
  <si>
    <t>QC</t>
  </si>
  <si>
    <t>Acctg</t>
  </si>
  <si>
    <t>VDC</t>
  </si>
  <si>
    <t>Safety</t>
  </si>
  <si>
    <t>Labor</t>
  </si>
  <si>
    <t>Apprentice</t>
  </si>
  <si>
    <t>Carpenter</t>
  </si>
  <si>
    <t>Driver</t>
  </si>
  <si>
    <t>Leadman</t>
  </si>
  <si>
    <t>Supt MEP</t>
  </si>
  <si>
    <t>Gen Supt</t>
  </si>
  <si>
    <t>Cons Mgr</t>
  </si>
  <si>
    <t>Proj Coor</t>
  </si>
  <si>
    <t>Mktg</t>
  </si>
  <si>
    <t>Bus Dev</t>
  </si>
  <si>
    <t>Chief, 3 &amp; 2</t>
  </si>
  <si>
    <t>Coord &amp; Jrs</t>
  </si>
  <si>
    <t>Exec Asst</t>
  </si>
  <si>
    <t>Hedrick Plug</t>
  </si>
  <si>
    <t>X</t>
  </si>
  <si>
    <t>Excluded</t>
  </si>
  <si>
    <t>I</t>
  </si>
  <si>
    <t>Included</t>
  </si>
  <si>
    <t>BACK TO SUMMARY SHEET</t>
  </si>
  <si>
    <t>Sub Add/Deduct</t>
  </si>
  <si>
    <t xml:space="preserve">Project: </t>
  </si>
  <si>
    <t>Company</t>
  </si>
  <si>
    <t>Trade:</t>
  </si>
  <si>
    <t>Contact</t>
  </si>
  <si>
    <t>CSI Code:</t>
  </si>
  <si>
    <t>Phone</t>
  </si>
  <si>
    <t>Date:</t>
  </si>
  <si>
    <t xml:space="preserve">Email </t>
  </si>
  <si>
    <t>Adjusted Bid</t>
  </si>
  <si>
    <t>BID DOCUMENTS:</t>
  </si>
  <si>
    <t>Plan/ Spec. Package</t>
  </si>
  <si>
    <t>QTY</t>
  </si>
  <si>
    <t>U/M</t>
  </si>
  <si>
    <t>Unit Cost</t>
  </si>
  <si>
    <t>Subtotal</t>
  </si>
  <si>
    <t>Yes/No</t>
  </si>
  <si>
    <t>Price</t>
  </si>
  <si>
    <t>GENERAL INCLUSIONS</t>
  </si>
  <si>
    <t>INCLUDES ALL SALES TAX</t>
  </si>
  <si>
    <t>ALL HOISTING &amp; RIGGING REQUIRED TO COMPLETE THIS SCOPE</t>
  </si>
  <si>
    <t>PROVIDE P&amp;P BONDS</t>
  </si>
  <si>
    <t>FLORIDA STATE CONTRACTORS LIC.</t>
  </si>
  <si>
    <t>GENERAL LIABILITY AND WORKERS COMP. INSURANCE LIMITS</t>
  </si>
  <si>
    <t>STATE AND LOCAL TAXES</t>
  </si>
  <si>
    <t>SPECIFIC TRADE SCOPE OF WORK REQUIREMENTS</t>
  </si>
  <si>
    <t>BASE BID</t>
  </si>
  <si>
    <t>acre</t>
  </si>
  <si>
    <t>SUBTOTAL</t>
  </si>
  <si>
    <t>BOND RATE</t>
  </si>
  <si>
    <t>BOND AMOUNT</t>
  </si>
  <si>
    <t xml:space="preserve">ADJUSTED TOTAL </t>
  </si>
  <si>
    <t>Cost per SF</t>
  </si>
  <si>
    <t>QUALIFICATIONS</t>
  </si>
  <si>
    <t>EXCLUSIONS/OWNER PROVIDED ITEMS:</t>
  </si>
  <si>
    <t>ALTERNATES:</t>
  </si>
  <si>
    <t>PROPOSED VE (Provide Clear Description):</t>
  </si>
  <si>
    <t>FULLY LOADED LABOR RATES</t>
  </si>
  <si>
    <t>Laborer</t>
  </si>
  <si>
    <t>Mechanic</t>
  </si>
  <si>
    <t>Superintendent</t>
  </si>
  <si>
    <t>Project Manager</t>
  </si>
  <si>
    <t xml:space="preserve">SCHEDULE </t>
  </si>
  <si>
    <t>Prepared shop drawings/submittals</t>
  </si>
  <si>
    <t>Mobilization</t>
  </si>
  <si>
    <t>Total duration to complete scope of work</t>
  </si>
  <si>
    <t>Winner</t>
  </si>
  <si>
    <t>Base Bid</t>
  </si>
  <si>
    <t>Need Prequalification</t>
  </si>
  <si>
    <t>Prequalified</t>
  </si>
  <si>
    <t>Concrete</t>
  </si>
  <si>
    <t>10' x 24" continuios footings at periniter walls</t>
  </si>
  <si>
    <t>cy</t>
  </si>
  <si>
    <t>10' x 10' x 24" spread footings at columns - 30' oc ew</t>
  </si>
  <si>
    <t>24" x 24" columns at garage level - 30' oc ew</t>
  </si>
  <si>
    <t>Pad footings at stairs &amp; elevators - 24"</t>
  </si>
  <si>
    <t>Elevator pit walls</t>
  </si>
  <si>
    <t>Garage level walls 12" thick - 15'</t>
  </si>
  <si>
    <t>Garage level stairwell and elevator shaft walls - 12"</t>
  </si>
  <si>
    <t>Podium deck - 16" PT</t>
  </si>
  <si>
    <t>Slab on grade - 6"</t>
  </si>
  <si>
    <t xml:space="preserve">Slab on metal deck - 5" </t>
  </si>
  <si>
    <t>total cy</t>
  </si>
  <si>
    <t>Topping slab on podium deck</t>
  </si>
  <si>
    <t>CMU - Hotel</t>
  </si>
  <si>
    <t>83'-6"</t>
  </si>
  <si>
    <t>stairwells - 8"</t>
  </si>
  <si>
    <t>elevator shafts - 8"</t>
  </si>
  <si>
    <t>CMU - Restaurant</t>
  </si>
  <si>
    <t>36'-10"</t>
  </si>
  <si>
    <t>added columns at pool &amp; spa</t>
  </si>
  <si>
    <t>added column footings at pool &amp; spa</t>
  </si>
  <si>
    <t>pool &amp; deck perimiter walls - 8" to 5'</t>
  </si>
  <si>
    <t xml:space="preserve">geofoam fill </t>
  </si>
  <si>
    <t>landscape curb - 6" to 12"</t>
  </si>
  <si>
    <t>water feature curb - 6" to 12"</t>
  </si>
  <si>
    <t>SUBTOTAL Base Bid</t>
  </si>
  <si>
    <t>Stone cladding - assume coral stone - material</t>
  </si>
  <si>
    <t>Stone cladding - assume coral stone - labor</t>
  </si>
  <si>
    <t>05 10 00</t>
  </si>
  <si>
    <t>Steel frame structure ground level and up</t>
  </si>
  <si>
    <t>Porte Cochere</t>
  </si>
  <si>
    <t>Bridge structure</t>
  </si>
  <si>
    <t>Steel columns for canopies - material</t>
  </si>
  <si>
    <t>Steel stairs</t>
  </si>
  <si>
    <t>hotel all to garage</t>
  </si>
  <si>
    <t>riser</t>
  </si>
  <si>
    <t>hotel all to lobby</t>
  </si>
  <si>
    <t>hotel 1st to 2nd</t>
  </si>
  <si>
    <t>restaurant</t>
  </si>
  <si>
    <t>Stairs wall rails</t>
  </si>
  <si>
    <t>Stairs hand rails</t>
  </si>
  <si>
    <t>Elevator hoist beams</t>
  </si>
  <si>
    <t>Elevator sill angles</t>
  </si>
  <si>
    <t>05 70 00</t>
  </si>
  <si>
    <t>Hotel - glass railing - 42"</t>
  </si>
  <si>
    <t xml:space="preserve">Pool - glass railing - </t>
  </si>
  <si>
    <t xml:space="preserve">hotel &amp; restaurant </t>
  </si>
  <si>
    <t>Borgzinner</t>
  </si>
  <si>
    <t>Ken Stevens</t>
  </si>
  <si>
    <t>Waterproofing</t>
  </si>
  <si>
    <t>wrap footings</t>
  </si>
  <si>
    <t>SOG bottom</t>
  </si>
  <si>
    <t>below grade walls to 5'</t>
  </si>
  <si>
    <t>elevator pits</t>
  </si>
  <si>
    <t>exterior walls - stucco</t>
  </si>
  <si>
    <t>exterior walls - metal panel</t>
  </si>
  <si>
    <t>exterior walls - stone veneer</t>
  </si>
  <si>
    <t>podium deck - reinforced cold fluid applied - flat</t>
  </si>
  <si>
    <t>restaurant - roof deck / garden</t>
  </si>
  <si>
    <t>exterior terraces</t>
  </si>
  <si>
    <t>pool deck</t>
  </si>
  <si>
    <t>Caulking</t>
  </si>
  <si>
    <t>exterior openings secondary caulk</t>
  </si>
  <si>
    <t>misc penetrations, fire caulk, control joints</t>
  </si>
  <si>
    <t>Rybovich Safe Harbor</t>
  </si>
  <si>
    <t>Spary Foam Insulation</t>
  </si>
  <si>
    <t>Spray foam insulation for sound attenuation - R13 at bottom of poudum deck</t>
  </si>
  <si>
    <t>open cell spray foam</t>
  </si>
  <si>
    <t>Wood look metal panel</t>
  </si>
  <si>
    <t>Wood look metal panel - rainscreen roof at Porte Cochere</t>
  </si>
  <si>
    <t>High roof soffits - wood look metal panel</t>
  </si>
  <si>
    <t>High roof facia panel - wood look metal panel</t>
  </si>
  <si>
    <t>Column cladding - assume 24" diameter</t>
  </si>
  <si>
    <t>High roofs - assume a TPO</t>
  </si>
  <si>
    <t>Doors, Frames &amp; Hardware</t>
  </si>
  <si>
    <t>08 14 00</t>
  </si>
  <si>
    <t>Bidder 1</t>
  </si>
  <si>
    <t>Bidder 2</t>
  </si>
  <si>
    <t>Bidder 3</t>
  </si>
  <si>
    <t>Bidder 4</t>
  </si>
  <si>
    <t>Bidder5</t>
  </si>
  <si>
    <t>Bidder6</t>
  </si>
  <si>
    <t xml:space="preserve">Trade:   </t>
  </si>
  <si>
    <t>Retractable Screens</t>
  </si>
  <si>
    <t xml:space="preserve">CSI Code:   </t>
  </si>
  <si>
    <t>08 30</t>
  </si>
  <si>
    <t xml:space="preserve">Date: </t>
  </si>
  <si>
    <t>Plans By Division</t>
  </si>
  <si>
    <t>P</t>
  </si>
  <si>
    <t>Cost per Unit</t>
  </si>
  <si>
    <t>Storefront / Curtianwall</t>
  </si>
  <si>
    <t>Storefront</t>
  </si>
  <si>
    <t>Curtainwall</t>
  </si>
  <si>
    <t>Storefront w Longboard fins</t>
  </si>
  <si>
    <t>Bridge floor curtainwall</t>
  </si>
  <si>
    <t>Solarium storefront</t>
  </si>
  <si>
    <t>Stucco</t>
  </si>
  <si>
    <t>09 24 00</t>
  </si>
  <si>
    <t>Stucco building</t>
  </si>
  <si>
    <t>less glazing</t>
  </si>
  <si>
    <t>less metal panel</t>
  </si>
  <si>
    <t>Drywall / Framing</t>
  </si>
  <si>
    <t>09 29</t>
  </si>
  <si>
    <t>paint</t>
  </si>
  <si>
    <t>Exterior wall framing - light ga structural studs w/ densglass</t>
  </si>
  <si>
    <t>less curtainwall</t>
  </si>
  <si>
    <t>Lotspeich Co.</t>
  </si>
  <si>
    <t xml:space="preserve">Blake Whitley </t>
  </si>
  <si>
    <t>09 41</t>
  </si>
  <si>
    <t>(561) 300-5056</t>
  </si>
  <si>
    <t xml:space="preserve"> blake.whitley@lcfinc.com</t>
  </si>
  <si>
    <t xml:space="preserve">Painting </t>
  </si>
  <si>
    <t>Exterior</t>
  </si>
  <si>
    <t>stucco</t>
  </si>
  <si>
    <t>Operable Partitions</t>
  </si>
  <si>
    <t>10 22</t>
  </si>
  <si>
    <t>Fireplace</t>
  </si>
  <si>
    <t>10 30</t>
  </si>
  <si>
    <t>Laundry Equipment</t>
  </si>
  <si>
    <t xml:space="preserve">11 11 </t>
  </si>
  <si>
    <t>Signage - common areas, units</t>
  </si>
  <si>
    <t>Wall Protection</t>
  </si>
  <si>
    <t>12 30</t>
  </si>
  <si>
    <t>Scaffolding</t>
  </si>
  <si>
    <t>14 80</t>
  </si>
  <si>
    <t>Pool - assume stainless Myrtha type</t>
  </si>
  <si>
    <t xml:space="preserve">Spa - </t>
  </si>
  <si>
    <t xml:space="preserve">Water Features - </t>
  </si>
  <si>
    <t xml:space="preserve">Water Features Shallow- </t>
  </si>
  <si>
    <t xml:space="preserve">Fountain - </t>
  </si>
  <si>
    <t>Waterfall - lobby</t>
  </si>
  <si>
    <t>Coy Pond - 7th</t>
  </si>
  <si>
    <t>Canopies - assume aluminum tube clad with wood look aluminum panel</t>
  </si>
  <si>
    <t>3rd Level Eyebrow</t>
  </si>
  <si>
    <t>Hotel High Roof</t>
  </si>
  <si>
    <t>Restaurant Eyebrow</t>
  </si>
  <si>
    <t>Restaurant Lower</t>
  </si>
  <si>
    <t>South Wing</t>
  </si>
  <si>
    <t>passenger - traction</t>
  </si>
  <si>
    <t>stops</t>
  </si>
  <si>
    <t>service - traction</t>
  </si>
  <si>
    <t>Lobby</t>
  </si>
  <si>
    <t>passenger - glass - hydro</t>
  </si>
  <si>
    <t>Central</t>
  </si>
  <si>
    <t>North Wing</t>
  </si>
  <si>
    <t>passenger - hydro</t>
  </si>
  <si>
    <t>Cab Finish Allowance</t>
  </si>
  <si>
    <t>passenger</t>
  </si>
  <si>
    <t>service</t>
  </si>
  <si>
    <t>Temp usage - 3 elevators</t>
  </si>
  <si>
    <t>recertification</t>
  </si>
  <si>
    <t>temp use - 6 mo per cab</t>
  </si>
  <si>
    <t>mo</t>
  </si>
  <si>
    <t>cab protection</t>
  </si>
  <si>
    <t>opening Protection</t>
  </si>
  <si>
    <t>operator - 40 hrs per wk</t>
  </si>
  <si>
    <t xml:space="preserve">Handicap lifts </t>
  </si>
  <si>
    <t>flrs</t>
  </si>
  <si>
    <t>Fire Protection</t>
  </si>
  <si>
    <t xml:space="preserve">Sprinkler system - hotel &amp; restaurant </t>
  </si>
  <si>
    <t>Sprinkler system - garage</t>
  </si>
  <si>
    <t>Fire pump</t>
  </si>
  <si>
    <t>Hotel - std plumbing</t>
  </si>
  <si>
    <t>units</t>
  </si>
  <si>
    <t>Hotel - std plumbing fixtures</t>
  </si>
  <si>
    <t>Hotel - suite &amp; penthouse plumbing</t>
  </si>
  <si>
    <t>Hotel - suite &amp; penthouse  plumbing fixtures</t>
  </si>
  <si>
    <t>Back of house &amp; common area plumbing</t>
  </si>
  <si>
    <t>Hotel - chilled water?</t>
  </si>
  <si>
    <t>Restarauant - chilled water?</t>
  </si>
  <si>
    <t>Garage - ventilation</t>
  </si>
  <si>
    <t>Electrical</t>
  </si>
  <si>
    <t>Hotel &amp; Restaurant</t>
  </si>
  <si>
    <t>Light Fixtures - units</t>
  </si>
  <si>
    <t>Light Fixtures - service / BOH</t>
  </si>
  <si>
    <t>Light Fixtures - corridor</t>
  </si>
  <si>
    <t>Light Fixtures - lobby / reception - decorative</t>
  </si>
  <si>
    <t>Fire Alarm</t>
  </si>
  <si>
    <t>Low Voltage</t>
  </si>
  <si>
    <t>Low Voltage - structured cabling</t>
  </si>
  <si>
    <t>Low Voltage - security</t>
  </si>
  <si>
    <t>Low Voltage - A/V</t>
  </si>
  <si>
    <t>Low Voltage - Comunications</t>
  </si>
  <si>
    <t>BDA / DAS system</t>
  </si>
  <si>
    <t>Lighting protection</t>
  </si>
  <si>
    <t>Generator</t>
  </si>
  <si>
    <t>Site - electrical</t>
  </si>
  <si>
    <t>Site - Lighting</t>
  </si>
  <si>
    <t>Parking Level</t>
  </si>
  <si>
    <t>Lighting</t>
  </si>
  <si>
    <t>Pool &amp; water feature electrical</t>
  </si>
  <si>
    <t>Site Work</t>
  </si>
  <si>
    <t>General</t>
  </si>
  <si>
    <t>General Conditions / Mobilization</t>
  </si>
  <si>
    <t>Survey / layout / as-builts</t>
  </si>
  <si>
    <t>MOT</t>
  </si>
  <si>
    <t>Erosion Control</t>
  </si>
  <si>
    <t>Silt Fence</t>
  </si>
  <si>
    <t>Silt Fence - Maintenance sitework durration</t>
  </si>
  <si>
    <t>Silt Fence - Maintenance HB</t>
  </si>
  <si>
    <t>Construction Entrances</t>
  </si>
  <si>
    <t>Construction Entrances - Maintenance</t>
  </si>
  <si>
    <t>Construction Entrances - Maintenance HB</t>
  </si>
  <si>
    <t>Dust Control</t>
  </si>
  <si>
    <t>Street Sweeping</t>
  </si>
  <si>
    <t>Inlet Protection</t>
  </si>
  <si>
    <t>clear &amp; grub</t>
  </si>
  <si>
    <t>Earthwork</t>
  </si>
  <si>
    <t>strip top soil &amp; haul-off</t>
  </si>
  <si>
    <t>site cut &amp; haul-off</t>
  </si>
  <si>
    <t>back-fill perimiter podium walls</t>
  </si>
  <si>
    <t>grade sidewalks</t>
  </si>
  <si>
    <t>sy</t>
  </si>
  <si>
    <t>grade green areas</t>
  </si>
  <si>
    <t>Subgrade / Base / Paving</t>
  </si>
  <si>
    <t>sidewalk - 6" - on grade</t>
  </si>
  <si>
    <t>D curb - on grade</t>
  </si>
  <si>
    <t>concrete paving - 6"</t>
  </si>
  <si>
    <t>Striping &amp; Signage</t>
  </si>
  <si>
    <t>Dewatering</t>
  </si>
  <si>
    <t>Pavers</t>
  </si>
  <si>
    <t>Traffic pavers</t>
  </si>
  <si>
    <t>Pool Deck pavers</t>
  </si>
  <si>
    <t>Sidewalk on podium - assume 4" topping concrete</t>
  </si>
  <si>
    <t>Paver header curb</t>
  </si>
  <si>
    <t>Landscape &amp; Irrigation</t>
  </si>
  <si>
    <t>Landscape &amp; Irrigation at grade</t>
  </si>
  <si>
    <t>Landscape &amp; Irrigation at podium level</t>
  </si>
  <si>
    <t>Landscape &amp; Irrigation at Hotel exterior terrace</t>
  </si>
  <si>
    <t>Pavilion rooftop garden</t>
  </si>
  <si>
    <t>Cranes and Hoist</t>
  </si>
  <si>
    <t xml:space="preserve">41 22 </t>
  </si>
  <si>
    <t>Crane and Hoist</t>
  </si>
  <si>
    <t>OCIP Insurance per exhibit</t>
  </si>
  <si>
    <t>Crane SK405.20 by Maxim Crane Works 10/04/23</t>
  </si>
  <si>
    <t>Jib L05 (219 ft Max HR)</t>
  </si>
  <si>
    <t>Single Trolley</t>
  </si>
  <si>
    <t>Base S35 Anchor Stools</t>
  </si>
  <si>
    <t>Tip Capacity 10141 @219'</t>
  </si>
  <si>
    <t>Max capacity 22046 lbs @105'</t>
  </si>
  <si>
    <t>Init/Fin Hook Ht 99ft</t>
  </si>
  <si>
    <t>Base S32 Anchor Stools</t>
  </si>
  <si>
    <t>Init/Fin Hook Ht 137ft</t>
  </si>
  <si>
    <t>Jib L04 (199 ft Max HR)</t>
  </si>
  <si>
    <t>Base S60 Anchor Stools</t>
  </si>
  <si>
    <t>Tip Capacity 13007 @199'</t>
  </si>
  <si>
    <t>Max capacity 22046 lbs @123'</t>
  </si>
  <si>
    <t>Init/Fin Hook Ht 176ft</t>
  </si>
  <si>
    <t>Single Hoist by United Hoist Equipment 4/16/2024</t>
  </si>
  <si>
    <t>Tower Height 85ft</t>
  </si>
  <si>
    <t>No. of gates 6</t>
  </si>
  <si>
    <t>Capacity 6000</t>
  </si>
  <si>
    <t>Twin Hoist by United Hoist Equipment  4/16/2024</t>
  </si>
  <si>
    <t>No. of gates 12</t>
  </si>
  <si>
    <t>Crane</t>
  </si>
  <si>
    <t>Hoist</t>
  </si>
  <si>
    <t xml:space="preserve">General Conditions </t>
  </si>
  <si>
    <t>1.00LS</t>
  </si>
  <si>
    <t>Construction Layout And As-Built Survey</t>
  </si>
  <si>
    <t xml:space="preserve">Erosion Control </t>
  </si>
  <si>
    <t>2,600.00LF</t>
  </si>
  <si>
    <t>Silt Fence Maintenance</t>
  </si>
  <si>
    <t>6.00MO</t>
  </si>
  <si>
    <t>22.00EACH</t>
  </si>
  <si>
    <t>Turbidity Barrier</t>
  </si>
  <si>
    <t>100.00LF</t>
  </si>
  <si>
    <t xml:space="preserve">Site Prep And Mass Grading </t>
  </si>
  <si>
    <t>Clear/Grub/Disk Site</t>
  </si>
  <si>
    <t>Site Cut To Fill</t>
  </si>
  <si>
    <t>600.00CY</t>
  </si>
  <si>
    <t>Import Fill, Place And Compact</t>
  </si>
  <si>
    <t>19,500.00CY</t>
  </si>
  <si>
    <t>Machine Grade Rough</t>
  </si>
  <si>
    <t>28,300.00SY</t>
  </si>
  <si>
    <t>Machine Grade Fine</t>
  </si>
  <si>
    <t>Site Grade Final (Pre-Landscape)</t>
  </si>
  <si>
    <t>Sod Dry Retention Areas</t>
  </si>
  <si>
    <t>4,200.00SY</t>
  </si>
  <si>
    <t xml:space="preserve">Paving Onsite </t>
  </si>
  <si>
    <t>12" Stabilized Subgrade, LBR40</t>
  </si>
  <si>
    <t>8,600.00SY</t>
  </si>
  <si>
    <t>6-1/2" FDOT Rock Base, LBR100</t>
  </si>
  <si>
    <t>8,100.00SY</t>
  </si>
  <si>
    <t>3/4" Asphalt Bottom Lift, Type S</t>
  </si>
  <si>
    <t>8,000.00SY</t>
  </si>
  <si>
    <t>3/4" Asphalt Top Lift, Type S</t>
  </si>
  <si>
    <t xml:space="preserve">Vehicular Brick Pavers (Standard Size/Color/Pattern) </t>
  </si>
  <si>
    <t>85.00SY</t>
  </si>
  <si>
    <t>Concrete Pavement 6"</t>
  </si>
  <si>
    <t>1,500.00SF</t>
  </si>
  <si>
    <t>Type D Curb (Machined)</t>
  </si>
  <si>
    <t>4,250.00LF</t>
  </si>
  <si>
    <t>Type D Curb (Hand Formed)</t>
  </si>
  <si>
    <t>110.00LF</t>
  </si>
  <si>
    <t>2' Valley Gutter Curb</t>
  </si>
  <si>
    <t>250.00LF</t>
  </si>
  <si>
    <t>Header Curb</t>
  </si>
  <si>
    <t>145.00LF</t>
  </si>
  <si>
    <t>Concrete Sidewalk 4"</t>
  </si>
  <si>
    <t>14,000.00SF</t>
  </si>
  <si>
    <t>Concrete Bike Rack 4"</t>
  </si>
  <si>
    <t>120.00SF</t>
  </si>
  <si>
    <t>ADA Ramp</t>
  </si>
  <si>
    <t>7.00EACH</t>
  </si>
  <si>
    <t xml:space="preserve">Guardrail (Includes TL-3 Guardrail And TL-2 End Sections) (Excludes Asphalt Mowing Strip) </t>
  </si>
  <si>
    <t>650.00LF</t>
  </si>
  <si>
    <t>Striping And Signage</t>
  </si>
  <si>
    <t xml:space="preserve">Storm Drainage </t>
  </si>
  <si>
    <t>4" HDPE RWL (Includes All Fittings)</t>
  </si>
  <si>
    <t>55.00LF</t>
  </si>
  <si>
    <t>6" HDPE RWL (Includes All Fittings)</t>
  </si>
  <si>
    <t>76.00LF</t>
  </si>
  <si>
    <t>8" HDPE RWL (Includes All Fittings)</t>
  </si>
  <si>
    <t>271.00LF</t>
  </si>
  <si>
    <t>12" HDPE</t>
  </si>
  <si>
    <t>560.00LF</t>
  </si>
  <si>
    <t>15" HDPE</t>
  </si>
  <si>
    <t>467.00LF</t>
  </si>
  <si>
    <t>18" HDPE</t>
  </si>
  <si>
    <t>142.00LF</t>
  </si>
  <si>
    <t>24" HDPE</t>
  </si>
  <si>
    <t>1,775.00LF</t>
  </si>
  <si>
    <t>24" Cap</t>
  </si>
  <si>
    <t>61.00LF</t>
  </si>
  <si>
    <t>12" HDPE Perforated W/2'x2' Under Drain</t>
  </si>
  <si>
    <t>153.00LF</t>
  </si>
  <si>
    <t>Cleanout With Concrete Collar</t>
  </si>
  <si>
    <t>4.00EACH</t>
  </si>
  <si>
    <t>Yard Drain</t>
  </si>
  <si>
    <t>8.00EACH</t>
  </si>
  <si>
    <t>Type C Catch Basin W/USF 6212</t>
  </si>
  <si>
    <t>1.00EACH</t>
  </si>
  <si>
    <t>Type C Water Control Structure W/USF 6611</t>
  </si>
  <si>
    <t>Type E Structure W/USF 6290</t>
  </si>
  <si>
    <t>5.00EACH</t>
  </si>
  <si>
    <t>5' X 6' Control Structure</t>
  </si>
  <si>
    <t>4' Round PC Catch Basin W/USF 4155-6209</t>
  </si>
  <si>
    <t>4' Round PG Curb Inlet W/USF 5130-6168</t>
  </si>
  <si>
    <t>9.00EACH</t>
  </si>
  <si>
    <t>4' Round PV Valley Inlet W/USF 5113-6194</t>
  </si>
  <si>
    <t>2.00EACH</t>
  </si>
  <si>
    <t>4' Manhole W/USF 170-F</t>
  </si>
  <si>
    <t>24" Concrete Headwall</t>
  </si>
  <si>
    <t>Storm Drainage Dewatering</t>
  </si>
  <si>
    <t>3,560.00LF</t>
  </si>
  <si>
    <t>Clean/Final Storm Drainage</t>
  </si>
  <si>
    <t xml:space="preserve">Sanitary Sewer </t>
  </si>
  <si>
    <t>8" SDR26 (6-8)</t>
  </si>
  <si>
    <t>30.00LF</t>
  </si>
  <si>
    <t>8" SDR26 (8-10)</t>
  </si>
  <si>
    <t>220.00LF</t>
  </si>
  <si>
    <t>4' Dia Manhole (6-8)</t>
  </si>
  <si>
    <t>4' Dia Manhole (8-10)</t>
  </si>
  <si>
    <t>6" SDR26-Sewer Services</t>
  </si>
  <si>
    <t>278.00LF</t>
  </si>
  <si>
    <t xml:space="preserve">4" PVC Sanitary Sewer-Grease Trap (Includes All Fittings And Cleanouts) </t>
  </si>
  <si>
    <t>Grease Trap</t>
  </si>
  <si>
    <t>Sanitary Sewer Dewatering</t>
  </si>
  <si>
    <t>Test/Final Sanitary Sewer</t>
  </si>
  <si>
    <t xml:space="preserve">Force Main And Lift Station </t>
  </si>
  <si>
    <t>4" C900 Force Main</t>
  </si>
  <si>
    <t>305.00LF</t>
  </si>
  <si>
    <t>MJ Fittings</t>
  </si>
  <si>
    <t>Lift Station</t>
  </si>
  <si>
    <t>Test/Final Force Main</t>
  </si>
  <si>
    <t xml:space="preserve">Potable Water Main </t>
  </si>
  <si>
    <t>8" C900 DR18 Water Main</t>
  </si>
  <si>
    <t>1,343.00LF</t>
  </si>
  <si>
    <t>8" Ductile Iron Water Main</t>
  </si>
  <si>
    <t>50.00LF</t>
  </si>
  <si>
    <t>8" Gate Valve Assembly</t>
  </si>
  <si>
    <t>6" C900 DR18 Water Main</t>
  </si>
  <si>
    <t>6" Gate Valve Assembly</t>
  </si>
  <si>
    <t>4" Single Water Service W/RPZ</t>
  </si>
  <si>
    <t>Fire Hydrant Assembly W/Gate Valve</t>
  </si>
  <si>
    <t>4" Gate Valve Assembly</t>
  </si>
  <si>
    <t>Lift Station Water Service</t>
  </si>
  <si>
    <t>Test/Final Water Main</t>
  </si>
  <si>
    <t xml:space="preserve">Fire Main </t>
  </si>
  <si>
    <t>6" Ductile Iron Fire Main</t>
  </si>
  <si>
    <t>135.00LF</t>
  </si>
  <si>
    <t>6" DDCV</t>
  </si>
  <si>
    <t>4" Ductile Iron Fire Main</t>
  </si>
  <si>
    <t>15.00LF</t>
  </si>
  <si>
    <t>MJDI Fittings</t>
  </si>
  <si>
    <t>4" Fire Department Connection</t>
  </si>
  <si>
    <t>6" Fire Line Stub Out</t>
  </si>
  <si>
    <t>Final/Test Fire Main</t>
  </si>
  <si>
    <t>1,700.00LF</t>
  </si>
  <si>
    <t>Aggregate Construction Entrance</t>
  </si>
  <si>
    <t>Construction Entrance Maintenance</t>
  </si>
  <si>
    <t>12.00MO</t>
  </si>
  <si>
    <t>Demo Existing Asphalt</t>
  </si>
  <si>
    <t>900.00SY</t>
  </si>
  <si>
    <t>Remove Existing Guardrail</t>
  </si>
  <si>
    <t>700.00CY</t>
  </si>
  <si>
    <t>11,500.00CY</t>
  </si>
  <si>
    <t>11,600.00SY</t>
  </si>
  <si>
    <t>3,800.00SY</t>
  </si>
  <si>
    <t>2,400.00SY</t>
  </si>
  <si>
    <t>2,300.00SY</t>
  </si>
  <si>
    <t>8" FDOT Base Rock, LBR40</t>
  </si>
  <si>
    <t>150.00SY</t>
  </si>
  <si>
    <t>2,200.00SY</t>
  </si>
  <si>
    <t>Vehicular Brick Pavers (Standard</t>
  </si>
  <si>
    <t>65.00SY</t>
  </si>
  <si>
    <t xml:space="preserve">Size/Color/Pattern) </t>
  </si>
  <si>
    <t>700.00LF</t>
  </si>
  <si>
    <t>320.00LF</t>
  </si>
  <si>
    <t>650.00SF</t>
  </si>
  <si>
    <t xml:space="preserve">Paving Offsite </t>
  </si>
  <si>
    <t>210.00SY</t>
  </si>
  <si>
    <t>13-1/2" FDOT Rock Base, LBR100</t>
  </si>
  <si>
    <t>200.00SY</t>
  </si>
  <si>
    <t>1-1/2" Asphalt Bottom Lift, Type S</t>
  </si>
  <si>
    <t>1" Asphalt Top Lift, Type S</t>
  </si>
  <si>
    <t>Type D Curb</t>
  </si>
  <si>
    <r>
      <t>Storm Drainage</t>
    </r>
    <r>
      <rPr>
        <sz val="8"/>
        <color theme="1"/>
        <rFont val="Times New Roman"/>
        <family val="1"/>
      </rPr>
      <t xml:space="preserve"> </t>
    </r>
  </si>
  <si>
    <t>EACH</t>
  </si>
  <si>
    <t>Sanitary Sewer</t>
  </si>
  <si>
    <t>4" PVC Sanitary Sewer-Grease Trap (Includes All Fittings And Cleanouts)</t>
  </si>
  <si>
    <t>LS</t>
  </si>
  <si>
    <t>Force Main And Lift Station</t>
  </si>
  <si>
    <t>Potable Water Main</t>
  </si>
  <si>
    <t>Fire Main</t>
  </si>
  <si>
    <t xml:space="preserve">Final/Test Fire Main </t>
  </si>
  <si>
    <t>Unit AL-1a</t>
  </si>
  <si>
    <t>Unit AL-0a</t>
  </si>
  <si>
    <t>Unit A1-da</t>
  </si>
  <si>
    <t>Unit AL-1b</t>
  </si>
  <si>
    <t>Unit A1-db</t>
  </si>
  <si>
    <t>Unit MC-0a</t>
  </si>
  <si>
    <t>Unit MC-0c</t>
  </si>
  <si>
    <t>Unit MC-0b</t>
  </si>
  <si>
    <t>Unit MC-2b</t>
  </si>
  <si>
    <t>Unit MC-2a</t>
  </si>
  <si>
    <t>Unit MC-0d</t>
  </si>
  <si>
    <t>Unit MC-1a</t>
  </si>
  <si>
    <t>drywall</t>
  </si>
  <si>
    <t>ceiling height</t>
  </si>
  <si>
    <t>demsing - full height 1/2</t>
  </si>
  <si>
    <t>exterior wall furring with insulation</t>
  </si>
  <si>
    <t>drywall ceiling</t>
  </si>
  <si>
    <t>green board</t>
  </si>
  <si>
    <t>millwork</t>
  </si>
  <si>
    <t>kitchenette base cabinet</t>
  </si>
  <si>
    <t>ft</t>
  </si>
  <si>
    <t>kitchenette upper cabinet</t>
  </si>
  <si>
    <t>bath base cabinet</t>
  </si>
  <si>
    <t>16x20 shelves - 5</t>
  </si>
  <si>
    <t>wood base</t>
  </si>
  <si>
    <t>shelf &amp; pole</t>
  </si>
  <si>
    <t>DFH</t>
  </si>
  <si>
    <t>sliding closet  pr 4-0x7-0</t>
  </si>
  <si>
    <t>3-0x7-0 slider privacy set</t>
  </si>
  <si>
    <t>3-0x7-0 privacy set</t>
  </si>
  <si>
    <t>3-0x7-0 passage set</t>
  </si>
  <si>
    <t>3-0x7-0 electronic lock, closer</t>
  </si>
  <si>
    <t>Finishes</t>
  </si>
  <si>
    <t>flooring - LVT</t>
  </si>
  <si>
    <t>flooring - tile</t>
  </si>
  <si>
    <t>flooring - tile base</t>
  </si>
  <si>
    <t>paint walls</t>
  </si>
  <si>
    <t>paint ceilings</t>
  </si>
  <si>
    <t>paint base</t>
  </si>
  <si>
    <t>paint doors &amp; frames</t>
  </si>
  <si>
    <t>paint shelves</t>
  </si>
  <si>
    <t>paint shelf &amp; pole</t>
  </si>
  <si>
    <t>Accessories</t>
  </si>
  <si>
    <t>36" grab bar</t>
  </si>
  <si>
    <t>42" grab bar</t>
  </si>
  <si>
    <t>TP holder</t>
  </si>
  <si>
    <t>mirror</t>
  </si>
  <si>
    <t>Window treatment</t>
  </si>
  <si>
    <t>window blinds</t>
  </si>
  <si>
    <t>Equipment</t>
  </si>
  <si>
    <t>stove top</t>
  </si>
  <si>
    <t>refrigerator</t>
  </si>
  <si>
    <t>plumbing</t>
  </si>
  <si>
    <t>kitchen sink</t>
  </si>
  <si>
    <t>lav</t>
  </si>
  <si>
    <t>toilet</t>
  </si>
  <si>
    <t>HC shower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</si>
</sst>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mm/dd/yy;@"/>
    <numFmt numFmtId="167" formatCode="_(&quot;$&quot;* #,##0_);_(&quot;$&quot;* \(#,##0\);_(&quot;$&quot;* &quot;-&quot;??_);_(@_)"/>
    <numFmt numFmtId="168" formatCode="m/d/yy;@"/>
    <numFmt numFmtId="169" formatCode="[&lt;=9999999]###\-####;\(###\)\ ###\-####"/>
    <numFmt numFmtId="170" formatCode="&quot;$&quot;#,##0"/>
    <numFmt numFmtId="171" formatCode="\$#,##0.00"/>
    <numFmt numFmtId="172" formatCode="0\)"/>
    <numFmt numFmtId="173" formatCode="[$-409]mmmm\ d\,\ yyyy;@"/>
    <numFmt numFmtId="174" formatCode="#,##0.0"/>
    <numFmt numFmtId="175" formatCode="00\ 00\ 00"/>
    <numFmt numFmtId="176" formatCode="_(&quot;$&quot;* #,##0.0_);_(&quot;$&quot;* \(#,##0.0\);_(&quot;$&quot;* &quot;-&quot;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Wingdings 2"/>
      <family val="1"/>
      <charset val="2"/>
    </font>
    <font>
      <sz val="11"/>
      <name val="Calibri"/>
      <family val="2"/>
      <scheme val="minor"/>
    </font>
    <font>
      <sz val="12"/>
      <name val="Arial"/>
      <family val="2"/>
    </font>
    <font>
      <sz val="11"/>
      <color rgb="FF2919FB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000000"/>
      <name val="Times New Roman"/>
      <family val="2"/>
    </font>
    <font>
      <sz val="11"/>
      <name val="Arial"/>
      <family val="2"/>
    </font>
    <font>
      <sz val="21"/>
      <color theme="1"/>
      <name val="Century Gothic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b/>
      <u/>
      <sz val="16"/>
      <color theme="4" tint="-0.249977111117893"/>
      <name val="Century Gothic"/>
      <family val="2"/>
    </font>
    <font>
      <sz val="8"/>
      <color theme="1"/>
      <name val="Times New Roman"/>
      <family val="1"/>
    </font>
    <font>
      <b/>
      <sz val="12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 tint="-0.499984740745262"/>
      <name val="Calibri  "/>
    </font>
    <font>
      <sz val="11"/>
      <color theme="1"/>
      <name val="Calibri  "/>
    </font>
    <font>
      <sz val="12"/>
      <name val="Calibri  "/>
    </font>
    <font>
      <sz val="11"/>
      <name val="Calibri  "/>
    </font>
    <font>
      <b/>
      <sz val="11"/>
      <color theme="0"/>
      <name val="Calibri  "/>
    </font>
    <font>
      <u/>
      <sz val="11"/>
      <color theme="10"/>
      <name val="Calibri  "/>
    </font>
    <font>
      <i/>
      <sz val="11"/>
      <color theme="1"/>
      <name val="Calibri  "/>
    </font>
    <font>
      <i/>
      <sz val="11"/>
      <name val="Calibri  "/>
    </font>
    <font>
      <b/>
      <u/>
      <sz val="11"/>
      <color theme="4" tint="-0.249977111117893"/>
      <name val="Calibri"/>
      <family val="2"/>
      <scheme val="minor"/>
    </font>
    <font>
      <u/>
      <sz val="11"/>
      <color rgb="FF0070C0"/>
      <name val="Calibri  "/>
    </font>
    <font>
      <b/>
      <sz val="11"/>
      <name val="Calibri  "/>
    </font>
    <font>
      <b/>
      <sz val="11"/>
      <color rgb="FFFF0000"/>
      <name val="Calibri  "/>
    </font>
    <font>
      <b/>
      <sz val="14"/>
      <name val="Calibri  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el"/>
    </font>
    <font>
      <sz val="9"/>
      <color theme="1"/>
      <name val="Arial"/>
      <family val="2"/>
    </font>
    <font>
      <b/>
      <sz val="12"/>
      <name val="Calibri  "/>
    </font>
    <font>
      <sz val="11"/>
      <color theme="0"/>
      <name val="Calibri  "/>
    </font>
    <font>
      <u/>
      <sz val="11"/>
      <name val="Calibri  "/>
    </font>
  </fonts>
  <fills count="2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7710"/>
        <bgColor indexed="64"/>
      </patternFill>
    </fill>
    <fill>
      <patternFill patternType="solid">
        <fgColor rgb="FF3F70B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0B4"/>
        <bgColor rgb="FF000000"/>
      </patternFill>
    </fill>
  </fills>
  <borders count="24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indexed="64"/>
      </left>
      <right/>
      <top/>
      <bottom/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C1CD23"/>
      </bottom>
      <diagonal/>
    </border>
    <border>
      <left/>
      <right/>
      <top style="thin">
        <color auto="1"/>
      </top>
      <bottom style="medium">
        <color theme="3" tint="0.39994506668294322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hair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/>
      <diagonal/>
    </border>
    <border>
      <left style="dashed">
        <color indexed="64"/>
      </left>
      <right style="thin">
        <color indexed="64"/>
      </right>
      <top style="hair">
        <color indexed="64"/>
      </top>
      <bottom/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theme="3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auto="1"/>
      </left>
      <right style="dotted">
        <color auto="1"/>
      </right>
      <top/>
      <bottom style="hair">
        <color auto="1"/>
      </bottom>
      <diagonal/>
    </border>
    <border>
      <left style="medium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8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3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8"/>
      </left>
      <right style="medium">
        <color indexed="8"/>
      </right>
      <top style="thin">
        <color auto="1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auto="1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8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ck">
        <color auto="1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>
      <alignment vertical="top"/>
    </xf>
    <xf numFmtId="0" fontId="1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8" fillId="0" borderId="46"/>
    <xf numFmtId="5" fontId="17" fillId="0" borderId="0"/>
    <xf numFmtId="0" fontId="10" fillId="0" borderId="0"/>
  </cellStyleXfs>
  <cellXfs count="1205">
    <xf numFmtId="0" fontId="0" fillId="0" borderId="0" xfId="0"/>
    <xf numFmtId="0" fontId="0" fillId="0" borderId="0" xfId="0" applyAlignment="1">
      <alignment wrapText="1"/>
    </xf>
    <xf numFmtId="0" fontId="0" fillId="0" borderId="0" xfId="0" applyProtection="1">
      <protection locked="0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3" xfId="0" applyBorder="1" applyProtection="1">
      <protection locked="0"/>
    </xf>
    <xf numFmtId="0" fontId="0" fillId="0" borderId="4" xfId="0" applyBorder="1" applyAlignment="1" applyProtection="1">
      <alignment horizontal="right"/>
      <protection locked="0"/>
    </xf>
    <xf numFmtId="0" fontId="0" fillId="0" borderId="7" xfId="0" applyBorder="1" applyAlignment="1">
      <alignment wrapText="1"/>
    </xf>
    <xf numFmtId="0" fontId="0" fillId="0" borderId="7" xfId="0" applyBorder="1" applyProtection="1">
      <protection locked="0"/>
    </xf>
    <xf numFmtId="0" fontId="3" fillId="2" borderId="9" xfId="0" applyFont="1" applyFill="1" applyBorder="1"/>
    <xf numFmtId="0" fontId="0" fillId="2" borderId="10" xfId="0" applyFill="1" applyBorder="1" applyAlignment="1">
      <alignment wrapText="1"/>
    </xf>
    <xf numFmtId="0" fontId="0" fillId="2" borderId="10" xfId="0" applyFill="1" applyBorder="1" applyAlignment="1" applyProtection="1">
      <alignment horizontal="center" wrapText="1"/>
      <protection locked="0"/>
    </xf>
    <xf numFmtId="0" fontId="0" fillId="2" borderId="11" xfId="0" applyFill="1" applyBorder="1" applyAlignment="1" applyProtection="1">
      <alignment horizontal="center" wrapText="1"/>
      <protection locked="0"/>
    </xf>
    <xf numFmtId="5" fontId="0" fillId="2" borderId="1" xfId="2" applyNumberFormat="1" applyFont="1" applyFill="1" applyBorder="1" applyAlignment="1" applyProtection="1">
      <alignment horizontal="center"/>
      <protection locked="0"/>
    </xf>
    <xf numFmtId="0" fontId="0" fillId="2" borderId="10" xfId="0" applyFill="1" applyBorder="1" applyProtection="1">
      <protection locked="0"/>
    </xf>
    <xf numFmtId="0" fontId="0" fillId="4" borderId="2" xfId="0" applyFill="1" applyBorder="1"/>
    <xf numFmtId="0" fontId="0" fillId="4" borderId="3" xfId="0" applyFill="1" applyBorder="1" applyAlignment="1">
      <alignment wrapText="1"/>
    </xf>
    <xf numFmtId="0" fontId="0" fillId="4" borderId="3" xfId="0" applyFill="1" applyBorder="1" applyProtection="1">
      <protection locked="0"/>
    </xf>
    <xf numFmtId="0" fontId="0" fillId="4" borderId="3" xfId="0" applyFill="1" applyBorder="1" applyAlignment="1" applyProtection="1">
      <alignment vertical="center"/>
      <protection locked="0"/>
    </xf>
    <xf numFmtId="0" fontId="0" fillId="4" borderId="3" xfId="0" applyFill="1" applyBorder="1" applyAlignment="1" applyProtection="1">
      <alignment horizontal="right"/>
      <protection locked="0"/>
    </xf>
    <xf numFmtId="0" fontId="0" fillId="4" borderId="4" xfId="0" applyFill="1" applyBorder="1" applyAlignment="1" applyProtection="1">
      <alignment horizontal="right"/>
      <protection locked="0"/>
    </xf>
    <xf numFmtId="5" fontId="0" fillId="4" borderId="5" xfId="0" applyNumberForma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0" borderId="6" xfId="0" applyBorder="1"/>
    <xf numFmtId="165" fontId="0" fillId="0" borderId="8" xfId="0" applyNumberFormat="1" applyBorder="1" applyProtection="1">
      <protection locked="0"/>
    </xf>
    <xf numFmtId="164" fontId="0" fillId="0" borderId="0" xfId="0" applyNumberFormat="1"/>
    <xf numFmtId="0" fontId="0" fillId="0" borderId="0" xfId="0" applyAlignment="1">
      <alignment horizontal="right"/>
    </xf>
    <xf numFmtId="0" fontId="0" fillId="2" borderId="31" xfId="0" applyFill="1" applyBorder="1" applyProtection="1">
      <protection locked="0"/>
    </xf>
    <xf numFmtId="165" fontId="0" fillId="0" borderId="29" xfId="0" applyNumberFormat="1" applyBorder="1" applyProtection="1">
      <protection locked="0"/>
    </xf>
    <xf numFmtId="0" fontId="0" fillId="2" borderId="33" xfId="0" applyFill="1" applyBorder="1" applyProtection="1">
      <protection locked="0"/>
    </xf>
    <xf numFmtId="0" fontId="0" fillId="0" borderId="34" xfId="0" applyBorder="1" applyProtection="1">
      <protection locked="0"/>
    </xf>
    <xf numFmtId="0" fontId="5" fillId="0" borderId="36" xfId="0" applyFont="1" applyBorder="1" applyProtection="1">
      <protection locked="0"/>
    </xf>
    <xf numFmtId="0" fontId="0" fillId="0" borderId="36" xfId="0" applyBorder="1" applyProtection="1">
      <protection locked="0"/>
    </xf>
    <xf numFmtId="5" fontId="0" fillId="0" borderId="30" xfId="2" applyNumberFormat="1" applyFont="1" applyBorder="1" applyProtection="1">
      <protection locked="0"/>
    </xf>
    <xf numFmtId="0" fontId="0" fillId="0" borderId="35" xfId="0" applyBorder="1"/>
    <xf numFmtId="5" fontId="0" fillId="4" borderId="5" xfId="0" applyNumberFormat="1" applyFill="1" applyBorder="1" applyAlignment="1" applyProtection="1">
      <alignment horizontal="left"/>
      <protection locked="0"/>
    </xf>
    <xf numFmtId="0" fontId="0" fillId="0" borderId="12" xfId="0" applyBorder="1" applyProtection="1">
      <protection locked="0"/>
    </xf>
    <xf numFmtId="9" fontId="0" fillId="4" borderId="8" xfId="3" applyFont="1" applyFill="1" applyBorder="1" applyAlignment="1" applyProtection="1">
      <alignment horizontal="left"/>
      <protection locked="0"/>
    </xf>
    <xf numFmtId="170" fontId="0" fillId="4" borderId="5" xfId="0" applyNumberFormat="1" applyFill="1" applyBorder="1" applyAlignment="1" applyProtection="1">
      <alignment horizontal="left"/>
      <protection locked="0"/>
    </xf>
    <xf numFmtId="0" fontId="6" fillId="0" borderId="0" xfId="0" applyFont="1"/>
    <xf numFmtId="0" fontId="6" fillId="0" borderId="32" xfId="0" applyFont="1" applyBorder="1" applyAlignment="1" applyProtection="1">
      <alignment horizontal="right"/>
      <protection locked="0"/>
    </xf>
    <xf numFmtId="44" fontId="0" fillId="0" borderId="0" xfId="2" applyFont="1"/>
    <xf numFmtId="0" fontId="3" fillId="0" borderId="38" xfId="0" applyFont="1" applyBorder="1" applyAlignment="1" applyProtection="1">
      <alignment horizontal="right"/>
      <protection locked="0"/>
    </xf>
    <xf numFmtId="0" fontId="3" fillId="0" borderId="25" xfId="0" applyFont="1" applyBorder="1" applyAlignment="1" applyProtection="1">
      <alignment horizontal="right"/>
      <protection locked="0"/>
    </xf>
    <xf numFmtId="0" fontId="0" fillId="0" borderId="1" xfId="0" applyBorder="1" applyProtection="1">
      <protection locked="0"/>
    </xf>
    <xf numFmtId="0" fontId="0" fillId="5" borderId="0" xfId="0" applyFill="1"/>
    <xf numFmtId="0" fontId="0" fillId="10" borderId="0" xfId="0" applyFill="1"/>
    <xf numFmtId="171" fontId="16" fillId="0" borderId="39" xfId="0" applyNumberFormat="1" applyFont="1" applyBorder="1" applyAlignment="1">
      <alignment horizontal="left" vertical="top" shrinkToFit="1"/>
    </xf>
    <xf numFmtId="3" fontId="0" fillId="0" borderId="8" xfId="0" applyNumberFormat="1" applyBorder="1" applyProtection="1">
      <protection locked="0"/>
    </xf>
    <xf numFmtId="0" fontId="5" fillId="0" borderId="0" xfId="0" applyFont="1" applyProtection="1">
      <protection locked="0"/>
    </xf>
    <xf numFmtId="167" fontId="0" fillId="0" borderId="0" xfId="2" applyNumberFormat="1" applyFont="1"/>
    <xf numFmtId="0" fontId="10" fillId="7" borderId="59" xfId="0" applyFont="1" applyFill="1" applyBorder="1" applyAlignment="1">
      <alignment horizontal="left" vertical="center" wrapText="1"/>
    </xf>
    <xf numFmtId="0" fontId="10" fillId="11" borderId="0" xfId="0" applyFont="1" applyFill="1" applyAlignment="1">
      <alignment horizontal="center"/>
    </xf>
    <xf numFmtId="0" fontId="10" fillId="0" borderId="0" xfId="0" applyFont="1"/>
    <xf numFmtId="0" fontId="10" fillId="10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7" borderId="59" xfId="0" applyFont="1" applyFill="1" applyBorder="1" applyAlignment="1">
      <alignment horizontal="left"/>
    </xf>
    <xf numFmtId="44" fontId="0" fillId="0" borderId="16" xfId="2" applyFont="1" applyBorder="1" applyProtection="1">
      <protection locked="0"/>
    </xf>
    <xf numFmtId="0" fontId="11" fillId="7" borderId="59" xfId="0" applyFont="1" applyFill="1" applyBorder="1" applyAlignment="1">
      <alignment horizontal="left"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66" xfId="0" applyBorder="1" applyProtection="1">
      <protection locked="0"/>
    </xf>
    <xf numFmtId="0" fontId="21" fillId="0" borderId="0" xfId="4" applyFont="1"/>
    <xf numFmtId="164" fontId="20" fillId="0" borderId="0" xfId="1" applyNumberFormat="1" applyFont="1"/>
    <xf numFmtId="0" fontId="20" fillId="0" borderId="0" xfId="0" applyFont="1"/>
    <xf numFmtId="43" fontId="20" fillId="0" borderId="0" xfId="1" applyFont="1"/>
    <xf numFmtId="44" fontId="20" fillId="0" borderId="0" xfId="2" applyFont="1"/>
    <xf numFmtId="8" fontId="20" fillId="0" borderId="0" xfId="0" applyNumberFormat="1" applyFont="1"/>
    <xf numFmtId="43" fontId="20" fillId="0" borderId="0" xfId="0" applyNumberFormat="1" applyFont="1"/>
    <xf numFmtId="164" fontId="20" fillId="0" borderId="0" xfId="1" applyNumberFormat="1" applyFont="1" applyAlignment="1">
      <alignment horizontal="left"/>
    </xf>
    <xf numFmtId="8" fontId="0" fillId="0" borderId="0" xfId="0" applyNumberFormat="1"/>
    <xf numFmtId="164" fontId="0" fillId="0" borderId="0" xfId="1" applyNumberFormat="1" applyFont="1"/>
    <xf numFmtId="164" fontId="0" fillId="10" borderId="0" xfId="1" applyNumberFormat="1" applyFont="1" applyFill="1"/>
    <xf numFmtId="0" fontId="10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" fillId="14" borderId="5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3" fontId="3" fillId="14" borderId="71" xfId="1" applyFont="1" applyFill="1" applyBorder="1" applyAlignment="1">
      <alignment horizontal="center" vertical="center"/>
    </xf>
    <xf numFmtId="166" fontId="3" fillId="14" borderId="74" xfId="1" applyNumberFormat="1" applyFont="1" applyFill="1" applyBorder="1" applyAlignment="1">
      <alignment horizontal="center" vertical="center"/>
    </xf>
    <xf numFmtId="167" fontId="3" fillId="14" borderId="57" xfId="2" applyNumberFormat="1" applyFont="1" applyFill="1" applyBorder="1" applyAlignment="1">
      <alignment horizontal="center"/>
    </xf>
    <xf numFmtId="167" fontId="3" fillId="14" borderId="18" xfId="2" applyNumberFormat="1" applyFont="1" applyFill="1" applyBorder="1" applyAlignment="1">
      <alignment horizontal="center"/>
    </xf>
    <xf numFmtId="0" fontId="3" fillId="0" borderId="0" xfId="0" applyFont="1"/>
    <xf numFmtId="167" fontId="3" fillId="14" borderId="61" xfId="2" applyNumberFormat="1" applyFont="1" applyFill="1" applyBorder="1" applyAlignment="1">
      <alignment horizontal="center"/>
    </xf>
    <xf numFmtId="167" fontId="3" fillId="14" borderId="41" xfId="2" applyNumberFormat="1" applyFont="1" applyFill="1" applyBorder="1" applyAlignment="1">
      <alignment horizontal="center"/>
    </xf>
    <xf numFmtId="0" fontId="3" fillId="14" borderId="63" xfId="0" applyFont="1" applyFill="1" applyBorder="1" applyAlignment="1">
      <alignment horizontal="center" vertical="center" wrapText="1"/>
    </xf>
    <xf numFmtId="0" fontId="3" fillId="11" borderId="43" xfId="0" applyFont="1" applyFill="1" applyBorder="1" applyAlignment="1">
      <alignment horizontal="center"/>
    </xf>
    <xf numFmtId="164" fontId="3" fillId="11" borderId="42" xfId="1" applyNumberFormat="1" applyFont="1" applyFill="1" applyBorder="1"/>
    <xf numFmtId="164" fontId="3" fillId="11" borderId="64" xfId="1" applyNumberFormat="1" applyFont="1" applyFill="1" applyBorder="1"/>
    <xf numFmtId="164" fontId="3" fillId="11" borderId="43" xfId="1" applyNumberFormat="1" applyFont="1" applyFill="1" applyBorder="1"/>
    <xf numFmtId="167" fontId="0" fillId="11" borderId="43" xfId="2" applyNumberFormat="1" applyFont="1" applyFill="1" applyBorder="1"/>
    <xf numFmtId="170" fontId="0" fillId="11" borderId="43" xfId="0" applyNumberFormat="1" applyFill="1" applyBorder="1"/>
    <xf numFmtId="0" fontId="0" fillId="0" borderId="69" xfId="0" applyBorder="1" applyAlignment="1">
      <alignment horizontal="center"/>
    </xf>
    <xf numFmtId="9" fontId="0" fillId="0" borderId="75" xfId="3" applyFont="1" applyFill="1" applyBorder="1" applyAlignment="1">
      <alignment horizontal="left"/>
    </xf>
    <xf numFmtId="167" fontId="0" fillId="0" borderId="57" xfId="2" applyNumberFormat="1" applyFont="1" applyFill="1" applyBorder="1"/>
    <xf numFmtId="9" fontId="0" fillId="0" borderId="71" xfId="3" applyFont="1" applyFill="1" applyBorder="1" applyAlignment="1">
      <alignment horizontal="left"/>
    </xf>
    <xf numFmtId="0" fontId="0" fillId="0" borderId="76" xfId="0" applyBorder="1" applyAlignment="1">
      <alignment horizontal="center"/>
    </xf>
    <xf numFmtId="0" fontId="0" fillId="7" borderId="0" xfId="0" applyFill="1"/>
    <xf numFmtId="0" fontId="0" fillId="0" borderId="77" xfId="0" applyBorder="1" applyAlignment="1">
      <alignment horizontal="center"/>
    </xf>
    <xf numFmtId="174" fontId="0" fillId="0" borderId="57" xfId="1" applyNumberFormat="1" applyFont="1" applyFill="1" applyBorder="1"/>
    <xf numFmtId="167" fontId="3" fillId="0" borderId="74" xfId="2" applyNumberFormat="1" applyFont="1" applyFill="1" applyBorder="1"/>
    <xf numFmtId="167" fontId="0" fillId="0" borderId="0" xfId="2" applyNumberFormat="1" applyFont="1" applyFill="1"/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7" borderId="74" xfId="0" applyFill="1" applyBorder="1"/>
    <xf numFmtId="174" fontId="0" fillId="0" borderId="61" xfId="1" applyNumberFormat="1" applyFont="1" applyBorder="1"/>
    <xf numFmtId="0" fontId="0" fillId="7" borderId="79" xfId="0" applyFill="1" applyBorder="1" applyAlignment="1">
      <alignment horizontal="center"/>
    </xf>
    <xf numFmtId="167" fontId="0" fillId="0" borderId="78" xfId="2" applyNumberFormat="1" applyFont="1" applyBorder="1"/>
    <xf numFmtId="167" fontId="3" fillId="0" borderId="62" xfId="2" applyNumberFormat="1" applyFont="1" applyBorder="1"/>
    <xf numFmtId="167" fontId="3" fillId="0" borderId="74" xfId="2" applyNumberFormat="1" applyFont="1" applyBorder="1"/>
    <xf numFmtId="9" fontId="0" fillId="7" borderId="73" xfId="3" applyFont="1" applyFill="1" applyBorder="1" applyAlignment="1">
      <alignment horizontal="left"/>
    </xf>
    <xf numFmtId="44" fontId="0" fillId="0" borderId="74" xfId="0" applyNumberFormat="1" applyBorder="1"/>
    <xf numFmtId="0" fontId="3" fillId="15" borderId="42" xfId="0" applyFont="1" applyFill="1" applyBorder="1" applyAlignment="1">
      <alignment horizontal="center"/>
    </xf>
    <xf numFmtId="164" fontId="0" fillId="15" borderId="42" xfId="1" applyNumberFormat="1" applyFont="1" applyFill="1" applyBorder="1"/>
    <xf numFmtId="164" fontId="0" fillId="15" borderId="64" xfId="1" applyNumberFormat="1" applyFont="1" applyFill="1" applyBorder="1"/>
    <xf numFmtId="164" fontId="0" fillId="15" borderId="43" xfId="1" applyNumberFormat="1" applyFont="1" applyFill="1" applyBorder="1"/>
    <xf numFmtId="167" fontId="0" fillId="15" borderId="43" xfId="2" applyNumberFormat="1" applyFont="1" applyFill="1" applyBorder="1"/>
    <xf numFmtId="0" fontId="0" fillId="0" borderId="74" xfId="0" applyBorder="1"/>
    <xf numFmtId="174" fontId="0" fillId="7" borderId="61" xfId="1" applyNumberFormat="1" applyFont="1" applyFill="1" applyBorder="1"/>
    <xf numFmtId="167" fontId="0" fillId="0" borderId="61" xfId="2" applyNumberFormat="1" applyFont="1" applyFill="1" applyBorder="1"/>
    <xf numFmtId="167" fontId="3" fillId="0" borderId="63" xfId="2" applyNumberFormat="1" applyFont="1" applyBorder="1"/>
    <xf numFmtId="0" fontId="3" fillId="15" borderId="43" xfId="0" applyFont="1" applyFill="1" applyBorder="1" applyAlignment="1">
      <alignment horizontal="center"/>
    </xf>
    <xf numFmtId="164" fontId="0" fillId="15" borderId="60" xfId="1" applyNumberFormat="1" applyFont="1" applyFill="1" applyBorder="1" applyAlignment="1">
      <alignment horizontal="center"/>
    </xf>
    <xf numFmtId="167" fontId="0" fillId="0" borderId="61" xfId="2" applyNumberFormat="1" applyFont="1" applyBorder="1"/>
    <xf numFmtId="167" fontId="0" fillId="0" borderId="63" xfId="2" applyNumberFormat="1" applyFont="1" applyBorder="1"/>
    <xf numFmtId="0" fontId="0" fillId="0" borderId="59" xfId="0" applyBorder="1"/>
    <xf numFmtId="174" fontId="0" fillId="0" borderId="57" xfId="1" applyNumberFormat="1" applyFont="1" applyBorder="1"/>
    <xf numFmtId="167" fontId="0" fillId="0" borderId="57" xfId="2" applyNumberFormat="1" applyFont="1" applyBorder="1"/>
    <xf numFmtId="167" fontId="3" fillId="0" borderId="58" xfId="2" applyNumberFormat="1" applyFont="1" applyBorder="1"/>
    <xf numFmtId="167" fontId="3" fillId="0" borderId="59" xfId="2" applyNumberFormat="1" applyFont="1" applyBorder="1"/>
    <xf numFmtId="167" fontId="0" fillId="0" borderId="59" xfId="2" applyNumberFormat="1" applyFont="1" applyBorder="1"/>
    <xf numFmtId="174" fontId="0" fillId="0" borderId="78" xfId="1" applyNumberFormat="1" applyFont="1" applyBorder="1"/>
    <xf numFmtId="167" fontId="3" fillId="0" borderId="79" xfId="2" applyNumberFormat="1" applyFont="1" applyBorder="1"/>
    <xf numFmtId="167" fontId="0" fillId="0" borderId="74" xfId="2" applyNumberFormat="1" applyFont="1" applyBorder="1"/>
    <xf numFmtId="174" fontId="0" fillId="7" borderId="78" xfId="1" applyNumberFormat="1" applyFont="1" applyFill="1" applyBorder="1"/>
    <xf numFmtId="44" fontId="0" fillId="0" borderId="78" xfId="2" applyFont="1" applyBorder="1"/>
    <xf numFmtId="167" fontId="0" fillId="7" borderId="74" xfId="2" applyNumberFormat="1" applyFont="1" applyFill="1" applyBorder="1"/>
    <xf numFmtId="174" fontId="0" fillId="7" borderId="57" xfId="1" applyNumberFormat="1" applyFont="1" applyFill="1" applyBorder="1"/>
    <xf numFmtId="0" fontId="0" fillId="0" borderId="58" xfId="0" applyBorder="1" applyAlignment="1">
      <alignment horizontal="center"/>
    </xf>
    <xf numFmtId="167" fontId="0" fillId="0" borderId="77" xfId="2" applyNumberFormat="1" applyFont="1" applyBorder="1"/>
    <xf numFmtId="0" fontId="3" fillId="0" borderId="63" xfId="0" applyFont="1" applyBorder="1" applyAlignment="1">
      <alignment horizontal="center"/>
    </xf>
    <xf numFmtId="174" fontId="3" fillId="3" borderId="61" xfId="1" applyNumberFormat="1" applyFont="1" applyFill="1" applyBorder="1"/>
    <xf numFmtId="0" fontId="3" fillId="3" borderId="62" xfId="0" applyFont="1" applyFill="1" applyBorder="1" applyAlignment="1">
      <alignment horizontal="center"/>
    </xf>
    <xf numFmtId="167" fontId="3" fillId="3" borderId="40" xfId="2" applyNumberFormat="1" applyFont="1" applyFill="1" applyBorder="1"/>
    <xf numFmtId="167" fontId="3" fillId="0" borderId="43" xfId="2" applyNumberFormat="1" applyFont="1" applyBorder="1"/>
    <xf numFmtId="167" fontId="3" fillId="3" borderId="43" xfId="2" applyNumberFormat="1" applyFont="1" applyFill="1" applyBorder="1"/>
    <xf numFmtId="174" fontId="3" fillId="0" borderId="0" xfId="1" applyNumberFormat="1" applyFont="1"/>
    <xf numFmtId="167" fontId="3" fillId="0" borderId="0" xfId="2" applyNumberFormat="1" applyFont="1"/>
    <xf numFmtId="167" fontId="3" fillId="11" borderId="45" xfId="2" applyNumberFormat="1" applyFont="1" applyFill="1" applyBorder="1"/>
    <xf numFmtId="167" fontId="3" fillId="15" borderId="45" xfId="2" applyNumberFormat="1" applyFont="1" applyFill="1" applyBorder="1"/>
    <xf numFmtId="167" fontId="3" fillId="0" borderId="45" xfId="2" applyNumberFormat="1" applyFont="1" applyBorder="1"/>
    <xf numFmtId="174" fontId="0" fillId="0" borderId="0" xfId="1" applyNumberFormat="1" applyFont="1"/>
    <xf numFmtId="9" fontId="0" fillId="0" borderId="81" xfId="3" applyFont="1" applyFill="1" applyBorder="1" applyAlignment="1">
      <alignment horizontal="left"/>
    </xf>
    <xf numFmtId="0" fontId="0" fillId="0" borderId="82" xfId="0" applyBorder="1" applyAlignment="1">
      <alignment horizontal="center"/>
    </xf>
    <xf numFmtId="167" fontId="3" fillId="0" borderId="79" xfId="2" applyNumberFormat="1" applyFont="1" applyFill="1" applyBorder="1"/>
    <xf numFmtId="0" fontId="28" fillId="0" borderId="0" xfId="0" applyFont="1"/>
    <xf numFmtId="42" fontId="28" fillId="0" borderId="0" xfId="0" applyNumberFormat="1" applyFont="1"/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/>
    </xf>
    <xf numFmtId="0" fontId="3" fillId="2" borderId="9" xfId="0" applyFont="1" applyFill="1" applyBorder="1" applyAlignment="1">
      <alignment vertical="top"/>
    </xf>
    <xf numFmtId="5" fontId="0" fillId="2" borderId="1" xfId="2" applyNumberFormat="1" applyFont="1" applyFill="1" applyBorder="1" applyAlignment="1" applyProtection="1">
      <alignment horizontal="center" vertical="top"/>
      <protection locked="0"/>
    </xf>
    <xf numFmtId="0" fontId="30" fillId="0" borderId="0" xfId="0" applyFont="1"/>
    <xf numFmtId="44" fontId="0" fillId="4" borderId="5" xfId="2" applyFont="1" applyFill="1" applyBorder="1" applyAlignment="1" applyProtection="1">
      <alignment horizontal="left"/>
      <protection locked="0"/>
    </xf>
    <xf numFmtId="44" fontId="0" fillId="4" borderId="8" xfId="2" applyFont="1" applyFill="1" applyBorder="1" applyAlignment="1" applyProtection="1">
      <alignment horizontal="left"/>
      <protection locked="0"/>
    </xf>
    <xf numFmtId="43" fontId="0" fillId="0" borderId="0" xfId="1" applyFont="1" applyProtection="1">
      <protection locked="0"/>
    </xf>
    <xf numFmtId="43" fontId="0" fillId="0" borderId="3" xfId="1" applyFont="1" applyBorder="1" applyProtection="1">
      <protection locked="0"/>
    </xf>
    <xf numFmtId="43" fontId="0" fillId="0" borderId="7" xfId="1" applyFont="1" applyBorder="1" applyProtection="1">
      <protection locked="0"/>
    </xf>
    <xf numFmtId="43" fontId="0" fillId="2" borderId="10" xfId="1" applyFont="1" applyFill="1" applyBorder="1" applyAlignment="1" applyProtection="1">
      <alignment horizontal="center" vertical="top" wrapText="1"/>
      <protection locked="0"/>
    </xf>
    <xf numFmtId="43" fontId="0" fillId="4" borderId="3" xfId="1" applyFont="1" applyFill="1" applyBorder="1" applyProtection="1">
      <protection locked="0"/>
    </xf>
    <xf numFmtId="43" fontId="0" fillId="2" borderId="10" xfId="1" applyFont="1" applyFill="1" applyBorder="1" applyProtection="1">
      <protection locked="0"/>
    </xf>
    <xf numFmtId="0" fontId="0" fillId="20" borderId="0" xfId="0" applyFill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2" borderId="10" xfId="0" applyFill="1" applyBorder="1" applyAlignment="1">
      <alignment vertical="top" wrapText="1"/>
    </xf>
    <xf numFmtId="0" fontId="0" fillId="2" borderId="10" xfId="0" applyFill="1" applyBorder="1" applyAlignment="1" applyProtection="1">
      <alignment horizontal="center" vertical="top" wrapText="1"/>
      <protection locked="0"/>
    </xf>
    <xf numFmtId="0" fontId="0" fillId="2" borderId="11" xfId="0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vertical="top"/>
    </xf>
    <xf numFmtId="0" fontId="0" fillId="4" borderId="3" xfId="0" applyFill="1" applyBorder="1" applyAlignment="1" applyProtection="1">
      <alignment horizontal="center" vertic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6" fillId="5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35" fillId="0" borderId="0" xfId="4" applyFont="1"/>
    <xf numFmtId="171" fontId="25" fillId="0" borderId="39" xfId="0" applyNumberFormat="1" applyFont="1" applyBorder="1" applyAlignment="1">
      <alignment horizontal="left" vertical="top" shrinkToFit="1"/>
    </xf>
    <xf numFmtId="172" fontId="28" fillId="0" borderId="0" xfId="0" applyNumberFormat="1" applyFont="1" applyAlignment="1">
      <alignment horizontal="center" vertical="top"/>
    </xf>
    <xf numFmtId="0" fontId="28" fillId="0" borderId="0" xfId="0" applyFont="1" applyAlignment="1">
      <alignment horizontal="left" vertical="top"/>
    </xf>
    <xf numFmtId="0" fontId="28" fillId="12" borderId="16" xfId="0" applyFont="1" applyFill="1" applyBorder="1"/>
    <xf numFmtId="167" fontId="28" fillId="12" borderId="16" xfId="0" applyNumberFormat="1" applyFont="1" applyFill="1" applyBorder="1"/>
    <xf numFmtId="0" fontId="37" fillId="0" borderId="0" xfId="0" applyFont="1"/>
    <xf numFmtId="0" fontId="37" fillId="0" borderId="0" xfId="0" applyFont="1" applyAlignment="1">
      <alignment horizontal="center" vertical="center"/>
    </xf>
    <xf numFmtId="172" fontId="28" fillId="0" borderId="0" xfId="0" applyNumberFormat="1" applyFont="1" applyAlignment="1">
      <alignment horizontal="right" vertical="top"/>
    </xf>
    <xf numFmtId="0" fontId="38" fillId="0" borderId="0" xfId="0" applyFont="1" applyAlignment="1">
      <alignment wrapText="1"/>
    </xf>
    <xf numFmtId="44" fontId="28" fillId="0" borderId="0" xfId="0" applyNumberFormat="1" applyFont="1" applyAlignment="1">
      <alignment vertical="top"/>
    </xf>
    <xf numFmtId="172" fontId="28" fillId="0" borderId="0" xfId="0" applyNumberFormat="1" applyFont="1" applyAlignment="1">
      <alignment horizontal="right"/>
    </xf>
    <xf numFmtId="172" fontId="28" fillId="0" borderId="48" xfId="0" applyNumberFormat="1" applyFont="1" applyBorder="1" applyAlignment="1">
      <alignment horizontal="center" vertical="center"/>
    </xf>
    <xf numFmtId="0" fontId="28" fillId="0" borderId="51" xfId="0" applyFont="1" applyBorder="1" applyAlignment="1">
      <alignment horizontal="left" vertical="center" wrapText="1"/>
    </xf>
    <xf numFmtId="44" fontId="28" fillId="0" borderId="49" xfId="2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172" fontId="28" fillId="0" borderId="50" xfId="0" applyNumberFormat="1" applyFont="1" applyBorder="1" applyAlignment="1">
      <alignment horizontal="center" vertical="center"/>
    </xf>
    <xf numFmtId="44" fontId="28" fillId="0" borderId="52" xfId="2" applyFont="1" applyBorder="1" applyAlignment="1">
      <alignment horizontal="left" vertical="center"/>
    </xf>
    <xf numFmtId="0" fontId="28" fillId="0" borderId="53" xfId="0" applyFont="1" applyBorder="1" applyAlignment="1">
      <alignment horizontal="left" vertical="center" wrapText="1"/>
    </xf>
    <xf numFmtId="44" fontId="28" fillId="0" borderId="54" xfId="2" applyFont="1" applyBorder="1" applyAlignment="1">
      <alignment horizontal="left" vertical="center"/>
    </xf>
    <xf numFmtId="0" fontId="28" fillId="0" borderId="55" xfId="0" applyFont="1" applyBorder="1" applyAlignment="1">
      <alignment horizontal="left" vertical="center" wrapText="1"/>
    </xf>
    <xf numFmtId="44" fontId="28" fillId="0" borderId="56" xfId="2" applyFont="1" applyBorder="1" applyAlignment="1">
      <alignment horizontal="left" vertical="center"/>
    </xf>
    <xf numFmtId="17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44" fontId="28" fillId="0" borderId="0" xfId="2" applyFont="1" applyBorder="1" applyAlignment="1">
      <alignment horizontal="left" vertical="center"/>
    </xf>
    <xf numFmtId="172" fontId="30" fillId="0" borderId="0" xfId="0" applyNumberFormat="1" applyFont="1" applyAlignment="1">
      <alignment horizontal="center" vertical="top"/>
    </xf>
    <xf numFmtId="0" fontId="30" fillId="0" borderId="0" xfId="0" applyFont="1" applyAlignment="1">
      <alignment horizontal="left" vertical="top"/>
    </xf>
    <xf numFmtId="0" fontId="30" fillId="12" borderId="16" xfId="0" applyFont="1" applyFill="1" applyBorder="1"/>
    <xf numFmtId="167" fontId="30" fillId="12" borderId="16" xfId="0" applyNumberFormat="1" applyFont="1" applyFill="1" applyBorder="1"/>
    <xf numFmtId="0" fontId="30" fillId="0" borderId="47" xfId="10" applyFont="1" applyBorder="1" applyAlignment="1">
      <alignment vertical="center" wrapText="1"/>
    </xf>
    <xf numFmtId="167" fontId="30" fillId="0" borderId="0" xfId="2" applyNumberFormat="1" applyFont="1"/>
    <xf numFmtId="167" fontId="30" fillId="0" borderId="0" xfId="2" applyNumberFormat="1" applyFont="1" applyAlignment="1">
      <alignment horizontal="left"/>
    </xf>
    <xf numFmtId="164" fontId="0" fillId="0" borderId="0" xfId="1" applyNumberFormat="1" applyFont="1" applyAlignment="1">
      <alignment horizontal="right"/>
    </xf>
    <xf numFmtId="44" fontId="0" fillId="4" borderId="85" xfId="2" applyFont="1" applyFill="1" applyBorder="1" applyAlignment="1" applyProtection="1">
      <alignment horizontal="left"/>
      <protection locked="0"/>
    </xf>
    <xf numFmtId="44" fontId="0" fillId="4" borderId="86" xfId="2" applyFont="1" applyFill="1" applyBorder="1" applyAlignment="1" applyProtection="1">
      <alignment horizontal="left"/>
      <protection locked="0"/>
    </xf>
    <xf numFmtId="44" fontId="0" fillId="21" borderId="5" xfId="2" applyFont="1" applyFill="1" applyBorder="1" applyAlignment="1" applyProtection="1">
      <alignment horizontal="left"/>
      <protection locked="0"/>
    </xf>
    <xf numFmtId="0" fontId="0" fillId="4" borderId="3" xfId="0" applyFill="1" applyBorder="1" applyAlignment="1">
      <alignment horizontal="right" wrapText="1"/>
    </xf>
    <xf numFmtId="44" fontId="0" fillId="4" borderId="4" xfId="2" applyFont="1" applyFill="1" applyBorder="1" applyAlignment="1" applyProtection="1">
      <alignment horizontal="right"/>
      <protection locked="0"/>
    </xf>
    <xf numFmtId="0" fontId="0" fillId="2" borderId="87" xfId="0" applyFill="1" applyBorder="1" applyProtection="1">
      <protection locked="0"/>
    </xf>
    <xf numFmtId="0" fontId="0" fillId="0" borderId="86" xfId="0" applyBorder="1" applyProtection="1">
      <protection locked="0"/>
    </xf>
    <xf numFmtId="164" fontId="31" fillId="0" borderId="0" xfId="1" applyNumberFormat="1" applyFont="1" applyAlignment="1">
      <alignment horizontal="center" vertical="top" wrapText="1"/>
    </xf>
    <xf numFmtId="43" fontId="0" fillId="0" borderId="0" xfId="1" applyFont="1" applyAlignment="1" applyProtection="1">
      <alignment horizontal="center"/>
      <protection locked="0"/>
    </xf>
    <xf numFmtId="43" fontId="0" fillId="0" borderId="3" xfId="1" applyFont="1" applyBorder="1" applyAlignment="1" applyProtection="1">
      <alignment horizontal="center"/>
      <protection locked="0"/>
    </xf>
    <xf numFmtId="43" fontId="0" fillId="0" borderId="7" xfId="1" applyFont="1" applyBorder="1" applyAlignment="1" applyProtection="1">
      <alignment horizontal="center"/>
      <protection locked="0"/>
    </xf>
    <xf numFmtId="43" fontId="0" fillId="4" borderId="3" xfId="1" applyFont="1" applyFill="1" applyBorder="1" applyAlignment="1" applyProtection="1">
      <alignment horizontal="center"/>
      <protection locked="0"/>
    </xf>
    <xf numFmtId="43" fontId="0" fillId="2" borderId="10" xfId="1" applyFont="1" applyFill="1" applyBorder="1" applyAlignment="1" applyProtection="1">
      <alignment horizontal="center"/>
      <protection locked="0"/>
    </xf>
    <xf numFmtId="44" fontId="0" fillId="22" borderId="5" xfId="2" applyFont="1" applyFill="1" applyBorder="1" applyAlignment="1" applyProtection="1">
      <alignment horizontal="left"/>
      <protection locked="0"/>
    </xf>
    <xf numFmtId="0" fontId="6" fillId="0" borderId="90" xfId="0" applyFont="1" applyBorder="1" applyAlignment="1">
      <alignment vertical="center" wrapText="1"/>
    </xf>
    <xf numFmtId="0" fontId="27" fillId="0" borderId="84" xfId="0" applyFont="1" applyBorder="1" applyAlignment="1">
      <alignment vertical="center"/>
    </xf>
    <xf numFmtId="0" fontId="29" fillId="0" borderId="0" xfId="10" applyFont="1" applyBorder="1" applyAlignment="1">
      <alignment vertical="center"/>
    </xf>
    <xf numFmtId="0" fontId="28" fillId="0" borderId="83" xfId="0" applyFont="1" applyBorder="1" applyAlignment="1">
      <alignment horizontal="left"/>
    </xf>
    <xf numFmtId="0" fontId="31" fillId="16" borderId="83" xfId="0" applyFont="1" applyFill="1" applyBorder="1" applyAlignment="1">
      <alignment horizontal="left" vertical="center"/>
    </xf>
    <xf numFmtId="172" fontId="40" fillId="0" borderId="0" xfId="0" applyNumberFormat="1" applyFont="1" applyAlignment="1">
      <alignment horizontal="center" vertical="top"/>
    </xf>
    <xf numFmtId="0" fontId="41" fillId="0" borderId="0" xfId="0" applyFont="1" applyAlignment="1">
      <alignment horizontal="left" vertical="top"/>
    </xf>
    <xf numFmtId="166" fontId="40" fillId="0" borderId="0" xfId="0" applyNumberFormat="1" applyFont="1" applyAlignment="1">
      <alignment horizontal="center" vertical="top"/>
    </xf>
    <xf numFmtId="172" fontId="25" fillId="0" borderId="0" xfId="0" applyNumberFormat="1" applyFont="1" applyAlignment="1">
      <alignment horizontal="center" vertical="top"/>
    </xf>
    <xf numFmtId="0" fontId="25" fillId="0" borderId="0" xfId="0" applyFont="1"/>
    <xf numFmtId="166" fontId="25" fillId="0" borderId="0" xfId="0" applyNumberFormat="1" applyFont="1" applyAlignment="1">
      <alignment horizontal="center"/>
    </xf>
    <xf numFmtId="172" fontId="25" fillId="0" borderId="42" xfId="0" applyNumberFormat="1" applyFont="1" applyBorder="1" applyAlignment="1">
      <alignment horizontal="center" vertical="top"/>
    </xf>
    <xf numFmtId="0" fontId="42" fillId="0" borderId="64" xfId="0" applyFont="1" applyBorder="1" applyAlignment="1">
      <alignment horizontal="center"/>
    </xf>
    <xf numFmtId="166" fontId="25" fillId="0" borderId="60" xfId="0" applyNumberFormat="1" applyFont="1" applyBorder="1" applyAlignment="1">
      <alignment horizontal="center"/>
    </xf>
    <xf numFmtId="0" fontId="25" fillId="0" borderId="36" xfId="0" applyFont="1" applyBorder="1" applyAlignment="1">
      <alignment horizontal="left" vertical="top"/>
    </xf>
    <xf numFmtId="0" fontId="25" fillId="0" borderId="94" xfId="0" applyFont="1" applyBorder="1" applyAlignment="1">
      <alignment horizontal="center" vertical="top"/>
    </xf>
    <xf numFmtId="0" fontId="25" fillId="0" borderId="95" xfId="0" applyFont="1" applyBorder="1" applyAlignment="1">
      <alignment horizontal="left" vertical="top"/>
    </xf>
    <xf numFmtId="166" fontId="25" fillId="0" borderId="96" xfId="2" applyNumberFormat="1" applyFont="1" applyFill="1" applyBorder="1" applyAlignment="1">
      <alignment horizontal="center" vertical="top"/>
    </xf>
    <xf numFmtId="0" fontId="25" fillId="0" borderId="97" xfId="0" applyFont="1" applyBorder="1" applyAlignment="1">
      <alignment horizontal="center" vertical="top"/>
    </xf>
    <xf numFmtId="0" fontId="25" fillId="0" borderId="98" xfId="0" applyFont="1" applyBorder="1" applyAlignment="1">
      <alignment horizontal="left" vertical="top"/>
    </xf>
    <xf numFmtId="166" fontId="25" fillId="0" borderId="99" xfId="2" applyNumberFormat="1" applyFont="1" applyFill="1" applyBorder="1" applyAlignment="1">
      <alignment horizontal="center" vertical="top"/>
    </xf>
    <xf numFmtId="0" fontId="40" fillId="0" borderId="97" xfId="0" applyFont="1" applyBorder="1" applyAlignment="1">
      <alignment horizontal="center" vertical="top"/>
    </xf>
    <xf numFmtId="0" fontId="40" fillId="0" borderId="98" xfId="0" applyFont="1" applyBorder="1" applyAlignment="1">
      <alignment horizontal="left" vertical="top"/>
    </xf>
    <xf numFmtId="166" fontId="40" fillId="0" borderId="99" xfId="2" applyNumberFormat="1" applyFont="1" applyFill="1" applyBorder="1" applyAlignment="1">
      <alignment horizontal="center" vertical="top"/>
    </xf>
    <xf numFmtId="172" fontId="40" fillId="0" borderId="100" xfId="0" applyNumberFormat="1" applyFont="1" applyBorder="1" applyAlignment="1">
      <alignment horizontal="center" vertical="top"/>
    </xf>
    <xf numFmtId="0" fontId="40" fillId="0" borderId="101" xfId="0" applyFont="1" applyBorder="1" applyAlignment="1">
      <alignment horizontal="left"/>
    </xf>
    <xf numFmtId="0" fontId="40" fillId="0" borderId="0" xfId="0" applyFont="1"/>
    <xf numFmtId="0" fontId="30" fillId="0" borderId="47" xfId="10" applyFont="1" applyBorder="1" applyAlignment="1">
      <alignment vertical="top" wrapText="1"/>
    </xf>
    <xf numFmtId="0" fontId="0" fillId="0" borderId="92" xfId="0" applyBorder="1" applyAlignment="1">
      <alignment horizontal="center"/>
    </xf>
    <xf numFmtId="0" fontId="0" fillId="0" borderId="91" xfId="0" applyBorder="1" applyAlignment="1">
      <alignment horizontal="center"/>
    </xf>
    <xf numFmtId="167" fontId="0" fillId="0" borderId="92" xfId="2" applyNumberFormat="1" applyFont="1" applyFill="1" applyBorder="1"/>
    <xf numFmtId="167" fontId="3" fillId="0" borderId="91" xfId="2" applyNumberFormat="1" applyFont="1" applyBorder="1"/>
    <xf numFmtId="0" fontId="3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14" borderId="59" xfId="0" applyFont="1" applyFill="1" applyBorder="1" applyAlignment="1">
      <alignment horizontal="center" vertical="top" wrapText="1"/>
    </xf>
    <xf numFmtId="43" fontId="3" fillId="14" borderId="74" xfId="1" applyFont="1" applyFill="1" applyBorder="1" applyAlignment="1">
      <alignment horizontal="center" vertical="center"/>
    </xf>
    <xf numFmtId="43" fontId="3" fillId="14" borderId="73" xfId="1" applyFont="1" applyFill="1" applyBorder="1" applyAlignment="1">
      <alignment horizontal="center" vertical="center"/>
    </xf>
    <xf numFmtId="167" fontId="3" fillId="0" borderId="91" xfId="2" applyNumberFormat="1" applyFont="1" applyFill="1" applyBorder="1"/>
    <xf numFmtId="0" fontId="0" fillId="0" borderId="90" xfId="0" applyBorder="1"/>
    <xf numFmtId="44" fontId="0" fillId="0" borderId="90" xfId="2" applyFont="1" applyFill="1" applyBorder="1"/>
    <xf numFmtId="167" fontId="0" fillId="0" borderId="92" xfId="2" applyNumberFormat="1" applyFont="1" applyBorder="1"/>
    <xf numFmtId="44" fontId="25" fillId="0" borderId="74" xfId="0" applyNumberFormat="1" applyFont="1" applyBorder="1" applyAlignment="1">
      <alignment wrapText="1"/>
    </xf>
    <xf numFmtId="167" fontId="0" fillId="0" borderId="0" xfId="2" applyNumberFormat="1" applyFont="1" applyFill="1" applyBorder="1"/>
    <xf numFmtId="174" fontId="0" fillId="0" borderId="92" xfId="1" applyNumberFormat="1" applyFont="1" applyBorder="1"/>
    <xf numFmtId="167" fontId="0" fillId="7" borderId="90" xfId="2" applyNumberFormat="1" applyFont="1" applyFill="1" applyBorder="1"/>
    <xf numFmtId="167" fontId="0" fillId="0" borderId="90" xfId="2" applyNumberFormat="1" applyFont="1" applyBorder="1"/>
    <xf numFmtId="174" fontId="0" fillId="7" borderId="92" xfId="1" applyNumberFormat="1" applyFont="1" applyFill="1" applyBorder="1"/>
    <xf numFmtId="0" fontId="0" fillId="0" borderId="0" xfId="0" quotePrefix="1"/>
    <xf numFmtId="44" fontId="0" fillId="0" borderId="0" xfId="2" quotePrefix="1" applyFont="1"/>
    <xf numFmtId="9" fontId="0" fillId="5" borderId="43" xfId="0" applyNumberFormat="1" applyFill="1" applyBorder="1"/>
    <xf numFmtId="44" fontId="0" fillId="0" borderId="0" xfId="0" applyNumberFormat="1"/>
    <xf numFmtId="0" fontId="0" fillId="0" borderId="17" xfId="0" applyBorder="1"/>
    <xf numFmtId="3" fontId="0" fillId="0" borderId="0" xfId="0" applyNumberFormat="1" applyAlignment="1">
      <alignment horizontal="right"/>
    </xf>
    <xf numFmtId="0" fontId="0" fillId="0" borderId="18" xfId="0" applyBorder="1" applyAlignment="1">
      <alignment horizontal="right"/>
    </xf>
    <xf numFmtId="0" fontId="6" fillId="0" borderId="0" xfId="10" applyFont="1" applyBorder="1" applyAlignment="1">
      <alignment horizontal="left" vertical="center"/>
    </xf>
    <xf numFmtId="0" fontId="6" fillId="0" borderId="0" xfId="10" applyFont="1" applyBorder="1" applyAlignment="1">
      <alignment vertical="center"/>
    </xf>
    <xf numFmtId="0" fontId="48" fillId="0" borderId="0" xfId="0" applyFont="1"/>
    <xf numFmtId="168" fontId="0" fillId="0" borderId="0" xfId="0" applyNumberFormat="1"/>
    <xf numFmtId="14" fontId="0" fillId="0" borderId="0" xfId="0" applyNumberFormat="1" applyAlignment="1">
      <alignment vertical="center"/>
    </xf>
    <xf numFmtId="14" fontId="48" fillId="0" borderId="0" xfId="0" applyNumberFormat="1" applyFont="1" applyAlignment="1">
      <alignment vertical="center"/>
    </xf>
    <xf numFmtId="0" fontId="24" fillId="0" borderId="0" xfId="0" applyFont="1" applyAlignment="1">
      <alignment horizontal="right"/>
    </xf>
    <xf numFmtId="164" fontId="26" fillId="0" borderId="0" xfId="1" applyNumberFormat="1" applyFont="1" applyAlignment="1">
      <alignment horizontal="center" vertical="center" wrapText="1"/>
    </xf>
    <xf numFmtId="164" fontId="45" fillId="6" borderId="15" xfId="1" applyNumberFormat="1" applyFont="1" applyFill="1" applyBorder="1" applyAlignment="1">
      <alignment horizontal="left" vertical="center" wrapText="1"/>
    </xf>
    <xf numFmtId="164" fontId="45" fillId="0" borderId="0" xfId="1" applyNumberFormat="1" applyFont="1" applyAlignment="1">
      <alignment horizontal="center" vertical="center" wrapText="1"/>
    </xf>
    <xf numFmtId="10" fontId="0" fillId="0" borderId="18" xfId="0" applyNumberFormat="1" applyBorder="1" applyAlignment="1">
      <alignment horizontal="right"/>
    </xf>
    <xf numFmtId="10" fontId="0" fillId="0" borderId="0" xfId="0" applyNumberFormat="1" applyAlignment="1">
      <alignment horizontal="right"/>
    </xf>
    <xf numFmtId="2" fontId="3" fillId="8" borderId="19" xfId="0" applyNumberFormat="1" applyFont="1" applyFill="1" applyBorder="1" applyAlignment="1">
      <alignment horizontal="right"/>
    </xf>
    <xf numFmtId="164" fontId="3" fillId="8" borderId="19" xfId="1" applyNumberFormat="1" applyFont="1" applyFill="1" applyBorder="1" applyAlignment="1">
      <alignment horizontal="right"/>
    </xf>
    <xf numFmtId="43" fontId="0" fillId="0" borderId="0" xfId="1" applyFont="1"/>
    <xf numFmtId="43" fontId="45" fillId="0" borderId="0" xfId="1" applyFont="1" applyAlignment="1">
      <alignment horizontal="center" vertical="center" wrapText="1"/>
    </xf>
    <xf numFmtId="167" fontId="6" fillId="0" borderId="0" xfId="2" applyNumberFormat="1" applyFont="1"/>
    <xf numFmtId="167" fontId="0" fillId="0" borderId="0" xfId="2" applyNumberFormat="1" applyFont="1" applyProtection="1">
      <protection locked="0"/>
    </xf>
    <xf numFmtId="167" fontId="0" fillId="0" borderId="4" xfId="2" applyNumberFormat="1" applyFont="1" applyBorder="1" applyAlignment="1" applyProtection="1">
      <alignment horizontal="right"/>
      <protection locked="0"/>
    </xf>
    <xf numFmtId="167" fontId="0" fillId="2" borderId="11" xfId="2" applyNumberFormat="1" applyFont="1" applyFill="1" applyBorder="1" applyAlignment="1" applyProtection="1">
      <alignment horizontal="center" vertical="top" wrapText="1"/>
      <protection locked="0"/>
    </xf>
    <xf numFmtId="167" fontId="0" fillId="0" borderId="66" xfId="2" applyNumberFormat="1" applyFont="1" applyBorder="1" applyProtection="1">
      <protection locked="0"/>
    </xf>
    <xf numFmtId="167" fontId="0" fillId="4" borderId="4" xfId="2" applyNumberFormat="1" applyFont="1" applyFill="1" applyBorder="1" applyAlignment="1" applyProtection="1">
      <alignment horizontal="right"/>
      <protection locked="0"/>
    </xf>
    <xf numFmtId="167" fontId="0" fillId="2" borderId="87" xfId="2" applyNumberFormat="1" applyFont="1" applyFill="1" applyBorder="1" applyProtection="1">
      <protection locked="0"/>
    </xf>
    <xf numFmtId="167" fontId="0" fillId="0" borderId="86" xfId="2" applyNumberFormat="1" applyFont="1" applyBorder="1" applyProtection="1">
      <protection locked="0"/>
    </xf>
    <xf numFmtId="44" fontId="28" fillId="0" borderId="0" xfId="2" applyFont="1"/>
    <xf numFmtId="167" fontId="0" fillId="2" borderId="1" xfId="2" applyNumberFormat="1" applyFont="1" applyFill="1" applyBorder="1" applyAlignment="1" applyProtection="1">
      <alignment horizontal="center" vertical="top"/>
      <protection locked="0"/>
    </xf>
    <xf numFmtId="167" fontId="0" fillId="21" borderId="5" xfId="2" applyNumberFormat="1" applyFont="1" applyFill="1" applyBorder="1" applyAlignment="1" applyProtection="1">
      <alignment horizontal="left"/>
      <protection locked="0"/>
    </xf>
    <xf numFmtId="167" fontId="0" fillId="4" borderId="8" xfId="2" applyNumberFormat="1" applyFont="1" applyFill="1" applyBorder="1" applyAlignment="1" applyProtection="1">
      <alignment horizontal="left"/>
      <protection locked="0"/>
    </xf>
    <xf numFmtId="167" fontId="0" fillId="2" borderId="1" xfId="2" applyNumberFormat="1" applyFont="1" applyFill="1" applyBorder="1" applyProtection="1">
      <protection locked="0"/>
    </xf>
    <xf numFmtId="167" fontId="0" fillId="0" borderId="8" xfId="2" applyNumberFormat="1" applyFont="1" applyBorder="1" applyProtection="1">
      <protection locked="0"/>
    </xf>
    <xf numFmtId="0" fontId="6" fillId="18" borderId="90" xfId="0" applyFont="1" applyFill="1" applyBorder="1" applyAlignment="1">
      <alignment horizontal="left" vertical="center" wrapText="1"/>
    </xf>
    <xf numFmtId="0" fontId="6" fillId="0" borderId="90" xfId="0" applyFont="1" applyBorder="1" applyAlignment="1">
      <alignment horizontal="left" vertical="center" wrapText="1" indent="2"/>
    </xf>
    <xf numFmtId="44" fontId="0" fillId="0" borderId="66" xfId="2" applyFont="1" applyBorder="1" applyProtection="1">
      <protection locked="0"/>
    </xf>
    <xf numFmtId="43" fontId="6" fillId="0" borderId="0" xfId="1" applyFont="1"/>
    <xf numFmtId="164" fontId="6" fillId="0" borderId="0" xfId="1" applyNumberFormat="1" applyFont="1"/>
    <xf numFmtId="43" fontId="47" fillId="0" borderId="0" xfId="1" applyFont="1" applyAlignment="1">
      <alignment horizontal="center" vertical="center" wrapText="1"/>
    </xf>
    <xf numFmtId="164" fontId="47" fillId="0" borderId="0" xfId="1" applyNumberFormat="1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43" fontId="6" fillId="0" borderId="0" xfId="1" applyFont="1" applyAlignment="1">
      <alignment horizontal="right"/>
    </xf>
    <xf numFmtId="164" fontId="6" fillId="0" borderId="0" xfId="1" applyNumberFormat="1" applyFont="1" applyAlignment="1">
      <alignment horizontal="right"/>
    </xf>
    <xf numFmtId="43" fontId="6" fillId="0" borderId="0" xfId="1" applyFont="1" applyAlignment="1">
      <alignment horizontal="center" vertical="center" wrapText="1"/>
    </xf>
    <xf numFmtId="164" fontId="6" fillId="0" borderId="0" xfId="1" applyNumberFormat="1" applyFont="1" applyAlignment="1">
      <alignment horizontal="center" vertical="center" wrapText="1"/>
    </xf>
    <xf numFmtId="2" fontId="6" fillId="0" borderId="0" xfId="1" applyNumberFormat="1" applyFont="1" applyAlignment="1">
      <alignment horizontal="right"/>
    </xf>
    <xf numFmtId="2" fontId="6" fillId="0" borderId="0" xfId="1" applyNumberFormat="1" applyFont="1" applyAlignment="1">
      <alignment horizontal="right" vertical="center" wrapText="1"/>
    </xf>
    <xf numFmtId="43" fontId="6" fillId="0" borderId="0" xfId="1" applyFont="1" applyAlignment="1">
      <alignment horizontal="center"/>
    </xf>
    <xf numFmtId="43" fontId="45" fillId="6" borderId="20" xfId="1" applyFont="1" applyFill="1" applyBorder="1" applyAlignment="1">
      <alignment horizontal="center" vertical="center" wrapText="1"/>
    </xf>
    <xf numFmtId="43" fontId="0" fillId="9" borderId="16" xfId="1" applyFont="1" applyFill="1" applyBorder="1" applyAlignment="1">
      <alignment horizontal="center"/>
    </xf>
    <xf numFmtId="43" fontId="45" fillId="6" borderId="15" xfId="1" applyFont="1" applyFill="1" applyBorder="1" applyAlignment="1">
      <alignment horizontal="center" vertical="center" wrapText="1"/>
    </xf>
    <xf numFmtId="164" fontId="6" fillId="0" borderId="0" xfId="1" applyNumberFormat="1" applyFont="1" applyBorder="1" applyAlignment="1">
      <alignment horizontal="left" vertical="center"/>
    </xf>
    <xf numFmtId="164" fontId="49" fillId="0" borderId="0" xfId="1" applyNumberFormat="1" applyFont="1"/>
    <xf numFmtId="164" fontId="24" fillId="0" borderId="0" xfId="1" applyNumberFormat="1" applyFont="1"/>
    <xf numFmtId="43" fontId="26" fillId="0" borderId="0" xfId="1" applyFont="1" applyAlignment="1">
      <alignment horizontal="center" vertical="center" wrapText="1"/>
    </xf>
    <xf numFmtId="43" fontId="45" fillId="6" borderId="21" xfId="1" applyFont="1" applyFill="1" applyBorder="1" applyAlignment="1">
      <alignment horizontal="center" vertical="center" wrapText="1"/>
    </xf>
    <xf numFmtId="43" fontId="0" fillId="0" borderId="18" xfId="1" applyFont="1" applyBorder="1"/>
    <xf numFmtId="43" fontId="3" fillId="8" borderId="19" xfId="1" applyFont="1" applyFill="1" applyBorder="1"/>
    <xf numFmtId="43" fontId="3" fillId="8" borderId="19" xfId="1" applyFont="1" applyFill="1" applyBorder="1" applyAlignment="1"/>
    <xf numFmtId="16" fontId="6" fillId="0" borderId="0" xfId="1" quotePrefix="1" applyNumberFormat="1" applyFont="1" applyAlignment="1">
      <alignment horizontal="center"/>
    </xf>
    <xf numFmtId="3" fontId="0" fillId="0" borderId="0" xfId="0" applyNumberFormat="1" applyAlignment="1" applyProtection="1">
      <alignment horizontal="center"/>
      <protection locked="0"/>
    </xf>
    <xf numFmtId="4" fontId="0" fillId="0" borderId="0" xfId="0" applyNumberFormat="1" applyProtection="1">
      <protection locked="0"/>
    </xf>
    <xf numFmtId="3" fontId="0" fillId="0" borderId="0" xfId="0" applyNumberFormat="1" applyProtection="1">
      <protection locked="0"/>
    </xf>
    <xf numFmtId="9" fontId="0" fillId="0" borderId="71" xfId="3" applyFont="1" applyBorder="1" applyAlignment="1">
      <alignment horizontal="left"/>
    </xf>
    <xf numFmtId="43" fontId="6" fillId="0" borderId="0" xfId="1" applyFont="1" applyBorder="1"/>
    <xf numFmtId="164" fontId="28" fillId="0" borderId="0" xfId="1" applyNumberFormat="1" applyFont="1"/>
    <xf numFmtId="164" fontId="0" fillId="0" borderId="0" xfId="1" applyNumberFormat="1" applyFont="1" applyAlignment="1" applyProtection="1">
      <alignment horizontal="center"/>
      <protection locked="0"/>
    </xf>
    <xf numFmtId="0" fontId="28" fillId="0" borderId="83" xfId="0" applyFont="1" applyBorder="1" applyAlignment="1">
      <alignment horizontal="left" indent="2"/>
    </xf>
    <xf numFmtId="0" fontId="31" fillId="16" borderId="102" xfId="0" applyFont="1" applyFill="1" applyBorder="1" applyAlignment="1">
      <alignment horizontal="center" vertical="center"/>
    </xf>
    <xf numFmtId="42" fontId="31" fillId="16" borderId="83" xfId="0" applyNumberFormat="1" applyFont="1" applyFill="1" applyBorder="1" applyAlignment="1">
      <alignment horizontal="center" vertical="center"/>
    </xf>
    <xf numFmtId="44" fontId="31" fillId="16" borderId="83" xfId="2" applyFont="1" applyFill="1" applyBorder="1" applyAlignment="1">
      <alignment horizontal="center" vertical="center"/>
    </xf>
    <xf numFmtId="0" fontId="33" fillId="0" borderId="102" xfId="0" applyFont="1" applyBorder="1" applyAlignment="1">
      <alignment horizontal="right"/>
    </xf>
    <xf numFmtId="0" fontId="33" fillId="0" borderId="83" xfId="0" applyFont="1" applyBorder="1"/>
    <xf numFmtId="42" fontId="28" fillId="0" borderId="83" xfId="0" applyNumberFormat="1" applyFont="1" applyBorder="1"/>
    <xf numFmtId="44" fontId="28" fillId="0" borderId="83" xfId="2" applyFont="1" applyBorder="1"/>
    <xf numFmtId="0" fontId="28" fillId="0" borderId="102" xfId="0" applyFont="1" applyBorder="1" applyAlignment="1">
      <alignment horizontal="left"/>
    </xf>
    <xf numFmtId="164" fontId="28" fillId="0" borderId="83" xfId="1" applyNumberFormat="1" applyFont="1" applyBorder="1" applyAlignment="1">
      <alignment horizontal="left"/>
    </xf>
    <xf numFmtId="167" fontId="28" fillId="0" borderId="83" xfId="2" applyNumberFormat="1" applyFont="1" applyBorder="1" applyAlignment="1">
      <alignment horizontal="left"/>
    </xf>
    <xf numFmtId="167" fontId="28" fillId="0" borderId="88" xfId="2" applyNumberFormat="1" applyFont="1" applyBorder="1" applyAlignment="1">
      <alignment horizontal="left"/>
    </xf>
    <xf numFmtId="43" fontId="28" fillId="0" borderId="83" xfId="1" applyFont="1" applyBorder="1" applyAlignment="1">
      <alignment horizontal="left"/>
    </xf>
    <xf numFmtId="0" fontId="28" fillId="0" borderId="103" xfId="0" applyFont="1" applyBorder="1"/>
    <xf numFmtId="164" fontId="28" fillId="0" borderId="89" xfId="1" applyNumberFormat="1" applyFont="1" applyBorder="1" applyAlignment="1">
      <alignment horizontal="left"/>
    </xf>
    <xf numFmtId="167" fontId="28" fillId="0" borderId="89" xfId="2" applyNumberFormat="1" applyFont="1" applyBorder="1"/>
    <xf numFmtId="0" fontId="31" fillId="16" borderId="105" xfId="0" applyFont="1" applyFill="1" applyBorder="1" applyAlignment="1">
      <alignment horizontal="left" vertical="top"/>
    </xf>
    <xf numFmtId="0" fontId="31" fillId="16" borderId="106" xfId="0" applyFont="1" applyFill="1" applyBorder="1" applyAlignment="1">
      <alignment horizontal="left" vertical="top"/>
    </xf>
    <xf numFmtId="0" fontId="31" fillId="16" borderId="106" xfId="0" applyFont="1" applyFill="1" applyBorder="1" applyAlignment="1">
      <alignment horizontal="center" vertical="top" wrapText="1"/>
    </xf>
    <xf numFmtId="44" fontId="31" fillId="16" borderId="106" xfId="2" applyFont="1" applyFill="1" applyBorder="1" applyAlignment="1">
      <alignment horizontal="center" vertical="top" wrapText="1"/>
    </xf>
    <xf numFmtId="42" fontId="28" fillId="0" borderId="83" xfId="1" applyNumberFormat="1" applyFont="1" applyFill="1" applyBorder="1" applyAlignment="1"/>
    <xf numFmtId="44" fontId="28" fillId="0" borderId="83" xfId="2" applyFont="1" applyFill="1" applyBorder="1" applyAlignment="1"/>
    <xf numFmtId="175" fontId="34" fillId="0" borderId="102" xfId="1" applyNumberFormat="1" applyFont="1" applyBorder="1" applyAlignment="1">
      <alignment horizontal="center"/>
    </xf>
    <xf numFmtId="0" fontId="32" fillId="0" borderId="102" xfId="4" quotePrefix="1" applyFont="1" applyFill="1" applyBorder="1"/>
    <xf numFmtId="0" fontId="52" fillId="0" borderId="0" xfId="0" applyFont="1" applyAlignment="1">
      <alignment vertical="center"/>
    </xf>
    <xf numFmtId="0" fontId="31" fillId="16" borderId="109" xfId="0" applyFont="1" applyFill="1" applyBorder="1" applyAlignment="1">
      <alignment horizontal="center" vertical="center"/>
    </xf>
    <xf numFmtId="0" fontId="31" fillId="16" borderId="108" xfId="0" applyFont="1" applyFill="1" applyBorder="1" applyAlignment="1">
      <alignment horizontal="left" vertical="center"/>
    </xf>
    <xf numFmtId="42" fontId="31" fillId="16" borderId="108" xfId="0" applyNumberFormat="1" applyFont="1" applyFill="1" applyBorder="1" applyAlignment="1">
      <alignment horizontal="center" vertical="center"/>
    </xf>
    <xf numFmtId="44" fontId="31" fillId="16" borderId="108" xfId="2" applyFont="1" applyFill="1" applyBorder="1" applyAlignment="1">
      <alignment horizontal="center" vertical="center"/>
    </xf>
    <xf numFmtId="175" fontId="34" fillId="0" borderId="111" xfId="1" applyNumberFormat="1" applyFont="1" applyFill="1" applyBorder="1" applyAlignment="1">
      <alignment horizontal="center"/>
    </xf>
    <xf numFmtId="0" fontId="28" fillId="0" borderId="112" xfId="0" applyFont="1" applyBorder="1" applyAlignment="1">
      <alignment horizontal="left"/>
    </xf>
    <xf numFmtId="42" fontId="28" fillId="0" borderId="112" xfId="1" applyNumberFormat="1" applyFont="1" applyFill="1" applyBorder="1" applyAlignment="1"/>
    <xf numFmtId="44" fontId="31" fillId="16" borderId="108" xfId="0" applyNumberFormat="1" applyFont="1" applyFill="1" applyBorder="1" applyAlignment="1" applyProtection="1">
      <alignment horizontal="left" vertical="center"/>
      <protection locked="0"/>
    </xf>
    <xf numFmtId="167" fontId="31" fillId="16" borderId="108" xfId="2" applyNumberFormat="1" applyFont="1" applyFill="1" applyBorder="1" applyAlignment="1">
      <alignment horizontal="center" vertical="center"/>
    </xf>
    <xf numFmtId="175" fontId="34" fillId="0" borderId="111" xfId="1" applyNumberFormat="1" applyFont="1" applyBorder="1" applyAlignment="1">
      <alignment horizontal="center"/>
    </xf>
    <xf numFmtId="44" fontId="53" fillId="16" borderId="105" xfId="0" applyNumberFormat="1" applyFont="1" applyFill="1" applyBorder="1" applyAlignment="1" applyProtection="1">
      <alignment vertical="center"/>
      <protection locked="0"/>
    </xf>
    <xf numFmtId="44" fontId="31" fillId="16" borderId="106" xfId="0" applyNumberFormat="1" applyFont="1" applyFill="1" applyBorder="1" applyAlignment="1" applyProtection="1">
      <alignment horizontal="left" vertical="center"/>
      <protection locked="0"/>
    </xf>
    <xf numFmtId="167" fontId="31" fillId="16" borderId="106" xfId="2" applyNumberFormat="1" applyFont="1" applyFill="1" applyBorder="1" applyAlignment="1" applyProtection="1">
      <alignment horizontal="right" vertical="center"/>
      <protection locked="0"/>
    </xf>
    <xf numFmtId="44" fontId="53" fillId="16" borderId="111" xfId="0" applyNumberFormat="1" applyFont="1" applyFill="1" applyBorder="1" applyAlignment="1" applyProtection="1">
      <alignment vertical="center"/>
      <protection locked="0"/>
    </xf>
    <xf numFmtId="44" fontId="31" fillId="16" borderId="112" xfId="0" applyNumberFormat="1" applyFont="1" applyFill="1" applyBorder="1" applyAlignment="1" applyProtection="1">
      <alignment horizontal="left" vertical="center"/>
      <protection locked="0"/>
    </xf>
    <xf numFmtId="167" fontId="31" fillId="16" borderId="112" xfId="2" applyNumberFormat="1" applyFont="1" applyFill="1" applyBorder="1" applyAlignment="1" applyProtection="1">
      <alignment horizontal="right" vertical="center"/>
      <protection locked="0"/>
    </xf>
    <xf numFmtId="44" fontId="28" fillId="0" borderId="114" xfId="0" applyNumberFormat="1" applyFont="1" applyBorder="1" applyProtection="1">
      <protection locked="0"/>
    </xf>
    <xf numFmtId="0" fontId="28" fillId="0" borderId="115" xfId="0" applyFont="1" applyBorder="1" applyAlignment="1" applyProtection="1">
      <alignment horizontal="right"/>
      <protection locked="0"/>
    </xf>
    <xf numFmtId="167" fontId="28" fillId="0" borderId="115" xfId="2" applyNumberFormat="1" applyFont="1" applyBorder="1" applyProtection="1">
      <protection locked="0"/>
    </xf>
    <xf numFmtId="44" fontId="28" fillId="0" borderId="93" xfId="0" applyNumberFormat="1" applyFont="1" applyBorder="1" applyProtection="1">
      <protection locked="0"/>
    </xf>
    <xf numFmtId="0" fontId="28" fillId="0" borderId="117" xfId="0" applyFont="1" applyBorder="1" applyAlignment="1" applyProtection="1">
      <alignment horizontal="right"/>
      <protection locked="0"/>
    </xf>
    <xf numFmtId="167" fontId="28" fillId="0" borderId="117" xfId="2" applyNumberFormat="1" applyFont="1" applyBorder="1" applyProtection="1">
      <protection locked="0"/>
    </xf>
    <xf numFmtId="167" fontId="28" fillId="0" borderId="117" xfId="0" applyNumberFormat="1" applyFont="1" applyBorder="1" applyProtection="1">
      <protection locked="0"/>
    </xf>
    <xf numFmtId="0" fontId="28" fillId="0" borderId="83" xfId="0" applyFont="1" applyBorder="1" applyAlignment="1">
      <alignment horizontal="right"/>
    </xf>
    <xf numFmtId="0" fontId="28" fillId="0" borderId="89" xfId="0" applyFont="1" applyBorder="1" applyAlignment="1">
      <alignment horizontal="right"/>
    </xf>
    <xf numFmtId="10" fontId="28" fillId="0" borderId="83" xfId="3" applyNumberFormat="1" applyFont="1" applyBorder="1"/>
    <xf numFmtId="10" fontId="28" fillId="0" borderId="112" xfId="3" applyNumberFormat="1" applyFont="1" applyBorder="1"/>
    <xf numFmtId="0" fontId="28" fillId="0" borderId="111" xfId="0" quotePrefix="1" applyFont="1" applyBorder="1"/>
    <xf numFmtId="0" fontId="28" fillId="0" borderId="112" xfId="0" applyFont="1" applyBorder="1"/>
    <xf numFmtId="44" fontId="28" fillId="0" borderId="112" xfId="2" applyFont="1" applyBorder="1"/>
    <xf numFmtId="42" fontId="28" fillId="0" borderId="112" xfId="0" applyNumberFormat="1" applyFont="1" applyBorder="1"/>
    <xf numFmtId="10" fontId="28" fillId="0" borderId="120" xfId="3" applyNumberFormat="1" applyFont="1" applyBorder="1"/>
    <xf numFmtId="0" fontId="0" fillId="0" borderId="92" xfId="0" applyBorder="1" applyAlignment="1">
      <alignment horizontal="center" vertical="top"/>
    </xf>
    <xf numFmtId="0" fontId="0" fillId="0" borderId="91" xfId="0" applyBorder="1" applyAlignment="1">
      <alignment horizontal="center" vertical="top"/>
    </xf>
    <xf numFmtId="167" fontId="0" fillId="0" borderId="92" xfId="2" applyNumberFormat="1" applyFont="1" applyFill="1" applyBorder="1" applyAlignment="1">
      <alignment vertical="top"/>
    </xf>
    <xf numFmtId="167" fontId="0" fillId="0" borderId="0" xfId="2" applyNumberFormat="1" applyFont="1" applyFill="1" applyBorder="1" applyAlignment="1">
      <alignment vertical="top"/>
    </xf>
    <xf numFmtId="42" fontId="28" fillId="0" borderId="83" xfId="1" applyNumberFormat="1" applyFont="1" applyFill="1" applyBorder="1" applyAlignment="1">
      <alignment horizontal="center" vertical="center"/>
    </xf>
    <xf numFmtId="164" fontId="28" fillId="0" borderId="0" xfId="0" applyNumberFormat="1" applyFont="1"/>
    <xf numFmtId="167" fontId="28" fillId="0" borderId="83" xfId="2" applyNumberFormat="1" applyFont="1" applyFill="1" applyBorder="1" applyAlignment="1"/>
    <xf numFmtId="167" fontId="28" fillId="0" borderId="115" xfId="0" applyNumberFormat="1" applyFont="1" applyBorder="1" applyProtection="1">
      <protection locked="0"/>
    </xf>
    <xf numFmtId="44" fontId="28" fillId="0" borderId="0" xfId="2" applyFont="1" applyAlignment="1">
      <alignment horizontal="left"/>
    </xf>
    <xf numFmtId="44" fontId="31" fillId="16" borderId="107" xfId="2" applyFont="1" applyFill="1" applyBorder="1" applyAlignment="1">
      <alignment horizontal="left" vertical="top" wrapText="1"/>
    </xf>
    <xf numFmtId="44" fontId="28" fillId="0" borderId="88" xfId="2" applyFont="1" applyFill="1" applyBorder="1" applyAlignment="1">
      <alignment horizontal="left"/>
    </xf>
    <xf numFmtId="44" fontId="28" fillId="0" borderId="113" xfId="2" applyFont="1" applyBorder="1" applyAlignment="1">
      <alignment horizontal="left"/>
    </xf>
    <xf numFmtId="44" fontId="31" fillId="16" borderId="110" xfId="2" applyFont="1" applyFill="1" applyBorder="1" applyAlignment="1">
      <alignment horizontal="left" vertical="center"/>
    </xf>
    <xf numFmtId="44" fontId="28" fillId="0" borderId="113" xfId="2" applyFont="1" applyFill="1" applyBorder="1" applyAlignment="1">
      <alignment horizontal="left"/>
    </xf>
    <xf numFmtId="44" fontId="28" fillId="0" borderId="88" xfId="2" applyFont="1" applyBorder="1" applyAlignment="1">
      <alignment horizontal="left"/>
    </xf>
    <xf numFmtId="167" fontId="28" fillId="0" borderId="104" xfId="2" applyNumberFormat="1" applyFont="1" applyBorder="1" applyAlignment="1">
      <alignment horizontal="left"/>
    </xf>
    <xf numFmtId="44" fontId="31" fillId="16" borderId="88" xfId="2" applyFont="1" applyFill="1" applyBorder="1" applyAlignment="1">
      <alignment horizontal="left" vertical="center"/>
    </xf>
    <xf numFmtId="44" fontId="31" fillId="16" borderId="107" xfId="2" applyFont="1" applyFill="1" applyBorder="1" applyAlignment="1" applyProtection="1">
      <alignment horizontal="left" vertical="center"/>
      <protection locked="0"/>
    </xf>
    <xf numFmtId="44" fontId="31" fillId="16" borderId="113" xfId="2" applyFont="1" applyFill="1" applyBorder="1" applyAlignment="1" applyProtection="1">
      <alignment horizontal="left" vertical="center"/>
      <protection locked="0"/>
    </xf>
    <xf numFmtId="44" fontId="28" fillId="0" borderId="116" xfId="0" applyNumberFormat="1" applyFont="1" applyBorder="1" applyAlignment="1" applyProtection="1">
      <alignment horizontal="left"/>
      <protection locked="0"/>
    </xf>
    <xf numFmtId="44" fontId="28" fillId="0" borderId="118" xfId="0" applyNumberFormat="1" applyFont="1" applyBorder="1" applyAlignment="1" applyProtection="1">
      <alignment horizontal="left"/>
      <protection locked="0"/>
    </xf>
    <xf numFmtId="43" fontId="28" fillId="0" borderId="0" xfId="0" applyNumberFormat="1" applyFont="1"/>
    <xf numFmtId="0" fontId="28" fillId="14" borderId="102" xfId="0" applyFont="1" applyFill="1" applyBorder="1"/>
    <xf numFmtId="42" fontId="28" fillId="14" borderId="83" xfId="1" applyNumberFormat="1" applyFont="1" applyFill="1" applyBorder="1" applyAlignment="1"/>
    <xf numFmtId="44" fontId="28" fillId="14" borderId="83" xfId="2" applyFont="1" applyFill="1" applyBorder="1" applyAlignment="1"/>
    <xf numFmtId="44" fontId="28" fillId="14" borderId="88" xfId="2" applyFont="1" applyFill="1" applyBorder="1" applyAlignment="1">
      <alignment horizontal="left"/>
    </xf>
    <xf numFmtId="0" fontId="36" fillId="14" borderId="103" xfId="4" quotePrefix="1" applyFont="1" applyFill="1" applyBorder="1"/>
    <xf numFmtId="42" fontId="28" fillId="14" borderId="89" xfId="1" applyNumberFormat="1" applyFont="1" applyFill="1" applyBorder="1" applyAlignment="1"/>
    <xf numFmtId="44" fontId="28" fillId="14" borderId="89" xfId="2" applyFont="1" applyFill="1" applyBorder="1" applyAlignment="1"/>
    <xf numFmtId="44" fontId="28" fillId="14" borderId="104" xfId="2" applyFont="1" applyFill="1" applyBorder="1" applyAlignment="1">
      <alignment horizontal="left"/>
    </xf>
    <xf numFmtId="0" fontId="28" fillId="14" borderId="102" xfId="0" quotePrefix="1" applyFont="1" applyFill="1" applyBorder="1"/>
    <xf numFmtId="0" fontId="28" fillId="14" borderId="83" xfId="0" applyFont="1" applyFill="1" applyBorder="1" applyAlignment="1">
      <alignment horizontal="left"/>
    </xf>
    <xf numFmtId="42" fontId="28" fillId="14" borderId="83" xfId="0" applyNumberFormat="1" applyFont="1" applyFill="1" applyBorder="1"/>
    <xf numFmtId="10" fontId="28" fillId="14" borderId="0" xfId="3" applyNumberFormat="1" applyFont="1" applyFill="1"/>
    <xf numFmtId="175" fontId="34" fillId="14" borderId="102" xfId="1" applyNumberFormat="1" applyFont="1" applyFill="1" applyBorder="1" applyAlignment="1">
      <alignment horizontal="center"/>
    </xf>
    <xf numFmtId="10" fontId="28" fillId="14" borderId="83" xfId="3" applyNumberFormat="1" applyFont="1" applyFill="1" applyBorder="1"/>
    <xf numFmtId="0" fontId="32" fillId="14" borderId="102" xfId="4" quotePrefix="1" applyFont="1" applyFill="1" applyBorder="1"/>
    <xf numFmtId="175" fontId="34" fillId="14" borderId="111" xfId="1" applyNumberFormat="1" applyFont="1" applyFill="1" applyBorder="1" applyAlignment="1">
      <alignment horizontal="center"/>
    </xf>
    <xf numFmtId="0" fontId="28" fillId="14" borderId="112" xfId="0" applyFont="1" applyFill="1" applyBorder="1" applyAlignment="1">
      <alignment horizontal="left"/>
    </xf>
    <xf numFmtId="42" fontId="28" fillId="14" borderId="112" xfId="1" applyNumberFormat="1" applyFont="1" applyFill="1" applyBorder="1" applyAlignment="1"/>
    <xf numFmtId="10" fontId="28" fillId="14" borderId="112" xfId="3" applyNumberFormat="1" applyFont="1" applyFill="1" applyBorder="1"/>
    <xf numFmtId="44" fontId="28" fillId="14" borderId="113" xfId="2" applyFont="1" applyFill="1" applyBorder="1" applyAlignment="1">
      <alignment horizontal="left"/>
    </xf>
    <xf numFmtId="10" fontId="28" fillId="14" borderId="119" xfId="3" applyNumberFormat="1" applyFont="1" applyFill="1" applyBorder="1"/>
    <xf numFmtId="0" fontId="33" fillId="14" borderId="102" xfId="0" applyFont="1" applyFill="1" applyBorder="1" applyAlignment="1">
      <alignment horizontal="right"/>
    </xf>
    <xf numFmtId="0" fontId="33" fillId="14" borderId="108" xfId="0" applyFont="1" applyFill="1" applyBorder="1"/>
    <xf numFmtId="44" fontId="28" fillId="14" borderId="83" xfId="2" applyFont="1" applyFill="1" applyBorder="1"/>
    <xf numFmtId="0" fontId="28" fillId="14" borderId="102" xfId="0" applyFont="1" applyFill="1" applyBorder="1" applyAlignment="1">
      <alignment horizontal="left"/>
    </xf>
    <xf numFmtId="0" fontId="28" fillId="14" borderId="83" xfId="0" applyFont="1" applyFill="1" applyBorder="1" applyAlignment="1">
      <alignment horizontal="right"/>
    </xf>
    <xf numFmtId="164" fontId="28" fillId="14" borderId="83" xfId="1" applyNumberFormat="1" applyFont="1" applyFill="1" applyBorder="1" applyAlignment="1">
      <alignment horizontal="left"/>
    </xf>
    <xf numFmtId="167" fontId="28" fillId="14" borderId="83" xfId="2" applyNumberFormat="1" applyFont="1" applyFill="1" applyBorder="1" applyAlignment="1">
      <alignment horizontal="left"/>
    </xf>
    <xf numFmtId="167" fontId="28" fillId="14" borderId="88" xfId="2" applyNumberFormat="1" applyFont="1" applyFill="1" applyBorder="1" applyAlignment="1">
      <alignment horizontal="left"/>
    </xf>
    <xf numFmtId="0" fontId="28" fillId="14" borderId="103" xfId="0" applyFont="1" applyFill="1" applyBorder="1"/>
    <xf numFmtId="0" fontId="28" fillId="14" borderId="89" xfId="0" applyFont="1" applyFill="1" applyBorder="1" applyAlignment="1">
      <alignment horizontal="right"/>
    </xf>
    <xf numFmtId="164" fontId="28" fillId="14" borderId="89" xfId="1" applyNumberFormat="1" applyFont="1" applyFill="1" applyBorder="1" applyAlignment="1">
      <alignment horizontal="left"/>
    </xf>
    <xf numFmtId="167" fontId="28" fillId="14" borderId="89" xfId="2" applyNumberFormat="1" applyFont="1" applyFill="1" applyBorder="1"/>
    <xf numFmtId="167" fontId="28" fillId="14" borderId="104" xfId="2" applyNumberFormat="1" applyFont="1" applyFill="1" applyBorder="1" applyAlignment="1">
      <alignment horizontal="left"/>
    </xf>
    <xf numFmtId="43" fontId="3" fillId="5" borderId="71" xfId="1" applyFont="1" applyFill="1" applyBorder="1" applyAlignment="1">
      <alignment horizontal="center" vertical="center"/>
    </xf>
    <xf numFmtId="175" fontId="34" fillId="0" borderId="102" xfId="1" applyNumberFormat="1" applyFont="1" applyFill="1" applyBorder="1" applyAlignment="1">
      <alignment horizontal="center"/>
    </xf>
    <xf numFmtId="0" fontId="0" fillId="0" borderId="66" xfId="0" applyBorder="1" applyAlignment="1" applyProtection="1">
      <alignment horizontal="right"/>
      <protection locked="0"/>
    </xf>
    <xf numFmtId="0" fontId="0" fillId="19" borderId="66" xfId="0" applyFill="1" applyBorder="1" applyProtection="1">
      <protection locked="0"/>
    </xf>
    <xf numFmtId="0" fontId="0" fillId="4" borderId="66" xfId="0" applyFill="1" applyBorder="1" applyAlignment="1" applyProtection="1">
      <alignment horizontal="right"/>
      <protection locked="0"/>
    </xf>
    <xf numFmtId="0" fontId="6" fillId="0" borderId="0" xfId="0" applyFont="1" applyAlignment="1">
      <alignment horizontal="left"/>
    </xf>
    <xf numFmtId="0" fontId="54" fillId="0" borderId="102" xfId="4" quotePrefix="1" applyFont="1" applyFill="1" applyBorder="1"/>
    <xf numFmtId="0" fontId="30" fillId="0" borderId="102" xfId="0" applyFont="1" applyBorder="1"/>
    <xf numFmtId="0" fontId="28" fillId="14" borderId="121" xfId="0" applyFont="1" applyFill="1" applyBorder="1"/>
    <xf numFmtId="0" fontId="28" fillId="14" borderId="122" xfId="0" applyFont="1" applyFill="1" applyBorder="1" applyAlignment="1">
      <alignment horizontal="left"/>
    </xf>
    <xf numFmtId="42" fontId="28" fillId="14" borderId="122" xfId="0" applyNumberFormat="1" applyFont="1" applyFill="1" applyBorder="1"/>
    <xf numFmtId="44" fontId="28" fillId="14" borderId="122" xfId="2" applyFont="1" applyFill="1" applyBorder="1"/>
    <xf numFmtId="44" fontId="28" fillId="14" borderId="123" xfId="2" applyFont="1" applyFill="1" applyBorder="1" applyAlignment="1">
      <alignment horizontal="left"/>
    </xf>
    <xf numFmtId="0" fontId="28" fillId="14" borderId="83" xfId="0" applyFont="1" applyFill="1" applyBorder="1" applyAlignment="1">
      <alignment horizontal="left" indent="2"/>
    </xf>
    <xf numFmtId="0" fontId="28" fillId="14" borderId="89" xfId="0" applyFont="1" applyFill="1" applyBorder="1" applyAlignment="1">
      <alignment horizontal="left" indent="2"/>
    </xf>
    <xf numFmtId="0" fontId="3" fillId="8" borderId="72" xfId="0" applyFont="1" applyFill="1" applyBorder="1"/>
    <xf numFmtId="10" fontId="3" fillId="8" borderId="73" xfId="0" applyNumberFormat="1" applyFont="1" applyFill="1" applyBorder="1" applyAlignment="1">
      <alignment horizontal="right"/>
    </xf>
    <xf numFmtId="43" fontId="3" fillId="8" borderId="73" xfId="1" applyFont="1" applyFill="1" applyBorder="1"/>
    <xf numFmtId="44" fontId="53" fillId="16" borderId="124" xfId="0" applyNumberFormat="1" applyFont="1" applyFill="1" applyBorder="1" applyAlignment="1" applyProtection="1">
      <alignment vertical="center"/>
      <protection locked="0"/>
    </xf>
    <xf numFmtId="44" fontId="31" fillId="16" borderId="125" xfId="0" applyNumberFormat="1" applyFont="1" applyFill="1" applyBorder="1" applyAlignment="1" applyProtection="1">
      <alignment horizontal="left" vertical="center"/>
      <protection locked="0"/>
    </xf>
    <xf numFmtId="167" fontId="31" fillId="16" borderId="125" xfId="2" applyNumberFormat="1" applyFont="1" applyFill="1" applyBorder="1" applyAlignment="1" applyProtection="1">
      <alignment horizontal="right" vertical="center"/>
      <protection locked="0"/>
    </xf>
    <xf numFmtId="44" fontId="31" fillId="16" borderId="126" xfId="2" applyFont="1" applyFill="1" applyBorder="1" applyAlignment="1" applyProtection="1">
      <alignment horizontal="left" vertical="center"/>
      <protection locked="0"/>
    </xf>
    <xf numFmtId="167" fontId="0" fillId="0" borderId="66" xfId="2" applyNumberFormat="1" applyFont="1" applyBorder="1" applyAlignment="1" applyProtection="1">
      <alignment horizontal="right"/>
      <protection locked="0"/>
    </xf>
    <xf numFmtId="167" fontId="0" fillId="19" borderId="66" xfId="2" applyNumberFormat="1" applyFont="1" applyFill="1" applyBorder="1" applyProtection="1">
      <protection locked="0"/>
    </xf>
    <xf numFmtId="0" fontId="0" fillId="0" borderId="127" xfId="0" applyBorder="1" applyProtection="1">
      <protection locked="0"/>
    </xf>
    <xf numFmtId="0" fontId="0" fillId="0" borderId="128" xfId="0" applyBorder="1" applyAlignment="1">
      <alignment wrapText="1"/>
    </xf>
    <xf numFmtId="0" fontId="0" fillId="0" borderId="128" xfId="0" applyBorder="1" applyProtection="1">
      <protection locked="0"/>
    </xf>
    <xf numFmtId="0" fontId="6" fillId="0" borderId="129" xfId="0" applyFont="1" applyBorder="1" applyAlignment="1" applyProtection="1">
      <alignment horizontal="right"/>
      <protection locked="0"/>
    </xf>
    <xf numFmtId="0" fontId="0" fillId="0" borderId="129" xfId="0" applyBorder="1" applyProtection="1">
      <protection locked="0"/>
    </xf>
    <xf numFmtId="167" fontId="6" fillId="0" borderId="129" xfId="2" applyNumberFormat="1" applyFont="1" applyBorder="1" applyAlignment="1" applyProtection="1">
      <alignment horizontal="right"/>
      <protection locked="0"/>
    </xf>
    <xf numFmtId="43" fontId="0" fillId="0" borderId="128" xfId="1" applyFont="1" applyBorder="1" applyAlignment="1" applyProtection="1">
      <alignment horizontal="center"/>
      <protection locked="0"/>
    </xf>
    <xf numFmtId="0" fontId="6" fillId="0" borderId="131" xfId="0" applyFont="1" applyBorder="1" applyAlignment="1">
      <alignment horizontal="left" vertical="center" wrapText="1"/>
    </xf>
    <xf numFmtId="44" fontId="0" fillId="0" borderId="131" xfId="2" applyFont="1" applyBorder="1" applyProtection="1">
      <protection locked="0"/>
    </xf>
    <xf numFmtId="0" fontId="0" fillId="4" borderId="131" xfId="0" applyFill="1" applyBorder="1" applyProtection="1">
      <protection locked="0"/>
    </xf>
    <xf numFmtId="0" fontId="0" fillId="4" borderId="131" xfId="0" applyFill="1" applyBorder="1" applyAlignment="1" applyProtection="1">
      <alignment horizontal="right" vertical="center"/>
      <protection locked="0"/>
    </xf>
    <xf numFmtId="0" fontId="8" fillId="4" borderId="131" xfId="0" applyFont="1" applyFill="1" applyBorder="1" applyAlignment="1" applyProtection="1">
      <alignment horizontal="right" vertical="center"/>
      <protection locked="0"/>
    </xf>
    <xf numFmtId="0" fontId="0" fillId="4" borderId="131" xfId="0" applyFill="1" applyBorder="1" applyAlignment="1">
      <alignment wrapText="1"/>
    </xf>
    <xf numFmtId="0" fontId="0" fillId="0" borderId="131" xfId="0" applyBorder="1" applyAlignment="1">
      <alignment wrapText="1"/>
    </xf>
    <xf numFmtId="0" fontId="0" fillId="0" borderId="132" xfId="0" applyBorder="1" applyProtection="1">
      <protection locked="0"/>
    </xf>
    <xf numFmtId="165" fontId="0" fillId="0" borderId="133" xfId="0" applyNumberFormat="1" applyBorder="1" applyAlignment="1" applyProtection="1">
      <alignment horizontal="right"/>
      <protection locked="0"/>
    </xf>
    <xf numFmtId="0" fontId="0" fillId="0" borderId="134" xfId="0" applyBorder="1" applyProtection="1">
      <protection locked="0"/>
    </xf>
    <xf numFmtId="0" fontId="0" fillId="0" borderId="131" xfId="0" applyBorder="1" applyAlignment="1" applyProtection="1">
      <alignment wrapText="1"/>
      <protection locked="0"/>
    </xf>
    <xf numFmtId="44" fontId="0" fillId="0" borderId="133" xfId="0" applyNumberFormat="1" applyBorder="1" applyProtection="1">
      <protection locked="0"/>
    </xf>
    <xf numFmtId="165" fontId="0" fillId="0" borderId="133" xfId="0" applyNumberFormat="1" applyBorder="1" applyProtection="1">
      <protection locked="0"/>
    </xf>
    <xf numFmtId="0" fontId="3" fillId="0" borderId="135" xfId="0" applyFont="1" applyBorder="1" applyAlignment="1" applyProtection="1">
      <alignment horizontal="right"/>
      <protection locked="0"/>
    </xf>
    <xf numFmtId="0" fontId="0" fillId="0" borderId="134" xfId="0" applyBorder="1" applyAlignment="1">
      <alignment horizontal="right"/>
    </xf>
    <xf numFmtId="0" fontId="0" fillId="0" borderId="131" xfId="0" applyBorder="1" applyProtection="1">
      <protection locked="0"/>
    </xf>
    <xf numFmtId="43" fontId="0" fillId="0" borderId="131" xfId="1" applyFont="1" applyBorder="1" applyProtection="1">
      <protection locked="0"/>
    </xf>
    <xf numFmtId="0" fontId="0" fillId="0" borderId="131" xfId="0" applyBorder="1" applyAlignment="1" applyProtection="1">
      <alignment horizontal="center"/>
      <protection locked="0"/>
    </xf>
    <xf numFmtId="0" fontId="0" fillId="0" borderId="131" xfId="0" applyBorder="1" applyAlignment="1">
      <alignment horizontal="left" wrapText="1"/>
    </xf>
    <xf numFmtId="0" fontId="0" fillId="0" borderId="132" xfId="0" applyBorder="1" applyAlignment="1" applyProtection="1">
      <alignment horizontal="right"/>
      <protection locked="0"/>
    </xf>
    <xf numFmtId="14" fontId="0" fillId="0" borderId="131" xfId="0" applyNumberFormat="1" applyBorder="1" applyAlignment="1">
      <alignment horizontal="left" wrapText="1"/>
    </xf>
    <xf numFmtId="0" fontId="0" fillId="0" borderId="134" xfId="0" applyBorder="1" applyAlignment="1">
      <alignment vertical="top"/>
    </xf>
    <xf numFmtId="0" fontId="0" fillId="19" borderId="131" xfId="0" applyFill="1" applyBorder="1" applyProtection="1">
      <protection locked="0"/>
    </xf>
    <xf numFmtId="43" fontId="0" fillId="19" borderId="131" xfId="1" applyFont="1" applyFill="1" applyBorder="1" applyProtection="1">
      <protection locked="0"/>
    </xf>
    <xf numFmtId="0" fontId="0" fillId="19" borderId="131" xfId="0" applyFill="1" applyBorder="1" applyAlignment="1" applyProtection="1">
      <alignment horizontal="center"/>
      <protection locked="0"/>
    </xf>
    <xf numFmtId="165" fontId="0" fillId="19" borderId="131" xfId="0" applyNumberFormat="1" applyFill="1" applyBorder="1" applyProtection="1">
      <protection locked="0"/>
    </xf>
    <xf numFmtId="165" fontId="0" fillId="0" borderId="131" xfId="0" applyNumberFormat="1" applyBorder="1" applyProtection="1">
      <protection locked="0"/>
    </xf>
    <xf numFmtId="0" fontId="6" fillId="18" borderId="136" xfId="0" applyFont="1" applyFill="1" applyBorder="1" applyAlignment="1">
      <alignment vertical="center" wrapText="1"/>
    </xf>
    <xf numFmtId="0" fontId="0" fillId="4" borderId="134" xfId="0" applyFill="1" applyBorder="1"/>
    <xf numFmtId="0" fontId="0" fillId="0" borderId="134" xfId="0" applyBorder="1"/>
    <xf numFmtId="0" fontId="0" fillId="4" borderId="131" xfId="0" applyFill="1" applyBorder="1" applyAlignment="1" applyProtection="1">
      <alignment vertical="center"/>
      <protection locked="0"/>
    </xf>
    <xf numFmtId="43" fontId="0" fillId="0" borderId="131" xfId="1" applyFont="1" applyBorder="1" applyAlignment="1" applyProtection="1">
      <alignment horizontal="center"/>
      <protection locked="0"/>
    </xf>
    <xf numFmtId="43" fontId="0" fillId="19" borderId="131" xfId="1" applyFont="1" applyFill="1" applyBorder="1" applyAlignment="1" applyProtection="1">
      <alignment horizontal="center"/>
      <protection locked="0"/>
    </xf>
    <xf numFmtId="43" fontId="0" fillId="4" borderId="131" xfId="1" applyFont="1" applyFill="1" applyBorder="1" applyAlignment="1" applyProtection="1">
      <alignment horizontal="center"/>
      <protection locked="0"/>
    </xf>
    <xf numFmtId="0" fontId="0" fillId="0" borderId="137" xfId="0" applyBorder="1"/>
    <xf numFmtId="0" fontId="3" fillId="0" borderId="137" xfId="0" applyFont="1" applyBorder="1" applyAlignment="1" applyProtection="1">
      <alignment horizontal="right"/>
      <protection locked="0"/>
    </xf>
    <xf numFmtId="43" fontId="6" fillId="0" borderId="131" xfId="1" applyFont="1" applyBorder="1"/>
    <xf numFmtId="43" fontId="0" fillId="9" borderId="127" xfId="1" applyFont="1" applyFill="1" applyBorder="1" applyAlignment="1">
      <alignment horizontal="center"/>
    </xf>
    <xf numFmtId="0" fontId="31" fillId="13" borderId="131" xfId="0" quotePrefix="1" applyFont="1" applyFill="1" applyBorder="1" applyAlignment="1">
      <alignment vertical="center"/>
    </xf>
    <xf numFmtId="0" fontId="31" fillId="13" borderId="131" xfId="0" applyFont="1" applyFill="1" applyBorder="1" applyAlignment="1">
      <alignment vertical="center"/>
    </xf>
    <xf numFmtId="167" fontId="31" fillId="13" borderId="131" xfId="2" applyNumberFormat="1" applyFont="1" applyFill="1" applyBorder="1" applyAlignment="1">
      <alignment horizontal="center" vertical="center" wrapText="1"/>
    </xf>
    <xf numFmtId="172" fontId="25" fillId="0" borderId="131" xfId="0" applyNumberFormat="1" applyFont="1" applyBorder="1" applyAlignment="1">
      <alignment horizontal="center" vertical="top"/>
    </xf>
    <xf numFmtId="0" fontId="25" fillId="0" borderId="131" xfId="0" applyFont="1" applyBorder="1" applyAlignment="1">
      <alignment horizontal="left" vertical="top" wrapText="1"/>
    </xf>
    <xf numFmtId="166" fontId="25" fillId="0" borderId="131" xfId="2" applyNumberFormat="1" applyFont="1" applyFill="1" applyBorder="1" applyAlignment="1">
      <alignment horizontal="center" vertical="top"/>
    </xf>
    <xf numFmtId="0" fontId="25" fillId="0" borderId="131" xfId="0" applyFont="1" applyBorder="1" applyAlignment="1">
      <alignment horizontal="center" vertical="top"/>
    </xf>
    <xf numFmtId="0" fontId="25" fillId="0" borderId="131" xfId="0" applyFont="1" applyBorder="1" applyAlignment="1">
      <alignment horizontal="left" vertical="top"/>
    </xf>
    <xf numFmtId="0" fontId="44" fillId="0" borderId="131" xfId="0" applyFont="1" applyBorder="1" applyAlignment="1">
      <alignment horizontal="left" vertical="top" wrapText="1"/>
    </xf>
    <xf numFmtId="0" fontId="43" fillId="0" borderId="131" xfId="0" applyFont="1" applyBorder="1" applyAlignment="1">
      <alignment horizontal="center" vertical="top"/>
    </xf>
    <xf numFmtId="166" fontId="1" fillId="0" borderId="131" xfId="2" applyNumberFormat="1" applyFont="1" applyFill="1" applyBorder="1" applyAlignment="1">
      <alignment horizontal="center" vertical="top"/>
    </xf>
    <xf numFmtId="166" fontId="3" fillId="14" borderId="136" xfId="1" applyNumberFormat="1" applyFont="1" applyFill="1" applyBorder="1" applyAlignment="1">
      <alignment horizontal="center" vertical="center"/>
    </xf>
    <xf numFmtId="43" fontId="3" fillId="14" borderId="136" xfId="1" applyFont="1" applyFill="1" applyBorder="1" applyAlignment="1">
      <alignment horizontal="center" vertical="center"/>
    </xf>
    <xf numFmtId="167" fontId="3" fillId="0" borderId="136" xfId="2" applyNumberFormat="1" applyFont="1" applyFill="1" applyBorder="1"/>
    <xf numFmtId="0" fontId="0" fillId="0" borderId="136" xfId="0" applyBorder="1"/>
    <xf numFmtId="167" fontId="0" fillId="0" borderId="127" xfId="2" applyNumberFormat="1" applyFont="1" applyFill="1" applyBorder="1"/>
    <xf numFmtId="167" fontId="0" fillId="0" borderId="136" xfId="2" applyNumberFormat="1" applyFont="1" applyFill="1" applyBorder="1"/>
    <xf numFmtId="44" fontId="0" fillId="0" borderId="136" xfId="2" applyFont="1" applyFill="1" applyBorder="1"/>
    <xf numFmtId="9" fontId="0" fillId="0" borderId="136" xfId="3" applyFont="1" applyFill="1" applyBorder="1" applyAlignment="1">
      <alignment horizontal="left"/>
    </xf>
    <xf numFmtId="9" fontId="0" fillId="0" borderId="136" xfId="3" applyFont="1" applyBorder="1" applyAlignment="1">
      <alignment horizontal="left"/>
    </xf>
    <xf numFmtId="167" fontId="0" fillId="0" borderId="136" xfId="2" applyNumberFormat="1" applyFont="1" applyBorder="1"/>
    <xf numFmtId="44" fontId="0" fillId="0" borderId="136" xfId="0" applyNumberFormat="1" applyBorder="1"/>
    <xf numFmtId="167" fontId="0" fillId="7" borderId="136" xfId="2" applyNumberFormat="1" applyFont="1" applyFill="1" applyBorder="1"/>
    <xf numFmtId="167" fontId="3" fillId="0" borderId="136" xfId="2" applyNumberFormat="1" applyFont="1" applyBorder="1"/>
    <xf numFmtId="0" fontId="0" fillId="0" borderId="140" xfId="0" applyBorder="1" applyAlignment="1">
      <alignment horizontal="center"/>
    </xf>
    <xf numFmtId="0" fontId="0" fillId="0" borderId="139" xfId="0" applyBorder="1" applyAlignment="1">
      <alignment horizontal="center"/>
    </xf>
    <xf numFmtId="167" fontId="0" fillId="0" borderId="139" xfId="2" applyNumberFormat="1" applyFont="1" applyBorder="1"/>
    <xf numFmtId="167" fontId="3" fillId="0" borderId="140" xfId="2" applyNumberFormat="1" applyFont="1" applyBorder="1"/>
    <xf numFmtId="0" fontId="0" fillId="0" borderId="136" xfId="0" applyBorder="1" applyAlignment="1">
      <alignment vertical="top"/>
    </xf>
    <xf numFmtId="167" fontId="0" fillId="0" borderId="136" xfId="2" applyNumberFormat="1" applyFont="1" applyFill="1" applyBorder="1" applyAlignment="1">
      <alignment vertical="top" wrapText="1"/>
    </xf>
    <xf numFmtId="44" fontId="1" fillId="0" borderId="131" xfId="2" applyFont="1" applyBorder="1" applyAlignment="1">
      <alignment horizontal="center" wrapText="1"/>
    </xf>
    <xf numFmtId="0" fontId="6" fillId="0" borderId="137" xfId="0" applyFont="1" applyBorder="1" applyAlignment="1" applyProtection="1">
      <alignment horizontal="right"/>
      <protection locked="0"/>
    </xf>
    <xf numFmtId="44" fontId="6" fillId="0" borderId="133" xfId="2" applyFont="1" applyBorder="1" applyAlignment="1">
      <alignment horizontal="center" vertical="center"/>
    </xf>
    <xf numFmtId="0" fontId="0" fillId="19" borderId="133" xfId="0" applyFill="1" applyBorder="1" applyProtection="1">
      <protection locked="0"/>
    </xf>
    <xf numFmtId="0" fontId="6" fillId="18" borderId="136" xfId="0" applyFont="1" applyFill="1" applyBorder="1" applyAlignment="1">
      <alignment horizontal="left" vertical="center" wrapText="1" indent="2"/>
    </xf>
    <xf numFmtId="43" fontId="6" fillId="0" borderId="131" xfId="1" applyFont="1" applyBorder="1" applyAlignment="1">
      <alignment horizontal="center" vertical="center" wrapText="1"/>
    </xf>
    <xf numFmtId="0" fontId="0" fillId="0" borderId="136" xfId="0" applyBorder="1" applyAlignment="1">
      <alignment horizontal="left" indent="4"/>
    </xf>
    <xf numFmtId="0" fontId="6" fillId="18" borderId="136" xfId="0" applyFont="1" applyFill="1" applyBorder="1" applyAlignment="1">
      <alignment horizontal="left" vertical="center" wrapText="1" indent="4"/>
    </xf>
    <xf numFmtId="0" fontId="6" fillId="7" borderId="136" xfId="0" applyFont="1" applyFill="1" applyBorder="1" applyAlignment="1">
      <alignment vertical="center" wrapText="1"/>
    </xf>
    <xf numFmtId="9" fontId="0" fillId="4" borderId="133" xfId="3" applyFont="1" applyFill="1" applyBorder="1" applyProtection="1">
      <protection locked="0"/>
    </xf>
    <xf numFmtId="44" fontId="0" fillId="4" borderId="132" xfId="2" applyFont="1" applyFill="1" applyBorder="1" applyAlignment="1" applyProtection="1">
      <alignment horizontal="left"/>
      <protection locked="0"/>
    </xf>
    <xf numFmtId="44" fontId="0" fillId="4" borderId="133" xfId="2" applyFont="1" applyFill="1" applyBorder="1" applyProtection="1">
      <protection locked="0"/>
    </xf>
    <xf numFmtId="44" fontId="0" fillId="4" borderId="133" xfId="2" applyFont="1" applyFill="1" applyBorder="1" applyAlignment="1" applyProtection="1">
      <alignment horizontal="left"/>
      <protection locked="0"/>
    </xf>
    <xf numFmtId="44" fontId="0" fillId="4" borderId="133" xfId="0" applyNumberFormat="1" applyFill="1" applyBorder="1" applyProtection="1">
      <protection locked="0"/>
    </xf>
    <xf numFmtId="44" fontId="9" fillId="4" borderId="132" xfId="2" applyFont="1" applyFill="1" applyBorder="1" applyAlignment="1" applyProtection="1">
      <alignment horizontal="left"/>
      <protection locked="0"/>
    </xf>
    <xf numFmtId="165" fontId="9" fillId="4" borderId="133" xfId="0" applyNumberFormat="1" applyFont="1" applyFill="1" applyBorder="1" applyAlignment="1" applyProtection="1">
      <alignment horizontal="center"/>
      <protection locked="0"/>
    </xf>
    <xf numFmtId="44" fontId="9" fillId="4" borderId="133" xfId="2" applyFont="1" applyFill="1" applyBorder="1" applyAlignment="1" applyProtection="1">
      <alignment horizontal="left"/>
      <protection locked="0"/>
    </xf>
    <xf numFmtId="165" fontId="9" fillId="4" borderId="133" xfId="0" applyNumberFormat="1" applyFont="1" applyFill="1" applyBorder="1" applyAlignment="1" applyProtection="1">
      <alignment horizontal="left"/>
      <protection locked="0"/>
    </xf>
    <xf numFmtId="0" fontId="0" fillId="4" borderId="133" xfId="0" applyFill="1" applyBorder="1" applyAlignment="1" applyProtection="1">
      <alignment horizontal="center"/>
      <protection locked="0"/>
    </xf>
    <xf numFmtId="44" fontId="0" fillId="4" borderId="133" xfId="2" applyFont="1" applyFill="1" applyBorder="1" applyAlignment="1" applyProtection="1">
      <alignment horizontal="center"/>
      <protection locked="0"/>
    </xf>
    <xf numFmtId="0" fontId="0" fillId="0" borderId="133" xfId="0" applyBorder="1" applyProtection="1">
      <protection locked="0"/>
    </xf>
    <xf numFmtId="0" fontId="0" fillId="0" borderId="133" xfId="0" applyBorder="1" applyAlignment="1" applyProtection="1">
      <alignment horizontal="center"/>
      <protection locked="0"/>
    </xf>
    <xf numFmtId="0" fontId="3" fillId="0" borderId="133" xfId="0" applyFont="1" applyBorder="1" applyAlignment="1" applyProtection="1">
      <alignment horizontal="right"/>
      <protection locked="0"/>
    </xf>
    <xf numFmtId="169" fontId="0" fillId="0" borderId="133" xfId="0" applyNumberFormat="1" applyBorder="1" applyAlignment="1" applyProtection="1">
      <alignment horizontal="center"/>
      <protection locked="0"/>
    </xf>
    <xf numFmtId="0" fontId="4" fillId="0" borderId="133" xfId="4" applyBorder="1" applyAlignment="1" applyProtection="1">
      <alignment horizontal="center" vertical="center"/>
      <protection locked="0"/>
    </xf>
    <xf numFmtId="167" fontId="0" fillId="0" borderId="132" xfId="2" applyNumberFormat="1" applyFont="1" applyBorder="1" applyAlignment="1" applyProtection="1">
      <alignment horizontal="right"/>
      <protection locked="0"/>
    </xf>
    <xf numFmtId="0" fontId="0" fillId="0" borderId="135" xfId="0" applyBorder="1" applyAlignment="1">
      <alignment vertical="top"/>
    </xf>
    <xf numFmtId="0" fontId="6" fillId="17" borderId="144" xfId="0" applyFont="1" applyFill="1" applyBorder="1" applyAlignment="1">
      <alignment horizontal="center" vertical="center"/>
    </xf>
    <xf numFmtId="0" fontId="0" fillId="0" borderId="145" xfId="0" applyBorder="1" applyProtection="1">
      <protection locked="0"/>
    </xf>
    <xf numFmtId="44" fontId="0" fillId="0" borderId="145" xfId="2" applyFont="1" applyBorder="1" applyAlignment="1" applyProtection="1">
      <alignment horizontal="center"/>
      <protection locked="0"/>
    </xf>
    <xf numFmtId="0" fontId="0" fillId="19" borderId="147" xfId="0" applyFill="1" applyBorder="1" applyProtection="1">
      <protection locked="0"/>
    </xf>
    <xf numFmtId="3" fontId="0" fillId="19" borderId="147" xfId="0" applyNumberFormat="1" applyFill="1" applyBorder="1" applyAlignment="1" applyProtection="1">
      <alignment horizontal="left"/>
      <protection locked="0"/>
    </xf>
    <xf numFmtId="165" fontId="0" fillId="0" borderId="147" xfId="0" applyNumberFormat="1" applyBorder="1" applyProtection="1">
      <protection locked="0"/>
    </xf>
    <xf numFmtId="173" fontId="30" fillId="0" borderId="22" xfId="0" applyNumberFormat="1" applyFont="1" applyBorder="1" applyAlignment="1">
      <alignment horizontal="left"/>
    </xf>
    <xf numFmtId="0" fontId="39" fillId="0" borderId="20" xfId="10" applyFont="1" applyBorder="1" applyAlignment="1">
      <alignment horizontal="left" vertical="center" wrapText="1"/>
    </xf>
    <xf numFmtId="0" fontId="47" fillId="0" borderId="13" xfId="0" applyFont="1" applyBorder="1" applyAlignment="1">
      <alignment horizontal="left" vertical="top"/>
    </xf>
    <xf numFmtId="0" fontId="47" fillId="0" borderId="14" xfId="0" applyFont="1" applyBorder="1" applyAlignment="1">
      <alignment horizontal="left" vertical="top"/>
    </xf>
    <xf numFmtId="0" fontId="6" fillId="0" borderId="0" xfId="10" applyFont="1" applyBorder="1" applyAlignment="1">
      <alignment horizontal="left" vertical="center"/>
    </xf>
    <xf numFmtId="0" fontId="46" fillId="0" borderId="0" xfId="10" applyFont="1" applyBorder="1" applyAlignment="1">
      <alignment horizontal="left" vertical="center" wrapText="1"/>
    </xf>
    <xf numFmtId="0" fontId="39" fillId="0" borderId="47" xfId="10" applyFont="1" applyBorder="1" applyAlignment="1">
      <alignment horizontal="left" vertical="center" wrapText="1"/>
    </xf>
    <xf numFmtId="0" fontId="37" fillId="0" borderId="0" xfId="0" applyFont="1" applyAlignment="1">
      <alignment horizontal="left"/>
    </xf>
    <xf numFmtId="173" fontId="30" fillId="0" borderId="0" xfId="0" quotePrefix="1" applyNumberFormat="1" applyFont="1" applyAlignment="1">
      <alignment horizontal="left"/>
    </xf>
    <xf numFmtId="0" fontId="39" fillId="0" borderId="47" xfId="10" applyFont="1" applyBorder="1" applyAlignment="1">
      <alignment horizontal="left" vertical="center"/>
    </xf>
    <xf numFmtId="0" fontId="0" fillId="15" borderId="42" xfId="0" applyFill="1" applyBorder="1" applyAlignment="1">
      <alignment horizontal="center"/>
    </xf>
    <xf numFmtId="0" fontId="0" fillId="15" borderId="60" xfId="0" applyFill="1" applyBorder="1" applyAlignment="1">
      <alignment horizontal="center"/>
    </xf>
    <xf numFmtId="0" fontId="43" fillId="23" borderId="59" xfId="0" applyFont="1" applyFill="1" applyBorder="1" applyAlignment="1">
      <alignment horizontal="center" vertical="top" wrapText="1"/>
    </xf>
    <xf numFmtId="0" fontId="43" fillId="23" borderId="63" xfId="0" applyFont="1" applyFill="1" applyBorder="1" applyAlignment="1">
      <alignment horizontal="center" vertical="top" wrapText="1"/>
    </xf>
    <xf numFmtId="167" fontId="0" fillId="3" borderId="141" xfId="2" applyNumberFormat="1" applyFont="1" applyFill="1" applyBorder="1" applyAlignment="1">
      <alignment horizontal="center"/>
    </xf>
    <xf numFmtId="167" fontId="0" fillId="3" borderId="142" xfId="2" applyNumberFormat="1" applyFont="1" applyFill="1" applyBorder="1" applyAlignment="1">
      <alignment horizontal="center"/>
    </xf>
    <xf numFmtId="167" fontId="0" fillId="3" borderId="17" xfId="2" applyNumberFormat="1" applyFont="1" applyFill="1" applyBorder="1" applyAlignment="1">
      <alignment horizontal="center"/>
    </xf>
    <xf numFmtId="167" fontId="0" fillId="3" borderId="18" xfId="2" applyNumberFormat="1" applyFont="1" applyFill="1" applyBorder="1" applyAlignment="1">
      <alignment horizontal="center"/>
    </xf>
    <xf numFmtId="167" fontId="0" fillId="3" borderId="40" xfId="2" applyNumberFormat="1" applyFont="1" applyFill="1" applyBorder="1" applyAlignment="1">
      <alignment horizontal="center"/>
    </xf>
    <xf numFmtId="167" fontId="0" fillId="3" borderId="41" xfId="2" applyNumberFormat="1" applyFont="1" applyFill="1" applyBorder="1" applyAlignment="1">
      <alignment horizontal="center"/>
    </xf>
    <xf numFmtId="167" fontId="3" fillId="3" borderId="59" xfId="2" applyNumberFormat="1" applyFont="1" applyFill="1" applyBorder="1" applyAlignment="1">
      <alignment horizontal="center"/>
    </xf>
    <xf numFmtId="167" fontId="3" fillId="3" borderId="63" xfId="2" applyNumberFormat="1" applyFont="1" applyFill="1" applyBorder="1" applyAlignment="1">
      <alignment horizontal="center"/>
    </xf>
    <xf numFmtId="167" fontId="3" fillId="14" borderId="59" xfId="2" applyNumberFormat="1" applyFont="1" applyFill="1" applyBorder="1" applyAlignment="1">
      <alignment horizontal="center" vertical="center"/>
    </xf>
    <xf numFmtId="167" fontId="3" fillId="14" borderId="63" xfId="2" applyNumberFormat="1" applyFont="1" applyFill="1" applyBorder="1" applyAlignment="1">
      <alignment horizontal="center" vertical="center"/>
    </xf>
    <xf numFmtId="167" fontId="3" fillId="14" borderId="70" xfId="2" applyNumberFormat="1" applyFont="1" applyFill="1" applyBorder="1" applyAlignment="1">
      <alignment horizontal="center" vertical="center"/>
    </xf>
    <xf numFmtId="167" fontId="3" fillId="14" borderId="71" xfId="2" applyNumberFormat="1" applyFont="1" applyFill="1" applyBorder="1" applyAlignment="1">
      <alignment horizontal="center" vertical="center"/>
    </xf>
    <xf numFmtId="167" fontId="3" fillId="14" borderId="42" xfId="2" applyNumberFormat="1" applyFont="1" applyFill="1" applyBorder="1" applyAlignment="1">
      <alignment horizontal="center" vertical="center"/>
    </xf>
    <xf numFmtId="167" fontId="3" fillId="14" borderId="60" xfId="2" applyNumberFormat="1" applyFont="1" applyFill="1" applyBorder="1" applyAlignment="1">
      <alignment horizontal="center" vertical="center"/>
    </xf>
    <xf numFmtId="167" fontId="3" fillId="14" borderId="59" xfId="2" applyNumberFormat="1" applyFont="1" applyFill="1" applyBorder="1" applyAlignment="1">
      <alignment horizontal="center" vertical="center" wrapText="1"/>
    </xf>
    <xf numFmtId="167" fontId="3" fillId="14" borderId="63" xfId="2" applyNumberFormat="1" applyFont="1" applyFill="1" applyBorder="1" applyAlignment="1">
      <alignment horizontal="center" vertical="center" wrapText="1"/>
    </xf>
    <xf numFmtId="0" fontId="3" fillId="14" borderId="140" xfId="0" applyFont="1" applyFill="1" applyBorder="1" applyAlignment="1">
      <alignment horizontal="center" vertical="center"/>
    </xf>
    <xf numFmtId="0" fontId="3" fillId="14" borderId="62" xfId="0" applyFont="1" applyFill="1" applyBorder="1" applyAlignment="1">
      <alignment horizontal="center" vertical="center"/>
    </xf>
    <xf numFmtId="0" fontId="0" fillId="11" borderId="42" xfId="0" applyFill="1" applyBorder="1" applyAlignment="1">
      <alignment horizontal="center"/>
    </xf>
    <xf numFmtId="0" fontId="0" fillId="11" borderId="60" xfId="0" applyFill="1" applyBorder="1" applyAlignment="1">
      <alignment horizontal="center"/>
    </xf>
    <xf numFmtId="0" fontId="3" fillId="0" borderId="139" xfId="0" applyFont="1" applyBorder="1" applyAlignment="1">
      <alignment horizontal="center" vertical="center" textRotation="90"/>
    </xf>
    <xf numFmtId="0" fontId="3" fillId="0" borderId="57" xfId="0" applyFont="1" applyBorder="1" applyAlignment="1">
      <alignment horizontal="center" vertical="center" textRotation="90"/>
    </xf>
    <xf numFmtId="0" fontId="3" fillId="0" borderId="61" xfId="0" applyFont="1" applyBorder="1" applyAlignment="1">
      <alignment horizontal="center" vertical="center" textRotation="90"/>
    </xf>
    <xf numFmtId="0" fontId="3" fillId="0" borderId="140" xfId="0" applyFont="1" applyBorder="1" applyAlignment="1">
      <alignment horizontal="center" vertical="center" textRotation="90"/>
    </xf>
    <xf numFmtId="0" fontId="3" fillId="0" borderId="58" xfId="0" applyFont="1" applyBorder="1" applyAlignment="1">
      <alignment horizontal="center" vertical="center" textRotation="90"/>
    </xf>
    <xf numFmtId="0" fontId="3" fillId="0" borderId="62" xfId="0" applyFont="1" applyBorder="1" applyAlignment="1">
      <alignment horizontal="center" vertical="center" textRotation="90"/>
    </xf>
    <xf numFmtId="0" fontId="3" fillId="0" borderId="14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2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14" borderId="15" xfId="0" applyFont="1" applyFill="1" applyBorder="1" applyAlignment="1">
      <alignment horizontal="center" vertical="center"/>
    </xf>
    <xf numFmtId="0" fontId="3" fillId="14" borderId="17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4" borderId="18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0" fontId="3" fillId="14" borderId="22" xfId="0" applyFont="1" applyFill="1" applyBorder="1" applyAlignment="1">
      <alignment horizontal="center" vertical="center"/>
    </xf>
    <xf numFmtId="0" fontId="3" fillId="14" borderId="41" xfId="0" applyFont="1" applyFill="1" applyBorder="1" applyAlignment="1">
      <alignment horizontal="center" vertical="center"/>
    </xf>
    <xf numFmtId="0" fontId="3" fillId="14" borderId="63" xfId="0" applyFont="1" applyFill="1" applyBorder="1" applyAlignment="1">
      <alignment horizontal="center" vertical="center"/>
    </xf>
    <xf numFmtId="174" fontId="3" fillId="14" borderId="139" xfId="1" applyNumberFormat="1" applyFont="1" applyFill="1" applyBorder="1" applyAlignment="1">
      <alignment horizontal="center" vertical="center"/>
    </xf>
    <xf numFmtId="174" fontId="3" fillId="14" borderId="61" xfId="1" applyNumberFormat="1" applyFont="1" applyFill="1" applyBorder="1" applyAlignment="1">
      <alignment horizontal="center" vertical="center"/>
    </xf>
    <xf numFmtId="167" fontId="3" fillId="14" borderId="72" xfId="2" applyNumberFormat="1" applyFont="1" applyFill="1" applyBorder="1" applyAlignment="1">
      <alignment horizontal="center" vertical="center"/>
    </xf>
    <xf numFmtId="167" fontId="3" fillId="14" borderId="73" xfId="2" applyNumberFormat="1" applyFont="1" applyFill="1" applyBorder="1" applyAlignment="1">
      <alignment horizontal="center" vertical="center"/>
    </xf>
    <xf numFmtId="167" fontId="3" fillId="0" borderId="44" xfId="2" applyNumberFormat="1" applyFont="1" applyBorder="1" applyAlignment="1">
      <alignment horizontal="right"/>
    </xf>
    <xf numFmtId="167" fontId="3" fillId="0" borderId="65" xfId="2" applyNumberFormat="1" applyFont="1" applyBorder="1" applyAlignment="1">
      <alignment horizontal="right"/>
    </xf>
    <xf numFmtId="167" fontId="3" fillId="15" borderId="44" xfId="2" applyNumberFormat="1" applyFont="1" applyFill="1" applyBorder="1" applyAlignment="1">
      <alignment horizontal="right"/>
    </xf>
    <xf numFmtId="167" fontId="3" fillId="15" borderId="65" xfId="2" applyNumberFormat="1" applyFont="1" applyFill="1" applyBorder="1" applyAlignment="1">
      <alignment horizontal="right"/>
    </xf>
    <xf numFmtId="0" fontId="3" fillId="14" borderId="59" xfId="0" applyFont="1" applyFill="1" applyBorder="1" applyAlignment="1">
      <alignment horizontal="center" vertical="top" wrapText="1"/>
    </xf>
    <xf numFmtId="0" fontId="3" fillId="14" borderId="63" xfId="0" applyFont="1" applyFill="1" applyBorder="1" applyAlignment="1">
      <alignment horizontal="center" vertical="top" wrapText="1"/>
    </xf>
    <xf numFmtId="167" fontId="6" fillId="3" borderId="141" xfId="2" applyNumberFormat="1" applyFont="1" applyFill="1" applyBorder="1" applyAlignment="1">
      <alignment horizontal="center"/>
    </xf>
    <xf numFmtId="167" fontId="6" fillId="3" borderId="142" xfId="2" applyNumberFormat="1" applyFont="1" applyFill="1" applyBorder="1" applyAlignment="1">
      <alignment horizontal="center"/>
    </xf>
    <xf numFmtId="167" fontId="6" fillId="3" borderId="17" xfId="2" applyNumberFormat="1" applyFont="1" applyFill="1" applyBorder="1" applyAlignment="1">
      <alignment horizontal="center"/>
    </xf>
    <xf numFmtId="167" fontId="6" fillId="3" borderId="18" xfId="2" applyNumberFormat="1" applyFont="1" applyFill="1" applyBorder="1" applyAlignment="1">
      <alignment horizontal="center"/>
    </xf>
    <xf numFmtId="167" fontId="6" fillId="3" borderId="40" xfId="2" applyNumberFormat="1" applyFont="1" applyFill="1" applyBorder="1" applyAlignment="1">
      <alignment horizontal="center"/>
    </xf>
    <xf numFmtId="167" fontId="6" fillId="3" borderId="41" xfId="2" applyNumberFormat="1" applyFont="1" applyFill="1" applyBorder="1" applyAlignment="1">
      <alignment horizontal="center"/>
    </xf>
    <xf numFmtId="164" fontId="0" fillId="15" borderId="42" xfId="1" applyNumberFormat="1" applyFont="1" applyFill="1" applyBorder="1" applyAlignment="1">
      <alignment horizontal="center"/>
    </xf>
    <xf numFmtId="164" fontId="0" fillId="15" borderId="64" xfId="1" applyNumberFormat="1" applyFont="1" applyFill="1" applyBorder="1" applyAlignment="1">
      <alignment horizontal="center"/>
    </xf>
    <xf numFmtId="164" fontId="0" fillId="15" borderId="60" xfId="1" applyNumberFormat="1" applyFont="1" applyFill="1" applyBorder="1" applyAlignment="1">
      <alignment horizontal="center"/>
    </xf>
    <xf numFmtId="167" fontId="0" fillId="3" borderId="75" xfId="2" applyNumberFormat="1" applyFont="1" applyFill="1" applyBorder="1" applyAlignment="1">
      <alignment horizontal="center"/>
    </xf>
    <xf numFmtId="167" fontId="0" fillId="3" borderId="80" xfId="2" applyNumberFormat="1" applyFont="1" applyFill="1" applyBorder="1" applyAlignment="1">
      <alignment horizontal="center"/>
    </xf>
    <xf numFmtId="167" fontId="0" fillId="3" borderId="81" xfId="2" applyNumberFormat="1" applyFont="1" applyFill="1" applyBorder="1" applyAlignment="1">
      <alignment horizontal="center"/>
    </xf>
    <xf numFmtId="0" fontId="0" fillId="7" borderId="42" xfId="0" applyFill="1" applyBorder="1" applyAlignment="1">
      <alignment horizontal="center"/>
    </xf>
    <xf numFmtId="0" fontId="0" fillId="7" borderId="60" xfId="0" applyFill="1" applyBorder="1" applyAlignment="1">
      <alignment horizontal="center"/>
    </xf>
    <xf numFmtId="167" fontId="3" fillId="11" borderId="44" xfId="2" applyNumberFormat="1" applyFont="1" applyFill="1" applyBorder="1" applyAlignment="1">
      <alignment horizontal="right"/>
    </xf>
    <xf numFmtId="167" fontId="3" fillId="11" borderId="65" xfId="2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25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135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169" fontId="0" fillId="0" borderId="135" xfId="0" applyNumberFormat="1" applyBorder="1" applyAlignment="1" applyProtection="1">
      <alignment horizontal="center"/>
      <protection locked="0"/>
    </xf>
    <xf numFmtId="169" fontId="0" fillId="0" borderId="27" xfId="0" applyNumberFormat="1" applyBorder="1" applyAlignment="1" applyProtection="1">
      <alignment horizontal="center"/>
      <protection locked="0"/>
    </xf>
    <xf numFmtId="0" fontId="4" fillId="0" borderId="135" xfId="4" applyBorder="1" applyAlignment="1" applyProtection="1">
      <alignment horizontal="center" vertical="center"/>
      <protection locked="0"/>
    </xf>
    <xf numFmtId="0" fontId="4" fillId="0" borderId="27" xfId="4" applyBorder="1" applyAlignment="1" applyProtection="1">
      <alignment horizontal="center" vertical="center"/>
      <protection locked="0"/>
    </xf>
    <xf numFmtId="44" fontId="0" fillId="0" borderId="138" xfId="2" applyFont="1" applyBorder="1" applyAlignment="1" applyProtection="1">
      <alignment horizontal="center"/>
      <protection locked="0"/>
    </xf>
    <xf numFmtId="44" fontId="0" fillId="0" borderId="130" xfId="2" applyFont="1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left"/>
      <protection locked="0"/>
    </xf>
    <xf numFmtId="0" fontId="0" fillId="0" borderId="26" xfId="0" applyBorder="1" applyAlignment="1" applyProtection="1">
      <alignment horizontal="left"/>
      <protection locked="0"/>
    </xf>
    <xf numFmtId="0" fontId="0" fillId="0" borderId="135" xfId="0" applyBorder="1" applyAlignment="1" applyProtection="1">
      <alignment horizontal="left"/>
      <protection locked="0"/>
    </xf>
    <xf numFmtId="0" fontId="0" fillId="0" borderId="27" xfId="0" applyBorder="1" applyAlignment="1" applyProtection="1">
      <alignment horizontal="left"/>
      <protection locked="0"/>
    </xf>
    <xf numFmtId="169" fontId="0" fillId="0" borderId="135" xfId="0" applyNumberFormat="1" applyBorder="1" applyAlignment="1" applyProtection="1">
      <alignment horizontal="left"/>
      <protection locked="0"/>
    </xf>
    <xf numFmtId="169" fontId="0" fillId="0" borderId="27" xfId="0" applyNumberFormat="1" applyBorder="1" applyAlignment="1" applyProtection="1">
      <alignment horizontal="left"/>
      <protection locked="0"/>
    </xf>
    <xf numFmtId="0" fontId="4" fillId="0" borderId="135" xfId="4" applyBorder="1" applyAlignment="1" applyProtection="1">
      <alignment horizontal="left" vertical="center"/>
      <protection locked="0"/>
    </xf>
    <xf numFmtId="0" fontId="4" fillId="0" borderId="27" xfId="4" applyBorder="1" applyAlignment="1" applyProtection="1">
      <alignment horizontal="left" vertical="center"/>
      <protection locked="0"/>
    </xf>
    <xf numFmtId="0" fontId="3" fillId="2" borderId="67" xfId="0" applyFont="1" applyFill="1" applyBorder="1" applyAlignment="1">
      <alignment horizontal="left"/>
    </xf>
    <xf numFmtId="0" fontId="3" fillId="2" borderId="68" xfId="0" applyFont="1" applyFill="1" applyBorder="1" applyAlignment="1">
      <alignment horizontal="left"/>
    </xf>
    <xf numFmtId="3" fontId="0" fillId="0" borderId="8" xfId="0" applyNumberFormat="1" applyBorder="1" applyAlignment="1" applyProtection="1">
      <alignment horizontal="center"/>
      <protection locked="0"/>
    </xf>
    <xf numFmtId="0" fontId="4" fillId="0" borderId="28" xfId="4" applyBorder="1" applyAlignment="1" applyProtection="1">
      <alignment horizontal="center" vertical="center"/>
      <protection locked="0"/>
    </xf>
    <xf numFmtId="0" fontId="4" fillId="0" borderId="29" xfId="4" applyBorder="1" applyAlignment="1" applyProtection="1">
      <alignment horizontal="center" vertical="center"/>
      <protection locked="0"/>
    </xf>
    <xf numFmtId="169" fontId="0" fillId="0" borderId="16" xfId="0" applyNumberFormat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37" xfId="0" applyBorder="1" applyAlignment="1" applyProtection="1">
      <alignment horizontal="center"/>
      <protection locked="0"/>
    </xf>
    <xf numFmtId="164" fontId="26" fillId="0" borderId="148" xfId="1" applyNumberFormat="1" applyFont="1" applyBorder="1" applyAlignment="1">
      <alignment horizontal="right"/>
    </xf>
    <xf numFmtId="39" fontId="26" fillId="0" borderId="148" xfId="1" applyNumberFormat="1" applyFont="1" applyBorder="1" applyAlignment="1">
      <alignment horizontal="right"/>
    </xf>
    <xf numFmtId="164" fontId="26" fillId="0" borderId="148" xfId="0" applyNumberFormat="1" applyFont="1" applyBorder="1" applyAlignment="1">
      <alignment horizontal="right"/>
    </xf>
    <xf numFmtId="164" fontId="45" fillId="6" borderId="141" xfId="1" applyNumberFormat="1" applyFont="1" applyFill="1" applyBorder="1" applyAlignment="1">
      <alignment vertical="center"/>
    </xf>
    <xf numFmtId="164" fontId="45" fillId="6" borderId="142" xfId="1" applyNumberFormat="1" applyFont="1" applyFill="1" applyBorder="1" applyAlignment="1">
      <alignment horizontal="left" vertical="center" wrapText="1"/>
    </xf>
    <xf numFmtId="43" fontId="45" fillId="6" borderId="142" xfId="1" applyFont="1" applyFill="1" applyBorder="1" applyAlignment="1">
      <alignment horizontal="center" vertical="center" wrapText="1"/>
    </xf>
    <xf numFmtId="172" fontId="43" fillId="0" borderId="149" xfId="0" applyNumberFormat="1" applyFont="1" applyBorder="1" applyAlignment="1">
      <alignment horizontal="center" vertical="top"/>
    </xf>
    <xf numFmtId="0" fontId="43" fillId="0" borderId="149" xfId="0" applyFont="1" applyBorder="1" applyAlignment="1">
      <alignment horizontal="center" vertical="top" wrapText="1"/>
    </xf>
    <xf numFmtId="166" fontId="43" fillId="0" borderId="149" xfId="2" applyNumberFormat="1" applyFont="1" applyFill="1" applyBorder="1" applyAlignment="1">
      <alignment horizontal="center" vertical="top"/>
    </xf>
    <xf numFmtId="172" fontId="25" fillId="0" borderId="149" xfId="0" applyNumberFormat="1" applyFont="1" applyBorder="1" applyAlignment="1">
      <alignment horizontal="center" vertical="top"/>
    </xf>
    <xf numFmtId="0" fontId="25" fillId="0" borderId="149" xfId="0" applyFont="1" applyBorder="1" applyAlignment="1">
      <alignment horizontal="left" vertical="top" wrapText="1"/>
    </xf>
    <xf numFmtId="166" fontId="25" fillId="0" borderId="149" xfId="2" applyNumberFormat="1" applyFont="1" applyFill="1" applyBorder="1" applyAlignment="1">
      <alignment horizontal="center" vertical="top"/>
    </xf>
    <xf numFmtId="166" fontId="25" fillId="0" borderId="149" xfId="2" applyNumberFormat="1" applyFont="1" applyFill="1" applyBorder="1" applyAlignment="1">
      <alignment horizontal="left" vertical="top"/>
    </xf>
    <xf numFmtId="0" fontId="28" fillId="12" borderId="150" xfId="0" applyFont="1" applyFill="1" applyBorder="1"/>
    <xf numFmtId="0" fontId="28" fillId="12" borderId="148" xfId="0" applyFont="1" applyFill="1" applyBorder="1"/>
    <xf numFmtId="0" fontId="28" fillId="12" borderId="148" xfId="0" applyFont="1" applyFill="1" applyBorder="1" applyAlignment="1">
      <alignment horizontal="left"/>
    </xf>
    <xf numFmtId="0" fontId="24" fillId="7" borderId="141" xfId="0" applyFont="1" applyFill="1" applyBorder="1" applyAlignment="1">
      <alignment horizontal="center" vertical="center"/>
    </xf>
    <xf numFmtId="0" fontId="2" fillId="7" borderId="15" xfId="0" applyFont="1" applyFill="1" applyBorder="1" applyAlignment="1"/>
    <xf numFmtId="0" fontId="2" fillId="7" borderId="142" xfId="0" applyFont="1" applyFill="1" applyBorder="1" applyAlignment="1"/>
    <xf numFmtId="0" fontId="2" fillId="7" borderId="40" xfId="0" applyFont="1" applyFill="1" applyBorder="1" applyAlignment="1"/>
    <xf numFmtId="0" fontId="2" fillId="7" borderId="22" xfId="0" applyFont="1" applyFill="1" applyBorder="1" applyAlignment="1"/>
    <xf numFmtId="0" fontId="2" fillId="7" borderId="41" xfId="0" applyFont="1" applyFill="1" applyBorder="1" applyAlignment="1"/>
    <xf numFmtId="0" fontId="3" fillId="14" borderId="141" xfId="0" applyFont="1" applyFill="1" applyBorder="1" applyAlignment="1">
      <alignment horizontal="center" vertical="center"/>
    </xf>
    <xf numFmtId="0" fontId="3" fillId="14" borderId="142" xfId="0" applyFont="1" applyFill="1" applyBorder="1" applyAlignment="1">
      <alignment horizontal="center" vertical="center"/>
    </xf>
    <xf numFmtId="167" fontId="3" fillId="14" borderId="151" xfId="2" applyNumberFormat="1" applyFont="1" applyFill="1" applyBorder="1" applyAlignment="1">
      <alignment horizontal="center" vertical="center"/>
    </xf>
    <xf numFmtId="167" fontId="3" fillId="14" borderId="152" xfId="2" applyNumberFormat="1" applyFont="1" applyFill="1" applyBorder="1" applyAlignment="1">
      <alignment horizontal="center" vertical="center"/>
    </xf>
    <xf numFmtId="167" fontId="3" fillId="14" borderId="153" xfId="2" applyNumberFormat="1" applyFont="1" applyFill="1" applyBorder="1" applyAlignment="1">
      <alignment horizontal="center" vertical="center"/>
    </xf>
    <xf numFmtId="167" fontId="3" fillId="14" borderId="152" xfId="2" applyNumberFormat="1" applyFont="1" applyFill="1" applyBorder="1" applyAlignment="1">
      <alignment horizontal="center" vertical="center"/>
    </xf>
    <xf numFmtId="167" fontId="3" fillId="14" borderId="143" xfId="2" applyNumberFormat="1" applyFont="1" applyFill="1" applyBorder="1" applyAlignment="1">
      <alignment horizontal="center" vertical="center" wrapText="1"/>
    </xf>
    <xf numFmtId="167" fontId="3" fillId="14" borderId="143" xfId="2" applyNumberFormat="1" applyFont="1" applyFill="1" applyBorder="1" applyAlignment="1">
      <alignment horizontal="center" vertical="center"/>
    </xf>
    <xf numFmtId="0" fontId="43" fillId="23" borderId="143" xfId="0" applyFont="1" applyFill="1" applyBorder="1" applyAlignment="1">
      <alignment horizontal="center" vertical="top" wrapText="1"/>
    </xf>
    <xf numFmtId="0" fontId="3" fillId="14" borderId="143" xfId="0" applyFont="1" applyFill="1" applyBorder="1" applyAlignment="1">
      <alignment horizontal="center" vertical="top" wrapText="1"/>
    </xf>
    <xf numFmtId="0" fontId="3" fillId="14" borderId="143" xfId="0" applyFont="1" applyFill="1" applyBorder="1" applyAlignment="1">
      <alignment horizontal="center" vertical="center"/>
    </xf>
    <xf numFmtId="0" fontId="0" fillId="0" borderId="154" xfId="0" applyBorder="1" applyAlignment="1">
      <alignment horizontal="center"/>
    </xf>
    <xf numFmtId="0" fontId="0" fillId="0" borderId="155" xfId="0" applyBorder="1" applyAlignment="1">
      <alignment horizontal="center"/>
    </xf>
    <xf numFmtId="0" fontId="0" fillId="0" borderId="156" xfId="0" applyBorder="1"/>
    <xf numFmtId="174" fontId="0" fillId="0" borderId="157" xfId="1" applyNumberFormat="1" applyFont="1" applyFill="1" applyBorder="1"/>
    <xf numFmtId="167" fontId="3" fillId="0" borderId="155" xfId="2" applyNumberFormat="1" applyFont="1" applyFill="1" applyBorder="1"/>
    <xf numFmtId="167" fontId="3" fillId="0" borderId="153" xfId="2" applyNumberFormat="1" applyFont="1" applyFill="1" applyBorder="1"/>
    <xf numFmtId="167" fontId="0" fillId="0" borderId="156" xfId="2" applyNumberFormat="1" applyFont="1" applyFill="1" applyBorder="1"/>
    <xf numFmtId="44" fontId="25" fillId="0" borderId="156" xfId="0" applyNumberFormat="1" applyFont="1" applyBorder="1" applyAlignment="1">
      <alignment wrapText="1"/>
    </xf>
    <xf numFmtId="44" fontId="0" fillId="0" borderId="153" xfId="2" applyFont="1" applyFill="1" applyBorder="1"/>
    <xf numFmtId="0" fontId="0" fillId="0" borderId="157" xfId="0" applyBorder="1" applyAlignment="1">
      <alignment horizontal="center"/>
    </xf>
    <xf numFmtId="0" fontId="0" fillId="0" borderId="158" xfId="0" applyBorder="1" applyAlignment="1">
      <alignment horizontal="center"/>
    </xf>
    <xf numFmtId="44" fontId="0" fillId="0" borderId="156" xfId="2" applyFont="1" applyFill="1" applyBorder="1"/>
    <xf numFmtId="167" fontId="3" fillId="0" borderId="158" xfId="2" applyNumberFormat="1" applyFont="1" applyFill="1" applyBorder="1"/>
    <xf numFmtId="167" fontId="3" fillId="0" borderId="156" xfId="2" applyNumberFormat="1" applyFont="1" applyFill="1" applyBorder="1"/>
    <xf numFmtId="167" fontId="0" fillId="0" borderId="157" xfId="2" applyNumberFormat="1" applyFont="1" applyFill="1" applyBorder="1"/>
    <xf numFmtId="0" fontId="0" fillId="0" borderId="153" xfId="0" applyBorder="1"/>
    <xf numFmtId="174" fontId="0" fillId="0" borderId="154" xfId="1" applyNumberFormat="1" applyFont="1" applyBorder="1"/>
    <xf numFmtId="167" fontId="0" fillId="0" borderId="154" xfId="2" applyNumberFormat="1" applyFont="1" applyBorder="1"/>
    <xf numFmtId="167" fontId="3" fillId="0" borderId="155" xfId="2" applyNumberFormat="1" applyFont="1" applyBorder="1"/>
    <xf numFmtId="167" fontId="3" fillId="0" borderId="153" xfId="2" applyNumberFormat="1" applyFont="1" applyBorder="1"/>
    <xf numFmtId="9" fontId="0" fillId="0" borderId="152" xfId="3" applyFont="1" applyBorder="1" applyAlignment="1">
      <alignment horizontal="left"/>
    </xf>
    <xf numFmtId="167" fontId="0" fillId="0" borderId="156" xfId="2" applyNumberFormat="1" applyFont="1" applyBorder="1"/>
    <xf numFmtId="44" fontId="0" fillId="0" borderId="153" xfId="0" applyNumberFormat="1" applyBorder="1"/>
    <xf numFmtId="174" fontId="0" fillId="0" borderId="157" xfId="1" applyNumberFormat="1" applyFont="1" applyBorder="1"/>
    <xf numFmtId="167" fontId="3" fillId="0" borderId="158" xfId="2" applyNumberFormat="1" applyFont="1" applyBorder="1"/>
    <xf numFmtId="167" fontId="3" fillId="0" borderId="156" xfId="2" applyNumberFormat="1" applyFont="1" applyBorder="1"/>
    <xf numFmtId="167" fontId="0" fillId="0" borderId="157" xfId="2" applyNumberFormat="1" applyFont="1" applyBorder="1"/>
    <xf numFmtId="167" fontId="3" fillId="3" borderId="143" xfId="2" applyNumberFormat="1" applyFont="1" applyFill="1" applyBorder="1" applyAlignment="1">
      <alignment horizontal="center"/>
    </xf>
    <xf numFmtId="10" fontId="0" fillId="0" borderId="157" xfId="3" applyNumberFormat="1" applyFont="1" applyBorder="1"/>
    <xf numFmtId="167" fontId="0" fillId="5" borderId="157" xfId="2" applyNumberFormat="1" applyFont="1" applyFill="1" applyBorder="1"/>
    <xf numFmtId="174" fontId="0" fillId="7" borderId="157" xfId="1" applyNumberFormat="1" applyFont="1" applyFill="1" applyBorder="1"/>
    <xf numFmtId="167" fontId="0" fillId="0" borderId="153" xfId="2" applyNumberFormat="1" applyFont="1" applyBorder="1"/>
    <xf numFmtId="167" fontId="0" fillId="7" borderId="156" xfId="2" applyNumberFormat="1" applyFont="1" applyFill="1" applyBorder="1"/>
    <xf numFmtId="167" fontId="51" fillId="0" borderId="157" xfId="2" applyNumberFormat="1" applyFont="1" applyBorder="1"/>
    <xf numFmtId="0" fontId="0" fillId="0" borderId="143" xfId="0" applyBorder="1"/>
    <xf numFmtId="167" fontId="3" fillId="0" borderId="143" xfId="2" applyNumberFormat="1" applyFont="1" applyBorder="1"/>
    <xf numFmtId="167" fontId="0" fillId="7" borderId="143" xfId="2" applyNumberFormat="1" applyFont="1" applyFill="1" applyBorder="1"/>
    <xf numFmtId="174" fontId="0" fillId="0" borderId="157" xfId="1" applyNumberFormat="1" applyFont="1" applyFill="1" applyBorder="1" applyAlignment="1">
      <alignment vertical="top"/>
    </xf>
    <xf numFmtId="167" fontId="3" fillId="0" borderId="158" xfId="2" applyNumberFormat="1" applyFont="1" applyFill="1" applyBorder="1" applyAlignment="1">
      <alignment vertical="top"/>
    </xf>
    <xf numFmtId="167" fontId="3" fillId="0" borderId="156" xfId="2" applyNumberFormat="1" applyFont="1" applyFill="1" applyBorder="1" applyAlignment="1">
      <alignment vertical="top"/>
    </xf>
    <xf numFmtId="174" fontId="0" fillId="0" borderId="157" xfId="1" applyNumberFormat="1" applyFont="1" applyBorder="1" applyAlignment="1">
      <alignment vertical="top"/>
    </xf>
    <xf numFmtId="176" fontId="3" fillId="0" borderId="158" xfId="2" applyNumberFormat="1" applyFont="1" applyFill="1" applyBorder="1" applyAlignment="1">
      <alignment vertical="top"/>
    </xf>
    <xf numFmtId="167" fontId="0" fillId="3" borderId="159" xfId="2" applyNumberFormat="1" applyFont="1" applyFill="1" applyBorder="1" applyAlignment="1">
      <alignment horizontal="center"/>
    </xf>
    <xf numFmtId="174" fontId="0" fillId="7" borderId="154" xfId="1" applyNumberFormat="1" applyFont="1" applyFill="1" applyBorder="1"/>
    <xf numFmtId="167" fontId="0" fillId="7" borderId="153" xfId="2" applyNumberFormat="1" applyFont="1" applyFill="1" applyBorder="1"/>
    <xf numFmtId="44" fontId="1" fillId="0" borderId="149" xfId="2" applyFont="1" applyBorder="1" applyAlignment="1">
      <alignment horizontal="center" wrapText="1"/>
    </xf>
    <xf numFmtId="44" fontId="0" fillId="0" borderId="145" xfId="2" applyFont="1" applyBorder="1" applyAlignment="1" applyProtection="1">
      <alignment horizontal="right"/>
      <protection locked="0"/>
    </xf>
    <xf numFmtId="0" fontId="0" fillId="0" borderId="160" xfId="0" applyBorder="1" applyAlignment="1">
      <alignment vertical="top"/>
    </xf>
    <xf numFmtId="3" fontId="0" fillId="0" borderId="147" xfId="0" applyNumberFormat="1" applyBorder="1" applyAlignment="1" applyProtection="1">
      <alignment horizontal="left"/>
      <protection locked="0"/>
    </xf>
    <xf numFmtId="0" fontId="0" fillId="0" borderId="147" xfId="0" applyBorder="1" applyProtection="1">
      <protection locked="0"/>
    </xf>
    <xf numFmtId="0" fontId="0" fillId="0" borderId="161" xfId="0" applyBorder="1" applyAlignment="1">
      <alignment vertical="top"/>
    </xf>
    <xf numFmtId="0" fontId="6" fillId="0" borderId="162" xfId="0" applyFont="1" applyBorder="1" applyAlignment="1">
      <alignment vertical="center"/>
    </xf>
    <xf numFmtId="0" fontId="6" fillId="0" borderId="163" xfId="0" applyFont="1" applyBorder="1" applyAlignment="1">
      <alignment vertical="center"/>
    </xf>
    <xf numFmtId="0" fontId="6" fillId="0" borderId="163" xfId="0" quotePrefix="1" applyFont="1" applyBorder="1"/>
    <xf numFmtId="0" fontId="6" fillId="17" borderId="163" xfId="0" applyFont="1" applyFill="1" applyBorder="1" applyAlignment="1">
      <alignment horizontal="center"/>
    </xf>
    <xf numFmtId="0" fontId="6" fillId="19" borderId="163" xfId="0" applyFont="1" applyFill="1" applyBorder="1" applyAlignment="1">
      <alignment horizontal="left"/>
    </xf>
    <xf numFmtId="44" fontId="0" fillId="19" borderId="147" xfId="2" applyFont="1" applyFill="1" applyBorder="1" applyAlignment="1" applyProtection="1">
      <alignment horizontal="left"/>
      <protection locked="0"/>
    </xf>
    <xf numFmtId="44" fontId="0" fillId="19" borderId="147" xfId="2" applyFont="1" applyFill="1" applyBorder="1" applyProtection="1">
      <protection locked="0"/>
    </xf>
    <xf numFmtId="0" fontId="6" fillId="7" borderId="163" xfId="0" applyFont="1" applyFill="1" applyBorder="1" applyAlignment="1">
      <alignment horizontal="left"/>
    </xf>
    <xf numFmtId="44" fontId="0" fillId="0" borderId="147" xfId="2" applyFont="1" applyBorder="1" applyAlignment="1" applyProtection="1">
      <alignment horizontal="left"/>
      <protection locked="0"/>
    </xf>
    <xf numFmtId="44" fontId="0" fillId="0" borderId="147" xfId="2" applyFont="1" applyBorder="1" applyProtection="1">
      <protection locked="0"/>
    </xf>
    <xf numFmtId="0" fontId="0" fillId="0" borderId="161" xfId="0" applyBorder="1"/>
    <xf numFmtId="0" fontId="0" fillId="0" borderId="149" xfId="0" applyBorder="1" applyProtection="1">
      <protection locked="0"/>
    </xf>
    <xf numFmtId="43" fontId="0" fillId="0" borderId="149" xfId="1" applyFont="1" applyBorder="1" applyAlignment="1" applyProtection="1">
      <alignment horizontal="center"/>
      <protection locked="0"/>
    </xf>
    <xf numFmtId="0" fontId="0" fillId="0" borderId="164" xfId="0" applyBorder="1" applyProtection="1">
      <protection locked="0"/>
    </xf>
    <xf numFmtId="165" fontId="0" fillId="0" borderId="165" xfId="0" applyNumberFormat="1" applyBorder="1" applyProtection="1">
      <protection locked="0"/>
    </xf>
    <xf numFmtId="0" fontId="0" fillId="0" borderId="161" xfId="0" applyBorder="1" applyProtection="1">
      <protection locked="0"/>
    </xf>
    <xf numFmtId="0" fontId="0" fillId="0" borderId="149" xfId="0" applyBorder="1" applyAlignment="1" applyProtection="1">
      <alignment wrapText="1"/>
      <protection locked="0"/>
    </xf>
    <xf numFmtId="0" fontId="0" fillId="0" borderId="149" xfId="0" applyBorder="1" applyAlignment="1">
      <alignment wrapText="1"/>
    </xf>
    <xf numFmtId="0" fontId="0" fillId="0" borderId="165" xfId="0" applyBorder="1" applyProtection="1">
      <protection locked="0"/>
    </xf>
    <xf numFmtId="44" fontId="0" fillId="0" borderId="145" xfId="2" applyFont="1" applyBorder="1" applyAlignment="1" applyProtection="1">
      <alignment horizontal="center"/>
      <protection locked="0"/>
    </xf>
    <xf numFmtId="5" fontId="0" fillId="0" borderId="145" xfId="2" applyNumberFormat="1" applyFont="1" applyBorder="1" applyAlignment="1" applyProtection="1">
      <alignment horizontal="center"/>
      <protection locked="0"/>
    </xf>
    <xf numFmtId="167" fontId="0" fillId="0" borderId="147" xfId="2" applyNumberFormat="1" applyFont="1" applyBorder="1" applyProtection="1">
      <protection locked="0"/>
    </xf>
    <xf numFmtId="167" fontId="0" fillId="0" borderId="147" xfId="2" applyNumberFormat="1" applyFont="1" applyBorder="1" applyAlignment="1" applyProtection="1">
      <alignment horizontal="left"/>
      <protection locked="0"/>
    </xf>
    <xf numFmtId="167" fontId="0" fillId="19" borderId="147" xfId="2" applyNumberFormat="1" applyFont="1" applyFill="1" applyBorder="1" applyProtection="1">
      <protection locked="0"/>
    </xf>
    <xf numFmtId="0" fontId="47" fillId="7" borderId="166" xfId="0" applyFont="1" applyFill="1" applyBorder="1" applyAlignment="1">
      <alignment horizontal="left"/>
    </xf>
    <xf numFmtId="0" fontId="0" fillId="0" borderId="167" xfId="0" applyBorder="1" applyProtection="1">
      <protection locked="0"/>
    </xf>
    <xf numFmtId="43" fontId="0" fillId="0" borderId="168" xfId="1" applyFont="1" applyBorder="1" applyProtection="1">
      <protection locked="0"/>
    </xf>
    <xf numFmtId="0" fontId="0" fillId="0" borderId="168" xfId="0" applyBorder="1" applyAlignment="1" applyProtection="1">
      <alignment horizontal="center"/>
      <protection locked="0"/>
    </xf>
    <xf numFmtId="165" fontId="0" fillId="0" borderId="168" xfId="0" applyNumberFormat="1" applyBorder="1" applyProtection="1">
      <protection locked="0"/>
    </xf>
    <xf numFmtId="44" fontId="6" fillId="0" borderId="169" xfId="2" applyFont="1" applyBorder="1" applyAlignment="1">
      <alignment horizontal="center" vertical="center"/>
    </xf>
    <xf numFmtId="0" fontId="0" fillId="0" borderId="170" xfId="0" applyBorder="1" applyAlignment="1">
      <alignment vertical="top"/>
    </xf>
    <xf numFmtId="0" fontId="6" fillId="18" borderId="171" xfId="0" applyFont="1" applyFill="1" applyBorder="1" applyAlignment="1">
      <alignment vertical="center" wrapText="1"/>
    </xf>
    <xf numFmtId="0" fontId="0" fillId="0" borderId="168" xfId="0" applyBorder="1" applyProtection="1">
      <protection locked="0"/>
    </xf>
    <xf numFmtId="0" fontId="6" fillId="18" borderId="172" xfId="0" applyFont="1" applyFill="1" applyBorder="1" applyAlignment="1">
      <alignment vertical="center" wrapText="1"/>
    </xf>
    <xf numFmtId="0" fontId="6" fillId="0" borderId="172" xfId="0" applyFont="1" applyBorder="1" applyAlignment="1">
      <alignment vertical="center" wrapText="1"/>
    </xf>
    <xf numFmtId="43" fontId="6" fillId="0" borderId="168" xfId="1" applyFont="1" applyBorder="1" applyAlignment="1">
      <alignment horizontal="left" vertical="center" wrapText="1"/>
    </xf>
    <xf numFmtId="0" fontId="6" fillId="0" borderId="168" xfId="0" applyFont="1" applyBorder="1" applyAlignment="1">
      <alignment horizontal="left" vertical="center" wrapText="1"/>
    </xf>
    <xf numFmtId="44" fontId="0" fillId="0" borderId="168" xfId="2" applyFont="1" applyBorder="1" applyProtection="1">
      <protection locked="0"/>
    </xf>
    <xf numFmtId="0" fontId="6" fillId="18" borderId="171" xfId="0" applyFont="1" applyFill="1" applyBorder="1" applyAlignment="1">
      <alignment horizontal="left" vertical="center" wrapText="1" indent="2"/>
    </xf>
    <xf numFmtId="0" fontId="47" fillId="18" borderId="171" xfId="0" applyFont="1" applyFill="1" applyBorder="1" applyAlignment="1">
      <alignment vertical="center" wrapText="1"/>
    </xf>
    <xf numFmtId="0" fontId="6" fillId="18" borderId="171" xfId="0" applyFont="1" applyFill="1" applyBorder="1" applyAlignment="1">
      <alignment horizontal="left" vertical="center" wrapText="1"/>
    </xf>
    <xf numFmtId="0" fontId="0" fillId="4" borderId="170" xfId="0" applyFill="1" applyBorder="1"/>
    <xf numFmtId="0" fontId="0" fillId="4" borderId="168" xfId="0" applyFill="1" applyBorder="1" applyAlignment="1">
      <alignment horizontal="right" wrapText="1"/>
    </xf>
    <xf numFmtId="0" fontId="0" fillId="4" borderId="168" xfId="0" applyFill="1" applyBorder="1" applyProtection="1">
      <protection locked="0"/>
    </xf>
    <xf numFmtId="43" fontId="0" fillId="4" borderId="168" xfId="1" applyFont="1" applyFill="1" applyBorder="1" applyProtection="1">
      <protection locked="0"/>
    </xf>
    <xf numFmtId="0" fontId="0" fillId="4" borderId="168" xfId="0" applyFill="1" applyBorder="1" applyAlignment="1" applyProtection="1">
      <alignment horizontal="center" vertical="center"/>
      <protection locked="0"/>
    </xf>
    <xf numFmtId="0" fontId="0" fillId="4" borderId="168" xfId="0" applyFill="1" applyBorder="1" applyAlignment="1" applyProtection="1">
      <alignment horizontal="right" vertical="center"/>
      <protection locked="0"/>
    </xf>
    <xf numFmtId="167" fontId="0" fillId="4" borderId="173" xfId="2" applyNumberFormat="1" applyFont="1" applyFill="1" applyBorder="1" applyAlignment="1" applyProtection="1">
      <alignment horizontal="right"/>
      <protection locked="0"/>
    </xf>
    <xf numFmtId="9" fontId="0" fillId="4" borderId="169" xfId="3" applyFont="1" applyFill="1" applyBorder="1" applyProtection="1">
      <protection locked="0"/>
    </xf>
    <xf numFmtId="167" fontId="0" fillId="4" borderId="174" xfId="2" applyNumberFormat="1" applyFont="1" applyFill="1" applyBorder="1" applyAlignment="1" applyProtection="1">
      <alignment horizontal="left"/>
      <protection locked="0"/>
    </xf>
    <xf numFmtId="44" fontId="0" fillId="4" borderId="174" xfId="2" applyFont="1" applyFill="1" applyBorder="1" applyAlignment="1" applyProtection="1">
      <alignment horizontal="left"/>
      <protection locked="0"/>
    </xf>
    <xf numFmtId="44" fontId="0" fillId="4" borderId="169" xfId="2" applyFont="1" applyFill="1" applyBorder="1" applyProtection="1">
      <protection locked="0"/>
    </xf>
    <xf numFmtId="167" fontId="0" fillId="4" borderId="169" xfId="2" applyNumberFormat="1" applyFont="1" applyFill="1" applyBorder="1" applyAlignment="1" applyProtection="1">
      <alignment horizontal="left"/>
      <protection locked="0"/>
    </xf>
    <xf numFmtId="44" fontId="0" fillId="4" borderId="169" xfId="2" applyFont="1" applyFill="1" applyBorder="1" applyAlignment="1" applyProtection="1">
      <alignment horizontal="left"/>
      <protection locked="0"/>
    </xf>
    <xf numFmtId="44" fontId="0" fillId="4" borderId="169" xfId="0" applyNumberFormat="1" applyFill="1" applyBorder="1" applyProtection="1">
      <protection locked="0"/>
    </xf>
    <xf numFmtId="0" fontId="8" fillId="4" borderId="168" xfId="0" applyFont="1" applyFill="1" applyBorder="1" applyAlignment="1" applyProtection="1">
      <alignment horizontal="right" vertical="center"/>
      <protection locked="0"/>
    </xf>
    <xf numFmtId="167" fontId="8" fillId="4" borderId="173" xfId="2" applyNumberFormat="1" applyFont="1" applyFill="1" applyBorder="1" applyAlignment="1" applyProtection="1">
      <alignment horizontal="right"/>
      <protection locked="0"/>
    </xf>
    <xf numFmtId="165" fontId="9" fillId="4" borderId="169" xfId="0" applyNumberFormat="1" applyFont="1" applyFill="1" applyBorder="1" applyAlignment="1" applyProtection="1">
      <alignment horizontal="center"/>
      <protection locked="0"/>
    </xf>
    <xf numFmtId="167" fontId="9" fillId="4" borderId="169" xfId="2" applyNumberFormat="1" applyFont="1" applyFill="1" applyBorder="1" applyAlignment="1" applyProtection="1">
      <alignment horizontal="left"/>
      <protection locked="0"/>
    </xf>
    <xf numFmtId="44" fontId="9" fillId="4" borderId="169" xfId="2" applyFont="1" applyFill="1" applyBorder="1" applyAlignment="1" applyProtection="1">
      <alignment horizontal="left"/>
      <protection locked="0"/>
    </xf>
    <xf numFmtId="165" fontId="9" fillId="4" borderId="169" xfId="0" applyNumberFormat="1" applyFont="1" applyFill="1" applyBorder="1" applyAlignment="1" applyProtection="1">
      <alignment horizontal="left"/>
      <protection locked="0"/>
    </xf>
    <xf numFmtId="0" fontId="0" fillId="4" borderId="168" xfId="0" applyFill="1" applyBorder="1" applyAlignment="1">
      <alignment wrapText="1"/>
    </xf>
    <xf numFmtId="0" fontId="0" fillId="4" borderId="169" xfId="0" applyFill="1" applyBorder="1" applyAlignment="1" applyProtection="1">
      <alignment horizontal="center"/>
      <protection locked="0"/>
    </xf>
    <xf numFmtId="167" fontId="0" fillId="4" borderId="169" xfId="2" applyNumberFormat="1" applyFont="1" applyFill="1" applyBorder="1" applyAlignment="1" applyProtection="1">
      <alignment horizontal="center"/>
      <protection locked="0"/>
    </xf>
    <xf numFmtId="44" fontId="0" fillId="4" borderId="169" xfId="2" applyFont="1" applyFill="1" applyBorder="1" applyAlignment="1" applyProtection="1">
      <alignment horizontal="center"/>
      <protection locked="0"/>
    </xf>
    <xf numFmtId="0" fontId="0" fillId="0" borderId="168" xfId="0" applyBorder="1" applyAlignment="1">
      <alignment wrapText="1"/>
    </xf>
    <xf numFmtId="43" fontId="0" fillId="0" borderId="149" xfId="1" applyFont="1" applyBorder="1" applyProtection="1">
      <protection locked="0"/>
    </xf>
    <xf numFmtId="0" fontId="0" fillId="0" borderId="149" xfId="0" applyBorder="1" applyAlignment="1" applyProtection="1">
      <alignment horizontal="center"/>
      <protection locked="0"/>
    </xf>
    <xf numFmtId="167" fontId="0" fillId="0" borderId="164" xfId="2" applyNumberFormat="1" applyFont="1" applyBorder="1" applyProtection="1">
      <protection locked="0"/>
    </xf>
    <xf numFmtId="167" fontId="0" fillId="0" borderId="165" xfId="2" applyNumberFormat="1" applyFont="1" applyBorder="1" applyProtection="1">
      <protection locked="0"/>
    </xf>
    <xf numFmtId="0" fontId="0" fillId="0" borderId="170" xfId="0" applyBorder="1"/>
    <xf numFmtId="167" fontId="0" fillId="0" borderId="175" xfId="2" applyNumberFormat="1" applyFont="1" applyBorder="1" applyProtection="1">
      <protection locked="0"/>
    </xf>
    <xf numFmtId="165" fontId="0" fillId="0" borderId="169" xfId="0" applyNumberFormat="1" applyBorder="1" applyAlignment="1" applyProtection="1">
      <alignment horizontal="right"/>
      <protection locked="0"/>
    </xf>
    <xf numFmtId="167" fontId="0" fillId="0" borderId="169" xfId="2" applyNumberFormat="1" applyFont="1" applyBorder="1" applyAlignment="1" applyProtection="1">
      <alignment horizontal="right"/>
      <protection locked="0"/>
    </xf>
    <xf numFmtId="0" fontId="0" fillId="0" borderId="170" xfId="0" applyBorder="1" applyProtection="1">
      <protection locked="0"/>
    </xf>
    <xf numFmtId="0" fontId="0" fillId="0" borderId="168" xfId="0" applyBorder="1" applyAlignment="1" applyProtection="1">
      <alignment wrapText="1"/>
      <protection locked="0"/>
    </xf>
    <xf numFmtId="44" fontId="0" fillId="0" borderId="169" xfId="0" applyNumberFormat="1" applyBorder="1" applyProtection="1">
      <protection locked="0"/>
    </xf>
    <xf numFmtId="167" fontId="0" fillId="0" borderId="169" xfId="2" applyNumberFormat="1" applyFont="1" applyBorder="1" applyProtection="1">
      <protection locked="0"/>
    </xf>
    <xf numFmtId="165" fontId="0" fillId="0" borderId="169" xfId="0" applyNumberFormat="1" applyBorder="1" applyProtection="1">
      <protection locked="0"/>
    </xf>
    <xf numFmtId="0" fontId="0" fillId="0" borderId="169" xfId="0" applyBorder="1" applyProtection="1">
      <protection locked="0"/>
    </xf>
    <xf numFmtId="0" fontId="0" fillId="0" borderId="176" xfId="0" applyBorder="1"/>
    <xf numFmtId="0" fontId="0" fillId="0" borderId="177" xfId="0" applyBorder="1" applyAlignment="1">
      <alignment wrapText="1"/>
    </xf>
    <xf numFmtId="0" fontId="0" fillId="0" borderId="177" xfId="0" applyBorder="1" applyProtection="1">
      <protection locked="0"/>
    </xf>
    <xf numFmtId="43" fontId="0" fillId="0" borderId="177" xfId="1" applyFont="1" applyBorder="1" applyProtection="1">
      <protection locked="0"/>
    </xf>
    <xf numFmtId="0" fontId="0" fillId="0" borderId="177" xfId="0" applyBorder="1" applyAlignment="1" applyProtection="1">
      <alignment horizontal="center"/>
      <protection locked="0"/>
    </xf>
    <xf numFmtId="167" fontId="0" fillId="0" borderId="178" xfId="2" applyNumberFormat="1" applyFont="1" applyBorder="1" applyProtection="1">
      <protection locked="0"/>
    </xf>
    <xf numFmtId="0" fontId="0" fillId="0" borderId="179" xfId="0" applyBorder="1" applyProtection="1">
      <protection locked="0"/>
    </xf>
    <xf numFmtId="167" fontId="0" fillId="0" borderId="179" xfId="2" applyNumberFormat="1" applyFont="1" applyBorder="1" applyProtection="1">
      <protection locked="0"/>
    </xf>
    <xf numFmtId="0" fontId="0" fillId="0" borderId="169" xfId="0" applyBorder="1" applyAlignment="1" applyProtection="1">
      <alignment horizontal="center"/>
      <protection locked="0"/>
    </xf>
    <xf numFmtId="0" fontId="3" fillId="0" borderId="180" xfId="0" applyFont="1" applyBorder="1" applyAlignment="1" applyProtection="1">
      <alignment horizontal="right"/>
      <protection locked="0"/>
    </xf>
    <xf numFmtId="0" fontId="3" fillId="0" borderId="169" xfId="0" applyFont="1" applyBorder="1" applyAlignment="1" applyProtection="1">
      <alignment horizontal="right"/>
      <protection locked="0"/>
    </xf>
    <xf numFmtId="169" fontId="0" fillId="0" borderId="169" xfId="0" applyNumberFormat="1" applyBorder="1" applyAlignment="1" applyProtection="1">
      <alignment horizontal="center"/>
      <protection locked="0"/>
    </xf>
    <xf numFmtId="0" fontId="4" fillId="0" borderId="169" xfId="4" applyBorder="1" applyAlignment="1" applyProtection="1">
      <alignment horizontal="center" vertical="center"/>
      <protection locked="0"/>
    </xf>
    <xf numFmtId="0" fontId="3" fillId="0" borderId="176" xfId="0" applyFont="1" applyBorder="1" applyAlignment="1" applyProtection="1">
      <alignment horizontal="right"/>
      <protection locked="0"/>
    </xf>
    <xf numFmtId="44" fontId="0" fillId="0" borderId="179" xfId="2" applyFont="1" applyBorder="1" applyAlignment="1" applyProtection="1">
      <alignment horizontal="center"/>
      <protection locked="0"/>
    </xf>
    <xf numFmtId="0" fontId="0" fillId="0" borderId="170" xfId="0" applyBorder="1" applyAlignment="1">
      <alignment horizontal="right"/>
    </xf>
    <xf numFmtId="0" fontId="0" fillId="0" borderId="180" xfId="0" applyBorder="1" applyAlignment="1" applyProtection="1">
      <alignment horizontal="left"/>
      <protection locked="0"/>
    </xf>
    <xf numFmtId="0" fontId="0" fillId="0" borderId="180" xfId="0" applyBorder="1" applyAlignment="1" applyProtection="1">
      <alignment horizontal="center"/>
      <protection locked="0"/>
    </xf>
    <xf numFmtId="0" fontId="0" fillId="0" borderId="168" xfId="0" applyBorder="1" applyAlignment="1">
      <alignment horizontal="left" wrapText="1"/>
    </xf>
    <xf numFmtId="0" fontId="0" fillId="0" borderId="175" xfId="0" applyBorder="1" applyAlignment="1" applyProtection="1">
      <alignment horizontal="right"/>
      <protection locked="0"/>
    </xf>
    <xf numFmtId="169" fontId="0" fillId="0" borderId="180" xfId="0" applyNumberFormat="1" applyBorder="1" applyAlignment="1" applyProtection="1">
      <alignment horizontal="left"/>
      <protection locked="0"/>
    </xf>
    <xf numFmtId="169" fontId="0" fillId="0" borderId="180" xfId="0" applyNumberFormat="1" applyBorder="1" applyAlignment="1" applyProtection="1">
      <alignment horizontal="center"/>
      <protection locked="0"/>
    </xf>
    <xf numFmtId="14" fontId="0" fillId="0" borderId="168" xfId="0" applyNumberFormat="1" applyBorder="1" applyAlignment="1">
      <alignment horizontal="left" wrapText="1"/>
    </xf>
    <xf numFmtId="0" fontId="4" fillId="0" borderId="180" xfId="4" applyBorder="1" applyAlignment="1" applyProtection="1">
      <alignment horizontal="left" vertical="center"/>
      <protection locked="0"/>
    </xf>
    <xf numFmtId="0" fontId="4" fillId="0" borderId="180" xfId="4" applyBorder="1" applyAlignment="1" applyProtection="1">
      <alignment horizontal="center" vertical="center"/>
      <protection locked="0"/>
    </xf>
    <xf numFmtId="0" fontId="6" fillId="0" borderId="176" xfId="0" applyFont="1" applyBorder="1" applyAlignment="1" applyProtection="1">
      <alignment horizontal="right"/>
      <protection locked="0"/>
    </xf>
    <xf numFmtId="0" fontId="6" fillId="0" borderId="178" xfId="0" applyFont="1" applyBorder="1" applyAlignment="1" applyProtection="1">
      <alignment horizontal="right"/>
      <protection locked="0"/>
    </xf>
    <xf numFmtId="44" fontId="0" fillId="0" borderId="181" xfId="2" applyFont="1" applyBorder="1" applyAlignment="1" applyProtection="1">
      <alignment horizontal="center"/>
      <protection locked="0"/>
    </xf>
    <xf numFmtId="44" fontId="0" fillId="0" borderId="182" xfId="2" applyFont="1" applyBorder="1" applyAlignment="1" applyProtection="1">
      <alignment horizontal="center"/>
      <protection locked="0"/>
    </xf>
    <xf numFmtId="44" fontId="0" fillId="0" borderId="179" xfId="2" applyFont="1" applyBorder="1" applyAlignment="1" applyProtection="1">
      <alignment horizontal="center"/>
      <protection locked="0"/>
    </xf>
    <xf numFmtId="5" fontId="0" fillId="0" borderId="179" xfId="2" applyNumberFormat="1" applyFont="1" applyBorder="1" applyAlignment="1" applyProtection="1">
      <alignment horizontal="center"/>
      <protection locked="0"/>
    </xf>
    <xf numFmtId="0" fontId="0" fillId="19" borderId="168" xfId="0" applyFill="1" applyBorder="1" applyProtection="1">
      <protection locked="0"/>
    </xf>
    <xf numFmtId="43" fontId="0" fillId="19" borderId="168" xfId="1" applyFont="1" applyFill="1" applyBorder="1" applyProtection="1">
      <protection locked="0"/>
    </xf>
    <xf numFmtId="0" fontId="0" fillId="19" borderId="168" xfId="0" applyFill="1" applyBorder="1" applyAlignment="1" applyProtection="1">
      <alignment horizontal="center"/>
      <protection locked="0"/>
    </xf>
    <xf numFmtId="165" fontId="0" fillId="19" borderId="168" xfId="0" applyNumberFormat="1" applyFill="1" applyBorder="1" applyProtection="1">
      <protection locked="0"/>
    </xf>
    <xf numFmtId="0" fontId="0" fillId="19" borderId="169" xfId="0" applyFill="1" applyBorder="1" applyProtection="1">
      <protection locked="0"/>
    </xf>
    <xf numFmtId="44" fontId="0" fillId="4" borderId="66" xfId="2" applyFont="1" applyFill="1" applyBorder="1" applyAlignment="1" applyProtection="1">
      <alignment horizontal="right"/>
      <protection locked="0"/>
    </xf>
    <xf numFmtId="164" fontId="8" fillId="4" borderId="66" xfId="1" applyNumberFormat="1" applyFont="1" applyFill="1" applyBorder="1" applyAlignment="1" applyProtection="1">
      <alignment horizontal="right"/>
      <protection locked="0"/>
    </xf>
    <xf numFmtId="0" fontId="0" fillId="0" borderId="175" xfId="0" applyBorder="1" applyProtection="1">
      <protection locked="0"/>
    </xf>
    <xf numFmtId="0" fontId="0" fillId="0" borderId="178" xfId="0" applyBorder="1" applyProtection="1">
      <protection locked="0"/>
    </xf>
    <xf numFmtId="43" fontId="0" fillId="0" borderId="168" xfId="1" applyFont="1" applyBorder="1" applyAlignment="1" applyProtection="1">
      <alignment horizontal="center"/>
      <protection locked="0"/>
    </xf>
    <xf numFmtId="167" fontId="0" fillId="0" borderId="175" xfId="2" applyNumberFormat="1" applyFont="1" applyBorder="1" applyAlignment="1" applyProtection="1">
      <alignment horizontal="right"/>
      <protection locked="0"/>
    </xf>
    <xf numFmtId="167" fontId="6" fillId="0" borderId="178" xfId="2" applyNumberFormat="1" applyFont="1" applyBorder="1" applyAlignment="1" applyProtection="1">
      <alignment horizontal="right"/>
      <protection locked="0"/>
    </xf>
    <xf numFmtId="167" fontId="0" fillId="0" borderId="179" xfId="2" applyNumberFormat="1" applyFont="1" applyBorder="1" applyAlignment="1" applyProtection="1">
      <alignment horizontal="center"/>
      <protection locked="0"/>
    </xf>
    <xf numFmtId="43" fontId="0" fillId="19" borderId="168" xfId="1" applyFont="1" applyFill="1" applyBorder="1" applyAlignment="1" applyProtection="1">
      <alignment horizontal="center"/>
      <protection locked="0"/>
    </xf>
    <xf numFmtId="167" fontId="0" fillId="19" borderId="147" xfId="2" applyNumberFormat="1" applyFont="1" applyFill="1" applyBorder="1" applyAlignment="1" applyProtection="1">
      <alignment horizontal="left"/>
      <protection locked="0"/>
    </xf>
    <xf numFmtId="43" fontId="6" fillId="0" borderId="168" xfId="1" applyFont="1" applyBorder="1" applyAlignment="1">
      <alignment horizontal="center" vertical="center" wrapText="1"/>
    </xf>
    <xf numFmtId="43" fontId="0" fillId="4" borderId="168" xfId="1" applyFont="1" applyFill="1" applyBorder="1" applyAlignment="1" applyProtection="1">
      <alignment horizontal="center"/>
      <protection locked="0"/>
    </xf>
    <xf numFmtId="167" fontId="0" fillId="4" borderId="66" xfId="2" applyNumberFormat="1" applyFont="1" applyFill="1" applyBorder="1" applyAlignment="1" applyProtection="1">
      <alignment horizontal="right"/>
      <protection locked="0"/>
    </xf>
    <xf numFmtId="167" fontId="8" fillId="4" borderId="66" xfId="2" applyNumberFormat="1" applyFont="1" applyFill="1" applyBorder="1" applyAlignment="1" applyProtection="1">
      <alignment horizontal="right"/>
      <protection locked="0"/>
    </xf>
    <xf numFmtId="43" fontId="0" fillId="0" borderId="177" xfId="1" applyFont="1" applyBorder="1" applyAlignment="1" applyProtection="1">
      <alignment horizontal="center"/>
      <protection locked="0"/>
    </xf>
    <xf numFmtId="0" fontId="6" fillId="0" borderId="168" xfId="0" applyFont="1" applyBorder="1" applyAlignment="1">
      <alignment wrapText="1"/>
    </xf>
    <xf numFmtId="0" fontId="6" fillId="0" borderId="168" xfId="0" applyFont="1" applyBorder="1" applyAlignment="1">
      <alignment horizontal="left" wrapText="1"/>
    </xf>
    <xf numFmtId="0" fontId="6" fillId="7" borderId="163" xfId="0" applyFont="1" applyFill="1" applyBorder="1" applyAlignment="1">
      <alignment horizontal="left" indent="2"/>
    </xf>
    <xf numFmtId="0" fontId="6" fillId="7" borderId="163" xfId="0" applyFont="1" applyFill="1" applyBorder="1" applyAlignment="1">
      <alignment horizontal="left" vertical="center" wrapText="1" indent="2"/>
    </xf>
    <xf numFmtId="0" fontId="6" fillId="7" borderId="183" xfId="0" applyFont="1" applyFill="1" applyBorder="1" applyAlignment="1">
      <alignment horizontal="left" indent="2"/>
    </xf>
    <xf numFmtId="0" fontId="6" fillId="0" borderId="163" xfId="0" applyFont="1" applyBorder="1" applyAlignment="1">
      <alignment horizontal="left" indent="2"/>
    </xf>
    <xf numFmtId="43" fontId="6" fillId="0" borderId="131" xfId="1" applyFont="1" applyBorder="1" applyAlignment="1">
      <alignment horizontal="left" vertical="center" wrapText="1"/>
    </xf>
    <xf numFmtId="0" fontId="0" fillId="4" borderId="131" xfId="0" applyFill="1" applyBorder="1" applyAlignment="1">
      <alignment horizontal="right" wrapText="1"/>
    </xf>
    <xf numFmtId="43" fontId="0" fillId="4" borderId="131" xfId="1" applyFont="1" applyFill="1" applyBorder="1" applyProtection="1">
      <protection locked="0"/>
    </xf>
    <xf numFmtId="0" fontId="0" fillId="4" borderId="131" xfId="0" applyFill="1" applyBorder="1" applyAlignment="1" applyProtection="1">
      <alignment horizontal="center" vertical="center"/>
      <protection locked="0"/>
    </xf>
    <xf numFmtId="0" fontId="6" fillId="7" borderId="163" xfId="0" applyFont="1" applyFill="1" applyBorder="1" applyAlignment="1">
      <alignment vertical="center" wrapText="1"/>
    </xf>
    <xf numFmtId="0" fontId="6" fillId="7" borderId="184" xfId="0" applyFont="1" applyFill="1" applyBorder="1" applyAlignment="1">
      <alignment horizontal="left" indent="2"/>
    </xf>
    <xf numFmtId="0" fontId="6" fillId="0" borderId="163" xfId="0" applyFont="1" applyBorder="1"/>
    <xf numFmtId="0" fontId="6" fillId="18" borderId="185" xfId="0" applyFont="1" applyFill="1" applyBorder="1" applyAlignment="1">
      <alignment vertical="center" wrapText="1"/>
    </xf>
    <xf numFmtId="0" fontId="0" fillId="4" borderId="186" xfId="0" applyFill="1" applyBorder="1"/>
    <xf numFmtId="9" fontId="0" fillId="4" borderId="187" xfId="3" applyFont="1" applyFill="1" applyBorder="1" applyProtection="1">
      <protection locked="0"/>
    </xf>
    <xf numFmtId="44" fontId="0" fillId="4" borderId="187" xfId="2" applyFont="1" applyFill="1" applyBorder="1" applyProtection="1">
      <protection locked="0"/>
    </xf>
    <xf numFmtId="44" fontId="0" fillId="4" borderId="187" xfId="2" applyFont="1" applyFill="1" applyBorder="1" applyAlignment="1" applyProtection="1">
      <alignment horizontal="left"/>
      <protection locked="0"/>
    </xf>
    <xf numFmtId="44" fontId="0" fillId="4" borderId="187" xfId="0" applyNumberFormat="1" applyFill="1" applyBorder="1" applyProtection="1">
      <protection locked="0"/>
    </xf>
    <xf numFmtId="165" fontId="9" fillId="4" borderId="187" xfId="0" applyNumberFormat="1" applyFont="1" applyFill="1" applyBorder="1" applyAlignment="1" applyProtection="1">
      <alignment horizontal="center"/>
      <protection locked="0"/>
    </xf>
    <xf numFmtId="44" fontId="9" fillId="4" borderId="187" xfId="2" applyFont="1" applyFill="1" applyBorder="1" applyAlignment="1" applyProtection="1">
      <alignment horizontal="left"/>
      <protection locked="0"/>
    </xf>
    <xf numFmtId="165" fontId="9" fillId="4" borderId="187" xfId="0" applyNumberFormat="1" applyFont="1" applyFill="1" applyBorder="1" applyAlignment="1" applyProtection="1">
      <alignment horizontal="left"/>
      <protection locked="0"/>
    </xf>
    <xf numFmtId="0" fontId="0" fillId="4" borderId="187" xfId="0" applyFill="1" applyBorder="1" applyAlignment="1" applyProtection="1">
      <alignment horizontal="center"/>
      <protection locked="0"/>
    </xf>
    <xf numFmtId="44" fontId="0" fillId="4" borderId="187" xfId="2" applyFont="1" applyFill="1" applyBorder="1" applyAlignment="1" applyProtection="1">
      <alignment horizontal="center"/>
      <protection locked="0"/>
    </xf>
    <xf numFmtId="0" fontId="0" fillId="0" borderId="186" xfId="0" applyBorder="1"/>
    <xf numFmtId="165" fontId="0" fillId="0" borderId="187" xfId="0" applyNumberFormat="1" applyBorder="1" applyAlignment="1" applyProtection="1">
      <alignment horizontal="right"/>
      <protection locked="0"/>
    </xf>
    <xf numFmtId="0" fontId="0" fillId="0" borderId="186" xfId="0" applyBorder="1" applyProtection="1">
      <protection locked="0"/>
    </xf>
    <xf numFmtId="44" fontId="0" fillId="0" borderId="187" xfId="0" applyNumberFormat="1" applyBorder="1" applyProtection="1">
      <protection locked="0"/>
    </xf>
    <xf numFmtId="165" fontId="0" fillId="0" borderId="187" xfId="0" applyNumberFormat="1" applyBorder="1" applyProtection="1">
      <protection locked="0"/>
    </xf>
    <xf numFmtId="0" fontId="0" fillId="0" borderId="187" xfId="0" applyBorder="1" applyProtection="1">
      <protection locked="0"/>
    </xf>
    <xf numFmtId="0" fontId="0" fillId="0" borderId="187" xfId="0" applyBorder="1" applyAlignment="1" applyProtection="1">
      <alignment horizontal="center"/>
      <protection locked="0"/>
    </xf>
    <xf numFmtId="0" fontId="3" fillId="0" borderId="187" xfId="0" applyFont="1" applyBorder="1" applyAlignment="1" applyProtection="1">
      <alignment horizontal="right"/>
      <protection locked="0"/>
    </xf>
    <xf numFmtId="169" fontId="0" fillId="0" borderId="187" xfId="0" applyNumberFormat="1" applyBorder="1" applyAlignment="1" applyProtection="1">
      <alignment horizontal="center"/>
      <protection locked="0"/>
    </xf>
    <xf numFmtId="0" fontId="4" fillId="0" borderId="187" xfId="4" applyBorder="1" applyAlignment="1" applyProtection="1">
      <alignment horizontal="center" vertical="center"/>
      <protection locked="0"/>
    </xf>
    <xf numFmtId="0" fontId="0" fillId="0" borderId="186" xfId="0" applyBorder="1" applyAlignment="1">
      <alignment horizontal="right"/>
    </xf>
    <xf numFmtId="44" fontId="6" fillId="0" borderId="187" xfId="2" applyFont="1" applyBorder="1" applyAlignment="1">
      <alignment horizontal="center" vertical="center"/>
    </xf>
    <xf numFmtId="0" fontId="0" fillId="0" borderId="186" xfId="0" applyBorder="1" applyAlignment="1">
      <alignment vertical="top"/>
    </xf>
    <xf numFmtId="0" fontId="0" fillId="19" borderId="187" xfId="0" applyFill="1" applyBorder="1" applyProtection="1">
      <protection locked="0"/>
    </xf>
    <xf numFmtId="5" fontId="0" fillId="0" borderId="181" xfId="2" applyNumberFormat="1" applyFont="1" applyBorder="1" applyAlignment="1" applyProtection="1">
      <alignment horizontal="center"/>
      <protection locked="0"/>
    </xf>
    <xf numFmtId="5" fontId="0" fillId="0" borderId="182" xfId="2" applyNumberFormat="1" applyFont="1" applyBorder="1" applyAlignment="1" applyProtection="1">
      <alignment horizontal="center"/>
      <protection locked="0"/>
    </xf>
    <xf numFmtId="0" fontId="3" fillId="0" borderId="149" xfId="0" applyFont="1" applyBorder="1" applyAlignment="1">
      <alignment wrapText="1"/>
    </xf>
    <xf numFmtId="5" fontId="0" fillId="0" borderId="187" xfId="2" applyNumberFormat="1" applyFont="1" applyBorder="1" applyProtection="1">
      <protection locked="0"/>
    </xf>
    <xf numFmtId="0" fontId="5" fillId="0" borderId="131" xfId="0" applyFont="1" applyBorder="1" applyProtection="1">
      <protection locked="0"/>
    </xf>
    <xf numFmtId="0" fontId="3" fillId="3" borderId="131" xfId="0" applyFont="1" applyFill="1" applyBorder="1" applyAlignment="1">
      <alignment horizontal="center" wrapText="1"/>
    </xf>
    <xf numFmtId="0" fontId="5" fillId="0" borderId="165" xfId="0" applyFont="1" applyBorder="1" applyProtection="1">
      <protection locked="0"/>
    </xf>
    <xf numFmtId="0" fontId="10" fillId="17" borderId="188" xfId="0" applyFont="1" applyFill="1" applyBorder="1" applyAlignment="1">
      <alignment horizontal="center" vertical="center"/>
    </xf>
    <xf numFmtId="0" fontId="10" fillId="0" borderId="189" xfId="0" applyFont="1" applyBorder="1" applyAlignment="1">
      <alignment vertical="center"/>
    </xf>
    <xf numFmtId="0" fontId="10" fillId="0" borderId="190" xfId="0" applyFont="1" applyBorder="1" applyAlignment="1">
      <alignment vertical="center"/>
    </xf>
    <xf numFmtId="0" fontId="0" fillId="0" borderId="131" xfId="0" applyBorder="1" applyAlignment="1" applyProtection="1">
      <alignment horizontal="left"/>
      <protection locked="0"/>
    </xf>
    <xf numFmtId="0" fontId="10" fillId="0" borderId="190" xfId="0" quotePrefix="1" applyFont="1" applyBorder="1"/>
    <xf numFmtId="0" fontId="10" fillId="17" borderId="190" xfId="0" applyFont="1" applyFill="1" applyBorder="1" applyAlignment="1">
      <alignment horizontal="center"/>
    </xf>
    <xf numFmtId="0" fontId="10" fillId="19" borderId="190" xfId="0" applyFont="1" applyFill="1" applyBorder="1" applyAlignment="1">
      <alignment horizontal="left"/>
    </xf>
    <xf numFmtId="0" fontId="5" fillId="19" borderId="165" xfId="0" applyFont="1" applyFill="1" applyBorder="1" applyProtection="1">
      <protection locked="0"/>
    </xf>
    <xf numFmtId="0" fontId="6" fillId="0" borderId="131" xfId="0" applyFont="1" applyBorder="1" applyAlignment="1">
      <alignment horizontal="left" vertical="top" wrapText="1"/>
    </xf>
    <xf numFmtId="0" fontId="10" fillId="0" borderId="131" xfId="0" applyFont="1" applyBorder="1" applyAlignment="1">
      <alignment horizontal="left" vertical="center"/>
    </xf>
    <xf numFmtId="3" fontId="0" fillId="0" borderId="187" xfId="0" applyNumberFormat="1" applyBorder="1" applyProtection="1">
      <protection locked="0"/>
    </xf>
    <xf numFmtId="3" fontId="0" fillId="0" borderId="165" xfId="0" applyNumberFormat="1" applyBorder="1" applyProtection="1">
      <protection locked="0"/>
    </xf>
    <xf numFmtId="3" fontId="0" fillId="0" borderId="165" xfId="0" applyNumberFormat="1" applyBorder="1" applyAlignment="1" applyProtection="1">
      <alignment horizontal="center"/>
      <protection locked="0"/>
    </xf>
    <xf numFmtId="0" fontId="10" fillId="0" borderId="146" xfId="0" applyFont="1" applyBorder="1" applyAlignment="1">
      <alignment horizontal="left" vertical="center"/>
    </xf>
    <xf numFmtId="170" fontId="0" fillId="4" borderId="187" xfId="3" applyNumberFormat="1" applyFont="1" applyFill="1" applyBorder="1" applyAlignment="1" applyProtection="1">
      <alignment horizontal="left"/>
      <protection locked="0"/>
    </xf>
    <xf numFmtId="170" fontId="0" fillId="4" borderId="187" xfId="2" applyNumberFormat="1" applyFont="1" applyFill="1" applyBorder="1" applyAlignment="1" applyProtection="1">
      <alignment horizontal="left"/>
      <protection locked="0"/>
    </xf>
    <xf numFmtId="170" fontId="0" fillId="4" borderId="187" xfId="0" applyNumberFormat="1" applyFill="1" applyBorder="1" applyAlignment="1" applyProtection="1">
      <alignment horizontal="left"/>
      <protection locked="0"/>
    </xf>
    <xf numFmtId="0" fontId="8" fillId="4" borderId="66" xfId="0" applyFont="1" applyFill="1" applyBorder="1" applyAlignment="1" applyProtection="1">
      <alignment horizontal="right"/>
      <protection locked="0"/>
    </xf>
    <xf numFmtId="10" fontId="0" fillId="4" borderId="66" xfId="0" applyNumberFormat="1" applyFill="1" applyBorder="1" applyAlignment="1" applyProtection="1">
      <alignment horizontal="right"/>
      <protection locked="0"/>
    </xf>
    <xf numFmtId="0" fontId="0" fillId="4" borderId="179" xfId="0" applyFill="1" applyBorder="1" applyAlignment="1" applyProtection="1">
      <alignment horizontal="center"/>
      <protection locked="0"/>
    </xf>
    <xf numFmtId="7" fontId="0" fillId="4" borderId="187" xfId="0" applyNumberFormat="1" applyFill="1" applyBorder="1" applyAlignment="1" applyProtection="1">
      <alignment horizontal="center"/>
      <protection locked="0"/>
    </xf>
    <xf numFmtId="0" fontId="0" fillId="0" borderId="191" xfId="0" applyBorder="1" applyProtection="1">
      <protection locked="0"/>
    </xf>
    <xf numFmtId="0" fontId="0" fillId="0" borderId="192" xfId="0" applyBorder="1" applyProtection="1">
      <protection locked="0"/>
    </xf>
    <xf numFmtId="165" fontId="0" fillId="0" borderId="27" xfId="0" applyNumberFormat="1" applyBorder="1" applyAlignment="1" applyProtection="1">
      <alignment horizontal="right"/>
      <protection locked="0"/>
    </xf>
    <xf numFmtId="44" fontId="0" fillId="0" borderId="27" xfId="0" applyNumberFormat="1" applyBorder="1" applyProtection="1">
      <protection locked="0"/>
    </xf>
    <xf numFmtId="165" fontId="0" fillId="0" borderId="27" xfId="0" applyNumberFormat="1" applyBorder="1" applyProtection="1">
      <protection locked="0"/>
    </xf>
    <xf numFmtId="0" fontId="0" fillId="0" borderId="27" xfId="0" applyBorder="1" applyProtection="1">
      <protection locked="0"/>
    </xf>
    <xf numFmtId="0" fontId="0" fillId="0" borderId="193" xfId="0" applyBorder="1" applyProtection="1">
      <protection locked="0"/>
    </xf>
    <xf numFmtId="0" fontId="0" fillId="0" borderId="182" xfId="0" applyBorder="1" applyProtection="1">
      <protection locked="0"/>
    </xf>
    <xf numFmtId="5" fontId="0" fillId="0" borderId="179" xfId="2" applyNumberFormat="1" applyFont="1" applyBorder="1" applyAlignment="1" applyProtection="1">
      <alignment horizontal="center"/>
      <protection locked="0"/>
    </xf>
    <xf numFmtId="0" fontId="6" fillId="17" borderId="194" xfId="0" applyFont="1" applyFill="1" applyBorder="1" applyAlignment="1">
      <alignment horizontal="center" vertical="center"/>
    </xf>
    <xf numFmtId="0" fontId="6" fillId="0" borderId="163" xfId="0" applyFont="1" applyBorder="1" applyAlignment="1">
      <alignment horizontal="left"/>
    </xf>
    <xf numFmtId="0" fontId="0" fillId="0" borderId="195" xfId="0" applyBorder="1" applyAlignment="1" applyProtection="1">
      <alignment horizontal="center"/>
      <protection locked="0"/>
    </xf>
    <xf numFmtId="169" fontId="0" fillId="0" borderId="195" xfId="0" applyNumberFormat="1" applyBorder="1" applyAlignment="1" applyProtection="1">
      <alignment horizontal="center"/>
      <protection locked="0"/>
    </xf>
    <xf numFmtId="0" fontId="4" fillId="0" borderId="195" xfId="4" applyBorder="1" applyAlignment="1" applyProtection="1">
      <alignment horizontal="center" vertical="center"/>
      <protection locked="0"/>
    </xf>
    <xf numFmtId="170" fontId="0" fillId="0" borderId="181" xfId="2" applyNumberFormat="1" applyFont="1" applyBorder="1" applyAlignment="1" applyProtection="1">
      <alignment horizontal="center"/>
      <protection locked="0"/>
    </xf>
    <xf numFmtId="170" fontId="0" fillId="0" borderId="182" xfId="2" applyNumberFormat="1" applyFont="1" applyBorder="1" applyAlignment="1" applyProtection="1">
      <alignment horizontal="center"/>
      <protection locked="0"/>
    </xf>
    <xf numFmtId="44" fontId="0" fillId="0" borderId="161" xfId="2" applyFont="1" applyBorder="1" applyAlignment="1">
      <alignment vertical="top"/>
    </xf>
    <xf numFmtId="44" fontId="0" fillId="0" borderId="160" xfId="2" applyFont="1" applyBorder="1" applyAlignment="1">
      <alignment vertical="top"/>
    </xf>
    <xf numFmtId="0" fontId="5" fillId="0" borderId="187" xfId="0" applyFont="1" applyBorder="1" applyProtection="1">
      <protection locked="0"/>
    </xf>
    <xf numFmtId="0" fontId="10" fillId="17" borderId="189" xfId="0" applyFont="1" applyFill="1" applyBorder="1" applyAlignment="1">
      <alignment horizontal="center" vertical="center"/>
    </xf>
    <xf numFmtId="0" fontId="5" fillId="0" borderId="66" xfId="0" applyFont="1" applyBorder="1" applyProtection="1">
      <protection locked="0"/>
    </xf>
    <xf numFmtId="44" fontId="5" fillId="0" borderId="187" xfId="2" applyFont="1" applyBorder="1" applyProtection="1">
      <protection locked="0"/>
    </xf>
    <xf numFmtId="44" fontId="0" fillId="19" borderId="66" xfId="2" applyFont="1" applyFill="1" applyBorder="1" applyProtection="1">
      <protection locked="0"/>
    </xf>
    <xf numFmtId="44" fontId="0" fillId="19" borderId="131" xfId="2" applyFont="1" applyFill="1" applyBorder="1" applyProtection="1">
      <protection locked="0"/>
    </xf>
    <xf numFmtId="0" fontId="5" fillId="19" borderId="187" xfId="0" applyFont="1" applyFill="1" applyBorder="1" applyProtection="1">
      <protection locked="0"/>
    </xf>
    <xf numFmtId="44" fontId="5" fillId="19" borderId="187" xfId="2" applyFont="1" applyFill="1" applyBorder="1" applyProtection="1">
      <protection locked="0"/>
    </xf>
    <xf numFmtId="0" fontId="10" fillId="18" borderId="136" xfId="0" applyFont="1" applyFill="1" applyBorder="1" applyAlignment="1">
      <alignment horizontal="left" vertical="center" wrapText="1"/>
    </xf>
    <xf numFmtId="0" fontId="10" fillId="7" borderId="127" xfId="0" applyFont="1" applyFill="1" applyBorder="1" applyAlignment="1">
      <alignment horizontal="center" vertical="center"/>
    </xf>
    <xf numFmtId="44" fontId="10" fillId="7" borderId="131" xfId="2" applyFont="1" applyFill="1" applyBorder="1" applyAlignment="1">
      <alignment horizontal="center" vertical="center"/>
    </xf>
    <xf numFmtId="0" fontId="10" fillId="7" borderId="190" xfId="0" applyFont="1" applyFill="1" applyBorder="1" applyAlignment="1">
      <alignment horizontal="left" vertical="center" wrapText="1"/>
    </xf>
    <xf numFmtId="0" fontId="10" fillId="7" borderId="190" xfId="0" applyFont="1" applyFill="1" applyBorder="1" applyAlignment="1">
      <alignment horizontal="left" vertical="center" wrapText="1" indent="1"/>
    </xf>
    <xf numFmtId="0" fontId="11" fillId="0" borderId="136" xfId="0" applyFont="1" applyBorder="1" applyAlignment="1">
      <alignment vertical="top"/>
    </xf>
    <xf numFmtId="0" fontId="10" fillId="0" borderId="136" xfId="0" applyFont="1" applyBorder="1" applyAlignment="1">
      <alignment vertical="top"/>
    </xf>
    <xf numFmtId="9" fontId="0" fillId="4" borderId="187" xfId="3" applyFont="1" applyFill="1" applyBorder="1" applyAlignment="1" applyProtection="1">
      <alignment horizontal="left"/>
      <protection locked="0"/>
    </xf>
    <xf numFmtId="5" fontId="0" fillId="4" borderId="187" xfId="2" applyNumberFormat="1" applyFont="1" applyFill="1" applyBorder="1" applyAlignment="1" applyProtection="1">
      <alignment horizontal="left"/>
      <protection locked="0"/>
    </xf>
    <xf numFmtId="5" fontId="0" fillId="4" borderId="187" xfId="0" applyNumberFormat="1" applyFill="1" applyBorder="1" applyAlignment="1" applyProtection="1">
      <alignment horizontal="left"/>
      <protection locked="0"/>
    </xf>
    <xf numFmtId="0" fontId="6" fillId="0" borderId="196" xfId="0" applyFont="1" applyBorder="1" applyAlignment="1">
      <alignment vertical="center"/>
    </xf>
    <xf numFmtId="0" fontId="10" fillId="17" borderId="197" xfId="0" applyFont="1" applyFill="1" applyBorder="1" applyAlignment="1">
      <alignment horizontal="center" vertical="center"/>
    </xf>
    <xf numFmtId="0" fontId="10" fillId="0" borderId="136" xfId="0" applyFont="1" applyBorder="1" applyAlignment="1">
      <alignment vertical="top" wrapText="1"/>
    </xf>
    <xf numFmtId="0" fontId="10" fillId="0" borderId="136" xfId="0" applyFont="1" applyBorder="1" applyAlignment="1">
      <alignment vertical="center" wrapText="1"/>
    </xf>
    <xf numFmtId="0" fontId="6" fillId="17" borderId="198" xfId="0" applyFont="1" applyFill="1" applyBorder="1" applyAlignment="1">
      <alignment horizontal="center" vertical="center"/>
    </xf>
    <xf numFmtId="0" fontId="6" fillId="7" borderId="163" xfId="0" applyFont="1" applyFill="1" applyBorder="1"/>
    <xf numFmtId="0" fontId="6" fillId="7" borderId="163" xfId="0" applyFont="1" applyFill="1" applyBorder="1" applyAlignment="1">
      <alignment horizontal="left" indent="4"/>
    </xf>
    <xf numFmtId="0" fontId="50" fillId="0" borderId="163" xfId="0" applyFont="1" applyBorder="1"/>
    <xf numFmtId="0" fontId="50" fillId="0" borderId="199" xfId="0" applyFont="1" applyBorder="1" applyAlignment="1">
      <alignment horizontal="left" indent="2"/>
    </xf>
    <xf numFmtId="0" fontId="10" fillId="0" borderId="200" xfId="0" applyFont="1" applyBorder="1" applyAlignment="1">
      <alignment horizontal="left" indent="2"/>
    </xf>
    <xf numFmtId="0" fontId="10" fillId="0" borderId="200" xfId="0" applyFont="1" applyBorder="1" applyAlignment="1">
      <alignment horizontal="left" vertical="center" wrapText="1" indent="2"/>
    </xf>
    <xf numFmtId="0" fontId="20" fillId="0" borderId="200" xfId="0" applyFont="1" applyBorder="1" applyAlignment="1">
      <alignment vertical="center" wrapText="1"/>
    </xf>
    <xf numFmtId="0" fontId="20" fillId="0" borderId="200" xfId="0" applyFont="1" applyBorder="1" applyAlignment="1">
      <alignment horizontal="left" vertical="center" wrapText="1" indent="2"/>
    </xf>
    <xf numFmtId="0" fontId="10" fillId="0" borderId="200" xfId="0" applyFont="1" applyBorder="1" applyAlignment="1">
      <alignment vertical="center" wrapText="1"/>
    </xf>
    <xf numFmtId="0" fontId="10" fillId="7" borderId="163" xfId="0" applyFont="1" applyFill="1" applyBorder="1" applyAlignment="1">
      <alignment horizontal="left" indent="2"/>
    </xf>
    <xf numFmtId="0" fontId="10" fillId="7" borderId="163" xfId="0" applyFont="1" applyFill="1" applyBorder="1" applyAlignment="1">
      <alignment horizontal="left"/>
    </xf>
    <xf numFmtId="0" fontId="6" fillId="18" borderId="200" xfId="0" applyFont="1" applyFill="1" applyBorder="1" applyAlignment="1">
      <alignment vertical="center" wrapText="1"/>
    </xf>
    <xf numFmtId="0" fontId="0" fillId="4" borderId="201" xfId="0" applyFill="1" applyBorder="1"/>
    <xf numFmtId="9" fontId="0" fillId="4" borderId="202" xfId="3" applyFont="1" applyFill="1" applyBorder="1" applyProtection="1">
      <protection locked="0"/>
    </xf>
    <xf numFmtId="44" fontId="0" fillId="4" borderId="202" xfId="2" applyFont="1" applyFill="1" applyBorder="1" applyProtection="1">
      <protection locked="0"/>
    </xf>
    <xf numFmtId="44" fontId="0" fillId="4" borderId="202" xfId="2" applyFont="1" applyFill="1" applyBorder="1" applyAlignment="1" applyProtection="1">
      <alignment horizontal="left"/>
      <protection locked="0"/>
    </xf>
    <xf numFmtId="44" fontId="0" fillId="4" borderId="202" xfId="0" applyNumberFormat="1" applyFill="1" applyBorder="1" applyProtection="1">
      <protection locked="0"/>
    </xf>
    <xf numFmtId="165" fontId="9" fillId="4" borderId="202" xfId="0" applyNumberFormat="1" applyFont="1" applyFill="1" applyBorder="1" applyAlignment="1" applyProtection="1">
      <alignment horizontal="center"/>
      <protection locked="0"/>
    </xf>
    <xf numFmtId="44" fontId="9" fillId="4" borderId="202" xfId="2" applyFont="1" applyFill="1" applyBorder="1" applyAlignment="1" applyProtection="1">
      <alignment horizontal="left"/>
      <protection locked="0"/>
    </xf>
    <xf numFmtId="165" fontId="9" fillId="4" borderId="202" xfId="0" applyNumberFormat="1" applyFont="1" applyFill="1" applyBorder="1" applyAlignment="1" applyProtection="1">
      <alignment horizontal="left"/>
      <protection locked="0"/>
    </xf>
    <xf numFmtId="0" fontId="0" fillId="4" borderId="202" xfId="0" applyFill="1" applyBorder="1" applyAlignment="1" applyProtection="1">
      <alignment horizontal="center"/>
      <protection locked="0"/>
    </xf>
    <xf numFmtId="44" fontId="0" fillId="4" borderId="202" xfId="2" applyFont="1" applyFill="1" applyBorder="1" applyAlignment="1" applyProtection="1">
      <alignment horizontal="center"/>
      <protection locked="0"/>
    </xf>
    <xf numFmtId="0" fontId="0" fillId="0" borderId="201" xfId="0" applyBorder="1"/>
    <xf numFmtId="165" fontId="0" fillId="0" borderId="202" xfId="0" applyNumberFormat="1" applyBorder="1" applyAlignment="1" applyProtection="1">
      <alignment horizontal="right"/>
      <protection locked="0"/>
    </xf>
    <xf numFmtId="0" fontId="0" fillId="0" borderId="201" xfId="0" applyBorder="1" applyProtection="1">
      <protection locked="0"/>
    </xf>
    <xf numFmtId="44" fontId="0" fillId="0" borderId="202" xfId="0" applyNumberFormat="1" applyBorder="1" applyProtection="1">
      <protection locked="0"/>
    </xf>
    <xf numFmtId="165" fontId="0" fillId="0" borderId="202" xfId="0" applyNumberFormat="1" applyBorder="1" applyProtection="1">
      <protection locked="0"/>
    </xf>
    <xf numFmtId="0" fontId="0" fillId="0" borderId="202" xfId="0" applyBorder="1" applyProtection="1">
      <protection locked="0"/>
    </xf>
    <xf numFmtId="0" fontId="0" fillId="0" borderId="203" xfId="0" applyBorder="1"/>
    <xf numFmtId="43" fontId="0" fillId="0" borderId="204" xfId="1" applyFont="1" applyBorder="1" applyProtection="1">
      <protection locked="0"/>
    </xf>
    <xf numFmtId="0" fontId="0" fillId="0" borderId="204" xfId="0" applyBorder="1" applyAlignment="1" applyProtection="1">
      <alignment horizontal="center"/>
      <protection locked="0"/>
    </xf>
    <xf numFmtId="0" fontId="0" fillId="0" borderId="205" xfId="0" applyBorder="1" applyProtection="1">
      <protection locked="0"/>
    </xf>
    <xf numFmtId="0" fontId="0" fillId="0" borderId="206" xfId="0" applyBorder="1" applyProtection="1">
      <protection locked="0"/>
    </xf>
    <xf numFmtId="0" fontId="0" fillId="0" borderId="202" xfId="0" applyBorder="1" applyAlignment="1" applyProtection="1">
      <alignment horizontal="center"/>
      <protection locked="0"/>
    </xf>
    <xf numFmtId="0" fontId="3" fillId="0" borderId="207" xfId="0" applyFont="1" applyBorder="1" applyAlignment="1" applyProtection="1">
      <alignment horizontal="right"/>
      <protection locked="0"/>
    </xf>
    <xf numFmtId="0" fontId="3" fillId="0" borderId="202" xfId="0" applyFont="1" applyBorder="1" applyAlignment="1" applyProtection="1">
      <alignment horizontal="right"/>
      <protection locked="0"/>
    </xf>
    <xf numFmtId="169" fontId="0" fillId="0" borderId="202" xfId="0" applyNumberFormat="1" applyBorder="1" applyAlignment="1" applyProtection="1">
      <alignment horizontal="center"/>
      <protection locked="0"/>
    </xf>
    <xf numFmtId="0" fontId="4" fillId="0" borderId="202" xfId="4" applyBorder="1" applyAlignment="1" applyProtection="1">
      <alignment horizontal="center" vertical="center"/>
      <protection locked="0"/>
    </xf>
    <xf numFmtId="0" fontId="3" fillId="0" borderId="203" xfId="0" applyFont="1" applyBorder="1" applyAlignment="1" applyProtection="1">
      <alignment horizontal="right"/>
      <protection locked="0"/>
    </xf>
    <xf numFmtId="44" fontId="0" fillId="0" borderId="206" xfId="2" applyFont="1" applyBorder="1" applyAlignment="1" applyProtection="1">
      <alignment horizontal="center"/>
      <protection locked="0"/>
    </xf>
    <xf numFmtId="0" fontId="0" fillId="0" borderId="201" xfId="0" applyBorder="1" applyAlignment="1">
      <alignment horizontal="right"/>
    </xf>
    <xf numFmtId="0" fontId="0" fillId="0" borderId="207" xfId="0" applyBorder="1" applyAlignment="1" applyProtection="1">
      <alignment horizontal="center"/>
      <protection locked="0"/>
    </xf>
    <xf numFmtId="169" fontId="0" fillId="0" borderId="207" xfId="0" applyNumberFormat="1" applyBorder="1" applyAlignment="1" applyProtection="1">
      <alignment horizontal="center"/>
      <protection locked="0"/>
    </xf>
    <xf numFmtId="0" fontId="4" fillId="0" borderId="207" xfId="4" applyBorder="1" applyAlignment="1" applyProtection="1">
      <alignment horizontal="center" vertical="center"/>
      <protection locked="0"/>
    </xf>
    <xf numFmtId="0" fontId="6" fillId="0" borderId="203" xfId="0" applyFont="1" applyBorder="1" applyAlignment="1" applyProtection="1">
      <alignment horizontal="right"/>
      <protection locked="0"/>
    </xf>
    <xf numFmtId="0" fontId="0" fillId="0" borderId="204" xfId="0" applyBorder="1" applyAlignment="1">
      <alignment wrapText="1"/>
    </xf>
    <xf numFmtId="0" fontId="0" fillId="0" borderId="204" xfId="0" applyBorder="1" applyProtection="1">
      <protection locked="0"/>
    </xf>
    <xf numFmtId="0" fontId="6" fillId="0" borderId="205" xfId="0" applyFont="1" applyBorder="1" applyAlignment="1" applyProtection="1">
      <alignment horizontal="right"/>
      <protection locked="0"/>
    </xf>
    <xf numFmtId="44" fontId="0" fillId="0" borderId="208" xfId="2" applyFont="1" applyBorder="1" applyAlignment="1" applyProtection="1">
      <alignment horizontal="center"/>
      <protection locked="0"/>
    </xf>
    <xf numFmtId="44" fontId="0" fillId="0" borderId="209" xfId="2" applyFont="1" applyBorder="1" applyAlignment="1" applyProtection="1">
      <alignment horizontal="center"/>
      <protection locked="0"/>
    </xf>
    <xf numFmtId="44" fontId="0" fillId="0" borderId="206" xfId="2" applyFont="1" applyBorder="1" applyAlignment="1" applyProtection="1">
      <alignment horizontal="center"/>
      <protection locked="0"/>
    </xf>
    <xf numFmtId="5" fontId="0" fillId="0" borderId="206" xfId="2" applyNumberFormat="1" applyFont="1" applyBorder="1" applyAlignment="1" applyProtection="1">
      <alignment horizontal="center"/>
      <protection locked="0"/>
    </xf>
    <xf numFmtId="44" fontId="6" fillId="0" borderId="202" xfId="2" applyFont="1" applyBorder="1" applyAlignment="1">
      <alignment horizontal="center" vertical="center"/>
    </xf>
    <xf numFmtId="0" fontId="0" fillId="0" borderId="201" xfId="0" applyBorder="1" applyAlignment="1">
      <alignment vertical="top"/>
    </xf>
    <xf numFmtId="0" fontId="0" fillId="19" borderId="202" xfId="0" applyFill="1" applyBorder="1" applyProtection="1">
      <protection locked="0"/>
    </xf>
    <xf numFmtId="0" fontId="6" fillId="0" borderId="210" xfId="0" applyFont="1" applyBorder="1" applyAlignment="1">
      <alignment horizontal="left" indent="2"/>
    </xf>
    <xf numFmtId="0" fontId="6" fillId="0" borderId="210" xfId="0" applyFont="1" applyBorder="1"/>
    <xf numFmtId="0" fontId="0" fillId="0" borderId="211" xfId="0" applyBorder="1" applyAlignment="1">
      <alignment horizontal="left" vertical="center" wrapText="1" indent="2"/>
    </xf>
    <xf numFmtId="0" fontId="6" fillId="0" borderId="211" xfId="0" applyFont="1" applyBorder="1" applyAlignment="1">
      <alignment horizontal="left" vertical="center" wrapText="1" indent="2"/>
    </xf>
    <xf numFmtId="0" fontId="6" fillId="0" borderId="211" xfId="0" applyFont="1" applyBorder="1" applyAlignment="1">
      <alignment vertical="center" wrapText="1"/>
    </xf>
    <xf numFmtId="0" fontId="6" fillId="18" borderId="211" xfId="0" applyFont="1" applyFill="1" applyBorder="1" applyAlignment="1">
      <alignment vertical="center" wrapText="1"/>
    </xf>
    <xf numFmtId="0" fontId="0" fillId="4" borderId="212" xfId="0" applyFill="1" applyBorder="1"/>
    <xf numFmtId="9" fontId="0" fillId="4" borderId="213" xfId="3" applyFont="1" applyFill="1" applyBorder="1" applyProtection="1">
      <protection locked="0"/>
    </xf>
    <xf numFmtId="44" fontId="0" fillId="4" borderId="213" xfId="2" applyFont="1" applyFill="1" applyBorder="1" applyProtection="1">
      <protection locked="0"/>
    </xf>
    <xf numFmtId="44" fontId="0" fillId="4" borderId="213" xfId="2" applyFont="1" applyFill="1" applyBorder="1" applyAlignment="1" applyProtection="1">
      <alignment horizontal="left"/>
      <protection locked="0"/>
    </xf>
    <xf numFmtId="44" fontId="0" fillId="4" borderId="213" xfId="0" applyNumberFormat="1" applyFill="1" applyBorder="1" applyProtection="1">
      <protection locked="0"/>
    </xf>
    <xf numFmtId="165" fontId="9" fillId="4" borderId="213" xfId="0" applyNumberFormat="1" applyFont="1" applyFill="1" applyBorder="1" applyAlignment="1" applyProtection="1">
      <alignment horizontal="center"/>
      <protection locked="0"/>
    </xf>
    <xf numFmtId="44" fontId="9" fillId="4" borderId="213" xfId="2" applyFont="1" applyFill="1" applyBorder="1" applyAlignment="1" applyProtection="1">
      <alignment horizontal="left"/>
      <protection locked="0"/>
    </xf>
    <xf numFmtId="165" fontId="9" fillId="4" borderId="213" xfId="0" applyNumberFormat="1" applyFont="1" applyFill="1" applyBorder="1" applyAlignment="1" applyProtection="1">
      <alignment horizontal="left"/>
      <protection locked="0"/>
    </xf>
    <xf numFmtId="0" fontId="0" fillId="4" borderId="213" xfId="0" applyFill="1" applyBorder="1" applyAlignment="1" applyProtection="1">
      <alignment horizontal="center"/>
      <protection locked="0"/>
    </xf>
    <xf numFmtId="44" fontId="0" fillId="4" borderId="213" xfId="2" applyFont="1" applyFill="1" applyBorder="1" applyAlignment="1" applyProtection="1">
      <alignment horizontal="center"/>
      <protection locked="0"/>
    </xf>
    <xf numFmtId="0" fontId="0" fillId="0" borderId="212" xfId="0" applyBorder="1"/>
    <xf numFmtId="165" fontId="0" fillId="0" borderId="213" xfId="0" applyNumberFormat="1" applyBorder="1" applyAlignment="1" applyProtection="1">
      <alignment horizontal="right"/>
      <protection locked="0"/>
    </xf>
    <xf numFmtId="0" fontId="0" fillId="0" borderId="212" xfId="0" applyBorder="1" applyProtection="1">
      <protection locked="0"/>
    </xf>
    <xf numFmtId="44" fontId="0" fillId="0" borderId="213" xfId="0" applyNumberFormat="1" applyBorder="1" applyProtection="1">
      <protection locked="0"/>
    </xf>
    <xf numFmtId="165" fontId="0" fillId="0" borderId="213" xfId="0" applyNumberFormat="1" applyBorder="1" applyProtection="1">
      <protection locked="0"/>
    </xf>
    <xf numFmtId="0" fontId="0" fillId="0" borderId="213" xfId="0" applyBorder="1" applyProtection="1">
      <protection locked="0"/>
    </xf>
    <xf numFmtId="0" fontId="0" fillId="0" borderId="214" xfId="0" applyBorder="1"/>
    <xf numFmtId="0" fontId="0" fillId="0" borderId="215" xfId="0" applyBorder="1" applyAlignment="1">
      <alignment wrapText="1"/>
    </xf>
    <xf numFmtId="0" fontId="0" fillId="0" borderId="215" xfId="0" applyBorder="1" applyProtection="1">
      <protection locked="0"/>
    </xf>
    <xf numFmtId="43" fontId="0" fillId="0" borderId="215" xfId="1" applyFont="1" applyBorder="1" applyProtection="1">
      <protection locked="0"/>
    </xf>
    <xf numFmtId="0" fontId="0" fillId="0" borderId="215" xfId="0" applyBorder="1" applyAlignment="1" applyProtection="1">
      <alignment horizontal="center"/>
      <protection locked="0"/>
    </xf>
    <xf numFmtId="0" fontId="0" fillId="0" borderId="216" xfId="0" applyBorder="1" applyProtection="1">
      <protection locked="0"/>
    </xf>
    <xf numFmtId="0" fontId="0" fillId="0" borderId="217" xfId="0" applyBorder="1" applyProtection="1">
      <protection locked="0"/>
    </xf>
    <xf numFmtId="0" fontId="0" fillId="0" borderId="213" xfId="0" applyBorder="1" applyAlignment="1" applyProtection="1">
      <alignment horizontal="center"/>
      <protection locked="0"/>
    </xf>
    <xf numFmtId="0" fontId="3" fillId="0" borderId="218" xfId="0" applyFont="1" applyBorder="1" applyAlignment="1" applyProtection="1">
      <alignment horizontal="right"/>
      <protection locked="0"/>
    </xf>
    <xf numFmtId="0" fontId="3" fillId="0" borderId="213" xfId="0" applyFont="1" applyBorder="1" applyAlignment="1" applyProtection="1">
      <alignment horizontal="right"/>
      <protection locked="0"/>
    </xf>
    <xf numFmtId="169" fontId="0" fillId="0" borderId="213" xfId="0" applyNumberFormat="1" applyBorder="1" applyAlignment="1" applyProtection="1">
      <alignment horizontal="center"/>
      <protection locked="0"/>
    </xf>
    <xf numFmtId="0" fontId="4" fillId="0" borderId="213" xfId="4" applyBorder="1" applyAlignment="1" applyProtection="1">
      <alignment horizontal="center" vertical="center"/>
      <protection locked="0"/>
    </xf>
    <xf numFmtId="0" fontId="3" fillId="0" borderId="214" xfId="0" applyFont="1" applyBorder="1" applyAlignment="1" applyProtection="1">
      <alignment horizontal="right"/>
      <protection locked="0"/>
    </xf>
    <xf numFmtId="44" fontId="0" fillId="0" borderId="217" xfId="2" applyFont="1" applyBorder="1" applyAlignment="1" applyProtection="1">
      <alignment horizontal="center"/>
      <protection locked="0"/>
    </xf>
    <xf numFmtId="0" fontId="0" fillId="0" borderId="212" xfId="0" applyBorder="1" applyAlignment="1">
      <alignment horizontal="right"/>
    </xf>
    <xf numFmtId="0" fontId="0" fillId="0" borderId="218" xfId="0" applyBorder="1" applyAlignment="1" applyProtection="1">
      <alignment horizontal="center"/>
      <protection locked="0"/>
    </xf>
    <xf numFmtId="169" fontId="0" fillId="0" borderId="218" xfId="0" applyNumberFormat="1" applyBorder="1" applyAlignment="1" applyProtection="1">
      <alignment horizontal="center"/>
      <protection locked="0"/>
    </xf>
    <xf numFmtId="0" fontId="4" fillId="0" borderId="218" xfId="4" applyBorder="1" applyAlignment="1" applyProtection="1">
      <alignment horizontal="center" vertical="center"/>
      <protection locked="0"/>
    </xf>
    <xf numFmtId="0" fontId="6" fillId="0" borderId="214" xfId="0" applyFont="1" applyBorder="1" applyAlignment="1" applyProtection="1">
      <alignment horizontal="right"/>
      <protection locked="0"/>
    </xf>
    <xf numFmtId="0" fontId="6" fillId="0" borderId="216" xfId="0" applyFont="1" applyBorder="1" applyAlignment="1" applyProtection="1">
      <alignment horizontal="right"/>
      <protection locked="0"/>
    </xf>
    <xf numFmtId="44" fontId="0" fillId="0" borderId="219" xfId="2" applyFont="1" applyBorder="1" applyAlignment="1" applyProtection="1">
      <alignment horizontal="center"/>
      <protection locked="0"/>
    </xf>
    <xf numFmtId="44" fontId="0" fillId="0" borderId="220" xfId="2" applyFont="1" applyBorder="1" applyAlignment="1" applyProtection="1">
      <alignment horizontal="center"/>
      <protection locked="0"/>
    </xf>
    <xf numFmtId="44" fontId="0" fillId="0" borderId="217" xfId="2" applyFont="1" applyBorder="1" applyAlignment="1" applyProtection="1">
      <alignment horizontal="center"/>
      <protection locked="0"/>
    </xf>
    <xf numFmtId="5" fontId="0" fillId="0" borderId="217" xfId="2" applyNumberFormat="1" applyFont="1" applyBorder="1" applyAlignment="1" applyProtection="1">
      <alignment horizontal="center"/>
      <protection locked="0"/>
    </xf>
    <xf numFmtId="44" fontId="6" fillId="0" borderId="213" xfId="2" applyFont="1" applyBorder="1" applyAlignment="1">
      <alignment horizontal="center" vertical="center"/>
    </xf>
    <xf numFmtId="0" fontId="0" fillId="0" borderId="212" xfId="0" applyBorder="1" applyAlignment="1">
      <alignment vertical="top"/>
    </xf>
    <xf numFmtId="0" fontId="0" fillId="19" borderId="213" xfId="0" applyFill="1" applyBorder="1" applyProtection="1">
      <protection locked="0"/>
    </xf>
    <xf numFmtId="0" fontId="6" fillId="0" borderId="221" xfId="0" applyFont="1" applyBorder="1"/>
    <xf numFmtId="0" fontId="0" fillId="0" borderId="222" xfId="0" applyBorder="1" applyAlignment="1">
      <alignment vertical="center" wrapText="1"/>
    </xf>
    <xf numFmtId="0" fontId="0" fillId="0" borderId="222" xfId="0" applyBorder="1" applyAlignment="1">
      <alignment horizontal="left" vertical="center" wrapText="1"/>
    </xf>
    <xf numFmtId="0" fontId="0" fillId="0" borderId="222" xfId="0" applyBorder="1" applyAlignment="1">
      <alignment horizontal="left" vertical="center" wrapText="1" indent="2"/>
    </xf>
    <xf numFmtId="0" fontId="6" fillId="0" borderId="222" xfId="0" applyFont="1" applyBorder="1" applyAlignment="1">
      <alignment horizontal="left" vertical="center" wrapText="1" indent="2"/>
    </xf>
    <xf numFmtId="0" fontId="6" fillId="0" borderId="222" xfId="0" applyFont="1" applyBorder="1" applyAlignment="1">
      <alignment vertical="center" wrapText="1"/>
    </xf>
    <xf numFmtId="0" fontId="6" fillId="18" borderId="222" xfId="0" applyFont="1" applyFill="1" applyBorder="1" applyAlignment="1">
      <alignment vertical="center" wrapText="1"/>
    </xf>
    <xf numFmtId="0" fontId="0" fillId="4" borderId="223" xfId="0" applyFill="1" applyBorder="1"/>
    <xf numFmtId="9" fontId="0" fillId="4" borderId="224" xfId="3" applyFont="1" applyFill="1" applyBorder="1" applyProtection="1">
      <protection locked="0"/>
    </xf>
    <xf numFmtId="44" fontId="0" fillId="4" borderId="224" xfId="2" applyFont="1" applyFill="1" applyBorder="1" applyProtection="1">
      <protection locked="0"/>
    </xf>
    <xf numFmtId="44" fontId="0" fillId="4" borderId="224" xfId="2" applyFont="1" applyFill="1" applyBorder="1" applyAlignment="1" applyProtection="1">
      <alignment horizontal="left"/>
      <protection locked="0"/>
    </xf>
    <xf numFmtId="44" fontId="0" fillId="4" borderId="224" xfId="0" applyNumberFormat="1" applyFill="1" applyBorder="1" applyProtection="1">
      <protection locked="0"/>
    </xf>
    <xf numFmtId="165" fontId="9" fillId="4" borderId="224" xfId="0" applyNumberFormat="1" applyFont="1" applyFill="1" applyBorder="1" applyAlignment="1" applyProtection="1">
      <alignment horizontal="center"/>
      <protection locked="0"/>
    </xf>
    <xf numFmtId="44" fontId="9" fillId="4" borderId="224" xfId="2" applyFont="1" applyFill="1" applyBorder="1" applyAlignment="1" applyProtection="1">
      <alignment horizontal="left"/>
      <protection locked="0"/>
    </xf>
    <xf numFmtId="165" fontId="9" fillId="4" borderId="224" xfId="0" applyNumberFormat="1" applyFont="1" applyFill="1" applyBorder="1" applyAlignment="1" applyProtection="1">
      <alignment horizontal="left"/>
      <protection locked="0"/>
    </xf>
    <xf numFmtId="0" fontId="0" fillId="4" borderId="224" xfId="0" applyFill="1" applyBorder="1" applyAlignment="1" applyProtection="1">
      <alignment horizontal="center"/>
      <protection locked="0"/>
    </xf>
    <xf numFmtId="44" fontId="0" fillId="4" borderId="224" xfId="2" applyFont="1" applyFill="1" applyBorder="1" applyAlignment="1" applyProtection="1">
      <alignment horizontal="center"/>
      <protection locked="0"/>
    </xf>
    <xf numFmtId="0" fontId="0" fillId="0" borderId="223" xfId="0" applyBorder="1"/>
    <xf numFmtId="165" fontId="0" fillId="0" borderId="224" xfId="0" applyNumberFormat="1" applyBorder="1" applyAlignment="1" applyProtection="1">
      <alignment horizontal="right"/>
      <protection locked="0"/>
    </xf>
    <xf numFmtId="0" fontId="0" fillId="0" borderId="223" xfId="0" applyBorder="1" applyProtection="1">
      <protection locked="0"/>
    </xf>
    <xf numFmtId="44" fontId="0" fillId="0" borderId="224" xfId="0" applyNumberFormat="1" applyBorder="1" applyProtection="1">
      <protection locked="0"/>
    </xf>
    <xf numFmtId="165" fontId="0" fillId="0" borderId="224" xfId="0" applyNumberFormat="1" applyBorder="1" applyProtection="1">
      <protection locked="0"/>
    </xf>
    <xf numFmtId="0" fontId="0" fillId="0" borderId="224" xfId="0" applyBorder="1" applyProtection="1">
      <protection locked="0"/>
    </xf>
    <xf numFmtId="0" fontId="0" fillId="0" borderId="225" xfId="0" applyBorder="1"/>
    <xf numFmtId="0" fontId="0" fillId="0" borderId="226" xfId="0" applyBorder="1" applyAlignment="1">
      <alignment wrapText="1"/>
    </xf>
    <xf numFmtId="0" fontId="0" fillId="0" borderId="226" xfId="0" applyBorder="1" applyProtection="1">
      <protection locked="0"/>
    </xf>
    <xf numFmtId="43" fontId="0" fillId="0" borderId="226" xfId="1" applyFont="1" applyBorder="1" applyProtection="1">
      <protection locked="0"/>
    </xf>
    <xf numFmtId="0" fontId="0" fillId="0" borderId="226" xfId="0" applyBorder="1" applyAlignment="1" applyProtection="1">
      <alignment horizontal="center"/>
      <protection locked="0"/>
    </xf>
    <xf numFmtId="0" fontId="0" fillId="0" borderId="227" xfId="0" applyBorder="1" applyProtection="1">
      <protection locked="0"/>
    </xf>
    <xf numFmtId="0" fontId="0" fillId="0" borderId="228" xfId="0" applyBorder="1" applyProtection="1">
      <protection locked="0"/>
    </xf>
    <xf numFmtId="0" fontId="0" fillId="0" borderId="224" xfId="0" applyBorder="1" applyAlignment="1" applyProtection="1">
      <alignment horizontal="center"/>
      <protection locked="0"/>
    </xf>
    <xf numFmtId="0" fontId="3" fillId="0" borderId="229" xfId="0" applyFont="1" applyBorder="1" applyAlignment="1" applyProtection="1">
      <alignment horizontal="right"/>
      <protection locked="0"/>
    </xf>
    <xf numFmtId="0" fontId="3" fillId="0" borderId="224" xfId="0" applyFont="1" applyBorder="1" applyAlignment="1" applyProtection="1">
      <alignment horizontal="right"/>
      <protection locked="0"/>
    </xf>
    <xf numFmtId="169" fontId="0" fillId="0" borderId="224" xfId="0" applyNumberFormat="1" applyBorder="1" applyAlignment="1" applyProtection="1">
      <alignment horizontal="center"/>
      <protection locked="0"/>
    </xf>
    <xf numFmtId="0" fontId="4" fillId="0" borderId="224" xfId="4" applyBorder="1" applyAlignment="1" applyProtection="1">
      <alignment horizontal="center" vertical="center"/>
      <protection locked="0"/>
    </xf>
    <xf numFmtId="0" fontId="3" fillId="0" borderId="225" xfId="0" applyFont="1" applyBorder="1" applyAlignment="1" applyProtection="1">
      <alignment horizontal="right"/>
      <protection locked="0"/>
    </xf>
    <xf numFmtId="44" fontId="0" fillId="0" borderId="228" xfId="2" applyFont="1" applyBorder="1" applyAlignment="1" applyProtection="1">
      <alignment horizontal="center"/>
      <protection locked="0"/>
    </xf>
    <xf numFmtId="0" fontId="0" fillId="0" borderId="223" xfId="0" applyBorder="1" applyAlignment="1">
      <alignment horizontal="right"/>
    </xf>
    <xf numFmtId="0" fontId="0" fillId="0" borderId="229" xfId="0" applyBorder="1" applyAlignment="1" applyProtection="1">
      <alignment horizontal="center"/>
      <protection locked="0"/>
    </xf>
    <xf numFmtId="169" fontId="0" fillId="0" borderId="229" xfId="0" applyNumberFormat="1" applyBorder="1" applyAlignment="1" applyProtection="1">
      <alignment horizontal="center"/>
      <protection locked="0"/>
    </xf>
    <xf numFmtId="0" fontId="4" fillId="0" borderId="229" xfId="4" applyBorder="1" applyAlignment="1" applyProtection="1">
      <alignment horizontal="center" vertical="center"/>
      <protection locked="0"/>
    </xf>
    <xf numFmtId="5" fontId="0" fillId="0" borderId="230" xfId="2" applyNumberFormat="1" applyFont="1" applyBorder="1" applyAlignment="1" applyProtection="1">
      <alignment horizontal="center"/>
      <protection locked="0"/>
    </xf>
    <xf numFmtId="5" fontId="0" fillId="0" borderId="231" xfId="2" applyNumberFormat="1" applyFont="1" applyBorder="1" applyAlignment="1" applyProtection="1">
      <alignment horizontal="center"/>
      <protection locked="0"/>
    </xf>
    <xf numFmtId="5" fontId="0" fillId="0" borderId="224" xfId="2" applyNumberFormat="1" applyFont="1" applyBorder="1" applyProtection="1">
      <protection locked="0"/>
    </xf>
    <xf numFmtId="0" fontId="5" fillId="0" borderId="224" xfId="0" applyFont="1" applyBorder="1" applyProtection="1">
      <protection locked="0"/>
    </xf>
    <xf numFmtId="0" fontId="15" fillId="0" borderId="149" xfId="0" applyFont="1" applyBorder="1" applyAlignment="1">
      <alignment horizontal="left" wrapText="1"/>
    </xf>
    <xf numFmtId="0" fontId="10" fillId="17" borderId="194" xfId="0" applyFont="1" applyFill="1" applyBorder="1" applyAlignment="1">
      <alignment horizontal="center" vertical="center"/>
    </xf>
    <xf numFmtId="0" fontId="5" fillId="0" borderId="127" xfId="0" applyFont="1" applyBorder="1" applyProtection="1">
      <protection locked="0"/>
    </xf>
    <xf numFmtId="0" fontId="10" fillId="0" borderId="196" xfId="0" applyFont="1" applyBorder="1" applyAlignment="1">
      <alignment vertical="center"/>
    </xf>
    <xf numFmtId="0" fontId="0" fillId="0" borderId="223" xfId="0" applyBorder="1" applyAlignment="1">
      <alignment vertical="top"/>
    </xf>
    <xf numFmtId="0" fontId="10" fillId="0" borderId="163" xfId="0" applyFont="1" applyBorder="1" applyAlignment="1">
      <alignment vertical="center"/>
    </xf>
    <xf numFmtId="0" fontId="10" fillId="0" borderId="163" xfId="0" quotePrefix="1" applyFont="1" applyBorder="1"/>
    <xf numFmtId="0" fontId="10" fillId="17" borderId="163" xfId="0" applyFont="1" applyFill="1" applyBorder="1" applyAlignment="1">
      <alignment horizontal="center"/>
    </xf>
    <xf numFmtId="0" fontId="5" fillId="19" borderId="232" xfId="0" applyFont="1" applyFill="1" applyBorder="1" applyProtection="1">
      <protection locked="0"/>
    </xf>
    <xf numFmtId="165" fontId="0" fillId="19" borderId="192" xfId="0" applyNumberFormat="1" applyFill="1" applyBorder="1" applyProtection="1">
      <protection locked="0"/>
    </xf>
    <xf numFmtId="0" fontId="0" fillId="19" borderId="233" xfId="0" applyFill="1" applyBorder="1" applyProtection="1">
      <protection locked="0"/>
    </xf>
    <xf numFmtId="0" fontId="5" fillId="19" borderId="233" xfId="0" applyFont="1" applyFill="1" applyBorder="1" applyProtection="1">
      <protection locked="0"/>
    </xf>
    <xf numFmtId="3" fontId="0" fillId="19" borderId="233" xfId="0" applyNumberFormat="1" applyFill="1" applyBorder="1" applyAlignment="1" applyProtection="1">
      <alignment horizontal="left"/>
      <protection locked="0"/>
    </xf>
    <xf numFmtId="0" fontId="5" fillId="19" borderId="224" xfId="0" applyFont="1" applyFill="1" applyBorder="1" applyProtection="1">
      <protection locked="0"/>
    </xf>
    <xf numFmtId="0" fontId="10" fillId="7" borderId="234" xfId="0" applyFont="1" applyFill="1" applyBorder="1" applyAlignment="1">
      <alignment horizontal="left"/>
    </xf>
    <xf numFmtId="0" fontId="23" fillId="7" borderId="222" xfId="0" applyFont="1" applyFill="1" applyBorder="1" applyAlignment="1">
      <alignment vertical="center" wrapText="1"/>
    </xf>
    <xf numFmtId="0" fontId="19" fillId="7" borderId="222" xfId="0" applyFont="1" applyFill="1" applyBorder="1" applyAlignment="1">
      <alignment vertical="center" wrapText="1"/>
    </xf>
    <xf numFmtId="0" fontId="19" fillId="7" borderId="222" xfId="0" applyFont="1" applyFill="1" applyBorder="1" applyAlignment="1">
      <alignment horizontal="left" vertical="center" wrapText="1"/>
    </xf>
    <xf numFmtId="0" fontId="10" fillId="7" borderId="222" xfId="0" applyFont="1" applyFill="1" applyBorder="1" applyAlignment="1">
      <alignment vertical="center" wrapText="1"/>
    </xf>
    <xf numFmtId="0" fontId="10" fillId="7" borderId="222" xfId="0" applyFont="1" applyFill="1" applyBorder="1" applyAlignment="1">
      <alignment horizontal="left" vertical="center" wrapText="1"/>
    </xf>
    <xf numFmtId="5" fontId="0" fillId="4" borderId="224" xfId="0" applyNumberFormat="1" applyFill="1" applyBorder="1" applyAlignment="1" applyProtection="1">
      <alignment horizontal="left"/>
      <protection locked="0"/>
    </xf>
    <xf numFmtId="0" fontId="0" fillId="0" borderId="235" xfId="0" applyBorder="1"/>
    <xf numFmtId="0" fontId="0" fillId="0" borderId="236" xfId="0" applyBorder="1" applyProtection="1">
      <protection locked="0"/>
    </xf>
    <xf numFmtId="0" fontId="0" fillId="0" borderId="237" xfId="0" applyBorder="1" applyProtection="1">
      <protection locked="0"/>
    </xf>
    <xf numFmtId="165" fontId="0" fillId="0" borderId="233" xfId="0" applyNumberFormat="1" applyBorder="1" applyProtection="1">
      <protection locked="0"/>
    </xf>
    <xf numFmtId="165" fontId="0" fillId="0" borderId="238" xfId="0" applyNumberFormat="1" applyBorder="1" applyProtection="1">
      <protection locked="0"/>
    </xf>
    <xf numFmtId="0" fontId="0" fillId="0" borderId="235" xfId="0" applyBorder="1" applyProtection="1">
      <protection locked="0"/>
    </xf>
    <xf numFmtId="0" fontId="0" fillId="0" borderId="236" xfId="0" applyBorder="1" applyAlignment="1" applyProtection="1">
      <alignment wrapText="1"/>
      <protection locked="0"/>
    </xf>
    <xf numFmtId="0" fontId="0" fillId="0" borderId="236" xfId="0" applyBorder="1" applyAlignment="1">
      <alignment wrapText="1"/>
    </xf>
    <xf numFmtId="0" fontId="0" fillId="0" borderId="238" xfId="0" applyBorder="1" applyProtection="1">
      <protection locked="0"/>
    </xf>
    <xf numFmtId="0" fontId="0" fillId="0" borderId="239" xfId="0" applyBorder="1" applyProtection="1">
      <protection locked="0"/>
    </xf>
    <xf numFmtId="0" fontId="0" fillId="0" borderId="231" xfId="0" applyBorder="1" applyProtection="1">
      <protection locked="0"/>
    </xf>
    <xf numFmtId="5" fontId="0" fillId="0" borderId="228" xfId="2" applyNumberFormat="1" applyFont="1" applyBorder="1" applyAlignment="1" applyProtection="1">
      <alignment horizontal="center"/>
      <protection locked="0"/>
    </xf>
  </cellXfs>
  <cellStyles count="13">
    <cellStyle name="Comma" xfId="1" builtinId="3"/>
    <cellStyle name="Comma 2" xfId="9" xr:uid="{4D3770E4-0299-4C7D-B315-7B2C57E0D853}"/>
    <cellStyle name="Currency" xfId="2" builtinId="4"/>
    <cellStyle name="Currency 2" xfId="7" xr:uid="{6706B34E-D86F-46D6-AD6B-43CC7231618B}"/>
    <cellStyle name="Header" xfId="10" xr:uid="{07B16932-76FB-47B4-AA8C-4A2E575CE6CB}"/>
    <cellStyle name="Hyperlink" xfId="4" builtinId="8"/>
    <cellStyle name="Normal" xfId="0" builtinId="0"/>
    <cellStyle name="Normal 2" xfId="5" xr:uid="{8EF1FB10-46B7-486E-A042-A018FB8FBC1F}"/>
    <cellStyle name="Normal 2 2 2" xfId="12" xr:uid="{70F30B77-D5A8-4C1F-8A27-8D426917AD0F}"/>
    <cellStyle name="Normal 24" xfId="6" xr:uid="{78AE7A8E-48C5-45D4-A12A-19EF61E48049}"/>
    <cellStyle name="Normal 63" xfId="11" xr:uid="{5E4EE900-F188-42F2-BBEF-81DC2AF34CB7}"/>
    <cellStyle name="Percent" xfId="3" builtinId="5"/>
    <cellStyle name="Percent 2" xfId="8" xr:uid="{0868223E-FE7E-4F95-A110-08C54D29C535}"/>
  </cellStyles>
  <dxfs count="150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74081</xdr:colOff>
      <xdr:row>0</xdr:row>
      <xdr:rowOff>63498</xdr:rowOff>
    </xdr:from>
    <xdr:to>
      <xdr:col>1</xdr:col>
      <xdr:colOff>1275391</xdr:colOff>
      <xdr:row>0</xdr:row>
      <xdr:rowOff>520698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81" y="63498"/>
          <a:ext cx="1582310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52915</xdr:colOff>
      <xdr:row>0</xdr:row>
      <xdr:rowOff>52915</xdr:rowOff>
    </xdr:from>
    <xdr:to>
      <xdr:col>1</xdr:col>
      <xdr:colOff>477409</xdr:colOff>
      <xdr:row>0</xdr:row>
      <xdr:rowOff>510115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15" y="52915"/>
          <a:ext cx="1578077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</xdr:col>
      <xdr:colOff>584566</xdr:colOff>
      <xdr:row>0</xdr:row>
      <xdr:rowOff>514350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7150"/>
          <a:ext cx="158231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55A1-955E-4083-A962-2666B5FB57DD}">
  <sheetPr>
    <tabColor rgb="FFFFFF00"/>
  </sheetPr>
  <dimension ref="A1:AQ106"/>
  <sheetViews>
    <sheetView zoomScale="90" zoomScaleNormal="90" workbookViewId="0">
      <selection activeCell="J7" sqref="J7"/>
    </sheetView>
  </sheetViews>
  <sheetFormatPr defaultRowHeight="15"/>
  <cols>
    <col min="1" max="1" width="5.28515625" customWidth="1"/>
    <col min="2" max="2" width="27.85546875" customWidth="1"/>
    <col min="3" max="3" width="12.7109375" style="70" customWidth="1"/>
    <col min="4" max="7" width="12.7109375" customWidth="1"/>
    <col min="8" max="8" width="12.7109375" style="39" customWidth="1"/>
    <col min="9" max="11" width="12.7109375" style="316" customWidth="1"/>
    <col min="12" max="12" width="12.7109375" style="39" customWidth="1"/>
    <col min="13" max="14" width="12.7109375" style="317" customWidth="1"/>
    <col min="15" max="17" width="12.7109375" style="39" customWidth="1"/>
    <col min="18" max="20" width="10.7109375" style="39" customWidth="1"/>
    <col min="21" max="43" width="9.140625" style="39"/>
  </cols>
  <sheetData>
    <row r="1" spans="1:43" ht="15.75" thickBot="1">
      <c r="A1">
        <v>110025</v>
      </c>
    </row>
    <row r="2" spans="1:43" ht="22.5" customHeight="1" thickTop="1" thickBot="1">
      <c r="B2" s="594" t="s">
        <v>0</v>
      </c>
      <c r="C2" s="595"/>
    </row>
    <row r="3" spans="1:43" ht="20.100000000000001" customHeight="1" thickTop="1"/>
    <row r="4" spans="1:43" ht="19.5" customHeight="1">
      <c r="B4" s="597" t="s">
        <v>1</v>
      </c>
      <c r="C4" s="597"/>
      <c r="D4" s="597"/>
      <c r="E4" s="597"/>
      <c r="F4" s="597"/>
      <c r="G4" s="597"/>
      <c r="H4" s="597"/>
    </row>
    <row r="5" spans="1:43" ht="15" customHeight="1">
      <c r="B5" s="596" t="s">
        <v>2</v>
      </c>
      <c r="C5" s="596"/>
      <c r="D5" s="596"/>
      <c r="E5" s="596"/>
      <c r="F5" s="26" t="s">
        <v>3</v>
      </c>
      <c r="G5" s="701">
        <f>E28</f>
        <v>389323</v>
      </c>
    </row>
    <row r="6" spans="1:43" ht="15" customHeight="1">
      <c r="B6" s="284"/>
      <c r="C6" s="331"/>
      <c r="D6" s="283"/>
      <c r="E6" s="283"/>
      <c r="F6" s="26" t="s">
        <v>4</v>
      </c>
      <c r="G6" s="701">
        <f>243055+18447</f>
        <v>261502</v>
      </c>
    </row>
    <row r="7" spans="1:43" ht="15" customHeight="1">
      <c r="B7" s="39"/>
      <c r="C7" s="317"/>
      <c r="F7" s="26" t="s">
        <v>5</v>
      </c>
      <c r="G7" s="702">
        <f>174581/43560</f>
        <v>4.0078282828282825</v>
      </c>
    </row>
    <row r="8" spans="1:43" ht="15" customHeight="1">
      <c r="B8" s="285"/>
      <c r="C8" s="332"/>
      <c r="F8" s="26" t="s">
        <v>6</v>
      </c>
      <c r="G8" s="701"/>
      <c r="M8" s="317" t="s">
        <v>7</v>
      </c>
      <c r="O8" s="316" t="s">
        <v>8</v>
      </c>
      <c r="P8" s="316" t="s">
        <v>9</v>
      </c>
      <c r="Q8" s="316" t="s">
        <v>10</v>
      </c>
    </row>
    <row r="9" spans="1:43" ht="15" customHeight="1">
      <c r="B9" s="286"/>
      <c r="C9" s="332"/>
      <c r="F9" s="26" t="s">
        <v>11</v>
      </c>
      <c r="G9" s="703">
        <f>N15</f>
        <v>296</v>
      </c>
      <c r="M9" s="317">
        <v>2</v>
      </c>
      <c r="N9" s="325">
        <f>SUM(O9:Q9)</f>
        <v>40</v>
      </c>
      <c r="O9" s="325"/>
      <c r="P9" s="325">
        <v>1</v>
      </c>
      <c r="Q9" s="325">
        <v>39</v>
      </c>
    </row>
    <row r="10" spans="1:43" ht="15" customHeight="1">
      <c r="B10" s="287"/>
      <c r="C10" s="333"/>
      <c r="F10" s="26" t="s">
        <v>12</v>
      </c>
      <c r="G10" s="703"/>
      <c r="M10" s="317">
        <v>3</v>
      </c>
      <c r="N10" s="325">
        <f t="shared" ref="N10:N13" si="0">SUM(O10:Q10)</f>
        <v>46</v>
      </c>
      <c r="O10" s="325"/>
      <c r="P10" s="325">
        <v>3</v>
      </c>
      <c r="Q10" s="325">
        <v>43</v>
      </c>
    </row>
    <row r="11" spans="1:43" ht="15" customHeight="1">
      <c r="B11" s="288"/>
      <c r="F11" s="26"/>
      <c r="G11" s="73"/>
      <c r="M11" s="317">
        <v>4</v>
      </c>
      <c r="N11" s="325">
        <f t="shared" si="0"/>
        <v>62</v>
      </c>
      <c r="O11" s="325"/>
      <c r="P11" s="325">
        <v>6</v>
      </c>
      <c r="Q11" s="325">
        <v>56</v>
      </c>
    </row>
    <row r="12" spans="1:43" ht="15.75" thickBot="1">
      <c r="B12" s="288"/>
      <c r="F12" s="26"/>
      <c r="G12" s="289"/>
      <c r="M12" s="317">
        <v>5</v>
      </c>
      <c r="N12" s="325">
        <f t="shared" si="0"/>
        <v>62</v>
      </c>
      <c r="O12" s="325"/>
      <c r="P12" s="325">
        <v>6</v>
      </c>
      <c r="Q12" s="325">
        <v>56</v>
      </c>
    </row>
    <row r="13" spans="1:43" s="292" customFormat="1" ht="15" customHeight="1">
      <c r="A13" s="290" t="s">
        <v>13</v>
      </c>
      <c r="B13" s="704" t="s">
        <v>14</v>
      </c>
      <c r="C13" s="291" t="s">
        <v>15</v>
      </c>
      <c r="D13" s="291" t="s">
        <v>16</v>
      </c>
      <c r="E13" s="291" t="s">
        <v>17</v>
      </c>
      <c r="F13" s="291" t="s">
        <v>18</v>
      </c>
      <c r="G13" s="705"/>
      <c r="H13" s="39"/>
      <c r="I13" s="323"/>
      <c r="J13" s="323"/>
      <c r="K13" s="323"/>
      <c r="L13" s="324"/>
      <c r="M13" s="317">
        <v>6</v>
      </c>
      <c r="N13" s="325">
        <f t="shared" si="0"/>
        <v>62</v>
      </c>
      <c r="O13" s="326"/>
      <c r="P13" s="326">
        <v>6</v>
      </c>
      <c r="Q13" s="326">
        <v>56</v>
      </c>
      <c r="R13" s="324"/>
      <c r="S13" s="324"/>
      <c r="T13" s="324"/>
      <c r="U13" s="324"/>
      <c r="V13" s="324"/>
      <c r="W13" s="324"/>
      <c r="X13" s="324"/>
      <c r="Y13" s="324"/>
      <c r="Z13" s="324"/>
      <c r="AA13" s="324"/>
      <c r="AB13" s="319"/>
      <c r="AC13" s="319"/>
      <c r="AD13" s="319"/>
      <c r="AE13" s="319"/>
      <c r="AF13" s="319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</row>
    <row r="14" spans="1:43" s="26" customFormat="1" ht="15" customHeight="1">
      <c r="B14" s="280" t="s">
        <v>19</v>
      </c>
      <c r="C14" s="214"/>
      <c r="D14" s="214"/>
      <c r="E14" s="214">
        <v>110025</v>
      </c>
      <c r="G14" s="293"/>
      <c r="H14" s="320"/>
      <c r="I14" s="321"/>
      <c r="J14" s="321"/>
      <c r="K14" s="321"/>
      <c r="L14" s="320"/>
      <c r="M14" s="322">
        <v>7</v>
      </c>
      <c r="N14" s="325">
        <v>24</v>
      </c>
      <c r="O14" s="325">
        <v>3</v>
      </c>
      <c r="P14" s="325">
        <v>1</v>
      </c>
      <c r="Q14" s="325">
        <v>20</v>
      </c>
      <c r="R14" s="320"/>
      <c r="S14" s="320"/>
      <c r="T14" s="320"/>
      <c r="U14" s="320"/>
      <c r="V14" s="320"/>
      <c r="W14" s="320"/>
      <c r="X14" s="320"/>
      <c r="Y14" s="320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0"/>
      <c r="AK14" s="320"/>
      <c r="AL14" s="320"/>
      <c r="AM14" s="320"/>
      <c r="AN14" s="320"/>
      <c r="AO14" s="320"/>
      <c r="AP14" s="320"/>
      <c r="AQ14" s="320"/>
    </row>
    <row r="15" spans="1:43" s="26" customFormat="1" ht="15" customHeight="1">
      <c r="B15" s="280" t="s">
        <v>20</v>
      </c>
      <c r="C15" s="214"/>
      <c r="D15" s="214"/>
      <c r="E15" s="214">
        <f>SUM(I15:K15)</f>
        <v>15680</v>
      </c>
      <c r="F15" s="294"/>
      <c r="G15" s="293"/>
      <c r="H15" s="320"/>
      <c r="I15" s="321">
        <v>10434</v>
      </c>
      <c r="J15" s="321">
        <v>4259</v>
      </c>
      <c r="K15" s="321">
        <v>987</v>
      </c>
      <c r="L15" s="320"/>
      <c r="M15" s="322"/>
      <c r="N15" s="325">
        <f>SUM(N9:N14)</f>
        <v>296</v>
      </c>
      <c r="O15" s="325">
        <f t="shared" ref="O15:Q15" si="1">SUM(O9:O14)</f>
        <v>3</v>
      </c>
      <c r="P15" s="325">
        <f t="shared" si="1"/>
        <v>23</v>
      </c>
      <c r="Q15" s="325">
        <f t="shared" si="1"/>
        <v>270</v>
      </c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</row>
    <row r="16" spans="1:43" s="26" customFormat="1" ht="15" customHeight="1">
      <c r="B16" s="280" t="s">
        <v>21</v>
      </c>
      <c r="C16" s="214"/>
      <c r="D16" s="214"/>
      <c r="E16" s="214">
        <v>7081</v>
      </c>
      <c r="F16" s="294"/>
      <c r="G16" s="293"/>
      <c r="H16" s="320"/>
      <c r="I16" s="321"/>
      <c r="J16" s="321"/>
      <c r="K16" s="321"/>
      <c r="L16" s="320"/>
      <c r="M16" s="322"/>
      <c r="N16" s="322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20"/>
      <c r="Z16" s="320"/>
      <c r="AA16" s="320"/>
      <c r="AB16" s="320"/>
      <c r="AC16" s="320"/>
      <c r="AD16" s="320"/>
      <c r="AE16" s="320"/>
      <c r="AF16" s="320"/>
      <c r="AG16" s="320"/>
      <c r="AH16" s="320"/>
      <c r="AI16" s="320"/>
      <c r="AJ16" s="320"/>
      <c r="AK16" s="320"/>
      <c r="AL16" s="320"/>
      <c r="AM16" s="320"/>
      <c r="AN16" s="320"/>
      <c r="AO16" s="320"/>
      <c r="AP16" s="320"/>
      <c r="AQ16" s="320"/>
    </row>
    <row r="17" spans="1:43" s="26" customFormat="1" ht="15" customHeight="1">
      <c r="B17" s="280" t="s">
        <v>22</v>
      </c>
      <c r="C17" s="214"/>
      <c r="D17" s="214"/>
      <c r="E17" s="214">
        <v>41647</v>
      </c>
      <c r="F17" s="294"/>
      <c r="G17" s="293"/>
      <c r="H17" s="320"/>
      <c r="I17" s="321"/>
      <c r="J17" s="321"/>
      <c r="K17" s="321"/>
      <c r="L17" s="320"/>
      <c r="M17" s="322"/>
      <c r="N17" s="322"/>
      <c r="O17" s="320"/>
      <c r="P17" s="320"/>
      <c r="Q17" s="320"/>
      <c r="R17" s="320"/>
      <c r="S17" s="320"/>
      <c r="T17" s="320"/>
      <c r="U17" s="320"/>
      <c r="V17" s="320"/>
      <c r="W17" s="320"/>
      <c r="X17" s="320"/>
      <c r="Y17" s="320"/>
      <c r="Z17" s="320"/>
      <c r="AA17" s="320"/>
      <c r="AB17" s="320"/>
      <c r="AC17" s="320"/>
      <c r="AD17" s="320"/>
      <c r="AE17" s="320"/>
      <c r="AF17" s="320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</row>
    <row r="18" spans="1:43" s="26" customFormat="1" ht="15" customHeight="1">
      <c r="B18" s="280" t="s">
        <v>23</v>
      </c>
      <c r="C18" s="214"/>
      <c r="D18" s="214"/>
      <c r="E18" s="214">
        <f>SUM(I18:K18)</f>
        <v>175894</v>
      </c>
      <c r="F18" s="294"/>
      <c r="G18" s="293"/>
      <c r="H18" s="320"/>
      <c r="I18" s="321">
        <v>37358</v>
      </c>
      <c r="J18" s="321">
        <v>34634</v>
      </c>
      <c r="K18" s="321">
        <f>34634*3</f>
        <v>103902</v>
      </c>
      <c r="L18" s="320"/>
      <c r="M18" s="322"/>
      <c r="N18" s="322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  <c r="AC18" s="320"/>
      <c r="AD18" s="320"/>
      <c r="AE18" s="320"/>
      <c r="AF18" s="320"/>
      <c r="AG18" s="320"/>
      <c r="AH18" s="320"/>
      <c r="AI18" s="320"/>
      <c r="AJ18" s="320"/>
      <c r="AK18" s="320"/>
      <c r="AL18" s="320"/>
      <c r="AM18" s="320"/>
      <c r="AN18" s="320"/>
      <c r="AO18" s="320"/>
      <c r="AP18" s="320"/>
      <c r="AQ18" s="320"/>
    </row>
    <row r="19" spans="1:43" s="26" customFormat="1" ht="15" customHeight="1">
      <c r="B19" s="280" t="s">
        <v>24</v>
      </c>
      <c r="C19" s="214"/>
      <c r="D19" s="214"/>
      <c r="E19" s="214">
        <v>31962</v>
      </c>
      <c r="F19" s="294"/>
      <c r="G19" s="293"/>
      <c r="H19" s="320"/>
      <c r="I19" s="321"/>
      <c r="J19" s="321"/>
      <c r="K19" s="321"/>
      <c r="L19" s="320"/>
      <c r="M19" s="322"/>
      <c r="N19" s="322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320"/>
      <c r="AB19" s="320"/>
      <c r="AC19" s="320"/>
      <c r="AD19" s="320"/>
      <c r="AE19" s="320"/>
      <c r="AF19" s="320"/>
      <c r="AG19" s="320"/>
      <c r="AH19" s="320"/>
      <c r="AI19" s="320"/>
      <c r="AJ19" s="320"/>
      <c r="AK19" s="320"/>
      <c r="AL19" s="320"/>
      <c r="AM19" s="320"/>
      <c r="AN19" s="320"/>
      <c r="AO19" s="320"/>
      <c r="AP19" s="320"/>
      <c r="AQ19" s="320"/>
    </row>
    <row r="20" spans="1:43" s="26" customFormat="1" ht="15" customHeight="1">
      <c r="B20" s="280" t="s">
        <v>25</v>
      </c>
      <c r="C20" s="214"/>
      <c r="D20" s="214"/>
      <c r="E20" s="214">
        <v>4950</v>
      </c>
      <c r="F20" s="294"/>
      <c r="G20" s="293"/>
      <c r="H20" s="320"/>
      <c r="I20" s="321"/>
      <c r="J20" s="321"/>
      <c r="K20" s="321"/>
      <c r="L20" s="320"/>
      <c r="M20" s="322"/>
      <c r="N20" s="322"/>
      <c r="O20" s="320"/>
      <c r="P20" s="320"/>
      <c r="Q20" s="320"/>
      <c r="R20" s="320"/>
      <c r="S20" s="320"/>
      <c r="T20" s="320"/>
      <c r="U20" s="320"/>
      <c r="V20" s="320"/>
      <c r="W20" s="320"/>
      <c r="X20" s="320"/>
      <c r="Y20" s="320"/>
      <c r="Z20" s="320"/>
      <c r="AA20" s="320"/>
      <c r="AB20" s="320"/>
      <c r="AC20" s="320"/>
      <c r="AD20" s="320"/>
      <c r="AE20" s="320"/>
      <c r="AF20" s="320"/>
      <c r="AG20" s="320"/>
      <c r="AH20" s="320"/>
      <c r="AI20" s="320"/>
      <c r="AJ20" s="320"/>
      <c r="AK20" s="320"/>
      <c r="AL20" s="320"/>
      <c r="AM20" s="320"/>
      <c r="AN20" s="320"/>
      <c r="AO20" s="320"/>
      <c r="AP20" s="320"/>
      <c r="AQ20" s="320"/>
    </row>
    <row r="21" spans="1:43" s="26" customFormat="1" ht="15" customHeight="1">
      <c r="B21" s="280" t="s">
        <v>26</v>
      </c>
      <c r="C21" s="214"/>
      <c r="D21" s="214"/>
      <c r="E21" s="214">
        <f>1037+1047</f>
        <v>2084</v>
      </c>
      <c r="F21" s="294"/>
      <c r="G21" s="293"/>
      <c r="H21" s="320"/>
      <c r="I21" s="321"/>
      <c r="J21" s="321"/>
      <c r="K21" s="321"/>
      <c r="L21" s="320"/>
      <c r="M21" s="322"/>
      <c r="N21" s="322"/>
      <c r="O21" s="320"/>
      <c r="P21" s="320"/>
      <c r="Q21" s="320"/>
      <c r="R21" s="320"/>
      <c r="S21" s="320"/>
      <c r="T21" s="320"/>
      <c r="U21" s="320"/>
      <c r="V21" s="320"/>
      <c r="W21" s="320"/>
      <c r="X21" s="320"/>
      <c r="Y21" s="320"/>
      <c r="Z21" s="320"/>
      <c r="AA21" s="320"/>
      <c r="AB21" s="320"/>
      <c r="AC21" s="320"/>
      <c r="AD21" s="320"/>
      <c r="AE21" s="320"/>
      <c r="AF21" s="320"/>
      <c r="AG21" s="320"/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</row>
    <row r="22" spans="1:43" s="26" customFormat="1" ht="15" customHeight="1">
      <c r="B22" s="280"/>
      <c r="C22" s="214"/>
      <c r="D22" s="214"/>
      <c r="E22" s="214"/>
      <c r="F22" s="294"/>
      <c r="G22" s="293"/>
      <c r="H22" s="320"/>
      <c r="I22" s="321"/>
      <c r="J22" s="321"/>
      <c r="K22" s="321"/>
      <c r="L22" s="320"/>
      <c r="M22" s="322"/>
      <c r="N22" s="322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20"/>
      <c r="Z22" s="320"/>
      <c r="AA22" s="320"/>
      <c r="AB22" s="320"/>
      <c r="AC22" s="320"/>
      <c r="AD22" s="320"/>
      <c r="AE22" s="320"/>
      <c r="AF22" s="320"/>
      <c r="AG22" s="320"/>
      <c r="AH22" s="320"/>
      <c r="AI22" s="320"/>
      <c r="AJ22" s="320"/>
      <c r="AK22" s="320"/>
      <c r="AL22" s="320"/>
      <c r="AM22" s="320"/>
      <c r="AN22" s="320"/>
      <c r="AO22" s="320"/>
      <c r="AP22" s="320"/>
      <c r="AQ22" s="320"/>
    </row>
    <row r="23" spans="1:43" s="26" customFormat="1" ht="15" customHeight="1">
      <c r="B23" s="280"/>
      <c r="C23" s="214"/>
      <c r="D23" s="214"/>
      <c r="E23" s="214"/>
      <c r="F23" s="294"/>
      <c r="G23" s="293"/>
      <c r="H23" s="320"/>
      <c r="I23" s="321"/>
      <c r="J23" s="321"/>
      <c r="K23" s="321"/>
      <c r="L23" s="320"/>
      <c r="M23" s="322"/>
      <c r="N23" s="322"/>
      <c r="O23" s="320"/>
      <c r="P23" s="320"/>
      <c r="Q23" s="320"/>
      <c r="R23" s="320"/>
      <c r="S23" s="320"/>
      <c r="T23" s="320"/>
      <c r="U23" s="320"/>
      <c r="V23" s="320"/>
      <c r="W23" s="320"/>
      <c r="X23" s="320"/>
      <c r="Y23" s="320"/>
      <c r="Z23" s="320"/>
      <c r="AA23" s="320"/>
      <c r="AB23" s="320"/>
      <c r="AC23" s="320"/>
      <c r="AD23" s="320"/>
      <c r="AE23" s="320"/>
      <c r="AF23" s="320"/>
      <c r="AG23" s="320"/>
      <c r="AH23" s="320"/>
      <c r="AI23" s="320"/>
      <c r="AJ23" s="320"/>
      <c r="AK23" s="320"/>
      <c r="AL23" s="320"/>
      <c r="AM23" s="320"/>
      <c r="AN23" s="320"/>
      <c r="AO23" s="320"/>
      <c r="AP23" s="320"/>
      <c r="AQ23" s="320"/>
    </row>
    <row r="24" spans="1:43" s="26" customFormat="1" ht="15" customHeight="1">
      <c r="B24" s="280"/>
      <c r="C24" s="214"/>
      <c r="D24" s="214"/>
      <c r="E24" s="214"/>
      <c r="F24" s="294"/>
      <c r="G24" s="293"/>
      <c r="H24" s="320"/>
      <c r="I24" s="321"/>
      <c r="J24" s="321"/>
      <c r="K24" s="321"/>
      <c r="L24" s="320"/>
      <c r="M24" s="322"/>
      <c r="N24" s="322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20"/>
      <c r="Z24" s="320"/>
      <c r="AA24" s="320"/>
      <c r="AB24" s="320"/>
      <c r="AC24" s="320"/>
      <c r="AD24" s="320"/>
      <c r="AE24" s="320"/>
      <c r="AF24" s="320"/>
      <c r="AG24" s="320"/>
      <c r="AH24" s="320"/>
      <c r="AI24" s="320"/>
      <c r="AJ24" s="320"/>
      <c r="AK24" s="320"/>
      <c r="AL24" s="320"/>
      <c r="AM24" s="320"/>
      <c r="AN24" s="320"/>
      <c r="AO24" s="320"/>
      <c r="AP24" s="320"/>
      <c r="AQ24" s="320"/>
    </row>
    <row r="25" spans="1:43" s="26" customFormat="1" ht="15" customHeight="1">
      <c r="B25" s="280"/>
      <c r="C25" s="214"/>
      <c r="D25" s="214"/>
      <c r="E25" s="214"/>
      <c r="F25" s="294"/>
      <c r="G25" s="293"/>
      <c r="H25" s="320"/>
      <c r="I25" s="321"/>
      <c r="J25" s="321"/>
      <c r="K25" s="321"/>
      <c r="L25" s="320"/>
      <c r="M25" s="322"/>
      <c r="N25" s="322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320"/>
      <c r="AB25" s="320"/>
      <c r="AC25" s="320"/>
      <c r="AD25" s="320"/>
      <c r="AE25" s="320"/>
      <c r="AF25" s="320"/>
      <c r="AG25" s="320"/>
      <c r="AH25" s="320"/>
      <c r="AI25" s="320"/>
      <c r="AJ25" s="320"/>
      <c r="AK25" s="320"/>
      <c r="AL25" s="320"/>
      <c r="AM25" s="320"/>
      <c r="AN25" s="320"/>
      <c r="AO25" s="320"/>
      <c r="AP25" s="320"/>
      <c r="AQ25" s="320"/>
    </row>
    <row r="26" spans="1:43" s="26" customFormat="1" ht="15" customHeight="1">
      <c r="B26" s="280"/>
      <c r="C26" s="214"/>
      <c r="D26" s="281"/>
      <c r="G26" s="293"/>
      <c r="H26" s="320"/>
      <c r="I26" s="321"/>
      <c r="J26" s="321"/>
      <c r="K26" s="321"/>
      <c r="L26" s="320"/>
      <c r="M26" s="322"/>
      <c r="N26" s="322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Z26" s="320"/>
      <c r="AA26" s="320"/>
      <c r="AB26" s="320"/>
      <c r="AC26" s="320"/>
      <c r="AD26" s="320"/>
      <c r="AE26" s="320"/>
      <c r="AF26" s="320"/>
      <c r="AG26" s="320"/>
      <c r="AH26" s="320"/>
      <c r="AI26" s="320"/>
      <c r="AJ26" s="320"/>
      <c r="AK26" s="320"/>
      <c r="AL26" s="320"/>
      <c r="AM26" s="320"/>
      <c r="AN26" s="320"/>
      <c r="AO26" s="320"/>
      <c r="AP26" s="320"/>
      <c r="AQ26" s="320"/>
    </row>
    <row r="27" spans="1:43" s="26" customFormat="1" ht="15" customHeight="1">
      <c r="B27" s="280"/>
      <c r="C27" s="214"/>
      <c r="D27" s="281"/>
      <c r="G27" s="282"/>
      <c r="H27" s="320"/>
      <c r="I27" s="321"/>
      <c r="J27" s="321"/>
      <c r="K27" s="321"/>
      <c r="L27" s="320"/>
      <c r="M27" s="322"/>
      <c r="N27" s="322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Y27" s="320"/>
      <c r="Z27" s="320"/>
      <c r="AA27" s="320"/>
      <c r="AB27" s="320"/>
      <c r="AC27" s="320"/>
      <c r="AD27" s="320"/>
      <c r="AE27" s="320"/>
      <c r="AF27" s="320"/>
      <c r="AG27" s="320"/>
      <c r="AH27" s="320"/>
      <c r="AI27" s="320"/>
      <c r="AJ27" s="320"/>
      <c r="AK27" s="320"/>
      <c r="AL27" s="320"/>
      <c r="AM27" s="320"/>
      <c r="AN27" s="320"/>
      <c r="AO27" s="320"/>
      <c r="AP27" s="320"/>
      <c r="AQ27" s="320"/>
    </row>
    <row r="28" spans="1:43" s="26" customFormat="1" ht="15" customHeight="1" thickBot="1">
      <c r="B28" s="475" t="s">
        <v>27</v>
      </c>
      <c r="C28" s="296">
        <f t="shared" ref="C28:E28" si="2">SUM(C14:C27)</f>
        <v>0</v>
      </c>
      <c r="D28" s="296">
        <f t="shared" si="2"/>
        <v>0</v>
      </c>
      <c r="E28" s="296">
        <f t="shared" si="2"/>
        <v>389323</v>
      </c>
      <c r="F28" s="295">
        <f>SUM(F14:F27)</f>
        <v>0</v>
      </c>
      <c r="G28" s="476"/>
      <c r="H28" s="320"/>
      <c r="I28" s="321"/>
      <c r="J28" s="321"/>
      <c r="K28" s="321"/>
      <c r="L28" s="320"/>
      <c r="M28" s="322"/>
      <c r="N28" s="322"/>
      <c r="O28" s="320"/>
      <c r="P28" s="320"/>
      <c r="Q28" s="320"/>
      <c r="R28" s="320"/>
      <c r="S28" s="320"/>
      <c r="T28" s="320"/>
      <c r="U28" s="320"/>
      <c r="V28" s="320"/>
      <c r="W28" s="320"/>
      <c r="X28" s="320"/>
      <c r="Y28" s="320"/>
      <c r="Z28" s="320"/>
      <c r="AA28" s="320"/>
      <c r="AB28" s="320"/>
      <c r="AC28" s="320"/>
      <c r="AD28" s="320"/>
      <c r="AE28" s="320"/>
      <c r="AF28" s="320"/>
      <c r="AG28" s="320"/>
      <c r="AH28" s="320"/>
      <c r="AI28" s="320"/>
      <c r="AJ28" s="320"/>
      <c r="AK28" s="320"/>
      <c r="AL28" s="320"/>
      <c r="AM28" s="320"/>
      <c r="AN28" s="320"/>
      <c r="AO28" s="320"/>
      <c r="AP28" s="320"/>
      <c r="AQ28" s="320"/>
    </row>
    <row r="29" spans="1:43" ht="15" customHeight="1"/>
    <row r="30" spans="1:43" s="316" customFormat="1">
      <c r="C30" s="316" t="s">
        <v>28</v>
      </c>
      <c r="D30" s="316" t="s">
        <v>29</v>
      </c>
      <c r="E30" s="327" t="s">
        <v>30</v>
      </c>
      <c r="F30" s="327" t="s">
        <v>31</v>
      </c>
      <c r="G30" s="327" t="s">
        <v>32</v>
      </c>
      <c r="H30" s="339" t="s">
        <v>33</v>
      </c>
      <c r="I30" s="327" t="s">
        <v>34</v>
      </c>
    </row>
    <row r="31" spans="1:43" s="316" customFormat="1">
      <c r="B31" s="316" t="s">
        <v>35</v>
      </c>
      <c r="C31" s="527">
        <f>C62+C63+C90</f>
        <v>39203</v>
      </c>
    </row>
    <row r="32" spans="1:43" s="298" customFormat="1" ht="17.25" hidden="1" customHeight="1">
      <c r="A32" s="334" t="s">
        <v>36</v>
      </c>
      <c r="B32" s="316" t="s">
        <v>37</v>
      </c>
      <c r="C32" s="527">
        <f t="shared" ref="C32:C49" si="3">SUM(E32:I32)</f>
        <v>0</v>
      </c>
      <c r="D32" s="328"/>
      <c r="E32" s="328"/>
      <c r="F32" s="328"/>
      <c r="G32" s="335"/>
      <c r="H32" s="316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  <c r="AA32" s="323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18"/>
      <c r="AN32" s="318"/>
      <c r="AO32" s="318"/>
      <c r="AP32" s="318"/>
      <c r="AQ32" s="318"/>
    </row>
    <row r="33" spans="1:43" s="297" customFormat="1" ht="15" hidden="1" customHeight="1">
      <c r="B33" s="316" t="s">
        <v>37</v>
      </c>
      <c r="C33" s="527">
        <f t="shared" si="3"/>
        <v>0</v>
      </c>
      <c r="D33" s="329"/>
      <c r="E33" s="329"/>
      <c r="F33" s="329"/>
      <c r="G33" s="528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6"/>
      <c r="S33" s="316"/>
      <c r="T33" s="316"/>
      <c r="U33" s="316"/>
      <c r="V33" s="316"/>
      <c r="W33" s="316"/>
      <c r="X33" s="316"/>
      <c r="Y33" s="316"/>
      <c r="Z33" s="316"/>
      <c r="AA33" s="316"/>
      <c r="AB33" s="316"/>
      <c r="AC33" s="316"/>
      <c r="AD33" s="316"/>
      <c r="AE33" s="316"/>
      <c r="AF33" s="316"/>
      <c r="AG33" s="316"/>
      <c r="AH33" s="316"/>
      <c r="AI33" s="316"/>
      <c r="AJ33" s="316"/>
      <c r="AK33" s="316"/>
      <c r="AL33" s="316"/>
      <c r="AM33" s="316"/>
      <c r="AN33" s="316"/>
      <c r="AO33" s="316"/>
      <c r="AP33" s="316"/>
      <c r="AQ33" s="316"/>
    </row>
    <row r="34" spans="1:43" s="297" customFormat="1" ht="15" hidden="1" customHeight="1">
      <c r="B34" s="316" t="s">
        <v>37</v>
      </c>
      <c r="C34" s="527">
        <f t="shared" si="3"/>
        <v>0</v>
      </c>
      <c r="H34" s="316"/>
      <c r="I34" s="316"/>
      <c r="J34" s="316"/>
      <c r="K34" s="316"/>
      <c r="L34" s="316"/>
      <c r="M34" s="316"/>
      <c r="N34" s="316"/>
      <c r="O34" s="316"/>
      <c r="P34" s="316"/>
      <c r="Q34" s="316"/>
      <c r="R34" s="316"/>
      <c r="S34" s="316"/>
      <c r="T34" s="316"/>
      <c r="U34" s="316"/>
      <c r="V34" s="316"/>
      <c r="W34" s="316"/>
      <c r="X34" s="316"/>
      <c r="Y34" s="316"/>
      <c r="Z34" s="316"/>
      <c r="AA34" s="316"/>
      <c r="AB34" s="316"/>
      <c r="AC34" s="316"/>
      <c r="AD34" s="316"/>
      <c r="AE34" s="316"/>
      <c r="AF34" s="316"/>
      <c r="AG34" s="316"/>
      <c r="AH34" s="316"/>
      <c r="AI34" s="316"/>
      <c r="AJ34" s="316"/>
      <c r="AK34" s="316"/>
      <c r="AL34" s="316"/>
      <c r="AM34" s="316"/>
      <c r="AN34" s="316"/>
      <c r="AO34" s="316"/>
      <c r="AP34" s="316"/>
      <c r="AQ34" s="316"/>
    </row>
    <row r="35" spans="1:43" s="297" customFormat="1" ht="15" hidden="1" customHeight="1">
      <c r="B35" s="316" t="s">
        <v>37</v>
      </c>
      <c r="C35" s="527">
        <f t="shared" si="3"/>
        <v>0</v>
      </c>
      <c r="H35" s="316"/>
      <c r="I35" s="316"/>
      <c r="J35" s="316"/>
      <c r="K35" s="316"/>
      <c r="L35" s="316"/>
      <c r="M35" s="316"/>
      <c r="N35" s="316"/>
      <c r="O35" s="316"/>
      <c r="P35" s="316"/>
      <c r="Q35" s="316"/>
      <c r="R35" s="316"/>
      <c r="S35" s="316"/>
      <c r="T35" s="316"/>
      <c r="U35" s="316"/>
      <c r="V35" s="316"/>
      <c r="W35" s="316"/>
      <c r="X35" s="316"/>
      <c r="Y35" s="316"/>
      <c r="Z35" s="316"/>
      <c r="AA35" s="316"/>
      <c r="AB35" s="316"/>
      <c r="AC35" s="316"/>
      <c r="AD35" s="316"/>
      <c r="AE35" s="316"/>
      <c r="AF35" s="316"/>
      <c r="AG35" s="316"/>
      <c r="AH35" s="316"/>
      <c r="AI35" s="316"/>
      <c r="AJ35" s="316"/>
      <c r="AK35" s="316"/>
      <c r="AL35" s="316"/>
      <c r="AM35" s="316"/>
      <c r="AN35" s="316"/>
      <c r="AO35" s="316"/>
      <c r="AP35" s="316"/>
      <c r="AQ35" s="316"/>
    </row>
    <row r="36" spans="1:43" s="297" customFormat="1" ht="15" hidden="1" customHeight="1">
      <c r="B36" s="316" t="s">
        <v>37</v>
      </c>
      <c r="C36" s="527">
        <f t="shared" si="3"/>
        <v>0</v>
      </c>
      <c r="H36" s="316"/>
      <c r="I36" s="316"/>
      <c r="J36" s="316"/>
      <c r="K36" s="316"/>
      <c r="L36" s="316"/>
      <c r="M36" s="316"/>
      <c r="N36" s="316"/>
      <c r="O36" s="316"/>
      <c r="P36" s="316"/>
      <c r="Q36" s="316"/>
      <c r="R36" s="316"/>
      <c r="S36" s="316"/>
      <c r="T36" s="316"/>
      <c r="U36" s="316"/>
      <c r="V36" s="316"/>
      <c r="W36" s="316"/>
      <c r="X36" s="316"/>
      <c r="Y36" s="316"/>
      <c r="Z36" s="316"/>
      <c r="AA36" s="316"/>
      <c r="AB36" s="316"/>
      <c r="AC36" s="316"/>
      <c r="AD36" s="316"/>
      <c r="AE36" s="316"/>
      <c r="AF36" s="316"/>
      <c r="AG36" s="316"/>
      <c r="AH36" s="316"/>
      <c r="AI36" s="316"/>
      <c r="AJ36" s="316"/>
      <c r="AK36" s="316"/>
      <c r="AL36" s="316"/>
      <c r="AM36" s="316"/>
      <c r="AN36" s="316"/>
      <c r="AO36" s="316"/>
      <c r="AP36" s="316"/>
      <c r="AQ36" s="316"/>
    </row>
    <row r="37" spans="1:43" s="297" customFormat="1" ht="15" hidden="1" customHeight="1">
      <c r="B37" s="316" t="s">
        <v>37</v>
      </c>
      <c r="C37" s="527">
        <f t="shared" si="3"/>
        <v>0</v>
      </c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316"/>
      <c r="W37" s="316"/>
      <c r="X37" s="316"/>
      <c r="Y37" s="316"/>
      <c r="Z37" s="316"/>
      <c r="AA37" s="316"/>
      <c r="AB37" s="316"/>
      <c r="AC37" s="316"/>
      <c r="AD37" s="316"/>
      <c r="AE37" s="316"/>
      <c r="AF37" s="316"/>
      <c r="AG37" s="316"/>
      <c r="AH37" s="316"/>
      <c r="AI37" s="316"/>
      <c r="AJ37" s="316"/>
      <c r="AK37" s="316"/>
      <c r="AL37" s="316"/>
      <c r="AM37" s="316"/>
      <c r="AN37" s="316"/>
      <c r="AO37" s="316"/>
      <c r="AP37" s="316"/>
      <c r="AQ37" s="316"/>
    </row>
    <row r="38" spans="1:43" s="297" customFormat="1" ht="15" hidden="1" customHeight="1">
      <c r="B38" s="316" t="s">
        <v>37</v>
      </c>
      <c r="C38" s="527">
        <f t="shared" si="3"/>
        <v>0</v>
      </c>
      <c r="H38" s="316"/>
      <c r="I38" s="316"/>
      <c r="J38" s="316"/>
      <c r="K38" s="316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  <c r="AG38" s="316"/>
      <c r="AH38" s="316"/>
      <c r="AI38" s="316"/>
      <c r="AJ38" s="316"/>
      <c r="AK38" s="316"/>
      <c r="AL38" s="316"/>
      <c r="AM38" s="316"/>
      <c r="AN38" s="316"/>
      <c r="AO38" s="316"/>
      <c r="AP38" s="316"/>
      <c r="AQ38" s="316"/>
    </row>
    <row r="39" spans="1:43" s="298" customFormat="1" ht="17.25" hidden="1" customHeight="1">
      <c r="A39" s="334" t="s">
        <v>38</v>
      </c>
      <c r="B39" s="316" t="s">
        <v>37</v>
      </c>
      <c r="C39" s="527">
        <f t="shared" si="3"/>
        <v>0</v>
      </c>
      <c r="D39" s="328"/>
      <c r="E39" s="328"/>
      <c r="F39" s="328"/>
      <c r="G39" s="335"/>
      <c r="H39" s="316"/>
      <c r="I39" s="323"/>
      <c r="J39" s="323"/>
      <c r="K39" s="323"/>
      <c r="L39" s="323"/>
      <c r="M39" s="323"/>
      <c r="N39" s="323"/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3"/>
      <c r="Z39" s="323"/>
      <c r="AA39" s="323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</row>
    <row r="40" spans="1:43" s="297" customFormat="1" ht="15" hidden="1" customHeight="1">
      <c r="B40" s="316" t="s">
        <v>37</v>
      </c>
      <c r="C40" s="527">
        <f t="shared" si="3"/>
        <v>0</v>
      </c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  <c r="AG40" s="316"/>
      <c r="AH40" s="316"/>
      <c r="AI40" s="316"/>
      <c r="AJ40" s="316"/>
      <c r="AK40" s="316"/>
      <c r="AL40" s="316"/>
      <c r="AM40" s="316"/>
      <c r="AN40" s="316"/>
      <c r="AO40" s="316"/>
      <c r="AP40" s="316"/>
      <c r="AQ40" s="316"/>
    </row>
    <row r="41" spans="1:43" s="297" customFormat="1" ht="15" hidden="1" customHeight="1">
      <c r="B41" s="316" t="s">
        <v>37</v>
      </c>
      <c r="C41" s="527">
        <f t="shared" si="3"/>
        <v>0</v>
      </c>
      <c r="H41" s="316"/>
      <c r="I41" s="316"/>
      <c r="J41" s="316"/>
      <c r="K41" s="316"/>
      <c r="L41" s="316"/>
      <c r="M41" s="316"/>
      <c r="N41" s="316"/>
      <c r="O41" s="316"/>
      <c r="P41" s="316"/>
      <c r="Q41" s="316"/>
      <c r="R41" s="316"/>
      <c r="S41" s="316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  <c r="AG41" s="316"/>
      <c r="AH41" s="316"/>
      <c r="AI41" s="316"/>
      <c r="AJ41" s="316"/>
      <c r="AK41" s="316"/>
      <c r="AL41" s="316"/>
      <c r="AM41" s="316"/>
      <c r="AN41" s="316"/>
      <c r="AO41" s="316"/>
      <c r="AP41" s="316"/>
      <c r="AQ41" s="316"/>
    </row>
    <row r="42" spans="1:43" s="297" customFormat="1" ht="15" hidden="1" customHeight="1">
      <c r="B42" s="316" t="s">
        <v>37</v>
      </c>
      <c r="C42" s="527">
        <f t="shared" si="3"/>
        <v>0</v>
      </c>
      <c r="H42" s="316"/>
      <c r="I42" s="316"/>
      <c r="J42" s="316"/>
      <c r="K42" s="316"/>
      <c r="L42" s="316"/>
      <c r="M42" s="316"/>
      <c r="N42" s="316"/>
      <c r="O42" s="316"/>
      <c r="P42" s="316"/>
      <c r="Q42" s="316"/>
      <c r="R42" s="316"/>
      <c r="S42" s="316"/>
      <c r="T42" s="316"/>
      <c r="U42" s="316"/>
      <c r="V42" s="316"/>
      <c r="W42" s="316"/>
      <c r="X42" s="316"/>
      <c r="Y42" s="316"/>
      <c r="Z42" s="316"/>
      <c r="AA42" s="316"/>
      <c r="AB42" s="316"/>
      <c r="AC42" s="316"/>
      <c r="AD42" s="316"/>
      <c r="AE42" s="316"/>
      <c r="AF42" s="316"/>
      <c r="AG42" s="316"/>
      <c r="AH42" s="316"/>
      <c r="AI42" s="316"/>
      <c r="AJ42" s="316"/>
      <c r="AK42" s="316"/>
      <c r="AL42" s="316"/>
      <c r="AM42" s="316"/>
      <c r="AN42" s="316"/>
      <c r="AO42" s="316"/>
      <c r="AP42" s="316"/>
      <c r="AQ42" s="316"/>
    </row>
    <row r="43" spans="1:43" s="297" customFormat="1" ht="15" hidden="1" customHeight="1">
      <c r="B43" s="316" t="s">
        <v>37</v>
      </c>
      <c r="C43" s="527">
        <f t="shared" si="3"/>
        <v>0</v>
      </c>
      <c r="H43" s="316"/>
      <c r="I43" s="316"/>
      <c r="J43" s="316"/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  <c r="AG43" s="316"/>
      <c r="AH43" s="316"/>
      <c r="AI43" s="316"/>
      <c r="AJ43" s="316"/>
      <c r="AK43" s="316"/>
      <c r="AL43" s="316"/>
      <c r="AM43" s="316"/>
      <c r="AN43" s="316"/>
      <c r="AO43" s="316"/>
      <c r="AP43" s="316"/>
      <c r="AQ43" s="316"/>
    </row>
    <row r="44" spans="1:43" s="297" customFormat="1" ht="45" hidden="1" customHeight="1">
      <c r="A44" s="334" t="s">
        <v>38</v>
      </c>
      <c r="B44" s="316" t="s">
        <v>37</v>
      </c>
      <c r="C44" s="527">
        <f t="shared" si="3"/>
        <v>0</v>
      </c>
      <c r="D44" s="330"/>
      <c r="E44" s="330"/>
      <c r="F44" s="330"/>
      <c r="G44" s="706"/>
      <c r="H44" s="316"/>
      <c r="I44" s="316"/>
      <c r="J44" s="316"/>
      <c r="K44" s="316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316"/>
      <c r="W44" s="316"/>
      <c r="X44" s="316"/>
      <c r="Y44" s="316"/>
      <c r="Z44" s="316"/>
      <c r="AA44" s="316"/>
      <c r="AB44" s="316"/>
      <c r="AC44" s="316"/>
      <c r="AD44" s="316"/>
      <c r="AE44" s="316"/>
      <c r="AF44" s="316"/>
      <c r="AG44" s="316"/>
      <c r="AH44" s="316"/>
      <c r="AI44" s="316"/>
      <c r="AJ44" s="316"/>
      <c r="AK44" s="316"/>
      <c r="AL44" s="316"/>
      <c r="AM44" s="316"/>
      <c r="AN44" s="316"/>
      <c r="AO44" s="316"/>
      <c r="AP44" s="316"/>
      <c r="AQ44" s="316"/>
    </row>
    <row r="45" spans="1:43" s="297" customFormat="1" ht="15" hidden="1" customHeight="1">
      <c r="B45" s="316" t="s">
        <v>37</v>
      </c>
      <c r="C45" s="527">
        <f t="shared" si="3"/>
        <v>0</v>
      </c>
      <c r="G45" s="336"/>
      <c r="H45" s="316"/>
      <c r="I45" s="316"/>
      <c r="J45" s="316"/>
      <c r="K45" s="316"/>
      <c r="L45" s="316"/>
      <c r="M45" s="316"/>
      <c r="N45" s="316"/>
      <c r="O45" s="316"/>
      <c r="P45" s="316"/>
      <c r="Q45" s="316"/>
      <c r="R45" s="316"/>
      <c r="S45" s="316"/>
      <c r="T45" s="316"/>
      <c r="U45" s="316"/>
      <c r="V45" s="316"/>
      <c r="W45" s="316"/>
      <c r="X45" s="316"/>
      <c r="Y45" s="316"/>
      <c r="Z45" s="316"/>
      <c r="AA45" s="316"/>
      <c r="AB45" s="316"/>
      <c r="AC45" s="316"/>
      <c r="AD45" s="316"/>
      <c r="AE45" s="316"/>
      <c r="AF45" s="316"/>
      <c r="AG45" s="316"/>
      <c r="AH45" s="316"/>
      <c r="AI45" s="316"/>
      <c r="AJ45" s="316"/>
      <c r="AK45" s="316"/>
      <c r="AL45" s="316"/>
      <c r="AM45" s="316"/>
      <c r="AN45" s="316"/>
      <c r="AO45" s="316"/>
      <c r="AP45" s="316"/>
      <c r="AQ45" s="316"/>
    </row>
    <row r="46" spans="1:43" s="297" customFormat="1" ht="15" hidden="1" customHeight="1">
      <c r="B46" s="316" t="s">
        <v>37</v>
      </c>
      <c r="C46" s="527">
        <f t="shared" si="3"/>
        <v>0</v>
      </c>
      <c r="G46" s="336"/>
      <c r="H46" s="316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  <c r="Y46" s="316"/>
      <c r="Z46" s="316"/>
      <c r="AA46" s="316"/>
      <c r="AB46" s="316"/>
      <c r="AC46" s="316"/>
      <c r="AD46" s="316"/>
      <c r="AE46" s="316"/>
      <c r="AF46" s="316"/>
      <c r="AG46" s="316"/>
      <c r="AH46" s="316"/>
      <c r="AI46" s="316"/>
      <c r="AJ46" s="316"/>
      <c r="AK46" s="316"/>
      <c r="AL46" s="316"/>
      <c r="AM46" s="316"/>
      <c r="AN46" s="316"/>
      <c r="AO46" s="316"/>
      <c r="AP46" s="316"/>
      <c r="AQ46" s="316"/>
    </row>
    <row r="47" spans="1:43" s="297" customFormat="1" ht="15" hidden="1" customHeight="1">
      <c r="B47" s="316" t="s">
        <v>37</v>
      </c>
      <c r="C47" s="527">
        <f t="shared" si="3"/>
        <v>0</v>
      </c>
      <c r="G47" s="336"/>
      <c r="H47" s="316"/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  <c r="Z47" s="316"/>
      <c r="AA47" s="316"/>
      <c r="AB47" s="316"/>
      <c r="AC47" s="316"/>
      <c r="AD47" s="316"/>
      <c r="AE47" s="316"/>
      <c r="AF47" s="316"/>
      <c r="AG47" s="316"/>
      <c r="AH47" s="316"/>
      <c r="AI47" s="316"/>
      <c r="AJ47" s="316"/>
      <c r="AK47" s="316"/>
      <c r="AL47" s="316"/>
      <c r="AM47" s="316"/>
      <c r="AN47" s="316"/>
      <c r="AO47" s="316"/>
      <c r="AP47" s="316"/>
      <c r="AQ47" s="316"/>
    </row>
    <row r="48" spans="1:43" s="297" customFormat="1" ht="15" hidden="1" customHeight="1">
      <c r="B48" s="316" t="s">
        <v>37</v>
      </c>
      <c r="C48" s="527">
        <f t="shared" si="3"/>
        <v>0</v>
      </c>
      <c r="G48" s="336"/>
      <c r="H48" s="316"/>
      <c r="I48" s="316"/>
      <c r="J48" s="316"/>
      <c r="K48" s="316"/>
      <c r="L48" s="316"/>
      <c r="M48" s="316"/>
      <c r="N48" s="316"/>
      <c r="O48" s="316"/>
      <c r="P48" s="316"/>
      <c r="Q48" s="316"/>
      <c r="R48" s="316"/>
      <c r="S48" s="316"/>
      <c r="T48" s="316"/>
      <c r="U48" s="316"/>
      <c r="V48" s="316"/>
      <c r="W48" s="316"/>
      <c r="X48" s="316"/>
      <c r="Y48" s="316"/>
      <c r="Z48" s="316"/>
      <c r="AA48" s="316"/>
      <c r="AB48" s="316"/>
      <c r="AC48" s="316"/>
      <c r="AD48" s="316"/>
      <c r="AE48" s="316"/>
      <c r="AF48" s="316"/>
      <c r="AG48" s="316"/>
      <c r="AH48" s="316"/>
      <c r="AI48" s="316"/>
      <c r="AJ48" s="316"/>
      <c r="AK48" s="316"/>
      <c r="AL48" s="316"/>
      <c r="AM48" s="316"/>
      <c r="AN48" s="316"/>
      <c r="AO48" s="316"/>
      <c r="AP48" s="316"/>
      <c r="AQ48" s="316"/>
    </row>
    <row r="49" spans="2:43" s="297" customFormat="1" ht="15.75" hidden="1" customHeight="1" thickBot="1">
      <c r="B49" s="316" t="s">
        <v>37</v>
      </c>
      <c r="C49" s="527">
        <f t="shared" si="3"/>
        <v>0</v>
      </c>
      <c r="D49" s="338"/>
      <c r="E49" s="337"/>
      <c r="F49" s="337"/>
      <c r="G49" s="477"/>
      <c r="H49" s="316"/>
      <c r="I49" s="316"/>
      <c r="J49" s="316"/>
      <c r="K49" s="316"/>
      <c r="L49" s="316"/>
      <c r="M49" s="316"/>
      <c r="N49" s="316"/>
      <c r="O49" s="316"/>
      <c r="P49" s="316"/>
      <c r="Q49" s="316"/>
      <c r="R49" s="316"/>
      <c r="S49" s="316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  <c r="AG49" s="316"/>
      <c r="AH49" s="316"/>
      <c r="AI49" s="316"/>
      <c r="AJ49" s="316"/>
      <c r="AK49" s="316"/>
      <c r="AL49" s="316"/>
      <c r="AM49" s="316"/>
      <c r="AN49" s="316"/>
      <c r="AO49" s="316"/>
      <c r="AP49" s="316"/>
      <c r="AQ49" s="316"/>
    </row>
    <row r="50" spans="2:43" s="297" customFormat="1" ht="15.75" customHeight="1">
      <c r="B50" s="316" t="s">
        <v>39</v>
      </c>
      <c r="C50" s="527">
        <f>C91</f>
        <v>6430</v>
      </c>
      <c r="H50" s="316"/>
      <c r="I50" s="316"/>
      <c r="J50" s="316"/>
      <c r="K50" s="316"/>
      <c r="L50" s="316"/>
      <c r="M50" s="316"/>
      <c r="N50" s="316"/>
      <c r="O50" s="316"/>
      <c r="P50" s="316"/>
      <c r="Q50" s="316"/>
      <c r="R50" s="316"/>
      <c r="S50" s="316"/>
      <c r="T50" s="316"/>
      <c r="U50" s="316"/>
      <c r="V50" s="316"/>
      <c r="W50" s="316"/>
      <c r="X50" s="316"/>
      <c r="Y50" s="316"/>
      <c r="Z50" s="316"/>
      <c r="AA50" s="316"/>
      <c r="AB50" s="316"/>
      <c r="AC50" s="316"/>
      <c r="AD50" s="316"/>
      <c r="AE50" s="316"/>
      <c r="AF50" s="316"/>
      <c r="AG50" s="316"/>
      <c r="AH50" s="316"/>
      <c r="AI50" s="316"/>
      <c r="AJ50" s="316"/>
      <c r="AK50" s="316"/>
      <c r="AL50" s="316"/>
      <c r="AM50" s="316"/>
      <c r="AN50" s="316"/>
      <c r="AO50" s="316"/>
      <c r="AP50" s="316"/>
      <c r="AQ50" s="316"/>
    </row>
    <row r="51" spans="2:43" s="297" customFormat="1">
      <c r="B51" s="316" t="s">
        <v>40</v>
      </c>
      <c r="C51" s="527">
        <f>C103</f>
        <v>5988</v>
      </c>
      <c r="H51" s="316"/>
      <c r="I51" s="316"/>
      <c r="J51" s="316"/>
      <c r="K51" s="316"/>
      <c r="L51" s="316"/>
      <c r="M51" s="316"/>
      <c r="N51" s="316"/>
      <c r="O51" s="316"/>
      <c r="P51" s="316"/>
      <c r="Q51" s="316"/>
      <c r="R51" s="316"/>
      <c r="S51" s="316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316"/>
      <c r="AF51" s="316"/>
      <c r="AG51" s="316"/>
      <c r="AH51" s="316"/>
      <c r="AI51" s="316"/>
      <c r="AJ51" s="316"/>
      <c r="AK51" s="316"/>
      <c r="AL51" s="316"/>
      <c r="AM51" s="316"/>
      <c r="AN51" s="316"/>
      <c r="AO51" s="316"/>
      <c r="AP51" s="316"/>
      <c r="AQ51" s="316"/>
    </row>
    <row r="52" spans="2:43" s="297" customFormat="1">
      <c r="B52" s="297" t="s">
        <v>41</v>
      </c>
      <c r="C52" s="527">
        <f>C101</f>
        <v>19145</v>
      </c>
      <c r="H52" s="316"/>
      <c r="I52" s="316"/>
      <c r="J52" s="316"/>
      <c r="K52" s="316"/>
      <c r="L52" s="316"/>
      <c r="M52" s="316"/>
      <c r="N52" s="316"/>
      <c r="O52" s="316"/>
      <c r="P52" s="316"/>
      <c r="Q52" s="316"/>
      <c r="R52" s="316"/>
      <c r="S52" s="316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6"/>
      <c r="AE52" s="316"/>
      <c r="AF52" s="316"/>
      <c r="AG52" s="316"/>
      <c r="AH52" s="316"/>
      <c r="AI52" s="316"/>
      <c r="AJ52" s="316"/>
      <c r="AK52" s="316"/>
      <c r="AL52" s="316"/>
      <c r="AM52" s="316"/>
      <c r="AN52" s="316"/>
      <c r="AO52" s="316"/>
      <c r="AP52" s="316"/>
      <c r="AQ52" s="316"/>
    </row>
    <row r="53" spans="2:43" s="297" customFormat="1">
      <c r="B53" s="297" t="s">
        <v>42</v>
      </c>
      <c r="C53" s="527">
        <f>C97</f>
        <v>1318</v>
      </c>
      <c r="J53" s="316"/>
      <c r="K53" s="316"/>
      <c r="L53" s="316"/>
      <c r="M53" s="316"/>
      <c r="N53" s="316"/>
      <c r="O53" s="316"/>
      <c r="P53" s="316"/>
      <c r="Q53" s="316"/>
      <c r="R53" s="316"/>
      <c r="S53" s="316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  <c r="AG53" s="316"/>
      <c r="AH53" s="316"/>
      <c r="AI53" s="316"/>
      <c r="AJ53" s="316"/>
      <c r="AK53" s="316"/>
      <c r="AL53" s="316"/>
      <c r="AM53" s="316"/>
      <c r="AN53" s="316"/>
      <c r="AO53" s="316"/>
      <c r="AP53" s="316"/>
      <c r="AQ53" s="316"/>
    </row>
    <row r="54" spans="2:43" s="297" customFormat="1">
      <c r="B54" s="297" t="s">
        <v>7</v>
      </c>
      <c r="C54" s="527">
        <f>SUM(E54:I54)</f>
        <v>130974</v>
      </c>
      <c r="F54" s="297">
        <v>16130</v>
      </c>
      <c r="G54" s="297">
        <v>25569</v>
      </c>
      <c r="H54" s="316">
        <f>25954*3</f>
        <v>77862</v>
      </c>
      <c r="I54" s="316">
        <v>11413</v>
      </c>
      <c r="J54" s="316"/>
      <c r="K54" s="316"/>
      <c r="L54" s="316"/>
      <c r="M54" s="316"/>
      <c r="N54" s="316"/>
      <c r="O54" s="316"/>
      <c r="P54" s="316"/>
      <c r="Q54" s="316"/>
      <c r="R54" s="316"/>
      <c r="S54" s="316"/>
      <c r="T54" s="316"/>
      <c r="U54" s="316"/>
      <c r="V54" s="316"/>
      <c r="W54" s="316"/>
      <c r="X54" s="316"/>
      <c r="Y54" s="316"/>
      <c r="Z54" s="316"/>
      <c r="AA54" s="316"/>
      <c r="AB54" s="316"/>
      <c r="AC54" s="316"/>
      <c r="AD54" s="316"/>
      <c r="AE54" s="316"/>
      <c r="AF54" s="316"/>
      <c r="AG54" s="316"/>
      <c r="AH54" s="316"/>
      <c r="AI54" s="316"/>
      <c r="AJ54" s="316"/>
      <c r="AK54" s="316"/>
      <c r="AL54" s="316"/>
      <c r="AM54" s="316"/>
      <c r="AN54" s="316"/>
      <c r="AO54" s="316"/>
      <c r="AP54" s="316"/>
      <c r="AQ54" s="316"/>
    </row>
    <row r="55" spans="2:43" s="297" customFormat="1">
      <c r="B55" s="297" t="s">
        <v>43</v>
      </c>
      <c r="C55" s="527">
        <f>C95</f>
        <v>7754</v>
      </c>
      <c r="H55" s="316"/>
      <c r="I55" s="316"/>
      <c r="J55" s="316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  <c r="AG55" s="316"/>
      <c r="AH55" s="316"/>
      <c r="AI55" s="316"/>
      <c r="AJ55" s="316"/>
      <c r="AK55" s="316"/>
      <c r="AL55" s="316"/>
      <c r="AM55" s="316"/>
      <c r="AN55" s="316"/>
      <c r="AO55" s="316"/>
      <c r="AP55" s="316"/>
      <c r="AQ55" s="316"/>
    </row>
    <row r="56" spans="2:43" s="297" customFormat="1">
      <c r="B56" s="297" t="s">
        <v>44</v>
      </c>
      <c r="C56" s="527">
        <f>C82+C83+C84+C87+C88+C89+C92+C93+C94+C102+C100</f>
        <v>38359</v>
      </c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  <c r="AG56" s="316"/>
      <c r="AH56" s="316"/>
      <c r="AI56" s="316"/>
      <c r="AJ56" s="316"/>
      <c r="AK56" s="316"/>
      <c r="AL56" s="316"/>
      <c r="AM56" s="316"/>
      <c r="AN56" s="316"/>
      <c r="AO56" s="316"/>
      <c r="AP56" s="316"/>
      <c r="AQ56" s="316"/>
    </row>
    <row r="57" spans="2:43" s="297" customFormat="1">
      <c r="B57" s="297" t="s">
        <v>45</v>
      </c>
      <c r="C57" s="527">
        <f>C96+C98</f>
        <v>12687</v>
      </c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</row>
    <row r="58" spans="2:43" s="297" customFormat="1">
      <c r="B58" s="297" t="s">
        <v>46</v>
      </c>
      <c r="C58" s="527">
        <f>C99</f>
        <v>1189</v>
      </c>
      <c r="H58" s="316"/>
      <c r="I58" s="316"/>
      <c r="J58" s="316"/>
      <c r="K58" s="316"/>
      <c r="L58" s="316"/>
      <c r="M58" s="316"/>
      <c r="N58" s="316"/>
      <c r="O58" s="316"/>
      <c r="P58" s="316"/>
      <c r="Q58" s="316"/>
      <c r="R58" s="316"/>
      <c r="S58" s="3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  <c r="AG58" s="316"/>
      <c r="AH58" s="316"/>
      <c r="AI58" s="316"/>
      <c r="AJ58" s="316"/>
      <c r="AK58" s="316"/>
      <c r="AL58" s="316"/>
      <c r="AM58" s="316"/>
      <c r="AN58" s="316"/>
      <c r="AO58" s="316"/>
      <c r="AP58" s="316"/>
      <c r="AQ58" s="316"/>
    </row>
    <row r="59" spans="2:43" s="297" customFormat="1">
      <c r="C59" s="344">
        <f>SUM(C31:C58)</f>
        <v>263047</v>
      </c>
      <c r="H59" s="316"/>
      <c r="I59" s="316"/>
      <c r="J59" s="316"/>
      <c r="K59" s="316"/>
      <c r="L59" s="316"/>
      <c r="M59" s="316"/>
      <c r="N59" s="316"/>
      <c r="O59" s="316"/>
      <c r="P59" s="316"/>
      <c r="Q59" s="316"/>
      <c r="R59" s="316"/>
      <c r="S59" s="3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  <c r="AG59" s="316"/>
      <c r="AH59" s="316"/>
      <c r="AI59" s="316"/>
      <c r="AJ59" s="316"/>
      <c r="AK59" s="316"/>
      <c r="AL59" s="316"/>
      <c r="AM59" s="316"/>
      <c r="AN59" s="316"/>
      <c r="AO59" s="316"/>
      <c r="AP59" s="316"/>
      <c r="AQ59" s="316"/>
    </row>
    <row r="60" spans="2:43" s="297" customFormat="1">
      <c r="G60" s="297" t="s">
        <v>47</v>
      </c>
      <c r="H60" s="316"/>
      <c r="I60" s="316"/>
      <c r="J60" s="316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316"/>
      <c r="AB60" s="316"/>
      <c r="AC60" s="316"/>
      <c r="AD60" s="316"/>
      <c r="AE60" s="316"/>
      <c r="AF60" s="316"/>
      <c r="AG60" s="316"/>
      <c r="AH60" s="316"/>
      <c r="AI60" s="316"/>
      <c r="AJ60" s="316"/>
      <c r="AK60" s="316"/>
      <c r="AL60" s="316"/>
      <c r="AM60" s="316"/>
      <c r="AN60" s="316"/>
      <c r="AO60" s="316"/>
      <c r="AP60" s="316"/>
      <c r="AQ60" s="316"/>
    </row>
    <row r="61" spans="2:43" s="297" customFormat="1">
      <c r="G61" s="297">
        <f>SUM(G62:G106)</f>
        <v>8569</v>
      </c>
      <c r="H61" s="316"/>
      <c r="I61" s="316"/>
      <c r="J61" s="316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  <c r="AK61" s="316"/>
      <c r="AL61" s="316"/>
      <c r="AM61" s="316"/>
      <c r="AN61" s="316"/>
      <c r="AO61" s="316"/>
      <c r="AP61" s="316"/>
      <c r="AQ61" s="316"/>
    </row>
    <row r="62" spans="2:43" s="297" customFormat="1">
      <c r="B62" s="1" t="s">
        <v>48</v>
      </c>
      <c r="C62" s="346">
        <v>1037</v>
      </c>
      <c r="D62" s="2" t="s">
        <v>49</v>
      </c>
      <c r="E62" s="2"/>
      <c r="F62" s="2"/>
      <c r="H62" s="316"/>
      <c r="I62" s="316"/>
      <c r="J62" s="316"/>
      <c r="K62" s="316"/>
      <c r="L62" s="316"/>
      <c r="M62" s="316"/>
      <c r="N62" s="316"/>
      <c r="O62" s="316"/>
      <c r="P62" s="316"/>
      <c r="Q62" s="316"/>
      <c r="R62" s="316"/>
      <c r="S62" s="316"/>
      <c r="T62" s="316"/>
      <c r="U62" s="316"/>
      <c r="V62" s="316"/>
      <c r="W62" s="316"/>
      <c r="X62" s="316"/>
      <c r="Y62" s="316"/>
      <c r="Z62" s="316"/>
      <c r="AA62" s="316"/>
      <c r="AB62" s="316"/>
      <c r="AC62" s="316"/>
      <c r="AD62" s="316"/>
      <c r="AE62" s="316"/>
      <c r="AF62" s="316"/>
      <c r="AG62" s="316"/>
      <c r="AH62" s="316"/>
      <c r="AI62" s="316"/>
      <c r="AJ62" s="316"/>
      <c r="AK62" s="316"/>
      <c r="AL62" s="316"/>
      <c r="AM62" s="316"/>
      <c r="AN62" s="316"/>
      <c r="AO62" s="316"/>
      <c r="AP62" s="316"/>
      <c r="AQ62" s="316"/>
    </row>
    <row r="63" spans="2:43" s="297" customFormat="1">
      <c r="B63" s="1" t="s">
        <v>50</v>
      </c>
      <c r="C63" s="346">
        <v>1047</v>
      </c>
      <c r="D63" s="2" t="s">
        <v>49</v>
      </c>
      <c r="E63" s="2"/>
      <c r="F63" s="2"/>
      <c r="H63" s="316"/>
      <c r="I63" s="316"/>
      <c r="J63" s="316"/>
      <c r="K63" s="316"/>
      <c r="L63" s="316"/>
      <c r="M63" s="316"/>
      <c r="N63" s="316"/>
      <c r="O63" s="316"/>
      <c r="P63" s="316"/>
      <c r="Q63" s="316"/>
      <c r="R63" s="316"/>
      <c r="S63" s="316"/>
      <c r="T63" s="316"/>
      <c r="U63" s="316"/>
      <c r="V63" s="316"/>
      <c r="W63" s="316"/>
      <c r="X63" s="316"/>
      <c r="Y63" s="316"/>
      <c r="Z63" s="316"/>
      <c r="AA63" s="316"/>
      <c r="AB63" s="316"/>
      <c r="AC63" s="316"/>
      <c r="AD63" s="316"/>
      <c r="AE63" s="316"/>
      <c r="AF63" s="316"/>
      <c r="AG63" s="316"/>
      <c r="AH63" s="316"/>
      <c r="AI63" s="316"/>
      <c r="AJ63" s="316"/>
      <c r="AK63" s="316"/>
      <c r="AL63" s="316"/>
      <c r="AM63" s="316"/>
      <c r="AN63" s="316"/>
      <c r="AO63" s="316"/>
      <c r="AP63" s="316"/>
      <c r="AQ63" s="316"/>
    </row>
    <row r="64" spans="2:43" s="297" customFormat="1">
      <c r="B64" s="1" t="s">
        <v>51</v>
      </c>
      <c r="C64" s="346">
        <v>21363</v>
      </c>
      <c r="D64" s="2" t="s">
        <v>49</v>
      </c>
      <c r="E64" s="2"/>
      <c r="F64" s="2"/>
      <c r="H64" s="316"/>
      <c r="I64" s="316"/>
      <c r="J64" s="316"/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  <c r="AG64" s="316"/>
      <c r="AH64" s="316"/>
      <c r="AI64" s="316"/>
      <c r="AJ64" s="316"/>
      <c r="AK64" s="316"/>
      <c r="AL64" s="316"/>
      <c r="AM64" s="316"/>
      <c r="AN64" s="316"/>
      <c r="AO64" s="316"/>
      <c r="AP64" s="316"/>
      <c r="AQ64" s="316"/>
    </row>
    <row r="65" spans="2:43" s="297" customFormat="1">
      <c r="B65" s="1" t="s">
        <v>52</v>
      </c>
      <c r="C65" s="346">
        <v>19432</v>
      </c>
      <c r="D65" s="2" t="s">
        <v>49</v>
      </c>
      <c r="E65" s="2"/>
      <c r="F65" s="2"/>
      <c r="H65" s="316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  <c r="AG65" s="316"/>
      <c r="AH65" s="316"/>
      <c r="AI65" s="316"/>
      <c r="AJ65" s="316"/>
      <c r="AK65" s="316"/>
      <c r="AL65" s="316"/>
      <c r="AM65" s="316"/>
      <c r="AN65" s="316"/>
      <c r="AO65" s="316"/>
      <c r="AP65" s="316"/>
      <c r="AQ65" s="316"/>
    </row>
    <row r="66" spans="2:43" s="297" customFormat="1">
      <c r="B66" s="1" t="s">
        <v>53</v>
      </c>
      <c r="C66" s="346">
        <v>34595</v>
      </c>
      <c r="D66" s="2" t="s">
        <v>49</v>
      </c>
      <c r="E66" s="2"/>
      <c r="F66" s="2"/>
      <c r="H66" s="316"/>
      <c r="I66" s="316"/>
      <c r="J66" s="316"/>
      <c r="K66" s="316"/>
      <c r="L66" s="316"/>
      <c r="M66" s="316"/>
      <c r="N66" s="316"/>
      <c r="O66" s="316"/>
      <c r="P66" s="316"/>
      <c r="Q66" s="316"/>
      <c r="R66" s="316"/>
      <c r="S66" s="316"/>
      <c r="T66" s="316"/>
      <c r="U66" s="316"/>
      <c r="V66" s="316"/>
      <c r="W66" s="316"/>
      <c r="X66" s="316"/>
      <c r="Y66" s="316"/>
      <c r="Z66" s="316"/>
      <c r="AA66" s="316"/>
      <c r="AB66" s="316"/>
      <c r="AC66" s="316"/>
      <c r="AD66" s="316"/>
      <c r="AE66" s="316"/>
      <c r="AF66" s="316"/>
      <c r="AG66" s="316"/>
      <c r="AH66" s="316"/>
      <c r="AI66" s="316"/>
      <c r="AJ66" s="316"/>
      <c r="AK66" s="316"/>
      <c r="AL66" s="316"/>
      <c r="AM66" s="316"/>
      <c r="AN66" s="316"/>
      <c r="AO66" s="316"/>
      <c r="AP66" s="316"/>
      <c r="AQ66" s="316"/>
    </row>
    <row r="67" spans="2:43" s="297" customFormat="1">
      <c r="B67" s="1" t="s">
        <v>54</v>
      </c>
      <c r="C67" s="346">
        <v>35035</v>
      </c>
      <c r="D67" s="2" t="s">
        <v>49</v>
      </c>
      <c r="E67" s="2"/>
      <c r="F67" s="2"/>
      <c r="H67" s="316"/>
      <c r="I67" s="316"/>
      <c r="J67" s="316"/>
      <c r="K67" s="316"/>
      <c r="L67" s="316"/>
      <c r="M67" s="316"/>
      <c r="N67" s="316"/>
      <c r="O67" s="316"/>
      <c r="P67" s="316"/>
      <c r="Q67" s="316"/>
      <c r="R67" s="316"/>
      <c r="S67" s="316"/>
      <c r="T67" s="316"/>
      <c r="U67" s="316"/>
      <c r="V67" s="316"/>
      <c r="W67" s="316"/>
      <c r="X67" s="316"/>
      <c r="Y67" s="316"/>
      <c r="Z67" s="316"/>
      <c r="AA67" s="316"/>
      <c r="AB67" s="316"/>
      <c r="AC67" s="316"/>
      <c r="AD67" s="316"/>
      <c r="AE67" s="316"/>
      <c r="AF67" s="316"/>
      <c r="AG67" s="316"/>
      <c r="AH67" s="316"/>
      <c r="AI67" s="316"/>
      <c r="AJ67" s="316"/>
      <c r="AK67" s="316"/>
      <c r="AL67" s="316"/>
      <c r="AM67" s="316"/>
      <c r="AN67" s="316"/>
      <c r="AO67" s="316"/>
      <c r="AP67" s="316"/>
      <c r="AQ67" s="316"/>
    </row>
    <row r="68" spans="2:43" s="297" customFormat="1">
      <c r="B68" s="1" t="s">
        <v>55</v>
      </c>
      <c r="C68" s="346">
        <v>1</v>
      </c>
      <c r="D68" s="2" t="s">
        <v>56</v>
      </c>
      <c r="E68" s="2"/>
      <c r="F68" s="2"/>
      <c r="H68" s="316"/>
      <c r="I68" s="316"/>
      <c r="J68" s="316"/>
      <c r="K68" s="316"/>
      <c r="L68" s="316"/>
      <c r="M68" s="316"/>
      <c r="N68" s="316"/>
      <c r="O68" s="316"/>
      <c r="P68" s="316"/>
      <c r="Q68" s="316"/>
      <c r="R68" s="316"/>
      <c r="S68" s="316"/>
      <c r="T68" s="316"/>
      <c r="U68" s="316"/>
      <c r="V68" s="316"/>
      <c r="W68" s="316"/>
      <c r="X68" s="316"/>
      <c r="Y68" s="316"/>
      <c r="Z68" s="316"/>
      <c r="AA68" s="316"/>
      <c r="AB68" s="316"/>
      <c r="AC68" s="316"/>
      <c r="AD68" s="316"/>
      <c r="AE68" s="316"/>
      <c r="AF68" s="316"/>
      <c r="AG68" s="316"/>
      <c r="AH68" s="316"/>
      <c r="AI68" s="316"/>
      <c r="AJ68" s="316"/>
      <c r="AK68" s="316"/>
      <c r="AL68" s="316"/>
      <c r="AM68" s="316"/>
      <c r="AN68" s="316"/>
      <c r="AO68" s="316"/>
      <c r="AP68" s="316"/>
      <c r="AQ68" s="316"/>
    </row>
    <row r="69" spans="2:43" s="297" customFormat="1">
      <c r="B69" s="1" t="s">
        <v>19</v>
      </c>
      <c r="C69" s="346">
        <v>110792</v>
      </c>
      <c r="D69" s="2" t="s">
        <v>49</v>
      </c>
      <c r="E69" s="341">
        <v>1514.36</v>
      </c>
      <c r="F69" s="2" t="s">
        <v>57</v>
      </c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316"/>
      <c r="Z69" s="316"/>
      <c r="AA69" s="316"/>
      <c r="AB69" s="316"/>
      <c r="AC69" s="316"/>
      <c r="AD69" s="316"/>
      <c r="AE69" s="316"/>
      <c r="AF69" s="316"/>
      <c r="AG69" s="316"/>
      <c r="AH69" s="316"/>
      <c r="AI69" s="316"/>
      <c r="AJ69" s="316"/>
      <c r="AK69" s="316"/>
      <c r="AL69" s="316"/>
      <c r="AM69" s="316"/>
      <c r="AN69" s="316"/>
      <c r="AO69" s="316"/>
      <c r="AP69" s="316"/>
      <c r="AQ69" s="316"/>
    </row>
    <row r="70" spans="2:43" s="297" customFormat="1">
      <c r="B70" s="1" t="s">
        <v>58</v>
      </c>
      <c r="C70" s="346">
        <v>1351</v>
      </c>
      <c r="D70" s="2" t="s">
        <v>49</v>
      </c>
      <c r="E70" s="2"/>
      <c r="F70" s="2"/>
      <c r="H70" s="316"/>
      <c r="I70" s="316"/>
      <c r="J70" s="316"/>
      <c r="K70" s="316"/>
      <c r="L70" s="316"/>
      <c r="M70" s="316"/>
      <c r="N70" s="316"/>
      <c r="O70" s="316"/>
      <c r="P70" s="316"/>
      <c r="Q70" s="316"/>
      <c r="R70" s="316"/>
      <c r="S70" s="316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  <c r="AG70" s="316"/>
      <c r="AH70" s="316"/>
      <c r="AI70" s="316"/>
      <c r="AJ70" s="316"/>
      <c r="AK70" s="316"/>
      <c r="AL70" s="316"/>
      <c r="AM70" s="316"/>
      <c r="AN70" s="316"/>
      <c r="AO70" s="316"/>
      <c r="AP70" s="316"/>
      <c r="AQ70" s="316"/>
    </row>
    <row r="71" spans="2:43" s="297" customFormat="1">
      <c r="B71" s="1" t="s">
        <v>59</v>
      </c>
      <c r="C71" s="346">
        <v>57546</v>
      </c>
      <c r="D71" s="2" t="s">
        <v>49</v>
      </c>
      <c r="E71" s="2"/>
      <c r="F71" s="2"/>
      <c r="H71" s="316"/>
      <c r="I71" s="316"/>
      <c r="J71" s="316"/>
      <c r="K71" s="316"/>
      <c r="L71" s="316"/>
      <c r="M71" s="316"/>
      <c r="N71" s="316"/>
      <c r="O71" s="316"/>
      <c r="P71" s="316"/>
      <c r="Q71" s="316"/>
      <c r="R71" s="316"/>
      <c r="S71" s="316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6"/>
      <c r="AE71" s="316"/>
      <c r="AF71" s="316"/>
      <c r="AG71" s="316"/>
      <c r="AH71" s="316"/>
      <c r="AI71" s="316"/>
      <c r="AJ71" s="316"/>
      <c r="AK71" s="316"/>
      <c r="AL71" s="316"/>
      <c r="AM71" s="316"/>
      <c r="AN71" s="316"/>
      <c r="AO71" s="316"/>
      <c r="AP71" s="316"/>
      <c r="AQ71" s="316"/>
    </row>
    <row r="72" spans="2:43" s="297" customFormat="1">
      <c r="B72" s="1" t="s">
        <v>60</v>
      </c>
      <c r="C72" s="346">
        <v>536</v>
      </c>
      <c r="D72" s="2" t="s">
        <v>49</v>
      </c>
      <c r="E72" s="2"/>
      <c r="G72" s="342">
        <f>C72</f>
        <v>536</v>
      </c>
      <c r="H72" s="316"/>
      <c r="I72" s="316"/>
      <c r="J72" s="316"/>
      <c r="K72" s="316"/>
      <c r="L72" s="316"/>
      <c r="M72" s="316"/>
      <c r="N72" s="316"/>
      <c r="O72" s="316"/>
      <c r="P72" s="316"/>
      <c r="Q72" s="316"/>
      <c r="R72" s="316"/>
      <c r="S72" s="316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6"/>
      <c r="AE72" s="316"/>
      <c r="AF72" s="316"/>
      <c r="AG72" s="316"/>
      <c r="AH72" s="316"/>
      <c r="AI72" s="316"/>
      <c r="AJ72" s="316"/>
      <c r="AK72" s="316"/>
      <c r="AL72" s="316"/>
      <c r="AM72" s="316"/>
      <c r="AN72" s="316"/>
      <c r="AO72" s="316"/>
      <c r="AP72" s="316"/>
      <c r="AQ72" s="316"/>
    </row>
    <row r="73" spans="2:43" s="297" customFormat="1">
      <c r="B73" s="1" t="s">
        <v>61</v>
      </c>
      <c r="C73" s="346">
        <v>37660</v>
      </c>
      <c r="D73" s="2" t="s">
        <v>49</v>
      </c>
      <c r="E73" s="2"/>
      <c r="G73" s="2"/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316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  <c r="AG73" s="316"/>
      <c r="AH73" s="316"/>
      <c r="AI73" s="316"/>
      <c r="AJ73" s="316"/>
      <c r="AK73" s="316"/>
      <c r="AL73" s="316"/>
      <c r="AM73" s="316"/>
      <c r="AN73" s="316"/>
      <c r="AO73" s="316"/>
      <c r="AP73" s="316"/>
      <c r="AQ73" s="316"/>
    </row>
    <row r="74" spans="2:43" s="297" customFormat="1">
      <c r="B74" s="1" t="s">
        <v>62</v>
      </c>
      <c r="C74" s="346">
        <v>34634</v>
      </c>
      <c r="D74" s="2" t="s">
        <v>49</v>
      </c>
      <c r="E74" s="2"/>
      <c r="G74" s="2"/>
      <c r="H74" s="316"/>
      <c r="I74" s="316"/>
      <c r="J74" s="316"/>
      <c r="K74" s="316"/>
      <c r="L74" s="316"/>
      <c r="M74" s="316"/>
      <c r="N74" s="316"/>
      <c r="O74" s="316"/>
      <c r="P74" s="316"/>
      <c r="Q74" s="316"/>
      <c r="R74" s="316"/>
      <c r="S74" s="316"/>
      <c r="T74" s="316"/>
      <c r="U74" s="316"/>
      <c r="V74" s="316"/>
      <c r="W74" s="316"/>
      <c r="X74" s="316"/>
      <c r="Y74" s="316"/>
      <c r="Z74" s="316"/>
      <c r="AA74" s="316"/>
      <c r="AB74" s="316"/>
      <c r="AC74" s="316"/>
      <c r="AD74" s="316"/>
      <c r="AE74" s="316"/>
      <c r="AF74" s="316"/>
      <c r="AG74" s="316"/>
      <c r="AH74" s="316"/>
      <c r="AI74" s="316"/>
      <c r="AJ74" s="316"/>
      <c r="AK74" s="316"/>
      <c r="AL74" s="316"/>
      <c r="AM74" s="316"/>
      <c r="AN74" s="316"/>
      <c r="AO74" s="316"/>
      <c r="AP74" s="316"/>
      <c r="AQ74" s="316"/>
    </row>
    <row r="75" spans="2:43" s="297" customFormat="1">
      <c r="B75" s="1" t="s">
        <v>63</v>
      </c>
      <c r="C75" s="346">
        <v>3083</v>
      </c>
      <c r="D75" s="2" t="s">
        <v>49</v>
      </c>
      <c r="E75" s="2"/>
      <c r="G75" s="342">
        <f>C75</f>
        <v>3083</v>
      </c>
      <c r="H75" s="316"/>
      <c r="I75" s="316"/>
      <c r="J75" s="316"/>
      <c r="K75" s="316"/>
      <c r="L75" s="316"/>
      <c r="M75" s="316"/>
      <c r="N75" s="316"/>
      <c r="O75" s="316"/>
      <c r="P75" s="316"/>
      <c r="Q75" s="316"/>
      <c r="R75" s="316"/>
      <c r="S75" s="316"/>
      <c r="T75" s="316"/>
      <c r="U75" s="316"/>
      <c r="V75" s="316"/>
      <c r="W75" s="316"/>
      <c r="X75" s="316"/>
      <c r="Y75" s="316"/>
      <c r="Z75" s="316"/>
      <c r="AA75" s="316"/>
      <c r="AB75" s="316"/>
      <c r="AC75" s="316"/>
      <c r="AD75" s="316"/>
      <c r="AE75" s="316"/>
      <c r="AF75" s="316"/>
      <c r="AG75" s="316"/>
      <c r="AH75" s="316"/>
      <c r="AI75" s="316"/>
      <c r="AJ75" s="316"/>
      <c r="AK75" s="316"/>
      <c r="AL75" s="316"/>
      <c r="AM75" s="316"/>
      <c r="AN75" s="316"/>
      <c r="AO75" s="316"/>
      <c r="AP75" s="316"/>
      <c r="AQ75" s="316"/>
    </row>
    <row r="76" spans="2:43" s="297" customFormat="1">
      <c r="B76" s="1" t="s">
        <v>64</v>
      </c>
      <c r="C76" s="346">
        <v>34634</v>
      </c>
      <c r="D76" s="2" t="s">
        <v>49</v>
      </c>
      <c r="E76" s="2"/>
      <c r="G76" s="2"/>
      <c r="H76" s="316"/>
      <c r="I76" s="316"/>
      <c r="J76" s="316"/>
      <c r="K76" s="316"/>
      <c r="L76" s="316"/>
      <c r="M76" s="316"/>
      <c r="N76" s="316"/>
      <c r="O76" s="316"/>
      <c r="P76" s="316"/>
      <c r="Q76" s="316"/>
      <c r="R76" s="316"/>
      <c r="S76" s="316"/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6"/>
      <c r="AF76" s="316"/>
      <c r="AG76" s="316"/>
      <c r="AH76" s="316"/>
      <c r="AI76" s="316"/>
      <c r="AJ76" s="316"/>
      <c r="AK76" s="316"/>
      <c r="AL76" s="316"/>
      <c r="AM76" s="316"/>
      <c r="AN76" s="316"/>
      <c r="AO76" s="316"/>
      <c r="AP76" s="316"/>
      <c r="AQ76" s="316"/>
    </row>
    <row r="77" spans="2:43" s="297" customFormat="1">
      <c r="B77" s="1" t="s">
        <v>24</v>
      </c>
      <c r="C77" s="346">
        <v>31962</v>
      </c>
      <c r="D77" s="2" t="s">
        <v>49</v>
      </c>
      <c r="E77" s="2"/>
      <c r="G77" s="2"/>
      <c r="H77" s="316"/>
      <c r="I77" s="316"/>
      <c r="J77" s="316"/>
      <c r="K77" s="316"/>
      <c r="L77" s="316"/>
      <c r="M77" s="316"/>
      <c r="N77" s="316"/>
      <c r="O77" s="316"/>
      <c r="P77" s="316"/>
      <c r="Q77" s="316"/>
      <c r="R77" s="316"/>
      <c r="S77" s="316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  <c r="AG77" s="316"/>
      <c r="AH77" s="316"/>
      <c r="AI77" s="316"/>
      <c r="AJ77" s="316"/>
      <c r="AK77" s="316"/>
      <c r="AL77" s="316"/>
      <c r="AM77" s="316"/>
      <c r="AN77" s="316"/>
      <c r="AO77" s="316"/>
      <c r="AP77" s="316"/>
      <c r="AQ77" s="316"/>
    </row>
    <row r="78" spans="2:43" s="297" customFormat="1">
      <c r="B78" s="1" t="s">
        <v>25</v>
      </c>
      <c r="C78" s="346">
        <v>4950</v>
      </c>
      <c r="D78" s="2" t="s">
        <v>49</v>
      </c>
      <c r="E78" s="2"/>
      <c r="G78" s="342">
        <f>C78</f>
        <v>4950</v>
      </c>
      <c r="H78" s="316"/>
      <c r="I78" s="316"/>
      <c r="J78" s="316"/>
      <c r="K78" s="316"/>
      <c r="L78" s="316"/>
      <c r="M78" s="316"/>
      <c r="N78" s="316"/>
      <c r="O78" s="316"/>
      <c r="P78" s="316"/>
      <c r="Q78" s="316"/>
      <c r="R78" s="316"/>
      <c r="S78" s="316"/>
      <c r="T78" s="316"/>
      <c r="U78" s="316"/>
      <c r="V78" s="316"/>
      <c r="W78" s="316"/>
      <c r="X78" s="316"/>
      <c r="Y78" s="316"/>
      <c r="Z78" s="316"/>
      <c r="AA78" s="316"/>
      <c r="AB78" s="316"/>
      <c r="AC78" s="316"/>
      <c r="AD78" s="316"/>
      <c r="AE78" s="316"/>
      <c r="AF78" s="316"/>
      <c r="AG78" s="316"/>
      <c r="AH78" s="316"/>
      <c r="AI78" s="316"/>
      <c r="AJ78" s="316"/>
      <c r="AK78" s="316"/>
      <c r="AL78" s="316"/>
      <c r="AM78" s="316"/>
      <c r="AN78" s="316"/>
      <c r="AO78" s="316"/>
      <c r="AP78" s="316"/>
      <c r="AQ78" s="316"/>
    </row>
    <row r="79" spans="2:43" s="297" customFormat="1">
      <c r="B79" s="1" t="s">
        <v>65</v>
      </c>
      <c r="C79" s="346">
        <v>3130</v>
      </c>
      <c r="D79" s="2" t="s">
        <v>49</v>
      </c>
      <c r="E79" s="2"/>
      <c r="F79" s="2"/>
      <c r="H79" s="316"/>
      <c r="I79" s="316"/>
      <c r="J79" s="316"/>
      <c r="K79" s="316"/>
      <c r="L79" s="316"/>
      <c r="M79" s="316"/>
      <c r="N79" s="316"/>
      <c r="O79" s="316"/>
      <c r="P79" s="316"/>
      <c r="Q79" s="316"/>
      <c r="R79" s="316"/>
      <c r="S79" s="316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  <c r="AG79" s="316"/>
      <c r="AH79" s="316"/>
      <c r="AI79" s="316"/>
      <c r="AJ79" s="316"/>
      <c r="AK79" s="316"/>
      <c r="AL79" s="316"/>
      <c r="AM79" s="316"/>
      <c r="AN79" s="316"/>
      <c r="AO79" s="316"/>
      <c r="AP79" s="316"/>
      <c r="AQ79" s="316"/>
    </row>
    <row r="80" spans="2:43" s="297" customFormat="1">
      <c r="B80" s="1" t="s">
        <v>66</v>
      </c>
      <c r="C80" s="346">
        <v>12272</v>
      </c>
      <c r="D80" s="2" t="s">
        <v>49</v>
      </c>
      <c r="E80" s="2"/>
      <c r="F80" s="2"/>
      <c r="H80" s="316"/>
      <c r="I80" s="316"/>
      <c r="J80" s="316"/>
      <c r="K80" s="316"/>
      <c r="L80" s="316"/>
      <c r="M80" s="316"/>
      <c r="N80" s="316"/>
      <c r="O80" s="316"/>
      <c r="P80" s="316"/>
      <c r="Q80" s="316"/>
      <c r="R80" s="316"/>
      <c r="S80" s="316"/>
      <c r="T80" s="316"/>
      <c r="U80" s="316"/>
      <c r="V80" s="316"/>
      <c r="W80" s="316"/>
      <c r="X80" s="316"/>
      <c r="Y80" s="316"/>
      <c r="Z80" s="316"/>
      <c r="AA80" s="316"/>
      <c r="AB80" s="316"/>
      <c r="AC80" s="316"/>
      <c r="AD80" s="316"/>
      <c r="AE80" s="316"/>
      <c r="AF80" s="316"/>
      <c r="AG80" s="316"/>
      <c r="AH80" s="316"/>
      <c r="AI80" s="316"/>
      <c r="AJ80" s="316"/>
      <c r="AK80" s="316"/>
      <c r="AL80" s="316"/>
      <c r="AM80" s="316"/>
      <c r="AN80" s="316"/>
      <c r="AO80" s="316"/>
      <c r="AP80" s="316"/>
      <c r="AQ80" s="316"/>
    </row>
    <row r="81" spans="2:43" s="297" customFormat="1">
      <c r="B81" s="1" t="s">
        <v>67</v>
      </c>
      <c r="C81" s="346">
        <v>2404</v>
      </c>
      <c r="D81" s="2" t="s">
        <v>49</v>
      </c>
      <c r="E81" s="2"/>
      <c r="F81" s="2"/>
      <c r="H81" s="316"/>
      <c r="I81" s="316"/>
      <c r="J81" s="316"/>
      <c r="K81" s="316"/>
      <c r="L81" s="316"/>
      <c r="M81" s="316"/>
      <c r="N81" s="316"/>
      <c r="O81" s="316"/>
      <c r="P81" s="316"/>
      <c r="Q81" s="316"/>
      <c r="R81" s="316"/>
      <c r="S81" s="316"/>
      <c r="T81" s="316"/>
      <c r="U81" s="316"/>
      <c r="V81" s="316"/>
      <c r="W81" s="316"/>
      <c r="X81" s="316"/>
      <c r="Y81" s="316"/>
      <c r="Z81" s="316"/>
      <c r="AA81" s="316"/>
      <c r="AB81" s="316"/>
      <c r="AC81" s="316"/>
      <c r="AD81" s="316"/>
      <c r="AE81" s="316"/>
      <c r="AF81" s="316"/>
      <c r="AG81" s="316"/>
      <c r="AH81" s="316"/>
      <c r="AI81" s="316"/>
      <c r="AJ81" s="316"/>
      <c r="AK81" s="316"/>
      <c r="AL81" s="316"/>
      <c r="AM81" s="316"/>
      <c r="AN81" s="316"/>
      <c r="AO81" s="316"/>
      <c r="AP81" s="316"/>
      <c r="AQ81" s="316"/>
    </row>
    <row r="82" spans="2:43" s="297" customFormat="1">
      <c r="B82" s="1" t="s">
        <v>68</v>
      </c>
      <c r="C82" s="346">
        <v>10434</v>
      </c>
      <c r="D82" s="2" t="s">
        <v>49</v>
      </c>
      <c r="E82" s="2"/>
      <c r="F82" s="2"/>
      <c r="H82" s="316"/>
      <c r="I82" s="316"/>
      <c r="J82" s="316"/>
      <c r="K82" s="316"/>
      <c r="L82" s="316"/>
      <c r="M82" s="316"/>
      <c r="N82" s="316"/>
      <c r="O82" s="316"/>
      <c r="P82" s="316"/>
      <c r="Q82" s="316"/>
      <c r="R82" s="316"/>
      <c r="S82" s="316"/>
      <c r="T82" s="316"/>
      <c r="U82" s="316"/>
      <c r="V82" s="316"/>
      <c r="W82" s="316"/>
      <c r="X82" s="316"/>
      <c r="Y82" s="316"/>
      <c r="Z82" s="316"/>
      <c r="AA82" s="316"/>
      <c r="AB82" s="316"/>
      <c r="AC82" s="316"/>
      <c r="AD82" s="316"/>
      <c r="AE82" s="316"/>
      <c r="AF82" s="316"/>
      <c r="AG82" s="316"/>
      <c r="AH82" s="316"/>
      <c r="AI82" s="316"/>
      <c r="AJ82" s="316"/>
      <c r="AK82" s="316"/>
      <c r="AL82" s="316"/>
      <c r="AM82" s="316"/>
      <c r="AN82" s="316"/>
      <c r="AO82" s="316"/>
      <c r="AP82" s="316"/>
      <c r="AQ82" s="316"/>
    </row>
    <row r="83" spans="2:43" s="297" customFormat="1">
      <c r="B83" s="1" t="s">
        <v>69</v>
      </c>
      <c r="C83" s="346">
        <v>4588</v>
      </c>
      <c r="D83" s="2" t="s">
        <v>49</v>
      </c>
      <c r="E83" s="2"/>
      <c r="F83" s="2"/>
      <c r="H83" s="316"/>
      <c r="I83" s="316"/>
      <c r="J83" s="316"/>
      <c r="K83" s="316"/>
      <c r="L83" s="316"/>
      <c r="M83" s="316"/>
      <c r="N83" s="316"/>
      <c r="O83" s="316"/>
      <c r="P83" s="316"/>
      <c r="Q83" s="316"/>
      <c r="R83" s="316"/>
      <c r="S83" s="316"/>
      <c r="T83" s="316"/>
      <c r="U83" s="316"/>
      <c r="V83" s="316"/>
      <c r="W83" s="316"/>
      <c r="X83" s="316"/>
      <c r="Y83" s="316"/>
      <c r="Z83" s="316"/>
      <c r="AA83" s="316"/>
      <c r="AB83" s="316"/>
      <c r="AC83" s="316"/>
      <c r="AD83" s="316"/>
      <c r="AE83" s="316"/>
      <c r="AF83" s="316"/>
      <c r="AG83" s="316"/>
      <c r="AH83" s="316"/>
      <c r="AI83" s="316"/>
      <c r="AJ83" s="316"/>
      <c r="AK83" s="316"/>
      <c r="AL83" s="316"/>
      <c r="AM83" s="316"/>
      <c r="AN83" s="316"/>
      <c r="AO83" s="316"/>
      <c r="AP83" s="316"/>
      <c r="AQ83" s="316"/>
    </row>
    <row r="84" spans="2:43" s="297" customFormat="1">
      <c r="B84" s="1" t="s">
        <v>70</v>
      </c>
      <c r="C84" s="346">
        <v>1522</v>
      </c>
      <c r="D84" s="2" t="s">
        <v>49</v>
      </c>
      <c r="E84" s="2"/>
      <c r="F84" s="2"/>
      <c r="H84" s="316"/>
      <c r="I84" s="316"/>
      <c r="J84" s="316"/>
      <c r="K84" s="316"/>
      <c r="L84" s="316"/>
      <c r="M84" s="316"/>
      <c r="N84" s="316"/>
      <c r="O84" s="316"/>
      <c r="P84" s="316"/>
      <c r="Q84" s="316"/>
      <c r="R84" s="316"/>
      <c r="S84" s="316"/>
      <c r="T84" s="316"/>
      <c r="U84" s="316"/>
      <c r="V84" s="316"/>
      <c r="W84" s="316"/>
      <c r="X84" s="316"/>
      <c r="Y84" s="316"/>
      <c r="Z84" s="316"/>
      <c r="AA84" s="316"/>
      <c r="AB84" s="316"/>
      <c r="AC84" s="316"/>
      <c r="AD84" s="316"/>
      <c r="AE84" s="316"/>
      <c r="AF84" s="316"/>
      <c r="AG84" s="316"/>
      <c r="AH84" s="316"/>
      <c r="AI84" s="316"/>
      <c r="AJ84" s="316"/>
      <c r="AK84" s="316"/>
      <c r="AL84" s="316"/>
      <c r="AM84" s="316"/>
      <c r="AN84" s="316"/>
      <c r="AO84" s="316"/>
      <c r="AP84" s="316"/>
      <c r="AQ84" s="316"/>
    </row>
    <row r="85" spans="2:43" s="297" customFormat="1">
      <c r="B85" s="1" t="s">
        <v>71</v>
      </c>
      <c r="C85" s="346">
        <v>7081</v>
      </c>
      <c r="D85" s="2" t="s">
        <v>49</v>
      </c>
      <c r="E85" s="2"/>
      <c r="F85" s="2"/>
      <c r="H85" s="316"/>
      <c r="I85" s="316"/>
      <c r="J85" s="316"/>
      <c r="K85" s="316"/>
      <c r="L85" s="316"/>
      <c r="M85" s="316"/>
      <c r="N85" s="316"/>
      <c r="O85" s="316"/>
      <c r="P85" s="316"/>
      <c r="Q85" s="316"/>
      <c r="R85" s="316"/>
      <c r="S85" s="31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  <c r="AG85" s="316"/>
      <c r="AH85" s="316"/>
      <c r="AI85" s="316"/>
      <c r="AJ85" s="316"/>
      <c r="AK85" s="316"/>
      <c r="AL85" s="316"/>
      <c r="AM85" s="316"/>
      <c r="AN85" s="316"/>
      <c r="AO85" s="316"/>
      <c r="AP85" s="316"/>
      <c r="AQ85" s="316"/>
    </row>
    <row r="86" spans="2:43" s="297" customFormat="1">
      <c r="B86" s="1" t="s">
        <v>72</v>
      </c>
      <c r="C86" s="346">
        <v>174581</v>
      </c>
      <c r="D86" s="2" t="s">
        <v>49</v>
      </c>
      <c r="E86" s="2"/>
      <c r="F86" s="2"/>
      <c r="H86" s="316"/>
      <c r="I86" s="316"/>
      <c r="J86" s="316"/>
      <c r="K86" s="316"/>
      <c r="L86" s="316"/>
      <c r="M86" s="316"/>
      <c r="N86" s="316"/>
      <c r="O86" s="316"/>
      <c r="P86" s="316"/>
      <c r="Q86" s="316"/>
      <c r="R86" s="316"/>
      <c r="S86" s="316"/>
      <c r="T86" s="316"/>
      <c r="U86" s="316"/>
      <c r="V86" s="316"/>
      <c r="W86" s="316"/>
      <c r="X86" s="316"/>
      <c r="Y86" s="316"/>
      <c r="Z86" s="316"/>
      <c r="AA86" s="316"/>
      <c r="AB86" s="316"/>
      <c r="AC86" s="316"/>
      <c r="AD86" s="316"/>
      <c r="AE86" s="316"/>
      <c r="AF86" s="316"/>
      <c r="AG86" s="316"/>
      <c r="AH86" s="316"/>
      <c r="AI86" s="316"/>
      <c r="AJ86" s="316"/>
      <c r="AK86" s="316"/>
      <c r="AL86" s="316"/>
      <c r="AM86" s="316"/>
      <c r="AN86" s="316"/>
      <c r="AO86" s="316"/>
      <c r="AP86" s="316"/>
      <c r="AQ86" s="316"/>
    </row>
    <row r="87" spans="2:43" s="297" customFormat="1">
      <c r="B87" s="1" t="s">
        <v>73</v>
      </c>
      <c r="C87" s="346">
        <v>4432</v>
      </c>
      <c r="D87" s="2" t="s">
        <v>49</v>
      </c>
      <c r="E87" s="2"/>
      <c r="F87" s="2"/>
      <c r="H87" s="316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  <c r="AG87" s="316"/>
      <c r="AH87" s="316"/>
      <c r="AI87" s="316"/>
      <c r="AJ87" s="316"/>
      <c r="AK87" s="316"/>
      <c r="AL87" s="316"/>
      <c r="AM87" s="316"/>
      <c r="AN87" s="316"/>
      <c r="AO87" s="316"/>
      <c r="AP87" s="316"/>
      <c r="AQ87" s="316"/>
    </row>
    <row r="88" spans="2:43" s="297" customFormat="1">
      <c r="B88" s="1" t="s">
        <v>74</v>
      </c>
      <c r="C88" s="346">
        <v>1108</v>
      </c>
      <c r="D88" s="2" t="s">
        <v>49</v>
      </c>
      <c r="E88" s="2"/>
      <c r="F88" s="2"/>
      <c r="H88" s="316"/>
      <c r="I88" s="316"/>
      <c r="J88" s="316"/>
      <c r="K88" s="316"/>
      <c r="L88" s="316"/>
      <c r="M88" s="316"/>
      <c r="N88" s="316"/>
      <c r="O88" s="316"/>
      <c r="P88" s="316"/>
      <c r="Q88" s="316"/>
      <c r="R88" s="316"/>
      <c r="S88" s="316"/>
      <c r="T88" s="316"/>
      <c r="U88" s="316"/>
      <c r="V88" s="316"/>
      <c r="W88" s="316"/>
      <c r="X88" s="316"/>
      <c r="Y88" s="316"/>
      <c r="Z88" s="316"/>
      <c r="AA88" s="316"/>
      <c r="AB88" s="316"/>
      <c r="AC88" s="316"/>
      <c r="AD88" s="316"/>
      <c r="AE88" s="316"/>
      <c r="AF88" s="316"/>
      <c r="AG88" s="316"/>
      <c r="AH88" s="316"/>
      <c r="AI88" s="316"/>
      <c r="AJ88" s="316"/>
      <c r="AK88" s="316"/>
      <c r="AL88" s="316"/>
      <c r="AM88" s="316"/>
      <c r="AN88" s="316"/>
      <c r="AO88" s="316"/>
      <c r="AP88" s="316"/>
      <c r="AQ88" s="316"/>
    </row>
    <row r="89" spans="2:43" s="297" customFormat="1">
      <c r="B89" s="1" t="s">
        <v>75</v>
      </c>
      <c r="C89" s="346">
        <v>1880</v>
      </c>
      <c r="D89" s="2" t="s">
        <v>49</v>
      </c>
      <c r="E89" s="2"/>
      <c r="F89" s="2"/>
      <c r="H89" s="316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  <c r="Y89" s="316"/>
      <c r="Z89" s="316"/>
      <c r="AA89" s="316"/>
      <c r="AB89" s="316"/>
      <c r="AC89" s="316"/>
      <c r="AD89" s="316"/>
      <c r="AE89" s="316"/>
      <c r="AF89" s="316"/>
      <c r="AG89" s="316"/>
      <c r="AH89" s="316"/>
      <c r="AI89" s="316"/>
      <c r="AJ89" s="316"/>
      <c r="AK89" s="316"/>
      <c r="AL89" s="316"/>
      <c r="AM89" s="316"/>
      <c r="AN89" s="316"/>
      <c r="AO89" s="316"/>
      <c r="AP89" s="316"/>
      <c r="AQ89" s="316"/>
    </row>
    <row r="90" spans="2:43" s="297" customFormat="1">
      <c r="B90" s="1" t="s">
        <v>76</v>
      </c>
      <c r="C90" s="346">
        <v>37119</v>
      </c>
      <c r="D90" s="2" t="s">
        <v>49</v>
      </c>
      <c r="E90" s="2"/>
      <c r="F90" s="2"/>
      <c r="H90" s="316"/>
      <c r="I90" s="316"/>
      <c r="J90" s="316"/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16"/>
      <c r="V90" s="316"/>
      <c r="W90" s="316"/>
      <c r="X90" s="316"/>
      <c r="Y90" s="316"/>
      <c r="Z90" s="316"/>
      <c r="AA90" s="316"/>
      <c r="AB90" s="316"/>
      <c r="AC90" s="316"/>
      <c r="AD90" s="316"/>
      <c r="AE90" s="316"/>
      <c r="AF90" s="316"/>
      <c r="AG90" s="316"/>
      <c r="AH90" s="316"/>
      <c r="AI90" s="316"/>
      <c r="AJ90" s="316"/>
      <c r="AK90" s="316"/>
      <c r="AL90" s="316"/>
      <c r="AM90" s="316"/>
      <c r="AN90" s="316"/>
      <c r="AO90" s="316"/>
      <c r="AP90" s="316"/>
      <c r="AQ90" s="316"/>
    </row>
    <row r="91" spans="2:43" s="297" customFormat="1">
      <c r="B91" s="1" t="s">
        <v>77</v>
      </c>
      <c r="C91" s="346">
        <v>6430</v>
      </c>
      <c r="D91" s="2" t="s">
        <v>49</v>
      </c>
      <c r="E91" s="2"/>
      <c r="F91" s="2"/>
      <c r="H91" s="316"/>
      <c r="I91" s="316"/>
      <c r="J91" s="316"/>
      <c r="K91" s="316"/>
      <c r="L91" s="316"/>
      <c r="M91" s="316"/>
      <c r="N91" s="316"/>
      <c r="O91" s="316"/>
      <c r="P91" s="316"/>
      <c r="Q91" s="316"/>
      <c r="R91" s="316"/>
      <c r="S91" s="316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  <c r="AG91" s="316"/>
      <c r="AH91" s="316"/>
      <c r="AI91" s="316"/>
      <c r="AJ91" s="316"/>
      <c r="AK91" s="316"/>
      <c r="AL91" s="316"/>
      <c r="AM91" s="316"/>
      <c r="AN91" s="316"/>
      <c r="AO91" s="316"/>
      <c r="AP91" s="316"/>
      <c r="AQ91" s="316"/>
    </row>
    <row r="92" spans="2:43" s="297" customFormat="1">
      <c r="B92" s="1" t="s">
        <v>78</v>
      </c>
      <c r="C92" s="346">
        <v>566</v>
      </c>
      <c r="D92" s="2" t="s">
        <v>49</v>
      </c>
      <c r="E92" s="2"/>
      <c r="F92" s="2"/>
      <c r="H92" s="316"/>
      <c r="I92" s="316"/>
      <c r="J92" s="316"/>
      <c r="K92" s="316"/>
      <c r="L92" s="316"/>
      <c r="M92" s="316"/>
      <c r="N92" s="316"/>
      <c r="O92" s="316"/>
      <c r="P92" s="316"/>
      <c r="Q92" s="316"/>
      <c r="R92" s="316"/>
      <c r="S92" s="316"/>
      <c r="T92" s="316"/>
      <c r="U92" s="316"/>
      <c r="V92" s="316"/>
      <c r="W92" s="316"/>
      <c r="X92" s="316"/>
      <c r="Y92" s="316"/>
      <c r="Z92" s="316"/>
      <c r="AA92" s="316"/>
      <c r="AB92" s="316"/>
      <c r="AC92" s="316"/>
      <c r="AD92" s="316"/>
      <c r="AE92" s="316"/>
      <c r="AF92" s="316"/>
      <c r="AG92" s="316"/>
      <c r="AH92" s="316"/>
      <c r="AI92" s="316"/>
      <c r="AJ92" s="316"/>
      <c r="AK92" s="316"/>
      <c r="AL92" s="316"/>
      <c r="AM92" s="316"/>
      <c r="AN92" s="316"/>
      <c r="AO92" s="316"/>
      <c r="AP92" s="316"/>
      <c r="AQ92" s="316"/>
    </row>
    <row r="93" spans="2:43" s="297" customFormat="1">
      <c r="B93" s="1" t="s">
        <v>79</v>
      </c>
      <c r="C93" s="346">
        <v>5963</v>
      </c>
      <c r="D93" s="2" t="s">
        <v>49</v>
      </c>
      <c r="E93" s="2"/>
      <c r="F93" s="2"/>
      <c r="H93" s="316"/>
      <c r="I93" s="316"/>
      <c r="J93" s="316"/>
      <c r="K93" s="316"/>
      <c r="L93" s="316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  <c r="Z93" s="316"/>
      <c r="AA93" s="316"/>
      <c r="AB93" s="316"/>
      <c r="AC93" s="316"/>
      <c r="AD93" s="316"/>
      <c r="AE93" s="316"/>
      <c r="AF93" s="316"/>
      <c r="AG93" s="316"/>
      <c r="AH93" s="316"/>
      <c r="AI93" s="316"/>
      <c r="AJ93" s="316"/>
      <c r="AK93" s="316"/>
      <c r="AL93" s="316"/>
      <c r="AM93" s="316"/>
      <c r="AN93" s="316"/>
      <c r="AO93" s="316"/>
      <c r="AP93" s="316"/>
      <c r="AQ93" s="316"/>
    </row>
    <row r="94" spans="2:43" s="297" customFormat="1">
      <c r="B94" s="1" t="s">
        <v>80</v>
      </c>
      <c r="C94" s="346">
        <v>1909</v>
      </c>
      <c r="D94" s="2" t="s">
        <v>49</v>
      </c>
      <c r="E94" s="2"/>
      <c r="F94" s="2"/>
      <c r="H94" s="316"/>
      <c r="I94" s="316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  <c r="AG94" s="316"/>
      <c r="AH94" s="316"/>
      <c r="AI94" s="316"/>
      <c r="AJ94" s="316"/>
      <c r="AK94" s="316"/>
      <c r="AL94" s="316"/>
      <c r="AM94" s="316"/>
      <c r="AN94" s="316"/>
      <c r="AO94" s="316"/>
      <c r="AP94" s="316"/>
      <c r="AQ94" s="316"/>
    </row>
    <row r="95" spans="2:43">
      <c r="B95" s="1" t="s">
        <v>81</v>
      </c>
      <c r="C95" s="346">
        <v>7754</v>
      </c>
      <c r="D95" s="2" t="s">
        <v>49</v>
      </c>
      <c r="E95" s="2"/>
      <c r="F95" s="2"/>
    </row>
    <row r="96" spans="2:43">
      <c r="B96" s="1" t="s">
        <v>82</v>
      </c>
      <c r="C96" s="346">
        <v>9844</v>
      </c>
      <c r="D96" s="2" t="s">
        <v>49</v>
      </c>
      <c r="E96" s="2"/>
      <c r="F96" s="2"/>
    </row>
    <row r="97" spans="2:6">
      <c r="B97" s="1" t="s">
        <v>83</v>
      </c>
      <c r="C97" s="346">
        <v>1318</v>
      </c>
      <c r="D97" s="2" t="s">
        <v>49</v>
      </c>
      <c r="E97" s="2"/>
      <c r="F97" s="2"/>
    </row>
    <row r="98" spans="2:6">
      <c r="B98" s="1" t="s">
        <v>84</v>
      </c>
      <c r="C98" s="346">
        <v>2843</v>
      </c>
      <c r="D98" s="2" t="s">
        <v>49</v>
      </c>
      <c r="E98" s="2"/>
      <c r="F98" s="2"/>
    </row>
    <row r="99" spans="2:6">
      <c r="B99" s="1" t="s">
        <v>85</v>
      </c>
      <c r="C99" s="346">
        <v>1189</v>
      </c>
      <c r="D99" s="2" t="s">
        <v>49</v>
      </c>
      <c r="E99" s="2"/>
      <c r="F99" s="2"/>
    </row>
    <row r="100" spans="2:6">
      <c r="B100" s="1" t="s">
        <v>86</v>
      </c>
      <c r="C100" s="346">
        <v>1134</v>
      </c>
      <c r="D100" s="2" t="s">
        <v>49</v>
      </c>
      <c r="E100" s="2"/>
      <c r="F100" s="2"/>
    </row>
    <row r="101" spans="2:6">
      <c r="B101" s="1" t="s">
        <v>87</v>
      </c>
      <c r="C101" s="346">
        <v>19145</v>
      </c>
      <c r="D101" s="2" t="s">
        <v>49</v>
      </c>
      <c r="E101" s="2"/>
      <c r="F101" s="2"/>
    </row>
    <row r="102" spans="2:6">
      <c r="B102" s="1" t="s">
        <v>88</v>
      </c>
      <c r="C102" s="346">
        <v>4823</v>
      </c>
      <c r="D102" s="2" t="s">
        <v>49</v>
      </c>
      <c r="E102" s="2"/>
      <c r="F102" s="2"/>
    </row>
    <row r="103" spans="2:6">
      <c r="B103" s="1" t="s">
        <v>89</v>
      </c>
      <c r="C103" s="346">
        <v>5988</v>
      </c>
      <c r="D103" s="2" t="s">
        <v>49</v>
      </c>
      <c r="E103" s="2"/>
      <c r="F103" s="2"/>
    </row>
    <row r="104" spans="2:6">
      <c r="B104" s="1" t="s">
        <v>90</v>
      </c>
      <c r="C104" s="346">
        <v>157</v>
      </c>
      <c r="D104" s="2" t="s">
        <v>49</v>
      </c>
      <c r="E104" s="2"/>
      <c r="F104" s="2"/>
    </row>
    <row r="105" spans="2:6">
      <c r="B105" s="1" t="s">
        <v>91</v>
      </c>
      <c r="C105" s="346">
        <v>623</v>
      </c>
      <c r="D105" s="2" t="s">
        <v>49</v>
      </c>
      <c r="E105" s="2"/>
      <c r="F105" s="2"/>
    </row>
    <row r="106" spans="2:6">
      <c r="B106" s="1" t="s">
        <v>92</v>
      </c>
      <c r="C106" s="346">
        <v>4447</v>
      </c>
      <c r="D106" s="2" t="s">
        <v>49</v>
      </c>
      <c r="E106" s="341">
        <v>1136.4000000000001</v>
      </c>
      <c r="F106" s="2" t="s">
        <v>57</v>
      </c>
    </row>
  </sheetData>
  <mergeCells count="3">
    <mergeCell ref="B2:C2"/>
    <mergeCell ref="B5:E5"/>
    <mergeCell ref="B4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069CC-7DF0-45EA-A3B8-92297930D108}">
  <sheetPr>
    <tabColor rgb="FFFFFF00"/>
    <pageSetUpPr fitToPage="1"/>
  </sheetPr>
  <dimension ref="A1:R29"/>
  <sheetViews>
    <sheetView zoomScaleNormal="100" workbookViewId="0">
      <selection activeCell="G22" sqref="G22"/>
    </sheetView>
  </sheetViews>
  <sheetFormatPr defaultColWidth="9.140625" defaultRowHeight="14.25"/>
  <cols>
    <col min="1" max="1" width="5.7109375" style="193" customWidth="1"/>
    <col min="2" max="2" width="75.7109375" style="155" customWidth="1"/>
    <col min="3" max="3" width="20.7109375" style="155" customWidth="1"/>
    <col min="4" max="4" width="9.140625" style="155"/>
    <col min="5" max="5" width="11.28515625" style="155" bestFit="1" customWidth="1"/>
    <col min="6" max="16384" width="9.140625" style="155"/>
  </cols>
  <sheetData>
    <row r="1" spans="1:18" s="185" customFormat="1" ht="45" customHeight="1">
      <c r="A1" s="184"/>
    </row>
    <row r="2" spans="1:18" s="185" customFormat="1" ht="6" customHeight="1">
      <c r="A2" s="186"/>
      <c r="B2" s="186"/>
      <c r="C2" s="187"/>
      <c r="F2" s="155"/>
      <c r="G2" s="155"/>
      <c r="H2" s="155"/>
    </row>
    <row r="3" spans="1:18" s="208" customFormat="1" ht="38.1" customHeight="1" thickBot="1">
      <c r="A3" s="598" t="str">
        <f>'Area Calculations'!B4</f>
        <v>Bourbon Hotel Orlando</v>
      </c>
      <c r="B3" s="598"/>
      <c r="C3" s="256" t="str">
        <f>'Area Calculations'!B5</f>
        <v>Orlando</v>
      </c>
      <c r="D3" s="188"/>
      <c r="E3" s="189"/>
      <c r="F3" s="161"/>
      <c r="G3" s="161"/>
      <c r="H3" s="161"/>
    </row>
    <row r="4" spans="1:18" s="161" customFormat="1" ht="9" customHeight="1">
      <c r="C4" s="212"/>
      <c r="L4" s="212"/>
      <c r="N4" s="212"/>
      <c r="P4" s="212"/>
      <c r="R4" s="212"/>
    </row>
    <row r="5" spans="1:18" s="161" customFormat="1" ht="15">
      <c r="A5" s="599" t="s">
        <v>93</v>
      </c>
      <c r="B5" s="599"/>
      <c r="C5" s="212"/>
      <c r="L5" s="212"/>
      <c r="N5" s="212"/>
      <c r="P5" s="212"/>
      <c r="R5" s="212"/>
    </row>
    <row r="6" spans="1:18" s="161" customFormat="1">
      <c r="A6" s="600">
        <f ca="1">TODAY()</f>
        <v>46146</v>
      </c>
      <c r="B6" s="600"/>
      <c r="C6" s="213"/>
      <c r="L6" s="212"/>
      <c r="N6" s="212"/>
      <c r="P6" s="212"/>
      <c r="R6" s="212"/>
    </row>
    <row r="7" spans="1:18" s="161" customFormat="1"/>
    <row r="8" spans="1:18" ht="15">
      <c r="A8" s="529" t="s">
        <v>94</v>
      </c>
      <c r="B8" s="530" t="s">
        <v>95</v>
      </c>
      <c r="C8" s="531" t="s">
        <v>96</v>
      </c>
    </row>
    <row r="9" spans="1:18" s="197" customFormat="1">
      <c r="A9" s="194">
        <v>1</v>
      </c>
      <c r="B9" s="195"/>
      <c r="C9" s="196"/>
    </row>
    <row r="10" spans="1:18" s="197" customFormat="1">
      <c r="A10" s="198">
        <f>A9+1</f>
        <v>2</v>
      </c>
      <c r="B10" s="195"/>
      <c r="C10" s="199"/>
    </row>
    <row r="11" spans="1:18" s="197" customFormat="1">
      <c r="A11" s="198">
        <f t="shared" ref="A11:A27" si="0">A10+1</f>
        <v>3</v>
      </c>
      <c r="B11" s="195"/>
      <c r="C11" s="199"/>
    </row>
    <row r="12" spans="1:18" s="197" customFormat="1">
      <c r="A12" s="198">
        <f t="shared" si="0"/>
        <v>4</v>
      </c>
      <c r="B12" s="195"/>
      <c r="C12" s="199"/>
    </row>
    <row r="13" spans="1:18" s="197" customFormat="1">
      <c r="A13" s="198">
        <f t="shared" si="0"/>
        <v>5</v>
      </c>
      <c r="B13" s="195"/>
      <c r="C13" s="199"/>
    </row>
    <row r="14" spans="1:18" s="197" customFormat="1">
      <c r="A14" s="198">
        <f t="shared" si="0"/>
        <v>6</v>
      </c>
      <c r="B14" s="195"/>
      <c r="C14" s="199"/>
    </row>
    <row r="15" spans="1:18" s="197" customFormat="1">
      <c r="A15" s="198">
        <f t="shared" si="0"/>
        <v>7</v>
      </c>
      <c r="B15" s="195"/>
      <c r="C15" s="199"/>
    </row>
    <row r="16" spans="1:18" s="197" customFormat="1">
      <c r="A16" s="198">
        <f t="shared" si="0"/>
        <v>8</v>
      </c>
      <c r="B16" s="195"/>
      <c r="C16" s="199"/>
    </row>
    <row r="17" spans="1:3" s="197" customFormat="1">
      <c r="A17" s="198">
        <f t="shared" si="0"/>
        <v>9</v>
      </c>
      <c r="B17" s="195"/>
      <c r="C17" s="199"/>
    </row>
    <row r="18" spans="1:3" s="197" customFormat="1">
      <c r="A18" s="198">
        <f t="shared" si="0"/>
        <v>10</v>
      </c>
      <c r="B18" s="195"/>
      <c r="C18" s="199"/>
    </row>
    <row r="19" spans="1:3" s="197" customFormat="1">
      <c r="A19" s="198">
        <f t="shared" si="0"/>
        <v>11</v>
      </c>
      <c r="B19" s="195"/>
      <c r="C19" s="199"/>
    </row>
    <row r="20" spans="1:3" s="197" customFormat="1">
      <c r="A20" s="198">
        <f t="shared" si="0"/>
        <v>12</v>
      </c>
      <c r="B20" s="195"/>
      <c r="C20" s="199"/>
    </row>
    <row r="21" spans="1:3" s="197" customFormat="1">
      <c r="A21" s="198">
        <f t="shared" si="0"/>
        <v>13</v>
      </c>
      <c r="B21" s="195"/>
      <c r="C21" s="199"/>
    </row>
    <row r="22" spans="1:3" s="197" customFormat="1">
      <c r="A22" s="198">
        <f t="shared" si="0"/>
        <v>14</v>
      </c>
      <c r="B22" s="195"/>
      <c r="C22" s="199"/>
    </row>
    <row r="23" spans="1:3" s="197" customFormat="1">
      <c r="A23" s="198">
        <f t="shared" si="0"/>
        <v>15</v>
      </c>
      <c r="B23" s="195"/>
      <c r="C23" s="199"/>
    </row>
    <row r="24" spans="1:3" s="197" customFormat="1">
      <c r="A24" s="198">
        <f t="shared" si="0"/>
        <v>16</v>
      </c>
      <c r="B24" s="200"/>
      <c r="C24" s="199"/>
    </row>
    <row r="25" spans="1:3" s="197" customFormat="1">
      <c r="A25" s="198">
        <f t="shared" si="0"/>
        <v>17</v>
      </c>
      <c r="B25" s="200"/>
      <c r="C25" s="201"/>
    </row>
    <row r="26" spans="1:3" s="197" customFormat="1">
      <c r="A26" s="198">
        <f t="shared" si="0"/>
        <v>18</v>
      </c>
      <c r="B26" s="200"/>
      <c r="C26" s="201"/>
    </row>
    <row r="27" spans="1:3" s="197" customFormat="1">
      <c r="A27" s="198">
        <f t="shared" si="0"/>
        <v>19</v>
      </c>
      <c r="B27" s="202" t="s">
        <v>97</v>
      </c>
      <c r="C27" s="203">
        <f>SUM(C9:C26)</f>
        <v>0</v>
      </c>
    </row>
    <row r="28" spans="1:3" s="197" customFormat="1">
      <c r="A28" s="204"/>
      <c r="B28" s="205"/>
      <c r="C28" s="206"/>
    </row>
    <row r="29" spans="1:3" ht="15">
      <c r="A29" s="190"/>
      <c r="B29" s="191" t="s">
        <v>98</v>
      </c>
      <c r="C29" s="192"/>
    </row>
  </sheetData>
  <mergeCells count="3">
    <mergeCell ref="A3:B3"/>
    <mergeCell ref="A5:B5"/>
    <mergeCell ref="A6:B6"/>
  </mergeCells>
  <pageMargins left="0.25" right="0.25" top="0.5" bottom="0.75" header="0.3" footer="0.3"/>
  <pageSetup scale="9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3E88-24C5-4431-9ABE-5E16026D77B6}">
  <sheetPr>
    <tabColor rgb="FFFFFF00"/>
  </sheetPr>
  <dimension ref="O20"/>
  <sheetViews>
    <sheetView zoomScale="90" zoomScaleNormal="90" workbookViewId="0">
      <selection activeCell="E30" sqref="E30"/>
    </sheetView>
  </sheetViews>
  <sheetFormatPr defaultRowHeight="15"/>
  <cols>
    <col min="14" max="14" width="100.7109375" customWidth="1"/>
  </cols>
  <sheetData>
    <row r="20" spans="15:15">
      <c r="O20" t="s">
        <v>99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C1CC-7DE6-47B6-AAE7-955606F3BF1F}">
  <sheetPr>
    <tabColor rgb="FFFFFF00"/>
  </sheetPr>
  <dimension ref="A1:H231"/>
  <sheetViews>
    <sheetView zoomScale="90" zoomScaleNormal="90" workbookViewId="0">
      <selection activeCell="E30" sqref="E30"/>
    </sheetView>
  </sheetViews>
  <sheetFormatPr defaultRowHeight="15"/>
  <cols>
    <col min="1" max="1" width="17.28515625" customWidth="1"/>
    <col min="2" max="2" width="73" bestFit="1" customWidth="1"/>
    <col min="3" max="3" width="19.140625" customWidth="1"/>
    <col min="4" max="4" width="0.140625" customWidth="1"/>
  </cols>
  <sheetData>
    <row r="1" spans="1:8" s="208" customFormat="1" ht="45" customHeight="1">
      <c r="A1" s="207"/>
    </row>
    <row r="2" spans="1:8" s="208" customFormat="1" ht="6" customHeight="1">
      <c r="A2" s="209"/>
      <c r="B2" s="209"/>
      <c r="C2" s="210"/>
      <c r="F2" s="161"/>
      <c r="G2" s="161"/>
      <c r="H2" s="161"/>
    </row>
    <row r="3" spans="1:8" s="208" customFormat="1" ht="18.75" thickBot="1">
      <c r="A3" s="601" t="str">
        <f>'Area Calculations'!B4</f>
        <v>Bourbon Hotel Orlando</v>
      </c>
      <c r="B3" s="601"/>
      <c r="C3" s="211" t="str">
        <f>'Area Calculations'!B5</f>
        <v>Orlando</v>
      </c>
      <c r="D3" s="188"/>
      <c r="E3" s="189"/>
      <c r="F3" s="161"/>
      <c r="G3" s="161"/>
      <c r="H3" s="161"/>
    </row>
    <row r="4" spans="1:8" ht="9" customHeight="1">
      <c r="A4" s="234"/>
      <c r="B4" s="235"/>
      <c r="C4" s="236"/>
    </row>
    <row r="5" spans="1:8">
      <c r="A5" s="599" t="s">
        <v>100</v>
      </c>
      <c r="B5" s="599"/>
      <c r="C5" s="236"/>
    </row>
    <row r="6" spans="1:8">
      <c r="A6" s="600">
        <f ca="1">TODAY()</f>
        <v>46146</v>
      </c>
      <c r="B6" s="600"/>
      <c r="C6" s="236"/>
    </row>
    <row r="7" spans="1:8" ht="15.75" thickBot="1">
      <c r="A7" s="237"/>
      <c r="B7" s="238"/>
      <c r="C7" s="239"/>
    </row>
    <row r="8" spans="1:8" ht="16.5" thickBot="1">
      <c r="A8" s="240"/>
      <c r="B8" s="241"/>
      <c r="C8" s="242"/>
    </row>
    <row r="9" spans="1:8">
      <c r="A9" s="707" t="s">
        <v>101</v>
      </c>
      <c r="B9" s="708" t="s">
        <v>95</v>
      </c>
      <c r="C9" s="709" t="s">
        <v>102</v>
      </c>
    </row>
    <row r="10" spans="1:8">
      <c r="A10" s="710"/>
      <c r="B10" s="711"/>
      <c r="C10" s="712"/>
    </row>
    <row r="11" spans="1:8">
      <c r="A11" s="710"/>
      <c r="B11" s="711"/>
      <c r="C11" s="713"/>
    </row>
    <row r="12" spans="1:8">
      <c r="A12" s="710"/>
      <c r="B12" s="711"/>
      <c r="C12" s="712"/>
    </row>
    <row r="13" spans="1:8">
      <c r="A13" s="710"/>
      <c r="B13" s="711"/>
      <c r="C13" s="712"/>
    </row>
    <row r="14" spans="1:8">
      <c r="A14" s="710"/>
      <c r="B14" s="711"/>
      <c r="C14" s="712"/>
    </row>
    <row r="15" spans="1:8">
      <c r="A15" s="710"/>
      <c r="B15" s="711"/>
      <c r="C15" s="712"/>
    </row>
    <row r="16" spans="1:8">
      <c r="A16" s="710"/>
      <c r="B16" s="711"/>
      <c r="C16" s="712"/>
    </row>
    <row r="17" spans="1:3">
      <c r="A17" s="710"/>
      <c r="B17" s="711"/>
      <c r="C17" s="712"/>
    </row>
    <row r="18" spans="1:3">
      <c r="A18" s="710"/>
      <c r="B18" s="711"/>
      <c r="C18" s="712"/>
    </row>
    <row r="19" spans="1:3">
      <c r="A19" s="710"/>
      <c r="B19" s="711"/>
      <c r="C19" s="712"/>
    </row>
    <row r="20" spans="1:3">
      <c r="A20" s="710"/>
      <c r="B20" s="711"/>
      <c r="C20" s="712"/>
    </row>
    <row r="21" spans="1:3">
      <c r="A21" s="710"/>
      <c r="B21" s="711"/>
      <c r="C21" s="712"/>
    </row>
    <row r="22" spans="1:3">
      <c r="A22" s="710"/>
      <c r="B22" s="711"/>
      <c r="C22" s="712"/>
    </row>
    <row r="23" spans="1:3">
      <c r="A23" s="710"/>
      <c r="B23" s="711"/>
      <c r="C23" s="712"/>
    </row>
    <row r="24" spans="1:3">
      <c r="A24" s="710"/>
      <c r="B24" s="711"/>
      <c r="C24" s="712"/>
    </row>
    <row r="25" spans="1:3">
      <c r="A25" s="710"/>
      <c r="B25" s="711"/>
      <c r="C25" s="712"/>
    </row>
    <row r="26" spans="1:3">
      <c r="A26" s="710"/>
      <c r="B26" s="711"/>
      <c r="C26" s="712"/>
    </row>
    <row r="27" spans="1:3">
      <c r="A27" s="710"/>
      <c r="B27" s="711"/>
      <c r="C27" s="712"/>
    </row>
    <row r="28" spans="1:3">
      <c r="A28" s="710"/>
      <c r="B28" s="708"/>
      <c r="C28" s="712"/>
    </row>
    <row r="29" spans="1:3">
      <c r="A29" s="710"/>
      <c r="B29" s="711"/>
      <c r="C29" s="712"/>
    </row>
    <row r="30" spans="1:3">
      <c r="A30" s="710"/>
      <c r="B30" s="711"/>
      <c r="C30" s="712"/>
    </row>
    <row r="31" spans="1:3">
      <c r="A31" s="710"/>
      <c r="B31" s="708"/>
      <c r="C31" s="712"/>
    </row>
    <row r="32" spans="1:3">
      <c r="A32" s="710"/>
      <c r="B32" s="711"/>
      <c r="C32" s="712"/>
    </row>
    <row r="33" spans="1:3">
      <c r="A33" s="710"/>
      <c r="B33" s="711"/>
      <c r="C33" s="712"/>
    </row>
    <row r="34" spans="1:3">
      <c r="A34" s="710"/>
      <c r="B34" s="711"/>
      <c r="C34" s="712"/>
    </row>
    <row r="35" spans="1:3">
      <c r="A35" s="710"/>
      <c r="B35" s="711"/>
      <c r="C35" s="712"/>
    </row>
    <row r="36" spans="1:3">
      <c r="A36" s="710"/>
      <c r="B36" s="711"/>
      <c r="C36" s="712"/>
    </row>
    <row r="37" spans="1:3">
      <c r="A37" s="710"/>
      <c r="B37" s="711"/>
      <c r="C37" s="712"/>
    </row>
    <row r="38" spans="1:3">
      <c r="A38" s="710"/>
      <c r="B38" s="711"/>
      <c r="C38" s="712"/>
    </row>
    <row r="39" spans="1:3">
      <c r="A39" s="710"/>
      <c r="B39" s="711"/>
      <c r="C39" s="712"/>
    </row>
    <row r="40" spans="1:3">
      <c r="A40" s="710"/>
      <c r="B40" s="711"/>
      <c r="C40" s="712"/>
    </row>
    <row r="41" spans="1:3">
      <c r="A41" s="710"/>
      <c r="B41" s="711"/>
      <c r="C41" s="712"/>
    </row>
    <row r="42" spans="1:3">
      <c r="A42" s="710"/>
      <c r="B42" s="711"/>
      <c r="C42" s="712"/>
    </row>
    <row r="43" spans="1:3">
      <c r="A43" s="710"/>
      <c r="B43" s="711"/>
      <c r="C43" s="712"/>
    </row>
    <row r="44" spans="1:3">
      <c r="A44" s="710"/>
      <c r="B44" s="711"/>
      <c r="C44" s="712"/>
    </row>
    <row r="45" spans="1:3">
      <c r="A45" s="710"/>
      <c r="B45" s="711"/>
      <c r="C45" s="712"/>
    </row>
    <row r="46" spans="1:3">
      <c r="A46" s="710"/>
      <c r="B46" s="711"/>
      <c r="C46" s="712"/>
    </row>
    <row r="47" spans="1:3">
      <c r="A47" s="710"/>
      <c r="B47" s="711"/>
      <c r="C47" s="712"/>
    </row>
    <row r="48" spans="1:3">
      <c r="A48" s="710"/>
      <c r="B48" s="711"/>
      <c r="C48" s="712"/>
    </row>
    <row r="49" spans="1:3">
      <c r="A49" s="710"/>
      <c r="B49" s="711"/>
      <c r="C49" s="712"/>
    </row>
    <row r="50" spans="1:3">
      <c r="A50" s="710"/>
      <c r="B50" s="711"/>
      <c r="C50" s="712"/>
    </row>
    <row r="51" spans="1:3">
      <c r="A51" s="710"/>
      <c r="B51" s="708"/>
      <c r="C51" s="712"/>
    </row>
    <row r="52" spans="1:3">
      <c r="A52" s="710"/>
      <c r="B52" s="711"/>
      <c r="C52" s="712"/>
    </row>
    <row r="53" spans="1:3">
      <c r="A53" s="710"/>
      <c r="B53" s="711"/>
      <c r="C53" s="712"/>
    </row>
    <row r="54" spans="1:3">
      <c r="A54" s="710"/>
      <c r="B54" s="711"/>
      <c r="C54" s="712"/>
    </row>
    <row r="55" spans="1:3">
      <c r="A55" s="710"/>
      <c r="B55" s="711"/>
      <c r="C55" s="712"/>
    </row>
    <row r="56" spans="1:3">
      <c r="A56" s="710"/>
      <c r="B56" s="711"/>
      <c r="C56" s="712"/>
    </row>
    <row r="57" spans="1:3">
      <c r="A57" s="710"/>
      <c r="B57" s="711"/>
      <c r="C57" s="712"/>
    </row>
    <row r="58" spans="1:3">
      <c r="A58" s="710"/>
      <c r="B58" s="711"/>
      <c r="C58" s="712"/>
    </row>
    <row r="59" spans="1:3">
      <c r="A59" s="710"/>
      <c r="B59" s="711"/>
      <c r="C59" s="712"/>
    </row>
    <row r="60" spans="1:3">
      <c r="A60" s="710"/>
      <c r="B60" s="711"/>
      <c r="C60" s="712"/>
    </row>
    <row r="61" spans="1:3">
      <c r="A61" s="710"/>
      <c r="B61" s="711"/>
      <c r="C61" s="712"/>
    </row>
    <row r="62" spans="1:3">
      <c r="A62" s="710"/>
      <c r="B62" s="711"/>
      <c r="C62" s="712"/>
    </row>
    <row r="63" spans="1:3">
      <c r="A63" s="710"/>
      <c r="B63" s="711"/>
      <c r="C63" s="712"/>
    </row>
    <row r="64" spans="1:3">
      <c r="A64" s="710"/>
      <c r="B64" s="711"/>
      <c r="C64" s="712"/>
    </row>
    <row r="65" spans="1:3">
      <c r="A65" s="710"/>
      <c r="B65" s="711"/>
      <c r="C65" s="712"/>
    </row>
    <row r="66" spans="1:3">
      <c r="A66" s="710"/>
      <c r="B66" s="708"/>
      <c r="C66" s="712"/>
    </row>
    <row r="67" spans="1:3">
      <c r="A67" s="532"/>
      <c r="B67" s="533"/>
      <c r="C67" s="534"/>
    </row>
    <row r="68" spans="1:3">
      <c r="A68" s="535"/>
      <c r="B68" s="533"/>
      <c r="C68" s="534"/>
    </row>
    <row r="69" spans="1:3">
      <c r="A69" s="535"/>
      <c r="B69" s="533"/>
      <c r="C69" s="534"/>
    </row>
    <row r="70" spans="1:3">
      <c r="A70" s="535"/>
      <c r="B70" s="533"/>
      <c r="C70" s="534"/>
    </row>
    <row r="71" spans="1:3">
      <c r="A71" s="535"/>
      <c r="B71" s="533"/>
      <c r="C71" s="534"/>
    </row>
    <row r="72" spans="1:3">
      <c r="A72" s="535"/>
      <c r="B72" s="536"/>
      <c r="C72" s="534"/>
    </row>
    <row r="73" spans="1:3">
      <c r="A73" s="535"/>
      <c r="B73" s="536"/>
      <c r="C73" s="534"/>
    </row>
    <row r="74" spans="1:3">
      <c r="A74" s="535"/>
      <c r="B74" s="536"/>
      <c r="C74" s="534"/>
    </row>
    <row r="75" spans="1:3">
      <c r="A75" s="535"/>
      <c r="B75" s="536"/>
      <c r="C75" s="534"/>
    </row>
    <row r="76" spans="1:3">
      <c r="A76" s="535"/>
      <c r="B76" s="536"/>
      <c r="C76" s="534"/>
    </row>
    <row r="77" spans="1:3">
      <c r="A77" s="535"/>
      <c r="B77" s="536"/>
      <c r="C77" s="534"/>
    </row>
    <row r="78" spans="1:3">
      <c r="A78" s="535"/>
      <c r="B78" s="536"/>
      <c r="C78" s="534"/>
    </row>
    <row r="79" spans="1:3">
      <c r="A79" s="535"/>
      <c r="B79" s="536"/>
      <c r="C79" s="534"/>
    </row>
    <row r="80" spans="1:3">
      <c r="A80" s="535"/>
      <c r="B80" s="536"/>
      <c r="C80" s="534"/>
    </row>
    <row r="81" spans="1:3">
      <c r="A81" s="535"/>
      <c r="B81" s="536"/>
      <c r="C81" s="534"/>
    </row>
    <row r="82" spans="1:3">
      <c r="A82" s="535"/>
      <c r="B82" s="536"/>
      <c r="C82" s="534"/>
    </row>
    <row r="83" spans="1:3">
      <c r="A83" s="535"/>
      <c r="B83" s="536"/>
      <c r="C83" s="534"/>
    </row>
    <row r="84" spans="1:3">
      <c r="A84" s="535"/>
      <c r="B84" s="536"/>
      <c r="C84" s="534"/>
    </row>
    <row r="85" spans="1:3">
      <c r="A85" s="535"/>
      <c r="B85" s="536"/>
      <c r="C85" s="534"/>
    </row>
    <row r="86" spans="1:3">
      <c r="A86" s="535"/>
      <c r="B86" s="536"/>
      <c r="C86" s="534"/>
    </row>
    <row r="87" spans="1:3">
      <c r="A87" s="535"/>
      <c r="B87" s="536"/>
      <c r="C87" s="534"/>
    </row>
    <row r="88" spans="1:3">
      <c r="A88" s="535"/>
      <c r="B88" s="536"/>
      <c r="C88" s="534"/>
    </row>
    <row r="89" spans="1:3">
      <c r="A89" s="535"/>
      <c r="B89" s="536"/>
      <c r="C89" s="534"/>
    </row>
    <row r="90" spans="1:3">
      <c r="A90" s="535"/>
      <c r="B90" s="536"/>
      <c r="C90" s="534"/>
    </row>
    <row r="91" spans="1:3">
      <c r="A91" s="535"/>
      <c r="B91" s="536"/>
      <c r="C91" s="534"/>
    </row>
    <row r="92" spans="1:3">
      <c r="A92" s="535"/>
      <c r="B92" s="536"/>
      <c r="C92" s="534"/>
    </row>
    <row r="93" spans="1:3">
      <c r="A93" s="535"/>
      <c r="B93" s="536"/>
      <c r="C93" s="534"/>
    </row>
    <row r="94" spans="1:3">
      <c r="A94" s="535"/>
      <c r="B94" s="533"/>
      <c r="C94" s="534"/>
    </row>
    <row r="95" spans="1:3" ht="15.75">
      <c r="A95" s="535"/>
      <c r="B95" s="537"/>
      <c r="C95" s="534"/>
    </row>
    <row r="96" spans="1:3">
      <c r="A96" s="535"/>
      <c r="B96" s="538"/>
      <c r="C96" s="534"/>
    </row>
    <row r="97" spans="1:4">
      <c r="A97" s="535"/>
      <c r="B97" s="536"/>
      <c r="C97" s="534"/>
    </row>
    <row r="98" spans="1:4">
      <c r="A98" s="535"/>
      <c r="B98" s="536"/>
      <c r="C98" s="534"/>
    </row>
    <row r="99" spans="1:4">
      <c r="A99" s="535"/>
      <c r="B99" s="536"/>
      <c r="C99" s="534"/>
    </row>
    <row r="100" spans="1:4">
      <c r="A100" s="535"/>
      <c r="B100" s="536"/>
      <c r="C100" s="534"/>
    </row>
    <row r="101" spans="1:4">
      <c r="A101" s="535"/>
      <c r="B101" s="536"/>
      <c r="C101" s="539"/>
    </row>
    <row r="102" spans="1:4">
      <c r="A102" s="535"/>
      <c r="B102" s="536"/>
      <c r="C102" s="534"/>
    </row>
    <row r="103" spans="1:4">
      <c r="A103" s="535"/>
      <c r="B103" s="536"/>
      <c r="C103" s="534"/>
    </row>
    <row r="104" spans="1:4">
      <c r="A104" s="535"/>
      <c r="B104" s="538"/>
      <c r="C104" s="534"/>
    </row>
    <row r="105" spans="1:4">
      <c r="A105" s="535"/>
      <c r="B105" s="536"/>
      <c r="C105" s="534"/>
      <c r="D105">
        <v>11</v>
      </c>
    </row>
    <row r="106" spans="1:4">
      <c r="A106" s="535"/>
      <c r="B106" s="243"/>
      <c r="C106" s="534"/>
    </row>
    <row r="107" spans="1:4">
      <c r="A107" s="535"/>
      <c r="B107" s="536"/>
      <c r="C107" s="534"/>
    </row>
    <row r="108" spans="1:4">
      <c r="A108" s="535"/>
      <c r="B108" s="536"/>
      <c r="C108" s="534"/>
    </row>
    <row r="109" spans="1:4">
      <c r="A109" s="535"/>
      <c r="B109" s="538"/>
      <c r="C109" s="534"/>
    </row>
    <row r="110" spans="1:4">
      <c r="A110" s="535"/>
      <c r="B110" s="536"/>
      <c r="C110" s="534"/>
    </row>
    <row r="111" spans="1:4">
      <c r="A111" s="535"/>
      <c r="B111" s="536"/>
      <c r="C111" s="534"/>
    </row>
    <row r="112" spans="1:4">
      <c r="A112" s="535"/>
      <c r="B112" s="536"/>
      <c r="C112" s="534"/>
    </row>
    <row r="113" spans="1:3">
      <c r="A113" s="535"/>
      <c r="B113" s="536"/>
      <c r="C113" s="534"/>
    </row>
    <row r="114" spans="1:3">
      <c r="A114" s="535"/>
      <c r="B114" s="536"/>
      <c r="C114" s="534"/>
    </row>
    <row r="115" spans="1:3">
      <c r="A115" s="535"/>
      <c r="B115" s="536"/>
      <c r="C115" s="534"/>
    </row>
    <row r="116" spans="1:3">
      <c r="A116" s="535"/>
      <c r="B116" s="538"/>
      <c r="C116" s="534"/>
    </row>
    <row r="117" spans="1:3">
      <c r="A117" s="535"/>
      <c r="B117" s="536"/>
      <c r="C117" s="534"/>
    </row>
    <row r="118" spans="1:3">
      <c r="A118" s="535"/>
      <c r="B118" s="536"/>
      <c r="C118" s="534"/>
    </row>
    <row r="119" spans="1:3">
      <c r="A119" s="535"/>
      <c r="B119" s="536"/>
      <c r="C119" s="534"/>
    </row>
    <row r="120" spans="1:3">
      <c r="A120" s="535"/>
      <c r="B120" s="536"/>
      <c r="C120" s="534"/>
    </row>
    <row r="121" spans="1:3">
      <c r="A121" s="535"/>
      <c r="B121" s="536"/>
      <c r="C121" s="534"/>
    </row>
    <row r="122" spans="1:3">
      <c r="A122" s="535"/>
      <c r="B122" s="538"/>
      <c r="C122" s="534"/>
    </row>
    <row r="123" spans="1:3">
      <c r="A123" s="535"/>
      <c r="B123" s="536"/>
      <c r="C123" s="534"/>
    </row>
    <row r="124" spans="1:3">
      <c r="A124" s="535"/>
      <c r="B124" s="536"/>
      <c r="C124" s="534"/>
    </row>
    <row r="125" spans="1:3">
      <c r="A125" s="535"/>
      <c r="B125" s="536"/>
      <c r="C125" s="534"/>
    </row>
    <row r="126" spans="1:3">
      <c r="A126" s="535"/>
      <c r="B126" s="536"/>
      <c r="C126" s="534"/>
    </row>
    <row r="127" spans="1:3">
      <c r="A127" s="535"/>
      <c r="B127" s="536"/>
      <c r="C127" s="534"/>
    </row>
    <row r="128" spans="1:3">
      <c r="A128" s="535"/>
      <c r="B128" s="538"/>
      <c r="C128" s="534"/>
    </row>
    <row r="129" spans="1:3">
      <c r="A129" s="535"/>
      <c r="B129" s="536"/>
      <c r="C129" s="534"/>
    </row>
    <row r="130" spans="1:3">
      <c r="A130" s="535"/>
      <c r="B130" s="536"/>
      <c r="C130" s="534"/>
    </row>
    <row r="131" spans="1:3">
      <c r="A131" s="535"/>
      <c r="B131" s="536"/>
      <c r="C131" s="534"/>
    </row>
    <row r="132" spans="1:3">
      <c r="A132" s="535"/>
      <c r="B132" s="536"/>
      <c r="C132" s="534"/>
    </row>
    <row r="133" spans="1:3">
      <c r="A133" s="535"/>
      <c r="B133" s="536"/>
      <c r="C133" s="534"/>
    </row>
    <row r="134" spans="1:3">
      <c r="A134" s="535"/>
      <c r="B134" s="536"/>
      <c r="C134" s="534"/>
    </row>
    <row r="135" spans="1:3">
      <c r="A135" s="535"/>
      <c r="B135" s="538"/>
      <c r="C135" s="534"/>
    </row>
    <row r="136" spans="1:3">
      <c r="A136" s="535"/>
      <c r="B136" s="536"/>
      <c r="C136" s="534"/>
    </row>
    <row r="137" spans="1:3">
      <c r="A137" s="535"/>
      <c r="B137" s="536"/>
      <c r="C137" s="534"/>
    </row>
    <row r="138" spans="1:3">
      <c r="A138" s="535"/>
      <c r="B138" s="536"/>
      <c r="C138" s="534"/>
    </row>
    <row r="139" spans="1:3">
      <c r="A139" s="535"/>
      <c r="B139" s="536"/>
      <c r="C139" s="534"/>
    </row>
    <row r="140" spans="1:3">
      <c r="A140" s="535"/>
      <c r="B140" s="538"/>
      <c r="C140" s="534"/>
    </row>
    <row r="141" spans="1:3">
      <c r="A141" s="535"/>
      <c r="B141" s="536"/>
      <c r="C141" s="534"/>
    </row>
    <row r="142" spans="1:3">
      <c r="A142" s="535"/>
      <c r="B142" s="536"/>
      <c r="C142" s="534"/>
    </row>
    <row r="143" spans="1:3">
      <c r="A143" s="535"/>
      <c r="B143" s="536"/>
      <c r="C143" s="534"/>
    </row>
    <row r="144" spans="1:3">
      <c r="A144" s="535"/>
      <c r="B144" s="538"/>
      <c r="C144" s="534"/>
    </row>
    <row r="145" spans="1:3">
      <c r="A145" s="535"/>
      <c r="B145" s="536"/>
      <c r="C145" s="534"/>
    </row>
    <row r="146" spans="1:3">
      <c r="A146" s="535"/>
      <c r="B146" s="536"/>
      <c r="C146" s="534"/>
    </row>
    <row r="147" spans="1:3">
      <c r="A147" s="535"/>
      <c r="B147" s="536"/>
      <c r="C147" s="534"/>
    </row>
    <row r="148" spans="1:3">
      <c r="A148" s="535"/>
      <c r="B148" s="536"/>
      <c r="C148" s="534"/>
    </row>
    <row r="149" spans="1:3">
      <c r="A149" s="535"/>
      <c r="B149" s="536"/>
      <c r="C149" s="534"/>
    </row>
    <row r="150" spans="1:3">
      <c r="A150" s="535"/>
      <c r="B150" s="536"/>
      <c r="C150" s="534"/>
    </row>
    <row r="151" spans="1:3">
      <c r="A151" s="535"/>
      <c r="B151" s="536"/>
      <c r="C151" s="534"/>
    </row>
    <row r="152" spans="1:3">
      <c r="A152" s="535"/>
      <c r="B152" s="535"/>
      <c r="C152" s="534"/>
    </row>
    <row r="153" spans="1:3">
      <c r="A153" s="535"/>
      <c r="B153" s="536"/>
      <c r="C153" s="534"/>
    </row>
    <row r="154" spans="1:3">
      <c r="A154" s="535"/>
      <c r="B154" s="536"/>
      <c r="C154" s="534"/>
    </row>
    <row r="155" spans="1:3">
      <c r="A155" s="535"/>
      <c r="B155" s="536"/>
      <c r="C155" s="534"/>
    </row>
    <row r="156" spans="1:3">
      <c r="A156" s="535"/>
      <c r="B156" s="536"/>
      <c r="C156" s="534"/>
    </row>
    <row r="157" spans="1:3">
      <c r="A157" s="535"/>
      <c r="B157" s="536"/>
      <c r="C157" s="534"/>
    </row>
    <row r="158" spans="1:3">
      <c r="A158" s="535"/>
      <c r="B158" s="536"/>
      <c r="C158" s="534"/>
    </row>
    <row r="159" spans="1:3">
      <c r="A159" s="535"/>
      <c r="B159" s="536"/>
      <c r="C159" s="534"/>
    </row>
    <row r="160" spans="1:3">
      <c r="A160" s="535"/>
      <c r="B160" s="536"/>
      <c r="C160" s="534"/>
    </row>
    <row r="161" spans="1:3">
      <c r="A161" s="535"/>
      <c r="B161" s="536"/>
      <c r="C161" s="534"/>
    </row>
    <row r="162" spans="1:3">
      <c r="A162" s="535"/>
      <c r="B162" s="536"/>
      <c r="C162" s="534"/>
    </row>
    <row r="163" spans="1:3">
      <c r="A163" s="535"/>
      <c r="B163" s="536"/>
      <c r="C163" s="534"/>
    </row>
    <row r="164" spans="1:3">
      <c r="A164" s="535"/>
      <c r="B164" s="536"/>
      <c r="C164" s="534"/>
    </row>
    <row r="165" spans="1:3">
      <c r="A165" s="535"/>
      <c r="B165" s="536"/>
      <c r="C165" s="534"/>
    </row>
    <row r="166" spans="1:3">
      <c r="A166" s="535"/>
      <c r="B166" s="535"/>
      <c r="C166" s="534"/>
    </row>
    <row r="167" spans="1:3">
      <c r="A167" s="535"/>
      <c r="B167" s="536"/>
      <c r="C167" s="534"/>
    </row>
    <row r="168" spans="1:3">
      <c r="A168" s="535"/>
      <c r="B168" s="536"/>
      <c r="C168" s="534"/>
    </row>
    <row r="169" spans="1:3">
      <c r="A169" s="535"/>
      <c r="B169" s="536"/>
      <c r="C169" s="534"/>
    </row>
    <row r="170" spans="1:3">
      <c r="A170" s="535"/>
      <c r="B170" s="536"/>
      <c r="C170" s="534"/>
    </row>
    <row r="171" spans="1:3">
      <c r="A171" s="535"/>
      <c r="B171" s="536"/>
      <c r="C171" s="534"/>
    </row>
    <row r="172" spans="1:3">
      <c r="A172" s="535"/>
      <c r="B172" s="536"/>
      <c r="C172" s="534"/>
    </row>
    <row r="173" spans="1:3">
      <c r="A173" s="535"/>
      <c r="B173" s="536"/>
      <c r="C173" s="534"/>
    </row>
    <row r="174" spans="1:3">
      <c r="A174" s="535"/>
      <c r="B174" s="535"/>
      <c r="C174" s="534"/>
    </row>
    <row r="175" spans="1:3">
      <c r="A175" s="535"/>
      <c r="B175" s="536"/>
      <c r="C175" s="534"/>
    </row>
    <row r="176" spans="1:3">
      <c r="A176" s="535"/>
      <c r="B176" s="536"/>
      <c r="C176" s="534"/>
    </row>
    <row r="177" spans="1:3">
      <c r="A177" s="535"/>
      <c r="B177" s="535"/>
      <c r="C177" s="534"/>
    </row>
    <row r="178" spans="1:3">
      <c r="A178" s="535"/>
      <c r="B178" s="536"/>
      <c r="C178" s="534"/>
    </row>
    <row r="179" spans="1:3">
      <c r="A179" s="535"/>
      <c r="B179" s="536"/>
      <c r="C179" s="534"/>
    </row>
    <row r="180" spans="1:3">
      <c r="A180" s="244"/>
      <c r="B180" s="245"/>
      <c r="C180" s="246"/>
    </row>
    <row r="181" spans="1:3">
      <c r="A181" s="247"/>
      <c r="B181" s="248"/>
      <c r="C181" s="249"/>
    </row>
    <row r="182" spans="1:3">
      <c r="A182" s="247"/>
      <c r="B182" s="248"/>
      <c r="C182" s="249"/>
    </row>
    <row r="183" spans="1:3">
      <c r="A183" s="247"/>
      <c r="B183" s="248"/>
      <c r="C183" s="249"/>
    </row>
    <row r="184" spans="1:3">
      <c r="A184" s="247"/>
      <c r="B184" s="248"/>
      <c r="C184" s="249"/>
    </row>
    <row r="185" spans="1:3">
      <c r="A185" s="247"/>
      <c r="B185" s="248"/>
      <c r="C185" s="249"/>
    </row>
    <row r="186" spans="1:3">
      <c r="A186" s="247"/>
      <c r="B186" s="248"/>
      <c r="C186" s="249"/>
    </row>
    <row r="187" spans="1:3">
      <c r="A187" s="247"/>
      <c r="B187" s="248"/>
      <c r="C187" s="249"/>
    </row>
    <row r="188" spans="1:3">
      <c r="A188" s="247"/>
      <c r="B188" s="248"/>
      <c r="C188" s="249"/>
    </row>
    <row r="189" spans="1:3">
      <c r="A189" s="247"/>
      <c r="B189" s="248"/>
      <c r="C189" s="249"/>
    </row>
    <row r="190" spans="1:3">
      <c r="A190" s="247"/>
      <c r="B190" s="248"/>
      <c r="C190" s="249"/>
    </row>
    <row r="191" spans="1:3">
      <c r="A191" s="247"/>
      <c r="B191" s="248"/>
      <c r="C191" s="249"/>
    </row>
    <row r="192" spans="1:3">
      <c r="A192" s="247"/>
      <c r="B192" s="248"/>
      <c r="C192" s="249"/>
    </row>
    <row r="193" spans="1:3">
      <c r="A193" s="247"/>
      <c r="B193" s="248"/>
      <c r="C193" s="249"/>
    </row>
    <row r="194" spans="1:3">
      <c r="A194" s="250"/>
      <c r="B194" s="251"/>
      <c r="C194" s="252"/>
    </row>
    <row r="195" spans="1:3">
      <c r="A195" s="250"/>
      <c r="B195" s="251"/>
      <c r="C195" s="252"/>
    </row>
    <row r="196" spans="1:3">
      <c r="A196" s="250"/>
      <c r="B196" s="251"/>
      <c r="C196" s="252"/>
    </row>
    <row r="197" spans="1:3">
      <c r="A197" s="250"/>
      <c r="B197" s="251"/>
      <c r="C197" s="252"/>
    </row>
    <row r="198" spans="1:3">
      <c r="A198" s="250"/>
      <c r="B198" s="251"/>
      <c r="C198" s="252"/>
    </row>
    <row r="199" spans="1:3">
      <c r="A199" s="250"/>
      <c r="B199" s="251"/>
      <c r="C199" s="252"/>
    </row>
    <row r="200" spans="1:3">
      <c r="A200" s="250"/>
      <c r="B200" s="251"/>
      <c r="C200" s="252"/>
    </row>
    <row r="201" spans="1:3">
      <c r="A201" s="250"/>
      <c r="B201" s="251"/>
      <c r="C201" s="252"/>
    </row>
    <row r="202" spans="1:3">
      <c r="A202" s="250"/>
      <c r="B202" s="251"/>
      <c r="C202" s="252"/>
    </row>
    <row r="203" spans="1:3">
      <c r="A203" s="250"/>
      <c r="B203" s="251"/>
      <c r="C203" s="252"/>
    </row>
    <row r="204" spans="1:3">
      <c r="A204" s="250"/>
      <c r="B204" s="251"/>
      <c r="C204" s="252"/>
    </row>
    <row r="205" spans="1:3">
      <c r="A205" s="250"/>
      <c r="B205" s="251"/>
      <c r="C205" s="252"/>
    </row>
    <row r="206" spans="1:3">
      <c r="A206" s="250"/>
      <c r="B206" s="251"/>
      <c r="C206" s="252"/>
    </row>
    <row r="207" spans="1:3">
      <c r="A207" s="250"/>
      <c r="B207" s="251"/>
      <c r="C207" s="252"/>
    </row>
    <row r="208" spans="1:3">
      <c r="A208" s="250"/>
      <c r="B208" s="251"/>
      <c r="C208" s="252"/>
    </row>
    <row r="209" spans="1:3">
      <c r="A209" s="250"/>
      <c r="B209" s="251"/>
      <c r="C209" s="252"/>
    </row>
    <row r="210" spans="1:3">
      <c r="A210" s="250"/>
      <c r="B210" s="251"/>
      <c r="C210" s="252"/>
    </row>
    <row r="211" spans="1:3">
      <c r="A211" s="250"/>
      <c r="B211" s="251"/>
      <c r="C211" s="252"/>
    </row>
    <row r="212" spans="1:3">
      <c r="A212" s="250"/>
      <c r="B212" s="251"/>
      <c r="C212" s="252"/>
    </row>
    <row r="213" spans="1:3">
      <c r="A213" s="250"/>
      <c r="B213" s="251"/>
      <c r="C213" s="252"/>
    </row>
    <row r="214" spans="1:3">
      <c r="A214" s="250"/>
      <c r="B214" s="251"/>
      <c r="C214" s="252"/>
    </row>
    <row r="215" spans="1:3">
      <c r="A215" s="250"/>
      <c r="B215" s="251"/>
      <c r="C215" s="252"/>
    </row>
    <row r="216" spans="1:3">
      <c r="A216" s="250"/>
      <c r="B216" s="251"/>
      <c r="C216" s="252"/>
    </row>
    <row r="217" spans="1:3">
      <c r="A217" s="250"/>
      <c r="B217" s="251"/>
      <c r="C217" s="252"/>
    </row>
    <row r="218" spans="1:3">
      <c r="A218" s="250"/>
      <c r="B218" s="251"/>
      <c r="C218" s="252"/>
    </row>
    <row r="219" spans="1:3">
      <c r="A219" s="250"/>
      <c r="B219" s="251"/>
      <c r="C219" s="252"/>
    </row>
    <row r="220" spans="1:3">
      <c r="A220" s="250"/>
      <c r="B220" s="251"/>
      <c r="C220" s="252"/>
    </row>
    <row r="221" spans="1:3">
      <c r="A221" s="250"/>
      <c r="B221" s="251"/>
      <c r="C221" s="252"/>
    </row>
    <row r="222" spans="1:3">
      <c r="A222" s="250"/>
      <c r="B222" s="251"/>
      <c r="C222" s="252"/>
    </row>
    <row r="223" spans="1:3">
      <c r="A223" s="250"/>
      <c r="B223" s="251"/>
      <c r="C223" s="252"/>
    </row>
    <row r="224" spans="1:3">
      <c r="A224" s="250"/>
      <c r="B224" s="251"/>
      <c r="C224" s="252"/>
    </row>
    <row r="225" spans="1:3">
      <c r="A225" s="250"/>
      <c r="B225" s="251"/>
      <c r="C225" s="252"/>
    </row>
    <row r="226" spans="1:3">
      <c r="A226" s="250"/>
      <c r="B226" s="251"/>
      <c r="C226" s="252"/>
    </row>
    <row r="227" spans="1:3">
      <c r="A227" s="250"/>
      <c r="B227" s="251"/>
      <c r="C227" s="252"/>
    </row>
    <row r="228" spans="1:3">
      <c r="A228" s="253"/>
      <c r="B228" s="254"/>
      <c r="C228" s="252"/>
    </row>
    <row r="229" spans="1:3">
      <c r="A229" s="234"/>
      <c r="B229" s="255"/>
    </row>
    <row r="230" spans="1:3">
      <c r="A230" s="234"/>
      <c r="B230" s="255"/>
    </row>
    <row r="231" spans="1:3">
      <c r="A231" s="234"/>
      <c r="B231" s="255"/>
    </row>
  </sheetData>
  <mergeCells count="3">
    <mergeCell ref="A3:B3"/>
    <mergeCell ref="A5:B5"/>
    <mergeCell ref="A6:B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58DF-E7FE-442F-9167-A1F7A33310A0}">
  <sheetPr>
    <tabColor rgb="FF00B0F0"/>
  </sheetPr>
  <dimension ref="A1:P113"/>
  <sheetViews>
    <sheetView tabSelected="1" zoomScale="90" zoomScaleNormal="90" workbookViewId="0">
      <selection activeCell="I22" sqref="I22"/>
    </sheetView>
  </sheetViews>
  <sheetFormatPr defaultRowHeight="14.25"/>
  <cols>
    <col min="1" max="1" width="15.7109375" style="155" customWidth="1"/>
    <col min="2" max="2" width="60.7109375" style="155" customWidth="1"/>
    <col min="3" max="3" width="20.7109375" style="156" customWidth="1"/>
    <col min="4" max="4" width="15.7109375" style="307" customWidth="1"/>
    <col min="5" max="5" width="8.7109375" style="412" customWidth="1"/>
    <col min="6" max="6" width="10.7109375" style="155" customWidth="1"/>
    <col min="7" max="7" width="2.7109375" style="155" bestFit="1" customWidth="1"/>
    <col min="8" max="8" width="9.140625" style="155"/>
    <col min="9" max="9" width="9.85546875" style="155" bestFit="1" customWidth="1"/>
    <col min="10" max="10" width="9.140625" style="155"/>
    <col min="11" max="11" width="12.7109375" style="155" bestFit="1" customWidth="1"/>
    <col min="12" max="12" width="9.85546875" style="155" bestFit="1" customWidth="1"/>
    <col min="13" max="15" width="12.7109375" style="155" bestFit="1" customWidth="1"/>
    <col min="16" max="16" width="9.85546875" style="155" bestFit="1" customWidth="1"/>
    <col min="17" max="16384" width="9.140625" style="155"/>
  </cols>
  <sheetData>
    <row r="1" spans="1:5" ht="45" customHeight="1">
      <c r="A1" s="230"/>
      <c r="B1" s="230"/>
      <c r="C1" s="155"/>
    </row>
    <row r="2" spans="1:5" ht="6" customHeight="1">
      <c r="A2" s="714"/>
      <c r="B2" s="715"/>
      <c r="C2" s="715"/>
      <c r="D2" s="715"/>
      <c r="E2" s="716"/>
    </row>
    <row r="3" spans="1:5" ht="34.5" customHeight="1">
      <c r="A3" s="593" t="str">
        <f>'Area Calculations'!B4</f>
        <v>Bourbon Hotel Orlando</v>
      </c>
      <c r="B3" s="593"/>
      <c r="C3" s="155"/>
    </row>
    <row r="4" spans="1:5" ht="15" customHeight="1">
      <c r="A4" s="231" t="str">
        <f>'Area Calculations'!B5</f>
        <v>Orlando</v>
      </c>
      <c r="B4" s="231"/>
      <c r="C4" s="155"/>
    </row>
    <row r="5" spans="1:5" ht="15" customHeight="1">
      <c r="A5" s="371" t="s">
        <v>103</v>
      </c>
      <c r="B5" s="371"/>
      <c r="C5" s="155"/>
    </row>
    <row r="6" spans="1:5" ht="15" customHeight="1" thickBot="1">
      <c r="A6" s="592">
        <f ca="1">NOW()</f>
        <v>46146.22300810185</v>
      </c>
      <c r="B6" s="592"/>
    </row>
    <row r="7" spans="1:5" s="222" customFormat="1" ht="15">
      <c r="A7" s="363" t="s">
        <v>104</v>
      </c>
      <c r="B7" s="364" t="s">
        <v>105</v>
      </c>
      <c r="C7" s="365" t="s">
        <v>27</v>
      </c>
      <c r="D7" s="366" t="s">
        <v>106</v>
      </c>
      <c r="E7" s="413"/>
    </row>
    <row r="8" spans="1:5" ht="18" customHeight="1">
      <c r="A8" s="466" t="s">
        <v>107</v>
      </c>
      <c r="B8" s="232" t="s">
        <v>108</v>
      </c>
      <c r="C8" s="367">
        <f>'02 21 Survey '!$H$9</f>
        <v>60117</v>
      </c>
      <c r="D8" s="368">
        <f>C8/'Area Calculations'!$G$5</f>
        <v>0.15441420106184325</v>
      </c>
      <c r="E8" s="414" t="s">
        <v>109</v>
      </c>
    </row>
    <row r="9" spans="1:5" ht="18" customHeight="1">
      <c r="A9" s="466" t="s">
        <v>110</v>
      </c>
      <c r="B9" s="232" t="s">
        <v>111</v>
      </c>
      <c r="C9" s="367">
        <f>'02 41 Demo'!$H$9</f>
        <v>0</v>
      </c>
      <c r="D9" s="368">
        <f>C9/'Area Calculations'!$G$5</f>
        <v>0</v>
      </c>
      <c r="E9" s="414" t="s">
        <v>112</v>
      </c>
    </row>
    <row r="10" spans="1:5" ht="18" customHeight="1">
      <c r="A10" s="466" t="s">
        <v>113</v>
      </c>
      <c r="B10" s="232" t="s">
        <v>114</v>
      </c>
      <c r="C10" s="367">
        <f>'03 30 Conc &amp; CMU'!$H$9</f>
        <v>33000765</v>
      </c>
      <c r="D10" s="368">
        <f>C10/'Area Calculations'!$G$5</f>
        <v>84.764488612283373</v>
      </c>
      <c r="E10" s="414" t="s">
        <v>112</v>
      </c>
    </row>
    <row r="11" spans="1:5" ht="18" customHeight="1">
      <c r="A11" s="466" t="s">
        <v>115</v>
      </c>
      <c r="B11" s="232" t="s">
        <v>116</v>
      </c>
      <c r="C11" s="367">
        <f>'04 40 Stone Cladding'!$H$9</f>
        <v>132072</v>
      </c>
      <c r="D11" s="368">
        <f>C11/'Area Calculations'!$G$5</f>
        <v>0.33923503106674918</v>
      </c>
      <c r="E11" s="414" t="s">
        <v>112</v>
      </c>
    </row>
    <row r="12" spans="1:5" ht="18" customHeight="1">
      <c r="A12" s="466" t="s">
        <v>117</v>
      </c>
      <c r="B12" s="232" t="s">
        <v>118</v>
      </c>
      <c r="C12" s="367">
        <f>'05 10 Structural Steel'!$H$9</f>
        <v>11299290</v>
      </c>
      <c r="D12" s="368">
        <f>C12/'Area Calculations'!$G$5</f>
        <v>29.022919272686174</v>
      </c>
      <c r="E12" s="414" t="s">
        <v>112</v>
      </c>
    </row>
    <row r="13" spans="1:5" ht="18" customHeight="1">
      <c r="A13" s="466" t="s">
        <v>119</v>
      </c>
      <c r="B13" s="232" t="s">
        <v>120</v>
      </c>
      <c r="C13" s="367">
        <f>'05 52 Misc Metals'!$H$9</f>
        <v>1259600</v>
      </c>
      <c r="D13" s="368">
        <f>C13/'Area Calculations'!$G$5</f>
        <v>3.2353598425985619</v>
      </c>
      <c r="E13" s="414" t="s">
        <v>112</v>
      </c>
    </row>
    <row r="14" spans="1:5" ht="18" customHeight="1">
      <c r="A14" s="466" t="s">
        <v>119</v>
      </c>
      <c r="B14" s="232" t="s">
        <v>121</v>
      </c>
      <c r="C14" s="367">
        <f>'05 70 Railings Glass'!$H$9</f>
        <v>698400</v>
      </c>
      <c r="D14" s="368">
        <f>C14/'Area Calculations'!$G$5</f>
        <v>1.7938832280651285</v>
      </c>
      <c r="E14" s="414" t="s">
        <v>112</v>
      </c>
    </row>
    <row r="15" spans="1:5" ht="18" customHeight="1">
      <c r="A15" s="466" t="s">
        <v>122</v>
      </c>
      <c r="B15" s="232" t="s">
        <v>123</v>
      </c>
      <c r="C15" s="367">
        <f>'06 10 Rough Carpentry'!$H$9</f>
        <v>236980</v>
      </c>
      <c r="D15" s="368">
        <f>C15/'Area Calculations'!$G$5</f>
        <v>0.6086976623523398</v>
      </c>
      <c r="E15" s="414" t="s">
        <v>112</v>
      </c>
    </row>
    <row r="16" spans="1:5" ht="18" customHeight="1">
      <c r="A16" s="466" t="s">
        <v>124</v>
      </c>
      <c r="B16" s="232" t="s">
        <v>125</v>
      </c>
      <c r="C16" s="408" t="s">
        <v>126</v>
      </c>
      <c r="D16" s="368"/>
      <c r="E16" s="414"/>
    </row>
    <row r="17" spans="1:5" ht="18" customHeight="1">
      <c r="A17" s="466" t="s">
        <v>127</v>
      </c>
      <c r="B17" s="232" t="s">
        <v>128</v>
      </c>
      <c r="C17" s="367">
        <f>'07 17 Waterproofing &amp; Caulk'!$H$9</f>
        <v>6411905</v>
      </c>
      <c r="D17" s="368">
        <f>C17/'Area Calculations'!$G$5</f>
        <v>16.469371190502489</v>
      </c>
      <c r="E17" s="414" t="s">
        <v>112</v>
      </c>
    </row>
    <row r="18" spans="1:5" ht="18" customHeight="1">
      <c r="A18" s="466" t="s">
        <v>129</v>
      </c>
      <c r="B18" s="232" t="s">
        <v>130</v>
      </c>
      <c r="C18" s="367">
        <f>'07 21 Spray Foam Ins'!$H$9</f>
        <v>177267</v>
      </c>
      <c r="D18" s="368">
        <f>C18/'Area Calculations'!$G$5</f>
        <v>0.45532116006503598</v>
      </c>
      <c r="E18" s="414" t="s">
        <v>112</v>
      </c>
    </row>
    <row r="19" spans="1:5" ht="18" customHeight="1">
      <c r="A19" s="466" t="s">
        <v>131</v>
      </c>
      <c r="B19" s="232" t="s">
        <v>132</v>
      </c>
      <c r="C19" s="367">
        <f>'07 42 Metal Panel'!$H$9</f>
        <v>3361361</v>
      </c>
      <c r="D19" s="368">
        <f>C19/'Area Calculations'!$G$5</f>
        <v>8.6338618576349209</v>
      </c>
      <c r="E19" s="414" t="s">
        <v>112</v>
      </c>
    </row>
    <row r="20" spans="1:5" ht="18" customHeight="1">
      <c r="A20" s="466" t="s">
        <v>133</v>
      </c>
      <c r="B20" s="232" t="s">
        <v>134</v>
      </c>
      <c r="C20" s="367">
        <f>'07 50 Roofing'!$H$9</f>
        <v>1628655</v>
      </c>
      <c r="D20" s="368">
        <f>C20/'Area Calculations'!$G$5</f>
        <v>4.1833002417016205</v>
      </c>
      <c r="E20" s="414" t="s">
        <v>112</v>
      </c>
    </row>
    <row r="21" spans="1:5" ht="18" customHeight="1">
      <c r="A21" s="466" t="s">
        <v>135</v>
      </c>
      <c r="B21" s="232" t="s">
        <v>136</v>
      </c>
      <c r="C21" s="408" t="s">
        <v>126</v>
      </c>
      <c r="D21" s="368"/>
      <c r="E21" s="414"/>
    </row>
    <row r="22" spans="1:5" ht="18" customHeight="1">
      <c r="A22" s="466" t="s">
        <v>137</v>
      </c>
      <c r="B22" s="232" t="s">
        <v>138</v>
      </c>
      <c r="C22" s="367">
        <f>'08 50 Storefront'!$H$9</f>
        <v>8830610</v>
      </c>
      <c r="D22" s="368">
        <f>C22/'Area Calculations'!$G$5</f>
        <v>22.681963305532939</v>
      </c>
      <c r="E22" s="414" t="s">
        <v>112</v>
      </c>
    </row>
    <row r="23" spans="1:5" ht="18" customHeight="1">
      <c r="A23" s="466" t="s">
        <v>137</v>
      </c>
      <c r="B23" s="232" t="s">
        <v>139</v>
      </c>
      <c r="C23" s="408" t="s">
        <v>126</v>
      </c>
      <c r="D23" s="368"/>
      <c r="E23" s="414"/>
    </row>
    <row r="24" spans="1:5" ht="18" customHeight="1">
      <c r="A24" s="466" t="s">
        <v>140</v>
      </c>
      <c r="B24" s="232" t="s">
        <v>141</v>
      </c>
      <c r="C24" s="367">
        <f>'09 29 Gypsum Board'!$H$9</f>
        <v>2590290</v>
      </c>
      <c r="D24" s="368">
        <f>C24/'Area Calculations'!$G$5</f>
        <v>6.6533187096575341</v>
      </c>
      <c r="E24" s="414" t="s">
        <v>112</v>
      </c>
    </row>
    <row r="25" spans="1:5" ht="18" customHeight="1">
      <c r="A25" s="466" t="s">
        <v>140</v>
      </c>
      <c r="B25" s="232" t="s">
        <v>142</v>
      </c>
      <c r="C25" s="408" t="s">
        <v>126</v>
      </c>
      <c r="D25" s="368"/>
      <c r="E25" s="414"/>
    </row>
    <row r="26" spans="1:5" ht="18" customHeight="1">
      <c r="A26" s="466" t="s">
        <v>143</v>
      </c>
      <c r="B26" s="232" t="s">
        <v>144</v>
      </c>
      <c r="C26" s="408" t="s">
        <v>126</v>
      </c>
      <c r="D26" s="368"/>
      <c r="E26" s="414"/>
    </row>
    <row r="27" spans="1:5" ht="18" customHeight="1">
      <c r="A27" s="466" t="s">
        <v>145</v>
      </c>
      <c r="B27" s="232" t="s">
        <v>146</v>
      </c>
      <c r="C27" s="408" t="s">
        <v>126</v>
      </c>
      <c r="D27" s="368"/>
      <c r="E27" s="414"/>
    </row>
    <row r="28" spans="1:5" ht="18" customHeight="1">
      <c r="A28" s="466" t="s">
        <v>147</v>
      </c>
      <c r="B28" s="232" t="s">
        <v>148</v>
      </c>
      <c r="C28" s="367">
        <f>'09 90 Painting'!$H$9</f>
        <v>29702</v>
      </c>
      <c r="D28" s="368">
        <f>C28/'Area Calculations'!$G$5</f>
        <v>7.6291408419230308E-2</v>
      </c>
      <c r="E28" s="414" t="s">
        <v>112</v>
      </c>
    </row>
    <row r="29" spans="1:5" ht="18" customHeight="1">
      <c r="A29" s="466" t="s">
        <v>147</v>
      </c>
      <c r="B29" s="232" t="s">
        <v>149</v>
      </c>
      <c r="C29" s="408" t="s">
        <v>126</v>
      </c>
      <c r="D29" s="368"/>
      <c r="E29" s="414"/>
    </row>
    <row r="30" spans="1:5" ht="18" customHeight="1">
      <c r="A30" s="466" t="s">
        <v>150</v>
      </c>
      <c r="B30" s="232" t="s">
        <v>151</v>
      </c>
      <c r="C30" s="408" t="s">
        <v>126</v>
      </c>
      <c r="D30" s="368"/>
      <c r="E30" s="414"/>
    </row>
    <row r="31" spans="1:5" ht="18" customHeight="1">
      <c r="A31" s="466" t="s">
        <v>152</v>
      </c>
      <c r="B31" s="232" t="s">
        <v>153</v>
      </c>
      <c r="C31" s="367">
        <f>'10 53 Signage'!$H$9</f>
        <v>312233</v>
      </c>
      <c r="D31" s="368">
        <f>C31/'Area Calculations'!$G$5</f>
        <v>0.80198960760088667</v>
      </c>
      <c r="E31" s="414" t="s">
        <v>112</v>
      </c>
    </row>
    <row r="32" spans="1:5" ht="18" customHeight="1">
      <c r="A32" s="466" t="s">
        <v>154</v>
      </c>
      <c r="B32" s="232" t="s">
        <v>155</v>
      </c>
      <c r="C32" s="367">
        <f>'10 73 Canopies'!$H$9</f>
        <v>2522500</v>
      </c>
      <c r="D32" s="368">
        <f>C32/'Area Calculations'!$G$5</f>
        <v>6.4791959375634116</v>
      </c>
      <c r="E32" s="414" t="s">
        <v>112</v>
      </c>
    </row>
    <row r="33" spans="1:15" ht="18" customHeight="1">
      <c r="A33" s="466" t="s">
        <v>156</v>
      </c>
      <c r="B33" s="232" t="s">
        <v>157</v>
      </c>
      <c r="C33" s="367">
        <f>'13 11 Pool'!$H$9</f>
        <v>4174180</v>
      </c>
      <c r="D33" s="368">
        <f>C33/'Area Calculations'!$G$5</f>
        <v>10.721637303729809</v>
      </c>
      <c r="E33" s="414" t="s">
        <v>112</v>
      </c>
    </row>
    <row r="34" spans="1:15" ht="18" customHeight="1">
      <c r="A34" s="466" t="s">
        <v>158</v>
      </c>
      <c r="B34" s="232" t="s">
        <v>159</v>
      </c>
      <c r="C34" s="367">
        <f>'14 00 Elevators'!$H$9</f>
        <v>3313230</v>
      </c>
      <c r="D34" s="368">
        <f>C34/'Area Calculations'!$G$5</f>
        <v>8.510234432591961</v>
      </c>
      <c r="E34" s="414" t="s">
        <v>112</v>
      </c>
    </row>
    <row r="35" spans="1:15" ht="18" customHeight="1">
      <c r="A35" s="466" t="s">
        <v>160</v>
      </c>
      <c r="B35" s="232" t="s">
        <v>161</v>
      </c>
      <c r="C35" s="367">
        <f>'14 91 Laundry Chute'!$H$9</f>
        <v>20300</v>
      </c>
      <c r="D35" s="368">
        <f>C35/'Area Calculations'!$G$5</f>
        <v>5.2141794859281367E-2</v>
      </c>
      <c r="E35" s="414" t="s">
        <v>112</v>
      </c>
    </row>
    <row r="36" spans="1:15" ht="18" customHeight="1">
      <c r="A36" s="466" t="s">
        <v>162</v>
      </c>
      <c r="B36" s="232" t="s">
        <v>163</v>
      </c>
      <c r="C36" s="367">
        <f>'21 13 Fire Protection'!$H$9</f>
        <v>1272593</v>
      </c>
      <c r="D36" s="368">
        <f>C36/'Area Calculations'!$G$5</f>
        <v>3.2687331598698255</v>
      </c>
      <c r="E36" s="414" t="s">
        <v>112</v>
      </c>
    </row>
    <row r="37" spans="1:15" ht="18" customHeight="1">
      <c r="A37" s="466" t="s">
        <v>164</v>
      </c>
      <c r="B37" s="232" t="s">
        <v>165</v>
      </c>
      <c r="C37" s="367">
        <f>'22 00 Plumbing '!$H$9</f>
        <v>7234302</v>
      </c>
      <c r="D37" s="368">
        <f>C37/'Area Calculations'!$G$5</f>
        <v>18.581748316950193</v>
      </c>
      <c r="E37" s="414" t="s">
        <v>112</v>
      </c>
    </row>
    <row r="38" spans="1:15" ht="18" customHeight="1">
      <c r="A38" s="466" t="s">
        <v>166</v>
      </c>
      <c r="B38" s="232" t="s">
        <v>167</v>
      </c>
      <c r="C38" s="367">
        <f>'23 00 HVAC'!$H$9</f>
        <v>8615235</v>
      </c>
      <c r="D38" s="368">
        <f>C38/'Area Calculations'!$G$5</f>
        <v>22.128759410566548</v>
      </c>
      <c r="E38" s="414" t="s">
        <v>112</v>
      </c>
    </row>
    <row r="39" spans="1:15" ht="18" customHeight="1">
      <c r="A39" s="466" t="s">
        <v>168</v>
      </c>
      <c r="B39" s="232" t="s">
        <v>169</v>
      </c>
      <c r="C39" s="367">
        <f>'26 00 Electrical'!$H$9</f>
        <v>12741754</v>
      </c>
      <c r="D39" s="368">
        <f>C39/'Area Calculations'!$G$5</f>
        <v>32.727976513075262</v>
      </c>
      <c r="E39" s="414" t="s">
        <v>112</v>
      </c>
    </row>
    <row r="40" spans="1:15" ht="18" customHeight="1">
      <c r="A40" s="466" t="s">
        <v>170</v>
      </c>
      <c r="B40" s="232" t="s">
        <v>171</v>
      </c>
      <c r="C40" s="367">
        <f>'31 30 Site Work'!$H$9</f>
        <v>992609</v>
      </c>
      <c r="D40" s="410">
        <f>C40/'Area Calculations'!G7</f>
        <v>247667.54709848153</v>
      </c>
      <c r="E40" s="414" t="s">
        <v>109</v>
      </c>
    </row>
    <row r="41" spans="1:15" ht="18" customHeight="1">
      <c r="A41" s="466" t="s">
        <v>172</v>
      </c>
      <c r="B41" s="232" t="s">
        <v>173</v>
      </c>
      <c r="C41" s="367">
        <f>'32 14 00 Hardscape'!$H$9</f>
        <v>965407</v>
      </c>
      <c r="D41" s="410">
        <f>C41/'Area Calculations'!G7</f>
        <v>240880.33016193059</v>
      </c>
      <c r="E41" s="414" t="s">
        <v>109</v>
      </c>
    </row>
    <row r="42" spans="1:15" ht="18" customHeight="1">
      <c r="A42" s="466" t="s">
        <v>174</v>
      </c>
      <c r="B42" s="232" t="s">
        <v>175</v>
      </c>
      <c r="C42" s="367">
        <f>'32 80 00 Landscape'!$H$9</f>
        <v>594475</v>
      </c>
      <c r="D42" s="410">
        <f>C42/'Area Calculations'!G7</f>
        <v>148328.46071451076</v>
      </c>
      <c r="E42" s="414" t="s">
        <v>109</v>
      </c>
    </row>
    <row r="43" spans="1:15" ht="18" customHeight="1">
      <c r="A43" s="466"/>
      <c r="B43" s="232"/>
      <c r="C43" s="367"/>
      <c r="D43" s="368"/>
      <c r="E43" s="414"/>
    </row>
    <row r="44" spans="1:15" ht="18" customHeight="1">
      <c r="A44" s="466"/>
      <c r="B44" s="232" t="s">
        <v>176</v>
      </c>
      <c r="C44" s="367"/>
      <c r="D44" s="368"/>
      <c r="E44" s="414"/>
    </row>
    <row r="45" spans="1:15" ht="18" customHeight="1">
      <c r="A45" s="466"/>
      <c r="B45" s="347" t="s">
        <v>177</v>
      </c>
      <c r="C45" s="367">
        <f>H45*D45</f>
        <v>5920000</v>
      </c>
      <c r="D45" s="368">
        <v>20000</v>
      </c>
      <c r="E45" s="414" t="s">
        <v>178</v>
      </c>
      <c r="F45" s="345">
        <v>130974</v>
      </c>
      <c r="G45" s="155" t="s">
        <v>179</v>
      </c>
      <c r="H45" s="155">
        <v>296</v>
      </c>
      <c r="I45" s="155" t="s">
        <v>180</v>
      </c>
      <c r="J45" s="307">
        <f>C45/F45</f>
        <v>45.199810649441872</v>
      </c>
      <c r="K45" s="155" t="s">
        <v>179</v>
      </c>
      <c r="L45" s="425"/>
      <c r="N45" s="307"/>
      <c r="O45" s="307"/>
    </row>
    <row r="46" spans="1:15" ht="18" customHeight="1">
      <c r="A46" s="466"/>
      <c r="B46" s="347" t="s">
        <v>181</v>
      </c>
      <c r="C46" s="367">
        <f t="shared" ref="C46:C48" si="0">F46*D46</f>
        <v>1806735</v>
      </c>
      <c r="D46" s="368">
        <v>35</v>
      </c>
      <c r="E46" s="414" t="s">
        <v>112</v>
      </c>
      <c r="F46" s="409">
        <f>'Area Calculations'!C31+'Area Calculations'!C50+'Area Calculations'!C51</f>
        <v>51621</v>
      </c>
      <c r="G46" s="155" t="s">
        <v>179</v>
      </c>
      <c r="O46" s="307"/>
    </row>
    <row r="47" spans="1:15" ht="18" customHeight="1">
      <c r="A47" s="466"/>
      <c r="B47" s="347" t="s">
        <v>182</v>
      </c>
      <c r="C47" s="367">
        <f t="shared" si="0"/>
        <v>3649000</v>
      </c>
      <c r="D47" s="368">
        <v>250</v>
      </c>
      <c r="E47" s="414" t="s">
        <v>112</v>
      </c>
      <c r="F47" s="345">
        <f>1909+9844+2843</f>
        <v>14596</v>
      </c>
      <c r="G47" s="155" t="s">
        <v>179</v>
      </c>
      <c r="O47" s="307"/>
    </row>
    <row r="48" spans="1:15" ht="18" customHeight="1">
      <c r="A48" s="466"/>
      <c r="B48" s="347" t="s">
        <v>183</v>
      </c>
      <c r="C48" s="367">
        <f t="shared" si="0"/>
        <v>1023150</v>
      </c>
      <c r="D48" s="368">
        <v>50</v>
      </c>
      <c r="E48" s="414" t="s">
        <v>112</v>
      </c>
      <c r="F48" s="409">
        <f>'Area Calculations'!C52+'Area Calculations'!C53</f>
        <v>20463</v>
      </c>
      <c r="G48" s="155" t="s">
        <v>179</v>
      </c>
      <c r="O48" s="307"/>
    </row>
    <row r="49" spans="1:16" ht="18" customHeight="1">
      <c r="A49" s="466"/>
      <c r="B49" s="347" t="s">
        <v>43</v>
      </c>
      <c r="C49" s="367">
        <f t="shared" ref="C49:C50" si="1">F49*D49</f>
        <v>1938500</v>
      </c>
      <c r="D49" s="368">
        <v>250</v>
      </c>
      <c r="E49" s="414" t="s">
        <v>112</v>
      </c>
      <c r="F49" s="345">
        <v>7754</v>
      </c>
      <c r="G49" s="155" t="s">
        <v>179</v>
      </c>
      <c r="O49" s="307"/>
    </row>
    <row r="50" spans="1:16" ht="18" customHeight="1">
      <c r="A50" s="466"/>
      <c r="B50" s="347" t="s">
        <v>184</v>
      </c>
      <c r="C50" s="367">
        <f t="shared" si="1"/>
        <v>90720</v>
      </c>
      <c r="D50" s="368">
        <v>80</v>
      </c>
      <c r="E50" s="414" t="s">
        <v>112</v>
      </c>
      <c r="F50" s="345">
        <v>1134</v>
      </c>
      <c r="G50" s="155" t="s">
        <v>179</v>
      </c>
    </row>
    <row r="51" spans="1:16" ht="18" customHeight="1">
      <c r="A51" s="467"/>
      <c r="B51" s="347" t="s">
        <v>185</v>
      </c>
      <c r="C51" s="367">
        <f>F51*D51</f>
        <v>675500</v>
      </c>
      <c r="D51" s="368">
        <v>500</v>
      </c>
      <c r="E51" s="414" t="s">
        <v>49</v>
      </c>
      <c r="F51" s="345">
        <v>1351</v>
      </c>
      <c r="G51" s="155" t="s">
        <v>179</v>
      </c>
    </row>
    <row r="52" spans="1:16" ht="18" customHeight="1">
      <c r="A52" s="467"/>
      <c r="B52" s="347" t="s">
        <v>186</v>
      </c>
      <c r="C52" s="367">
        <f>F52*D52</f>
        <v>1772800</v>
      </c>
      <c r="D52" s="368">
        <v>400</v>
      </c>
      <c r="E52" s="414" t="s">
        <v>49</v>
      </c>
      <c r="F52" s="345">
        <v>4432</v>
      </c>
      <c r="G52" s="155" t="s">
        <v>179</v>
      </c>
    </row>
    <row r="53" spans="1:16" ht="18" customHeight="1">
      <c r="A53" s="467"/>
      <c r="B53" s="347" t="s">
        <v>187</v>
      </c>
      <c r="C53" s="367">
        <f t="shared" ref="C53" si="2">F53*D53</f>
        <v>470000</v>
      </c>
      <c r="D53" s="368">
        <v>250</v>
      </c>
      <c r="E53" s="414" t="s">
        <v>49</v>
      </c>
      <c r="F53" s="345">
        <v>1880</v>
      </c>
      <c r="G53" s="155" t="s">
        <v>179</v>
      </c>
    </row>
    <row r="54" spans="1:16" ht="18" customHeight="1">
      <c r="A54" s="466"/>
      <c r="B54" s="232"/>
      <c r="C54" s="367"/>
      <c r="D54" s="368"/>
      <c r="E54" s="414"/>
      <c r="O54" s="307"/>
      <c r="P54" s="307"/>
    </row>
    <row r="55" spans="1:16" ht="18" customHeight="1">
      <c r="A55" s="399"/>
      <c r="B55" s="377"/>
      <c r="C55" s="400"/>
      <c r="D55" s="401"/>
      <c r="E55" s="415"/>
    </row>
    <row r="56" spans="1:16" ht="18" customHeight="1">
      <c r="A56" s="372"/>
      <c r="B56" s="373" t="s">
        <v>188</v>
      </c>
      <c r="C56" s="374">
        <f>SUM(C8:C55)</f>
        <v>129822237</v>
      </c>
      <c r="D56" s="375"/>
      <c r="E56" s="416"/>
    </row>
    <row r="57" spans="1:16" ht="18" customHeight="1">
      <c r="A57" s="399"/>
      <c r="B57" s="377" t="s">
        <v>189</v>
      </c>
      <c r="C57" s="402">
        <f>C56*D57</f>
        <v>0</v>
      </c>
      <c r="D57" s="403">
        <v>0</v>
      </c>
      <c r="E57" s="415"/>
    </row>
    <row r="58" spans="1:16" ht="18" customHeight="1">
      <c r="A58" s="372"/>
      <c r="B58" s="373" t="s">
        <v>188</v>
      </c>
      <c r="C58" s="374">
        <f>SUM(C56:C57)</f>
        <v>129822237</v>
      </c>
      <c r="D58" s="375"/>
      <c r="E58" s="416"/>
    </row>
    <row r="59" spans="1:16" ht="18" customHeight="1">
      <c r="A59" s="369"/>
      <c r="B59" s="232" t="s">
        <v>190</v>
      </c>
      <c r="C59" s="367">
        <f>'GCs &amp; GRs'!L161</f>
        <v>6222864.1215684274</v>
      </c>
      <c r="D59" s="397">
        <f>C59/C58</f>
        <v>4.7933730502336264E-2</v>
      </c>
      <c r="E59" s="414"/>
    </row>
    <row r="60" spans="1:16" ht="18" customHeight="1">
      <c r="A60" s="370"/>
      <c r="B60" s="232" t="s">
        <v>191</v>
      </c>
      <c r="C60" s="367">
        <f>'GCs &amp; GRs'!L162</f>
        <v>940672.55714285711</v>
      </c>
      <c r="D60" s="397">
        <f>C60/C58</f>
        <v>7.245850779345738E-3</v>
      </c>
      <c r="E60" s="414"/>
    </row>
    <row r="61" spans="1:16" ht="18" customHeight="1">
      <c r="A61" s="370"/>
      <c r="B61" s="232" t="s">
        <v>192</v>
      </c>
      <c r="C61" s="367">
        <f>C58*D61</f>
        <v>1947333.5549999999</v>
      </c>
      <c r="D61" s="397">
        <v>1.4999999999999999E-2</v>
      </c>
      <c r="E61" s="414"/>
    </row>
    <row r="62" spans="1:16" ht="18" customHeight="1">
      <c r="A62" s="461"/>
      <c r="B62" s="232" t="s">
        <v>193</v>
      </c>
      <c r="C62" s="367">
        <f>(C58+C59+C60+C61)*D62</f>
        <v>486265.87531798956</v>
      </c>
      <c r="D62" s="397">
        <v>3.5000000000000001E-3</v>
      </c>
      <c r="E62" s="414"/>
    </row>
    <row r="63" spans="1:16" ht="18" customHeight="1">
      <c r="A63" s="376"/>
      <c r="B63" s="377" t="s">
        <v>194</v>
      </c>
      <c r="C63" s="378">
        <f ca="1">C66*D63</f>
        <v>366063.11110146745</v>
      </c>
      <c r="D63" s="398">
        <v>2.5000000000000001E-3</v>
      </c>
      <c r="E63" s="417"/>
    </row>
    <row r="64" spans="1:16" ht="18" customHeight="1">
      <c r="A64" s="372"/>
      <c r="B64" s="373" t="s">
        <v>195</v>
      </c>
      <c r="C64" s="374">
        <f ca="1">SUM(C58:C63)</f>
        <v>139785436.22013077</v>
      </c>
      <c r="D64" s="375"/>
      <c r="E64" s="416"/>
    </row>
    <row r="65" spans="1:8" ht="18" customHeight="1">
      <c r="A65" s="381"/>
      <c r="B65" s="377" t="s">
        <v>196</v>
      </c>
      <c r="C65" s="378">
        <f ca="1">C64*D65</f>
        <v>6639808.2204562118</v>
      </c>
      <c r="D65" s="403">
        <v>4.7500000000000001E-2</v>
      </c>
      <c r="E65" s="417"/>
    </row>
    <row r="66" spans="1:8" s="157" customFormat="1" ht="18" customHeight="1">
      <c r="A66" s="372"/>
      <c r="B66" s="373" t="s">
        <v>197</v>
      </c>
      <c r="C66" s="374">
        <f ca="1">SUM(C64:C65)</f>
        <v>146425244.44058698</v>
      </c>
      <c r="D66" s="380">
        <f ca="1">C66/'Area Calculations'!G5</f>
        <v>376.10221959808945</v>
      </c>
      <c r="E66" s="416" t="s">
        <v>112</v>
      </c>
    </row>
    <row r="67" spans="1:8" ht="18" customHeight="1">
      <c r="A67" s="351"/>
      <c r="B67" s="352"/>
      <c r="C67" s="353"/>
      <c r="D67" s="354"/>
      <c r="E67" s="418"/>
    </row>
    <row r="68" spans="1:8" ht="18" customHeight="1">
      <c r="A68" s="355"/>
      <c r="B68" s="395" t="s">
        <v>198</v>
      </c>
      <c r="C68" s="356">
        <f>'Area Calculations'!G5</f>
        <v>389323</v>
      </c>
      <c r="D68" s="357">
        <f ca="1">C66/C68</f>
        <v>376.10221959808945</v>
      </c>
      <c r="E68" s="358" t="s">
        <v>112</v>
      </c>
    </row>
    <row r="69" spans="1:8" ht="18" customHeight="1">
      <c r="A69" s="355"/>
      <c r="B69" s="395" t="s">
        <v>199</v>
      </c>
      <c r="C69" s="356">
        <f>'Area Calculations'!G6</f>
        <v>261502</v>
      </c>
      <c r="D69" s="357">
        <f ca="1">C66/C69</f>
        <v>559.93929086808885</v>
      </c>
      <c r="E69" s="358" t="s">
        <v>16</v>
      </c>
    </row>
    <row r="70" spans="1:8" ht="18" customHeight="1">
      <c r="A70" s="355"/>
      <c r="B70" s="395" t="s">
        <v>200</v>
      </c>
      <c r="C70" s="359">
        <f>'Area Calculations'!G7</f>
        <v>4.0078282828282825</v>
      </c>
      <c r="D70" s="357">
        <f>D8+D40+D41+D42</f>
        <v>636876.49238912389</v>
      </c>
      <c r="E70" s="358" t="s">
        <v>109</v>
      </c>
    </row>
    <row r="71" spans="1:8" ht="18" customHeight="1" thickBot="1">
      <c r="A71" s="360"/>
      <c r="B71" s="396" t="s">
        <v>201</v>
      </c>
      <c r="C71" s="361">
        <f>'Area Calculations'!G9</f>
        <v>296</v>
      </c>
      <c r="D71" s="362">
        <f ca="1">C66/C71</f>
        <v>494679.87986684794</v>
      </c>
      <c r="E71" s="419" t="s">
        <v>178</v>
      </c>
    </row>
    <row r="72" spans="1:8" ht="18" customHeight="1" thickBot="1">
      <c r="B72" s="158"/>
    </row>
    <row r="73" spans="1:8" ht="18" customHeight="1">
      <c r="A73" s="468"/>
      <c r="B73" s="469" t="s">
        <v>202</v>
      </c>
      <c r="C73" s="470"/>
      <c r="D73" s="471"/>
      <c r="E73" s="472"/>
    </row>
    <row r="74" spans="1:8" ht="18" customHeight="1">
      <c r="A74" s="426"/>
      <c r="B74" s="473" t="s">
        <v>203</v>
      </c>
      <c r="C74" s="427">
        <f t="shared" ref="C74:C80" si="3">F74*D74</f>
        <v>6782100</v>
      </c>
      <c r="D74" s="428">
        <v>650</v>
      </c>
      <c r="E74" s="429" t="s">
        <v>49</v>
      </c>
      <c r="F74" s="345">
        <v>10434</v>
      </c>
      <c r="G74" s="155" t="s">
        <v>179</v>
      </c>
      <c r="H74" s="155" t="s">
        <v>204</v>
      </c>
    </row>
    <row r="75" spans="1:8" ht="18" customHeight="1">
      <c r="A75" s="426"/>
      <c r="B75" s="473" t="s">
        <v>205</v>
      </c>
      <c r="C75" s="427">
        <f t="shared" si="3"/>
        <v>1830400</v>
      </c>
      <c r="D75" s="428">
        <v>650</v>
      </c>
      <c r="E75" s="429" t="s">
        <v>49</v>
      </c>
      <c r="F75" s="345">
        <v>2816</v>
      </c>
      <c r="G75" s="155" t="s">
        <v>179</v>
      </c>
      <c r="H75" s="155" t="s">
        <v>204</v>
      </c>
    </row>
    <row r="76" spans="1:8" ht="18" customHeight="1">
      <c r="A76" s="426"/>
      <c r="B76" s="473" t="s">
        <v>206</v>
      </c>
      <c r="C76" s="427">
        <f t="shared" si="3"/>
        <v>443200</v>
      </c>
      <c r="D76" s="428">
        <v>400</v>
      </c>
      <c r="E76" s="429" t="s">
        <v>49</v>
      </c>
      <c r="F76" s="345">
        <v>1108</v>
      </c>
      <c r="G76" s="155" t="s">
        <v>179</v>
      </c>
      <c r="H76" s="155" t="s">
        <v>207</v>
      </c>
    </row>
    <row r="77" spans="1:8" ht="18" customHeight="1">
      <c r="A77" s="426"/>
      <c r="B77" s="473" t="s">
        <v>187</v>
      </c>
      <c r="C77" s="427">
        <f t="shared" si="3"/>
        <v>282000</v>
      </c>
      <c r="D77" s="428">
        <v>150</v>
      </c>
      <c r="E77" s="429" t="s">
        <v>49</v>
      </c>
      <c r="F77" s="345">
        <v>1880</v>
      </c>
      <c r="G77" s="155" t="s">
        <v>179</v>
      </c>
    </row>
    <row r="78" spans="1:8" ht="18" customHeight="1">
      <c r="A78" s="426"/>
      <c r="B78" s="473" t="s">
        <v>208</v>
      </c>
      <c r="C78" s="427">
        <f t="shared" si="3"/>
        <v>226400</v>
      </c>
      <c r="D78" s="428">
        <v>400</v>
      </c>
      <c r="E78" s="429" t="s">
        <v>49</v>
      </c>
      <c r="F78" s="345">
        <v>566</v>
      </c>
      <c r="G78" s="155" t="s">
        <v>179</v>
      </c>
      <c r="H78" s="155" t="s">
        <v>207</v>
      </c>
    </row>
    <row r="79" spans="1:8" ht="18" customHeight="1">
      <c r="A79" s="426"/>
      <c r="B79" s="473" t="s">
        <v>209</v>
      </c>
      <c r="C79" s="427">
        <f t="shared" si="3"/>
        <v>3875950</v>
      </c>
      <c r="D79" s="428">
        <v>650</v>
      </c>
      <c r="E79" s="429" t="s">
        <v>49</v>
      </c>
      <c r="F79" s="345">
        <v>5963</v>
      </c>
      <c r="G79" s="155" t="s">
        <v>179</v>
      </c>
      <c r="H79" s="155" t="s">
        <v>204</v>
      </c>
    </row>
    <row r="80" spans="1:8" ht="18" customHeight="1" thickBot="1">
      <c r="A80" s="430"/>
      <c r="B80" s="474" t="s">
        <v>210</v>
      </c>
      <c r="C80" s="431">
        <f t="shared" si="3"/>
        <v>1205750</v>
      </c>
      <c r="D80" s="432">
        <v>250</v>
      </c>
      <c r="E80" s="433" t="s">
        <v>49</v>
      </c>
      <c r="F80" s="345">
        <v>4823</v>
      </c>
      <c r="G80" s="155" t="s">
        <v>179</v>
      </c>
      <c r="H80" s="155" t="s">
        <v>211</v>
      </c>
    </row>
    <row r="81" spans="1:5" ht="18" customHeight="1">
      <c r="A81" s="348"/>
      <c r="B81" s="233" t="s">
        <v>188</v>
      </c>
      <c r="C81" s="349">
        <f>SUM(C74:C80)</f>
        <v>14645800</v>
      </c>
      <c r="D81" s="350"/>
      <c r="E81" s="420"/>
    </row>
    <row r="82" spans="1:5" ht="18" customHeight="1">
      <c r="A82" s="434"/>
      <c r="B82" s="435" t="s">
        <v>189</v>
      </c>
      <c r="C82" s="436">
        <f>C81*D82</f>
        <v>0</v>
      </c>
      <c r="D82" s="437">
        <f>D57</f>
        <v>0</v>
      </c>
      <c r="E82" s="429"/>
    </row>
    <row r="83" spans="1:5" ht="18" customHeight="1">
      <c r="A83" s="348"/>
      <c r="B83" s="233" t="s">
        <v>188</v>
      </c>
      <c r="C83" s="349">
        <f>SUM(C81:C82)</f>
        <v>14645800</v>
      </c>
      <c r="D83" s="350"/>
      <c r="E83" s="420"/>
    </row>
    <row r="84" spans="1:5" ht="18" customHeight="1">
      <c r="A84" s="438"/>
      <c r="B84" s="435" t="s">
        <v>190</v>
      </c>
      <c r="C84" s="427">
        <f>C83*D84</f>
        <v>702027.83019111643</v>
      </c>
      <c r="D84" s="439">
        <f>D59</f>
        <v>4.7933730502336264E-2</v>
      </c>
      <c r="E84" s="429"/>
    </row>
    <row r="85" spans="1:5" ht="18" customHeight="1">
      <c r="A85" s="440"/>
      <c r="B85" s="435" t="s">
        <v>191</v>
      </c>
      <c r="C85" s="427">
        <f>C83*D85</f>
        <v>106121.28134414181</v>
      </c>
      <c r="D85" s="439">
        <f t="shared" ref="D85:D87" si="4">D60</f>
        <v>7.245850779345738E-3</v>
      </c>
      <c r="E85" s="429"/>
    </row>
    <row r="86" spans="1:5" ht="18" customHeight="1">
      <c r="A86" s="440"/>
      <c r="B86" s="435" t="s">
        <v>192</v>
      </c>
      <c r="C86" s="427">
        <f>C83*D86</f>
        <v>219687</v>
      </c>
      <c r="D86" s="439">
        <f t="shared" si="4"/>
        <v>1.4999999999999999E-2</v>
      </c>
      <c r="E86" s="429"/>
    </row>
    <row r="87" spans="1:5" ht="18" customHeight="1">
      <c r="A87" s="438"/>
      <c r="B87" s="435" t="s">
        <v>212</v>
      </c>
      <c r="C87" s="427">
        <f>(C83+C84+C85+C86)*D87</f>
        <v>54857.726390373406</v>
      </c>
      <c r="D87" s="439">
        <f t="shared" si="4"/>
        <v>3.5000000000000001E-3</v>
      </c>
      <c r="E87" s="429"/>
    </row>
    <row r="88" spans="1:5" ht="18" customHeight="1">
      <c r="A88" s="441"/>
      <c r="B88" s="442" t="s">
        <v>194</v>
      </c>
      <c r="C88" s="443">
        <f>C91*D88</f>
        <v>41188.993238067749</v>
      </c>
      <c r="D88" s="444">
        <f>D63</f>
        <v>2.5000000000000001E-3</v>
      </c>
      <c r="E88" s="445"/>
    </row>
    <row r="89" spans="1:5" ht="18" customHeight="1">
      <c r="A89" s="372"/>
      <c r="B89" s="373" t="s">
        <v>195</v>
      </c>
      <c r="C89" s="374">
        <f>SUM(C83:C87)</f>
        <v>15728493.837925632</v>
      </c>
      <c r="D89" s="375"/>
      <c r="E89" s="416"/>
    </row>
    <row r="90" spans="1:5" ht="18" customHeight="1">
      <c r="A90" s="441"/>
      <c r="B90" s="442" t="s">
        <v>196</v>
      </c>
      <c r="C90" s="443">
        <f>C89*D90</f>
        <v>747103.45730146754</v>
      </c>
      <c r="D90" s="446">
        <f>D65</f>
        <v>4.7500000000000001E-2</v>
      </c>
      <c r="E90" s="445"/>
    </row>
    <row r="91" spans="1:5" ht="18" customHeight="1">
      <c r="A91" s="372"/>
      <c r="B91" s="379" t="s">
        <v>213</v>
      </c>
      <c r="C91" s="374">
        <f>SUM(C89:C90)</f>
        <v>16475597.295227099</v>
      </c>
      <c r="D91" s="380">
        <f>C91/C93</f>
        <v>597.15829268673792</v>
      </c>
      <c r="E91" s="416" t="s">
        <v>112</v>
      </c>
    </row>
    <row r="92" spans="1:5" ht="18" customHeight="1">
      <c r="A92" s="447"/>
      <c r="B92" s="448"/>
      <c r="C92" s="436"/>
      <c r="D92" s="449"/>
      <c r="E92" s="429"/>
    </row>
    <row r="93" spans="1:5" ht="18" customHeight="1">
      <c r="A93" s="450"/>
      <c r="B93" s="451" t="s">
        <v>198</v>
      </c>
      <c r="C93" s="452">
        <f>SUM(F74:F80)</f>
        <v>27590</v>
      </c>
      <c r="D93" s="453">
        <f>C91/C93</f>
        <v>597.15829268673792</v>
      </c>
      <c r="E93" s="454" t="s">
        <v>112</v>
      </c>
    </row>
    <row r="94" spans="1:5" ht="18" customHeight="1" thickBot="1">
      <c r="A94" s="455"/>
      <c r="B94" s="456" t="s">
        <v>201</v>
      </c>
      <c r="C94" s="457">
        <f>'Area Calculations'!G9</f>
        <v>296</v>
      </c>
      <c r="D94" s="458">
        <f>C91/C94</f>
        <v>55660.801673064525</v>
      </c>
      <c r="E94" s="459" t="s">
        <v>178</v>
      </c>
    </row>
    <row r="95" spans="1:5" ht="18" customHeight="1" thickBot="1"/>
    <row r="96" spans="1:5" ht="18" customHeight="1">
      <c r="A96" s="382"/>
      <c r="B96" s="383" t="s">
        <v>197</v>
      </c>
      <c r="C96" s="384">
        <f ca="1">C66</f>
        <v>146425244.44058698</v>
      </c>
      <c r="D96" s="384">
        <f ca="1">D66</f>
        <v>376.10221959808945</v>
      </c>
      <c r="E96" s="421" t="s">
        <v>112</v>
      </c>
    </row>
    <row r="97" spans="1:5" ht="18" customHeight="1">
      <c r="A97" s="385"/>
      <c r="B97" s="386" t="s">
        <v>213</v>
      </c>
      <c r="C97" s="387">
        <f>C91</f>
        <v>16475597.295227099</v>
      </c>
      <c r="D97" s="387">
        <f>D91</f>
        <v>597.15829268673792</v>
      </c>
      <c r="E97" s="422" t="s">
        <v>112</v>
      </c>
    </row>
    <row r="98" spans="1:5" ht="18" customHeight="1">
      <c r="A98" s="478"/>
      <c r="B98" s="479" t="s">
        <v>214</v>
      </c>
      <c r="C98" s="480">
        <f ca="1">SUM(C96:C97)</f>
        <v>162900841.73581409</v>
      </c>
      <c r="D98" s="480">
        <f ca="1">C98/C99</f>
        <v>418.42080158586595</v>
      </c>
      <c r="E98" s="481" t="s">
        <v>112</v>
      </c>
    </row>
    <row r="99" spans="1:5" ht="18" customHeight="1">
      <c r="A99" s="388"/>
      <c r="B99" s="389" t="s">
        <v>215</v>
      </c>
      <c r="C99" s="390">
        <f>'Area Calculations'!G5</f>
        <v>389323</v>
      </c>
      <c r="D99" s="411">
        <f ca="1">C98/C99</f>
        <v>418.42080158586595</v>
      </c>
      <c r="E99" s="423" t="s">
        <v>112</v>
      </c>
    </row>
    <row r="100" spans="1:5" ht="18" customHeight="1" thickBot="1">
      <c r="A100" s="391"/>
      <c r="B100" s="392" t="s">
        <v>216</v>
      </c>
      <c r="C100" s="393">
        <f>'Area Calculations'!G9</f>
        <v>296</v>
      </c>
      <c r="D100" s="394">
        <f ca="1">D71+D94</f>
        <v>550340.68153991248</v>
      </c>
      <c r="E100" s="424" t="s">
        <v>178</v>
      </c>
    </row>
    <row r="101" spans="1:5" ht="18" customHeight="1"/>
    <row r="102" spans="1:5" ht="18" customHeight="1"/>
    <row r="103" spans="1:5" ht="18" customHeight="1"/>
    <row r="104" spans="1:5" ht="18" customHeight="1"/>
    <row r="105" spans="1:5" ht="18" customHeight="1"/>
    <row r="106" spans="1:5" ht="18" customHeight="1"/>
    <row r="107" spans="1:5" ht="18" customHeight="1"/>
    <row r="108" spans="1:5" ht="18" customHeight="1"/>
    <row r="109" spans="1:5" ht="18" customHeight="1"/>
    <row r="110" spans="1:5" ht="18" customHeight="1"/>
    <row r="111" spans="1:5" ht="18" customHeight="1"/>
    <row r="112" spans="1:5" ht="18" customHeight="1"/>
    <row r="113" ht="18" customHeight="1"/>
  </sheetData>
  <mergeCells count="2">
    <mergeCell ref="A6:B6"/>
    <mergeCell ref="A3:B3"/>
  </mergeCells>
  <phoneticPr fontId="14" type="noConversion"/>
  <hyperlinks>
    <hyperlink ref="A8" location="'02 21 Survey '!A1" display="02 21 00" xr:uid="{8E8C6C1C-02F0-4081-8A53-A88A6D232623}"/>
    <hyperlink ref="A10" location="'03 30 CIP Concrete'!A1" display="03 30 00" xr:uid="{9756DEC6-0795-497B-9184-1DC00B1C57DE}"/>
    <hyperlink ref="A13" location="'05 52 Misc Metals'!A1" display="05 52 00" xr:uid="{18BEF301-1B59-4C05-9911-B74296AFD5E2}"/>
    <hyperlink ref="A15" location="'06 10 Rough Carpentry'!A1" display="06 10 00" xr:uid="{245256BE-820C-470E-A32C-C75FF08749FD}"/>
    <hyperlink ref="A17" location="'07 17 Waterproofing &amp; Caulk'!A1" display="07 17 00" xr:uid="{B14A5544-AF99-4DB3-8C77-B6E2701A5C1A}"/>
    <hyperlink ref="A20" location="'07 50 Roofing'!A1" display="07 50 00" xr:uid="{77261076-E384-4BC4-84A5-D12BDAFE0DCA}"/>
    <hyperlink ref="A22" location="'08 50 Storefront'!A1" display="08 50 00" xr:uid="{8725BAF2-6888-4710-8C23-1A61F2912952}"/>
    <hyperlink ref="A21" location="'08 14 DFH'!A1" display="08 12 70" xr:uid="{A27C7CF1-5397-4929-B1F5-782515E249DA}"/>
    <hyperlink ref="A24" location="'09 29 Gypsum Board'!A1" display="90 29 500" xr:uid="{CF3834EC-F56A-4DEA-AC77-95FE43B83EB7}"/>
    <hyperlink ref="A27" location="'09 60 Flooring'!A1" display="09 60 00" xr:uid="{6C432F32-C356-49A0-A372-74F8E19F8FD4}"/>
    <hyperlink ref="A28" location="'09 90 Painting'!A1" display="09 90 00" xr:uid="{EA340A71-30F9-4761-A3A2-39A59071C627}"/>
    <hyperlink ref="A31" location="'10 53 Signage'!A1" display="10 53 00" xr:uid="{4C9CBF5A-917E-4E26-8D2C-6F8B9961CB47}"/>
    <hyperlink ref="A30" location="'10 28 Specialties'!A1" display="10 28 00" xr:uid="{FE5C09F1-8F66-4A61-9B02-35B391D89D36}"/>
    <hyperlink ref="A36" location="'21 13 Fire Protection'!A1" display="21 13 00" xr:uid="{4A8007BD-49A9-47A0-88AC-C31A90572A09}"/>
    <hyperlink ref="A37" location="'22 00 Plumbing '!A1" display="22 00 00" xr:uid="{A793DFDE-06FD-4F67-B53E-62B5C3B659AA}"/>
    <hyperlink ref="A38" location="'23 00 HVAC'!A1" display="23 00 00" xr:uid="{65E768D4-C9C3-4345-AFD0-01DC2C9D25B9}"/>
    <hyperlink ref="A39" location="'26 00 Electrical'!A1" display="26 00 00" xr:uid="{13E3050E-4BE3-4241-9993-5DD20B1B74F5}"/>
    <hyperlink ref="A26" location="'09 51 ACT'!A1" display="09 51 00" xr:uid="{451DE512-C86B-4179-A1FC-8A79D4816430}"/>
    <hyperlink ref="A16" location="'06 50 Millwork'!A1" display="06 50 00" xr:uid="{072E4EFE-EC60-4951-9FF2-FA9D46DF663F}"/>
    <hyperlink ref="A9" location="'02 21 Survey '!A1" display="02 21 00" xr:uid="{FEAE3C9F-E636-43B0-A360-D17C0EB0BF33}"/>
    <hyperlink ref="A12" location="'05 10 Structural Steel'!Print_Area" display="05 30 00" xr:uid="{459343A9-B509-4285-B8CC-5324C72D1CB2}"/>
    <hyperlink ref="A14" location="'05 70 Railings Glass'!Print_Area" display="05 70 00" xr:uid="{6291612B-4A54-4AF7-9102-FE6D267347C3}"/>
    <hyperlink ref="A34" location="'14 00 Elevators'!Print_Area" display="14 00 00" xr:uid="{A3D93726-3FF9-4DF6-9EB0-FBC9A50C6465}"/>
    <hyperlink ref="A35" location="'14 91 Laundry Chute'!Print_Area" display="14 91 00" xr:uid="{47C88259-B0F4-4ABF-88D4-631761F73FAC}"/>
    <hyperlink ref="A11" location="'04 40 Stone Cladding'!Print_Area" display="04 40 00" xr:uid="{3868CD95-66F1-4573-8CFD-BC02ADDD4585}"/>
    <hyperlink ref="A19" location="'07 42 Metal Panel'!Print_Area" display="07 42 00" xr:uid="{165B023E-047B-482E-A44E-575C197CA75B}"/>
    <hyperlink ref="A33" location="'13 11 Pool'!Print_Area" display="13 11 00" xr:uid="{2A8B1C8C-9BD3-4FB8-B9DA-B54C1A20956A}"/>
    <hyperlink ref="A40" location="'31 30 Site Work'!Print_Area" display="31 30 00" xr:uid="{C017B067-22F8-4374-A43F-C8DCFB3E53F1}"/>
    <hyperlink ref="A32" location="'10 73 Canopies'!Print_Area" display="10 73 00" xr:uid="{FFFD29B6-D688-4767-9894-B364576157C8}"/>
    <hyperlink ref="A41" location="'32 14 00 Hardscape'!Print_Area" display="32 14 00" xr:uid="{EDB4F7B6-E6B0-4AA3-B5A9-852A5F06DD5F}"/>
    <hyperlink ref="A42" location="'32 80 00 Landscape'!Print_Area" display="32 80 00" xr:uid="{8C9310EA-A7E8-440A-9E30-6E8294ACCF3B}"/>
    <hyperlink ref="A18" location="'07 21 Spray Foam Ins'!Print_Area" display="07 21 00" xr:uid="{44899ED2-1E8A-4E82-9300-55826ECB575C}"/>
    <hyperlink ref="A25" location="'09 29 Gypsum Board'!A1" display="90 29 500" xr:uid="{616E7058-AE0A-49F6-8185-7A58C382AE6F}"/>
    <hyperlink ref="A29" location="'09 90 Painting'!A1" display="09 90 00" xr:uid="{73570D19-1D15-4BD2-B32B-3E1416005FD2}"/>
    <hyperlink ref="A23" location="'08 50 Storefront'!A1" display="08 50 00" xr:uid="{11785601-3224-4530-BFF6-337F64F5E9DA}"/>
  </hyperlinks>
  <printOptions horizontalCentered="1"/>
  <pageMargins left="0.25" right="0.25" top="0.5" bottom="0.5" header="0.3" footer="0.3"/>
  <pageSetup scale="80" fitToHeight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1ECC-755B-4386-B5C3-90F9DDF26D7D}">
  <sheetPr>
    <tabColor rgb="FFFFC000"/>
    <pageSetUpPr fitToPage="1"/>
  </sheetPr>
  <dimension ref="A1:EF194"/>
  <sheetViews>
    <sheetView zoomScaleNormal="100" workbookViewId="0">
      <pane xSplit="3" ySplit="9" topLeftCell="D137" activePane="bottomRight" state="frozen"/>
      <selection pane="bottomRight" activeCell="P124" sqref="P124"/>
      <selection pane="bottomLeft" activeCell="A10" sqref="A10"/>
      <selection pane="topRight" activeCell="D1" sqref="D1"/>
    </sheetView>
  </sheetViews>
  <sheetFormatPr defaultColWidth="9.140625" defaultRowHeight="15" customHeight="1"/>
  <cols>
    <col min="1" max="1" width="3.28515625" style="74" bestFit="1" customWidth="1"/>
    <col min="2" max="2" width="5.85546875" style="74" customWidth="1"/>
    <col min="3" max="3" width="44.5703125" bestFit="1" customWidth="1"/>
    <col min="4" max="4" width="9.140625" style="151" bestFit="1" customWidth="1"/>
    <col min="5" max="5" width="5.7109375" style="74" customWidth="1"/>
    <col min="6" max="6" width="9.85546875" style="50" bestFit="1" customWidth="1"/>
    <col min="7" max="7" width="11.5703125" style="50" bestFit="1" customWidth="1"/>
    <col min="8" max="8" width="14.28515625" style="50" customWidth="1"/>
    <col min="9" max="9" width="12.85546875" style="50" customWidth="1"/>
    <col min="10" max="10" width="10.85546875" style="50" bestFit="1" customWidth="1"/>
    <col min="11" max="11" width="11.85546875" style="50" customWidth="1"/>
    <col min="12" max="12" width="12.85546875" style="147" customWidth="1"/>
    <col min="13" max="13" width="10.140625" style="147" customWidth="1"/>
    <col min="14" max="14" width="46.5703125" style="50" customWidth="1"/>
    <col min="15" max="15" width="16.42578125" style="50" customWidth="1"/>
    <col min="16" max="16" width="19.85546875" customWidth="1"/>
    <col min="17" max="17" width="18.7109375" hidden="1" customWidth="1"/>
    <col min="18" max="24" width="0" hidden="1" customWidth="1"/>
    <col min="25" max="25" width="18.42578125" hidden="1" customWidth="1"/>
  </cols>
  <sheetData>
    <row r="1" spans="1:25">
      <c r="A1" s="626" t="s">
        <v>217</v>
      </c>
      <c r="B1" s="629" t="s">
        <v>218</v>
      </c>
      <c r="C1" s="632" t="s">
        <v>219</v>
      </c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4"/>
      <c r="O1" s="261"/>
      <c r="P1" s="717"/>
      <c r="Q1" s="718"/>
      <c r="R1" s="718"/>
      <c r="S1" s="718"/>
      <c r="T1" s="718"/>
      <c r="U1" s="718"/>
      <c r="V1" s="718"/>
      <c r="W1" s="718"/>
      <c r="X1" s="718"/>
      <c r="Y1" s="719"/>
    </row>
    <row r="2" spans="1:25" ht="15.75" thickBot="1">
      <c r="A2" s="627"/>
      <c r="B2" s="630"/>
      <c r="C2" s="635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7"/>
      <c r="O2" s="262"/>
      <c r="P2" s="720"/>
      <c r="Q2" s="721"/>
      <c r="R2" s="721"/>
      <c r="S2" s="721"/>
      <c r="T2" s="721"/>
      <c r="U2" s="721"/>
      <c r="V2" s="721"/>
      <c r="W2" s="721"/>
      <c r="X2" s="721"/>
      <c r="Y2" s="722"/>
    </row>
    <row r="3" spans="1:25" s="77" customFormat="1" ht="15" customHeight="1" thickBot="1">
      <c r="A3" s="627"/>
      <c r="B3" s="630"/>
      <c r="C3" s="723" t="s">
        <v>220</v>
      </c>
      <c r="D3" s="638"/>
      <c r="E3" s="724"/>
      <c r="F3" s="725" t="s">
        <v>221</v>
      </c>
      <c r="G3" s="726"/>
      <c r="H3" s="727" t="s">
        <v>222</v>
      </c>
      <c r="I3" s="727" t="s">
        <v>223</v>
      </c>
      <c r="J3" s="727" t="s">
        <v>224</v>
      </c>
      <c r="K3" s="727" t="s">
        <v>225</v>
      </c>
      <c r="L3" s="728" t="s">
        <v>226</v>
      </c>
      <c r="M3" s="729" t="s">
        <v>227</v>
      </c>
      <c r="N3" s="730" t="s">
        <v>228</v>
      </c>
      <c r="O3" s="731" t="s">
        <v>229</v>
      </c>
      <c r="P3" s="732" t="s">
        <v>230</v>
      </c>
      <c r="Q3" s="75"/>
      <c r="R3" s="76" t="s">
        <v>231</v>
      </c>
      <c r="Y3" s="75"/>
    </row>
    <row r="4" spans="1:25" s="77" customFormat="1" ht="15" customHeight="1">
      <c r="A4" s="627"/>
      <c r="B4" s="630"/>
      <c r="C4" s="639"/>
      <c r="D4" s="640"/>
      <c r="E4" s="641"/>
      <c r="F4" s="616" t="s">
        <v>220</v>
      </c>
      <c r="G4" s="617"/>
      <c r="H4" s="540">
        <v>46235</v>
      </c>
      <c r="I4" s="540">
        <v>46904</v>
      </c>
      <c r="J4" s="541">
        <f>SUM(I4-H4)</f>
        <v>669</v>
      </c>
      <c r="K4" s="541">
        <f>SUM(J4/7)</f>
        <v>95.571428571428569</v>
      </c>
      <c r="L4" s="460">
        <f>SUM(J4/30)</f>
        <v>22.3</v>
      </c>
      <c r="M4" s="620"/>
      <c r="N4" s="614"/>
      <c r="O4" s="604"/>
      <c r="P4" s="654"/>
      <c r="Q4" s="75"/>
      <c r="R4" s="725" t="s">
        <v>221</v>
      </c>
      <c r="S4" s="726"/>
      <c r="T4" s="727" t="s">
        <v>222</v>
      </c>
      <c r="U4" s="727" t="s">
        <v>223</v>
      </c>
      <c r="V4" s="727" t="s">
        <v>224</v>
      </c>
      <c r="W4" s="727" t="s">
        <v>225</v>
      </c>
      <c r="X4" s="728" t="s">
        <v>226</v>
      </c>
      <c r="Y4" s="75"/>
    </row>
    <row r="5" spans="1:25" s="77" customFormat="1" ht="15" customHeight="1" thickBot="1">
      <c r="A5" s="627"/>
      <c r="B5" s="630"/>
      <c r="C5" s="639"/>
      <c r="D5" s="640"/>
      <c r="E5" s="641"/>
      <c r="F5" s="648" t="s">
        <v>232</v>
      </c>
      <c r="G5" s="649"/>
      <c r="H5" s="79">
        <f>I4</f>
        <v>46904</v>
      </c>
      <c r="I5" s="79">
        <f>H5+60</f>
        <v>46964</v>
      </c>
      <c r="J5" s="264">
        <f>SUM(I5-H5)</f>
        <v>60</v>
      </c>
      <c r="K5" s="264">
        <f>SUM(J5/7)</f>
        <v>8.5714285714285712</v>
      </c>
      <c r="L5" s="265">
        <f>SUM(J5/30)</f>
        <v>2</v>
      </c>
      <c r="M5" s="620"/>
      <c r="N5" s="614"/>
      <c r="O5" s="604"/>
      <c r="P5" s="654"/>
      <c r="Q5" s="75"/>
      <c r="R5" s="616" t="s">
        <v>220</v>
      </c>
      <c r="S5" s="617"/>
      <c r="T5" s="540">
        <v>0</v>
      </c>
      <c r="U5" s="540">
        <v>0</v>
      </c>
      <c r="V5" s="541">
        <f>SUM(U5-T5)</f>
        <v>0</v>
      </c>
      <c r="W5" s="541">
        <f>SUM(V5/7)</f>
        <v>0</v>
      </c>
      <c r="X5" s="78">
        <f>SUM(V5/30)</f>
        <v>0</v>
      </c>
      <c r="Y5" s="75"/>
    </row>
    <row r="6" spans="1:25" s="77" customFormat="1" ht="15" customHeight="1" thickBot="1">
      <c r="A6" s="627"/>
      <c r="B6" s="630"/>
      <c r="C6" s="642"/>
      <c r="D6" s="643"/>
      <c r="E6" s="644"/>
      <c r="F6" s="618" t="s">
        <v>190</v>
      </c>
      <c r="G6" s="619"/>
      <c r="H6" s="618" t="s">
        <v>233</v>
      </c>
      <c r="I6" s="619"/>
      <c r="J6" s="618" t="s">
        <v>234</v>
      </c>
      <c r="K6" s="619"/>
      <c r="L6" s="730" t="s">
        <v>235</v>
      </c>
      <c r="M6" s="620"/>
      <c r="N6" s="614"/>
      <c r="O6" s="604"/>
      <c r="P6" s="654"/>
      <c r="Q6" s="75"/>
      <c r="R6" s="77" t="s">
        <v>236</v>
      </c>
      <c r="Y6" s="75"/>
    </row>
    <row r="7" spans="1:25" s="82" customFormat="1" ht="15" customHeight="1">
      <c r="A7" s="627"/>
      <c r="B7" s="630"/>
      <c r="C7" s="733" t="s">
        <v>237</v>
      </c>
      <c r="D7" s="646" t="s">
        <v>238</v>
      </c>
      <c r="E7" s="622" t="s">
        <v>239</v>
      </c>
      <c r="F7" s="80" t="s">
        <v>240</v>
      </c>
      <c r="G7" s="81" t="s">
        <v>241</v>
      </c>
      <c r="H7" s="80" t="s">
        <v>240</v>
      </c>
      <c r="I7" s="81" t="s">
        <v>242</v>
      </c>
      <c r="J7" s="80" t="s">
        <v>240</v>
      </c>
      <c r="K7" s="81" t="s">
        <v>242</v>
      </c>
      <c r="L7" s="614"/>
      <c r="M7" s="620"/>
      <c r="N7" s="614"/>
      <c r="O7" s="604"/>
      <c r="P7" s="654"/>
      <c r="Q7" s="263" t="s">
        <v>243</v>
      </c>
      <c r="R7" s="725" t="s">
        <v>221</v>
      </c>
      <c r="S7" s="726"/>
      <c r="T7" s="727" t="s">
        <v>222</v>
      </c>
      <c r="U7" s="727" t="s">
        <v>223</v>
      </c>
      <c r="V7" s="727" t="s">
        <v>224</v>
      </c>
      <c r="W7" s="727" t="s">
        <v>225</v>
      </c>
      <c r="X7" s="728" t="s">
        <v>226</v>
      </c>
      <c r="Y7" s="263" t="s">
        <v>244</v>
      </c>
    </row>
    <row r="8" spans="1:25" s="77" customFormat="1" ht="15" customHeight="1" thickBot="1">
      <c r="A8" s="628"/>
      <c r="B8" s="631"/>
      <c r="C8" s="645"/>
      <c r="D8" s="647"/>
      <c r="E8" s="623"/>
      <c r="F8" s="83" t="s">
        <v>245</v>
      </c>
      <c r="G8" s="84" t="s">
        <v>246</v>
      </c>
      <c r="H8" s="83" t="s">
        <v>245</v>
      </c>
      <c r="I8" s="84" t="s">
        <v>247</v>
      </c>
      <c r="J8" s="83" t="s">
        <v>245</v>
      </c>
      <c r="K8" s="84" t="s">
        <v>247</v>
      </c>
      <c r="L8" s="615"/>
      <c r="M8" s="621"/>
      <c r="N8" s="615"/>
      <c r="O8" s="605"/>
      <c r="P8" s="655"/>
      <c r="Q8" s="85"/>
      <c r="R8" s="616" t="s">
        <v>220</v>
      </c>
      <c r="S8" s="617"/>
      <c r="T8" s="540">
        <v>0</v>
      </c>
      <c r="U8" s="540">
        <v>0</v>
      </c>
      <c r="V8" s="541">
        <f>SUM(U8-T8)</f>
        <v>0</v>
      </c>
      <c r="W8" s="541">
        <f>SUM(V8/7)</f>
        <v>0</v>
      </c>
      <c r="X8" s="78">
        <f>SUM(V8/30)</f>
        <v>0</v>
      </c>
      <c r="Y8" s="85"/>
    </row>
    <row r="9" spans="1:25" s="82" customFormat="1" ht="19.5" customHeight="1" thickBot="1">
      <c r="A9" s="624"/>
      <c r="B9" s="625"/>
      <c r="C9" s="86" t="s">
        <v>248</v>
      </c>
      <c r="D9" s="87"/>
      <c r="E9" s="88"/>
      <c r="F9" s="88"/>
      <c r="G9" s="88"/>
      <c r="H9" s="88"/>
      <c r="I9" s="88"/>
      <c r="J9" s="88"/>
      <c r="K9" s="88"/>
      <c r="L9" s="89">
        <f>SUM(L10:L26)</f>
        <v>5755110.049017366</v>
      </c>
      <c r="M9" s="89"/>
      <c r="N9" s="90"/>
      <c r="O9" s="90"/>
      <c r="P9" s="91"/>
      <c r="Q9" s="91"/>
      <c r="Y9" s="91"/>
    </row>
    <row r="10" spans="1:25" ht="17.25" customHeight="1">
      <c r="A10" s="734">
        <v>1</v>
      </c>
      <c r="B10" s="735"/>
      <c r="C10" s="736" t="s">
        <v>249</v>
      </c>
      <c r="D10" s="737">
        <f>$K$4</f>
        <v>95.571428571428569</v>
      </c>
      <c r="E10" s="92" t="s">
        <v>250</v>
      </c>
      <c r="F10" s="259">
        <f>(O10*40)*M10</f>
        <v>4256.9971935290905</v>
      </c>
      <c r="G10" s="738">
        <f t="shared" ref="G10:G26" si="0">SUM(D10*F10)</f>
        <v>406847.30321013735</v>
      </c>
      <c r="H10" s="656"/>
      <c r="I10" s="657"/>
      <c r="J10" s="656"/>
      <c r="K10" s="657"/>
      <c r="L10" s="739">
        <f t="shared" ref="L10:L26" si="1">SUM(G10+I10+K10)</f>
        <v>406847.30321013735</v>
      </c>
      <c r="M10" s="93">
        <v>0.5</v>
      </c>
      <c r="N10" s="740"/>
      <c r="O10" s="741">
        <f>'Labor Rates'!G10</f>
        <v>212.84985967645451</v>
      </c>
      <c r="P10" s="742">
        <v>212.84985967645451</v>
      </c>
      <c r="Q10" s="742">
        <v>253</v>
      </c>
      <c r="Y10" s="742">
        <v>216</v>
      </c>
    </row>
    <row r="11" spans="1:25" ht="17.25" customHeight="1">
      <c r="A11" s="743">
        <v>2</v>
      </c>
      <c r="B11" s="744"/>
      <c r="C11" s="736" t="s">
        <v>251</v>
      </c>
      <c r="D11" s="737">
        <f>$K$4</f>
        <v>95.571428571428569</v>
      </c>
      <c r="E11" s="92" t="s">
        <v>250</v>
      </c>
      <c r="F11" s="259">
        <f>(O11*40)*M11</f>
        <v>7056.4364792840679</v>
      </c>
      <c r="G11" s="266">
        <f t="shared" si="0"/>
        <v>674393.71494872018</v>
      </c>
      <c r="H11" s="658"/>
      <c r="I11" s="659"/>
      <c r="J11" s="658"/>
      <c r="K11" s="659"/>
      <c r="L11" s="542">
        <f t="shared" si="1"/>
        <v>674393.71494872018</v>
      </c>
      <c r="M11" s="93">
        <v>1</v>
      </c>
      <c r="N11" s="740"/>
      <c r="O11" s="741">
        <f>'Labor Rates'!G11</f>
        <v>176.41091198210171</v>
      </c>
      <c r="P11" s="745">
        <v>176.41091198210171</v>
      </c>
      <c r="Q11" s="745">
        <v>195</v>
      </c>
      <c r="Y11" s="745">
        <v>175</v>
      </c>
    </row>
    <row r="12" spans="1:25" ht="17.25" customHeight="1">
      <c r="A12" s="743">
        <v>3</v>
      </c>
      <c r="B12" s="744"/>
      <c r="C12" s="736" t="s">
        <v>252</v>
      </c>
      <c r="D12" s="737">
        <f>$K$4</f>
        <v>95.571428571428569</v>
      </c>
      <c r="E12" s="92" t="s">
        <v>250</v>
      </c>
      <c r="F12" s="259">
        <f>(O12*40)*M12</f>
        <v>0</v>
      </c>
      <c r="G12" s="266">
        <f t="shared" si="0"/>
        <v>0</v>
      </c>
      <c r="H12" s="658"/>
      <c r="I12" s="659"/>
      <c r="J12" s="658"/>
      <c r="K12" s="659"/>
      <c r="L12" s="542">
        <f t="shared" si="1"/>
        <v>0</v>
      </c>
      <c r="M12" s="93">
        <v>0</v>
      </c>
      <c r="N12" s="740"/>
      <c r="O12" s="741">
        <f>'Labor Rates'!G12</f>
        <v>162.46078739123499</v>
      </c>
      <c r="P12" s="745">
        <v>162.46</v>
      </c>
      <c r="Q12" s="745"/>
      <c r="Y12" s="745"/>
    </row>
    <row r="13" spans="1:25" ht="17.25" customHeight="1">
      <c r="A13" s="743">
        <v>4</v>
      </c>
      <c r="B13" s="744"/>
      <c r="C13" s="736" t="s">
        <v>253</v>
      </c>
      <c r="D13" s="737">
        <f t="shared" ref="D13:D25" si="2">$K$4</f>
        <v>95.571428571428569</v>
      </c>
      <c r="E13" s="92" t="s">
        <v>250</v>
      </c>
      <c r="F13" s="259">
        <f t="shared" ref="F13:F26" si="3">(O13*40)*M13</f>
        <v>5947.8169984615379</v>
      </c>
      <c r="G13" s="266">
        <f t="shared" si="0"/>
        <v>568441.36742439552</v>
      </c>
      <c r="H13" s="658"/>
      <c r="I13" s="659"/>
      <c r="J13" s="658"/>
      <c r="K13" s="659"/>
      <c r="L13" s="542">
        <f t="shared" si="1"/>
        <v>568441.36742439552</v>
      </c>
      <c r="M13" s="93">
        <v>1</v>
      </c>
      <c r="N13" s="740"/>
      <c r="O13" s="741">
        <f>'Labor Rates'!G13</f>
        <v>148.69542496153844</v>
      </c>
      <c r="P13" s="745">
        <v>148.69542496153844</v>
      </c>
      <c r="Q13" s="745">
        <v>185</v>
      </c>
      <c r="Y13" s="745">
        <v>155</v>
      </c>
    </row>
    <row r="14" spans="1:25" ht="17.25" customHeight="1">
      <c r="A14" s="743">
        <v>5</v>
      </c>
      <c r="B14" s="744"/>
      <c r="C14" s="736" t="s">
        <v>254</v>
      </c>
      <c r="D14" s="737">
        <f t="shared" si="2"/>
        <v>95.571428571428569</v>
      </c>
      <c r="E14" s="92" t="s">
        <v>250</v>
      </c>
      <c r="F14" s="259">
        <f t="shared" si="3"/>
        <v>5090.342619035212</v>
      </c>
      <c r="G14" s="266">
        <f t="shared" si="0"/>
        <v>486491.31601922237</v>
      </c>
      <c r="H14" s="658"/>
      <c r="I14" s="659"/>
      <c r="J14" s="658"/>
      <c r="K14" s="659"/>
      <c r="L14" s="542">
        <f t="shared" si="1"/>
        <v>486491.31601922237</v>
      </c>
      <c r="M14" s="93">
        <v>1</v>
      </c>
      <c r="N14" s="740"/>
      <c r="O14" s="741">
        <f>'Labor Rates'!G14</f>
        <v>127.2585654758803</v>
      </c>
      <c r="P14" s="745">
        <v>127.2585654758803</v>
      </c>
      <c r="Q14" s="745">
        <v>163</v>
      </c>
      <c r="Y14" s="745">
        <v>130</v>
      </c>
    </row>
    <row r="15" spans="1:25" ht="17.25" customHeight="1">
      <c r="A15" s="743">
        <v>6</v>
      </c>
      <c r="B15" s="744"/>
      <c r="C15" s="736" t="s">
        <v>255</v>
      </c>
      <c r="D15" s="737">
        <f t="shared" si="2"/>
        <v>95.571428571428569</v>
      </c>
      <c r="E15" s="92" t="s">
        <v>250</v>
      </c>
      <c r="F15" s="94">
        <f t="shared" si="3"/>
        <v>3591.2833403998384</v>
      </c>
      <c r="G15" s="746">
        <f t="shared" si="0"/>
        <v>343224.07924678456</v>
      </c>
      <c r="H15" s="658"/>
      <c r="I15" s="659"/>
      <c r="J15" s="658"/>
      <c r="K15" s="659"/>
      <c r="L15" s="542">
        <f t="shared" si="1"/>
        <v>343224.07924678456</v>
      </c>
      <c r="M15" s="95">
        <v>1</v>
      </c>
      <c r="N15" s="740"/>
      <c r="O15" s="741">
        <f>'Labor Rates'!G15</f>
        <v>89.782083509995957</v>
      </c>
      <c r="P15" s="745">
        <v>89.782083509995957</v>
      </c>
      <c r="Q15" s="745">
        <v>95</v>
      </c>
      <c r="Y15" s="745">
        <v>65</v>
      </c>
    </row>
    <row r="16" spans="1:25" ht="15.75" customHeight="1">
      <c r="A16" s="743">
        <v>7</v>
      </c>
      <c r="B16" s="258"/>
      <c r="C16" s="543" t="s">
        <v>256</v>
      </c>
      <c r="D16" s="737">
        <f t="shared" si="2"/>
        <v>95.571428571428569</v>
      </c>
      <c r="E16" s="258" t="s">
        <v>250</v>
      </c>
      <c r="F16" s="544">
        <f t="shared" si="3"/>
        <v>4633.7421700794321</v>
      </c>
      <c r="G16" s="746">
        <f t="shared" si="0"/>
        <v>442853.35882616288</v>
      </c>
      <c r="H16" s="658"/>
      <c r="I16" s="659"/>
      <c r="J16" s="658"/>
      <c r="K16" s="659"/>
      <c r="L16" s="542">
        <f t="shared" si="1"/>
        <v>442853.35882616288</v>
      </c>
      <c r="M16" s="95">
        <v>1</v>
      </c>
      <c r="N16" s="545"/>
      <c r="O16" s="741">
        <f>'Labor Rates'!G16</f>
        <v>115.84355425198581</v>
      </c>
      <c r="P16" s="546">
        <v>115.84355425198581</v>
      </c>
      <c r="Q16" s="546">
        <v>81</v>
      </c>
      <c r="Y16" s="546">
        <v>60</v>
      </c>
    </row>
    <row r="17" spans="1:128" ht="15.75" customHeight="1">
      <c r="A17" s="743">
        <v>8</v>
      </c>
      <c r="B17" s="258"/>
      <c r="C17" s="543" t="s">
        <v>257</v>
      </c>
      <c r="D17" s="737">
        <f t="shared" si="2"/>
        <v>95.571428571428569</v>
      </c>
      <c r="E17" s="258" t="s">
        <v>250</v>
      </c>
      <c r="F17" s="544">
        <f t="shared" si="3"/>
        <v>4467.6124302127319</v>
      </c>
      <c r="G17" s="746">
        <f t="shared" si="0"/>
        <v>426976.10225890251</v>
      </c>
      <c r="H17" s="658"/>
      <c r="I17" s="659"/>
      <c r="J17" s="658"/>
      <c r="K17" s="659"/>
      <c r="L17" s="747">
        <f t="shared" si="1"/>
        <v>426976.10225890251</v>
      </c>
      <c r="M17" s="95">
        <v>1</v>
      </c>
      <c r="N17" s="545"/>
      <c r="O17" s="741">
        <f>'Labor Rates'!G17</f>
        <v>111.69031075531831</v>
      </c>
      <c r="P17" s="546">
        <v>111.69031075531831</v>
      </c>
      <c r="Q17" s="546">
        <v>118</v>
      </c>
      <c r="Y17" s="546">
        <v>95</v>
      </c>
    </row>
    <row r="18" spans="1:128" ht="15.75" customHeight="1">
      <c r="A18" s="743">
        <v>9</v>
      </c>
      <c r="B18" s="258"/>
      <c r="C18" s="543" t="s">
        <v>258</v>
      </c>
      <c r="D18" s="737">
        <f t="shared" si="2"/>
        <v>95.571428571428569</v>
      </c>
      <c r="E18" s="258" t="s">
        <v>250</v>
      </c>
      <c r="F18" s="544">
        <f t="shared" si="3"/>
        <v>7114.6073709619122</v>
      </c>
      <c r="G18" s="746">
        <f t="shared" si="0"/>
        <v>679953.19016764557</v>
      </c>
      <c r="H18" s="658"/>
      <c r="I18" s="659"/>
      <c r="J18" s="658"/>
      <c r="K18" s="659"/>
      <c r="L18" s="747">
        <f t="shared" si="1"/>
        <v>679953.19016764557</v>
      </c>
      <c r="M18" s="95">
        <v>1</v>
      </c>
      <c r="N18" s="740"/>
      <c r="O18" s="741">
        <f>'Labor Rates'!G18</f>
        <v>177.86518427404781</v>
      </c>
      <c r="P18" s="546">
        <v>177.86518427404781</v>
      </c>
      <c r="Q18" s="546">
        <v>183</v>
      </c>
      <c r="Y18" s="546">
        <v>194</v>
      </c>
    </row>
    <row r="19" spans="1:128" ht="15.75" customHeight="1">
      <c r="A19" s="743">
        <v>10</v>
      </c>
      <c r="B19" s="258"/>
      <c r="C19" s="543" t="s">
        <v>259</v>
      </c>
      <c r="D19" s="737">
        <f t="shared" si="2"/>
        <v>95.571428571428569</v>
      </c>
      <c r="E19" s="258" t="s">
        <v>250</v>
      </c>
      <c r="F19" s="544">
        <f t="shared" si="3"/>
        <v>0</v>
      </c>
      <c r="G19" s="746">
        <f t="shared" si="0"/>
        <v>0</v>
      </c>
      <c r="H19" s="658"/>
      <c r="I19" s="659"/>
      <c r="J19" s="658"/>
      <c r="K19" s="659"/>
      <c r="L19" s="747">
        <f t="shared" si="1"/>
        <v>0</v>
      </c>
      <c r="M19" s="343">
        <v>0</v>
      </c>
      <c r="N19" s="740"/>
      <c r="O19" s="741">
        <f>'Labor Rates'!G19</f>
        <v>149.29950695605265</v>
      </c>
      <c r="P19" s="546">
        <v>149.29950695605265</v>
      </c>
      <c r="Q19" s="546">
        <v>161</v>
      </c>
      <c r="Y19" s="546">
        <v>173</v>
      </c>
    </row>
    <row r="20" spans="1:128" ht="15.75" customHeight="1">
      <c r="A20" s="743">
        <v>11</v>
      </c>
      <c r="B20" s="258"/>
      <c r="C20" s="543" t="s">
        <v>260</v>
      </c>
      <c r="D20" s="737">
        <f t="shared" si="2"/>
        <v>95.571428571428569</v>
      </c>
      <c r="E20" s="258" t="s">
        <v>250</v>
      </c>
      <c r="F20" s="544">
        <f t="shared" si="3"/>
        <v>4887.7994357272282</v>
      </c>
      <c r="G20" s="746">
        <f t="shared" si="0"/>
        <v>467133.97464307369</v>
      </c>
      <c r="H20" s="658"/>
      <c r="I20" s="659"/>
      <c r="J20" s="658"/>
      <c r="K20" s="659"/>
      <c r="L20" s="747">
        <f t="shared" si="1"/>
        <v>467133.97464307369</v>
      </c>
      <c r="M20" s="95">
        <v>1</v>
      </c>
      <c r="N20" s="740"/>
      <c r="O20" s="741">
        <f>'Labor Rates'!G20</f>
        <v>122.1949858931807</v>
      </c>
      <c r="P20" s="546">
        <v>122.1949858931807</v>
      </c>
      <c r="Q20" s="546">
        <v>121</v>
      </c>
      <c r="Y20" s="546">
        <v>155</v>
      </c>
    </row>
    <row r="21" spans="1:128" ht="15.75" customHeight="1">
      <c r="A21" s="743">
        <v>12</v>
      </c>
      <c r="B21" s="258"/>
      <c r="C21" s="543" t="s">
        <v>261</v>
      </c>
      <c r="D21" s="737">
        <f t="shared" si="2"/>
        <v>95.571428571428569</v>
      </c>
      <c r="E21" s="258" t="s">
        <v>250</v>
      </c>
      <c r="F21" s="544">
        <f t="shared" si="3"/>
        <v>5823.7832903536155</v>
      </c>
      <c r="G21" s="746">
        <f t="shared" si="0"/>
        <v>556587.28874950984</v>
      </c>
      <c r="H21" s="658"/>
      <c r="I21" s="659"/>
      <c r="J21" s="658"/>
      <c r="K21" s="659"/>
      <c r="L21" s="747">
        <f t="shared" si="1"/>
        <v>556587.28874950984</v>
      </c>
      <c r="M21" s="95">
        <v>1.8</v>
      </c>
      <c r="N21" s="740"/>
      <c r="O21" s="741">
        <f>'Labor Rates'!G21</f>
        <v>80.885879032689104</v>
      </c>
      <c r="P21" s="546">
        <v>80.885879032689104</v>
      </c>
      <c r="Q21" s="546">
        <v>84</v>
      </c>
      <c r="Y21" s="546">
        <v>95</v>
      </c>
    </row>
    <row r="22" spans="1:128" ht="15.75" customHeight="1">
      <c r="A22" s="743">
        <v>13</v>
      </c>
      <c r="B22" s="258"/>
      <c r="C22" s="267" t="s">
        <v>262</v>
      </c>
      <c r="D22" s="737">
        <f t="shared" si="2"/>
        <v>95.571428571428569</v>
      </c>
      <c r="E22" s="258" t="s">
        <v>250</v>
      </c>
      <c r="F22" s="544">
        <f t="shared" si="3"/>
        <v>1389.5872317492604</v>
      </c>
      <c r="G22" s="746">
        <f>SUM(D22*F22)</f>
        <v>132804.8368628936</v>
      </c>
      <c r="H22" s="658"/>
      <c r="I22" s="659"/>
      <c r="J22" s="658"/>
      <c r="K22" s="659"/>
      <c r="L22" s="747">
        <f>SUM(G22+I22+K22)</f>
        <v>132804.8368628936</v>
      </c>
      <c r="M22" s="95">
        <v>0.25</v>
      </c>
      <c r="N22" s="740"/>
      <c r="O22" s="741">
        <f>'Labor Rates'!G22</f>
        <v>138.95872317492604</v>
      </c>
      <c r="P22" s="546">
        <v>138.95872317492604</v>
      </c>
      <c r="Q22" s="546"/>
      <c r="Y22" s="546"/>
    </row>
    <row r="23" spans="1:128" ht="15.75" customHeight="1">
      <c r="A23" s="743">
        <v>14</v>
      </c>
      <c r="B23" s="258"/>
      <c r="C23" s="267" t="s">
        <v>263</v>
      </c>
      <c r="D23" s="737">
        <f t="shared" si="2"/>
        <v>95.571428571428569</v>
      </c>
      <c r="E23" s="96" t="s">
        <v>250</v>
      </c>
      <c r="F23" s="544">
        <f t="shared" si="3"/>
        <v>2242.53641471843</v>
      </c>
      <c r="G23" s="746">
        <f>SUM(D23*F23)</f>
        <v>214322.40877808994</v>
      </c>
      <c r="H23" s="658"/>
      <c r="I23" s="659"/>
      <c r="J23" s="658"/>
      <c r="K23" s="659"/>
      <c r="L23" s="542">
        <f t="shared" si="1"/>
        <v>214322.40877808994</v>
      </c>
      <c r="M23" s="547">
        <v>1</v>
      </c>
      <c r="N23" s="545"/>
      <c r="O23" s="741">
        <f>'Labor Rates'!G23</f>
        <v>56.063410367960756</v>
      </c>
      <c r="P23" s="546">
        <v>56.063410367960756</v>
      </c>
      <c r="Q23" s="546">
        <v>65</v>
      </c>
      <c r="Y23" s="546">
        <v>65</v>
      </c>
      <c r="AA23" t="s">
        <v>99</v>
      </c>
    </row>
    <row r="24" spans="1:128" s="97" customFormat="1" ht="15.75" customHeight="1">
      <c r="A24" s="743">
        <v>15</v>
      </c>
      <c r="B24" s="258"/>
      <c r="C24" s="267" t="s">
        <v>264</v>
      </c>
      <c r="D24" s="737">
        <f t="shared" si="2"/>
        <v>95.571428571428569</v>
      </c>
      <c r="E24" s="258" t="s">
        <v>250</v>
      </c>
      <c r="F24" s="544">
        <f t="shared" si="3"/>
        <v>1252.1287095580547</v>
      </c>
      <c r="G24" s="746">
        <f t="shared" si="0"/>
        <v>119667.72952776265</v>
      </c>
      <c r="H24" s="658"/>
      <c r="I24" s="659"/>
      <c r="J24" s="658"/>
      <c r="K24" s="659"/>
      <c r="L24" s="542">
        <f t="shared" si="1"/>
        <v>119667.72952776265</v>
      </c>
      <c r="M24" s="152">
        <v>0.2</v>
      </c>
      <c r="N24" s="545"/>
      <c r="O24" s="741">
        <f>'Labor Rates'!G24</f>
        <v>156.51608869475683</v>
      </c>
      <c r="P24" s="268">
        <v>156.51608869475683</v>
      </c>
      <c r="Q24" s="268">
        <v>80</v>
      </c>
      <c r="R24"/>
      <c r="S24"/>
      <c r="T24"/>
      <c r="U24"/>
      <c r="V24"/>
      <c r="W24"/>
      <c r="X24"/>
      <c r="Y24" s="268">
        <v>90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</row>
    <row r="25" spans="1:128" ht="15.75" customHeight="1">
      <c r="A25" s="743">
        <v>16</v>
      </c>
      <c r="B25" s="258"/>
      <c r="C25" s="267" t="s">
        <v>265</v>
      </c>
      <c r="D25" s="737">
        <f t="shared" si="2"/>
        <v>95.571428571428569</v>
      </c>
      <c r="E25" s="96" t="s">
        <v>250</v>
      </c>
      <c r="F25" s="544">
        <f t="shared" si="3"/>
        <v>1386.8106359093163</v>
      </c>
      <c r="G25" s="746">
        <f t="shared" si="0"/>
        <v>132539.47363190466</v>
      </c>
      <c r="H25" s="658"/>
      <c r="I25" s="659"/>
      <c r="J25" s="658"/>
      <c r="K25" s="659"/>
      <c r="L25" s="747">
        <f t="shared" si="1"/>
        <v>132539.47363190466</v>
      </c>
      <c r="M25" s="152">
        <v>0.25</v>
      </c>
      <c r="N25" s="545"/>
      <c r="O25" s="741">
        <f>'Labor Rates'!G25</f>
        <v>138.68106359093161</v>
      </c>
      <c r="P25" s="268">
        <v>138.68106359093161</v>
      </c>
      <c r="Q25" s="268">
        <v>101</v>
      </c>
      <c r="Y25" s="268">
        <v>101</v>
      </c>
    </row>
    <row r="26" spans="1:128" ht="15.75" customHeight="1" thickBot="1">
      <c r="A26" s="743">
        <v>17</v>
      </c>
      <c r="B26" s="96"/>
      <c r="C26" s="267" t="s">
        <v>266</v>
      </c>
      <c r="D26" s="99">
        <f>K4</f>
        <v>95.571428571428569</v>
      </c>
      <c r="E26" s="153" t="s">
        <v>250</v>
      </c>
      <c r="F26" s="748">
        <f t="shared" si="3"/>
        <v>1076.4085695891258</v>
      </c>
      <c r="G26" s="154">
        <f t="shared" si="0"/>
        <v>102873.90472216073</v>
      </c>
      <c r="H26" s="660"/>
      <c r="I26" s="661"/>
      <c r="J26" s="660"/>
      <c r="K26" s="661"/>
      <c r="L26" s="100">
        <f t="shared" si="1"/>
        <v>102873.90472216073</v>
      </c>
      <c r="M26" s="152">
        <v>0.25</v>
      </c>
      <c r="N26" s="101"/>
      <c r="O26" s="741">
        <f>'Labor Rates'!G26</f>
        <v>107.64085695891259</v>
      </c>
      <c r="P26" s="268">
        <v>107.64085695891259</v>
      </c>
      <c r="Q26" s="268">
        <v>96</v>
      </c>
      <c r="Y26" s="268">
        <v>96</v>
      </c>
    </row>
    <row r="27" spans="1:128" s="82" customFormat="1" ht="15.75" customHeight="1" thickBot="1">
      <c r="A27" s="624"/>
      <c r="B27" s="625"/>
      <c r="C27" s="86" t="s">
        <v>267</v>
      </c>
      <c r="D27" s="87"/>
      <c r="E27" s="88"/>
      <c r="F27" s="88"/>
      <c r="G27" s="88"/>
      <c r="H27" s="88"/>
      <c r="I27" s="88"/>
      <c r="J27" s="88"/>
      <c r="K27" s="88"/>
      <c r="L27" s="89">
        <f>SUM(L28:L43)</f>
        <v>467754.0725510614</v>
      </c>
      <c r="M27" s="89"/>
      <c r="N27" s="90"/>
      <c r="O27" s="90"/>
      <c r="P27" s="91"/>
      <c r="Q27" s="91"/>
      <c r="R27"/>
      <c r="S27"/>
      <c r="T27"/>
      <c r="U27"/>
      <c r="V27"/>
      <c r="W27"/>
      <c r="X27"/>
      <c r="Y27" s="91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</row>
    <row r="28" spans="1:128" ht="15.75" customHeight="1">
      <c r="A28" s="734"/>
      <c r="B28" s="735"/>
      <c r="C28" s="749" t="s">
        <v>249</v>
      </c>
      <c r="D28" s="750">
        <f t="shared" ref="D28:D43" si="4">$K$5</f>
        <v>8.5714285714285712</v>
      </c>
      <c r="E28" s="735" t="s">
        <v>250</v>
      </c>
      <c r="F28" s="751">
        <f>(40*P28)*M28</f>
        <v>0</v>
      </c>
      <c r="G28" s="752">
        <f>SUM(D28*F28)</f>
        <v>0</v>
      </c>
      <c r="H28" s="606"/>
      <c r="I28" s="607"/>
      <c r="J28" s="606"/>
      <c r="K28" s="607"/>
      <c r="L28" s="753">
        <f t="shared" ref="L28:L42" si="5">SUM(G28+I28+K28)</f>
        <v>0</v>
      </c>
      <c r="M28" s="754">
        <v>0</v>
      </c>
      <c r="N28" s="755"/>
      <c r="O28" s="741">
        <f t="shared" ref="O28:O39" si="6">O10</f>
        <v>212.84985967645451</v>
      </c>
      <c r="P28" s="756">
        <f>+P10</f>
        <v>212.84985967645451</v>
      </c>
      <c r="Q28" s="756">
        <f>+Q10</f>
        <v>253</v>
      </c>
      <c r="Y28" s="756">
        <f>+Y10</f>
        <v>216</v>
      </c>
    </row>
    <row r="29" spans="1:128" ht="15.75" customHeight="1">
      <c r="A29" s="257"/>
      <c r="B29" s="258"/>
      <c r="C29" s="543" t="s">
        <v>251</v>
      </c>
      <c r="D29" s="757">
        <f t="shared" si="4"/>
        <v>8.5714285714285712</v>
      </c>
      <c r="E29" s="258" t="s">
        <v>250</v>
      </c>
      <c r="F29" s="269">
        <f>(40*P29)*M29</f>
        <v>7056.4364792840679</v>
      </c>
      <c r="G29" s="758">
        <f>SUM(D29*F29)</f>
        <v>60483.741251006293</v>
      </c>
      <c r="H29" s="608"/>
      <c r="I29" s="609"/>
      <c r="J29" s="608"/>
      <c r="K29" s="609"/>
      <c r="L29" s="759">
        <f t="shared" si="5"/>
        <v>60483.741251006293</v>
      </c>
      <c r="M29" s="548">
        <f t="shared" ref="M29:M39" si="7">+M11</f>
        <v>1</v>
      </c>
      <c r="N29" s="549"/>
      <c r="O29" s="741">
        <f t="shared" si="6"/>
        <v>176.41091198210171</v>
      </c>
      <c r="P29" s="550">
        <f>+P11</f>
        <v>176.41091198210171</v>
      </c>
      <c r="Q29" s="550">
        <f>+Q11</f>
        <v>195</v>
      </c>
      <c r="Y29" s="550">
        <f>+Y11</f>
        <v>175</v>
      </c>
    </row>
    <row r="30" spans="1:128" ht="15.75" customHeight="1">
      <c r="A30" s="257"/>
      <c r="B30" s="258"/>
      <c r="C30" s="736" t="s">
        <v>252</v>
      </c>
      <c r="D30" s="757">
        <f t="shared" si="4"/>
        <v>8.5714285714285712</v>
      </c>
      <c r="E30" s="258" t="s">
        <v>250</v>
      </c>
      <c r="F30" s="269">
        <f>(40*P30)*M30</f>
        <v>0</v>
      </c>
      <c r="G30" s="758">
        <f>SUM(D30*F30)</f>
        <v>0</v>
      </c>
      <c r="H30" s="608"/>
      <c r="I30" s="609"/>
      <c r="J30" s="608"/>
      <c r="K30" s="609"/>
      <c r="L30" s="759">
        <f t="shared" si="5"/>
        <v>0</v>
      </c>
      <c r="M30" s="548">
        <f t="shared" si="7"/>
        <v>0</v>
      </c>
      <c r="N30" s="549"/>
      <c r="O30" s="741">
        <f t="shared" si="6"/>
        <v>162.46078739123499</v>
      </c>
      <c r="P30" s="550">
        <f>P12</f>
        <v>162.46</v>
      </c>
      <c r="Q30" s="550"/>
      <c r="Y30" s="550"/>
    </row>
    <row r="31" spans="1:128" ht="15.75" customHeight="1">
      <c r="A31" s="257"/>
      <c r="B31" s="258"/>
      <c r="C31" s="543" t="s">
        <v>253</v>
      </c>
      <c r="D31" s="757">
        <f t="shared" si="4"/>
        <v>8.5714285714285712</v>
      </c>
      <c r="E31" s="258" t="s">
        <v>250</v>
      </c>
      <c r="F31" s="269">
        <f t="shared" ref="F31:F42" si="8">(40*P31)*M31</f>
        <v>5947.8169984615379</v>
      </c>
      <c r="G31" s="758">
        <f t="shared" ref="G31:G43" si="9">SUM(D31*F31)</f>
        <v>50981.288558241751</v>
      </c>
      <c r="H31" s="608"/>
      <c r="I31" s="609"/>
      <c r="J31" s="608"/>
      <c r="K31" s="609"/>
      <c r="L31" s="759">
        <f t="shared" si="5"/>
        <v>50981.288558241751</v>
      </c>
      <c r="M31" s="548">
        <f t="shared" si="7"/>
        <v>1</v>
      </c>
      <c r="N31" s="549"/>
      <c r="O31" s="741">
        <f t="shared" si="6"/>
        <v>148.69542496153844</v>
      </c>
      <c r="P31" s="550">
        <f t="shared" ref="P31:Q39" si="10">+P13</f>
        <v>148.69542496153844</v>
      </c>
      <c r="Q31" s="550">
        <f t="shared" si="10"/>
        <v>185</v>
      </c>
      <c r="Y31" s="550">
        <f t="shared" ref="Y31:Y39" si="11">+Y13</f>
        <v>155</v>
      </c>
    </row>
    <row r="32" spans="1:128" ht="15.75" customHeight="1">
      <c r="A32" s="257"/>
      <c r="B32" s="258"/>
      <c r="C32" s="543" t="s">
        <v>254</v>
      </c>
      <c r="D32" s="757">
        <f t="shared" si="4"/>
        <v>8.5714285714285712</v>
      </c>
      <c r="E32" s="258" t="s">
        <v>250</v>
      </c>
      <c r="F32" s="269">
        <f t="shared" si="8"/>
        <v>5090.342619035212</v>
      </c>
      <c r="G32" s="758">
        <f t="shared" si="9"/>
        <v>43631.508163158956</v>
      </c>
      <c r="H32" s="608"/>
      <c r="I32" s="609"/>
      <c r="J32" s="608"/>
      <c r="K32" s="609"/>
      <c r="L32" s="759">
        <f t="shared" si="5"/>
        <v>43631.508163158956</v>
      </c>
      <c r="M32" s="548">
        <f t="shared" si="7"/>
        <v>1</v>
      </c>
      <c r="N32" s="549"/>
      <c r="O32" s="741">
        <f t="shared" si="6"/>
        <v>127.2585654758803</v>
      </c>
      <c r="P32" s="550">
        <f t="shared" si="10"/>
        <v>127.2585654758803</v>
      </c>
      <c r="Q32" s="550">
        <f t="shared" si="10"/>
        <v>163</v>
      </c>
      <c r="Y32" s="550">
        <f t="shared" si="11"/>
        <v>130</v>
      </c>
    </row>
    <row r="33" spans="1:136" ht="15.75" customHeight="1">
      <c r="A33" s="257"/>
      <c r="B33" s="258"/>
      <c r="C33" s="543" t="s">
        <v>255</v>
      </c>
      <c r="D33" s="757">
        <f t="shared" si="4"/>
        <v>8.5714285714285712</v>
      </c>
      <c r="E33" s="258" t="s">
        <v>250</v>
      </c>
      <c r="F33" s="269">
        <f t="shared" si="8"/>
        <v>3591.2833403998384</v>
      </c>
      <c r="G33" s="758">
        <f t="shared" si="9"/>
        <v>30782.428631998613</v>
      </c>
      <c r="H33" s="608"/>
      <c r="I33" s="609"/>
      <c r="J33" s="608"/>
      <c r="K33" s="609"/>
      <c r="L33" s="759">
        <f t="shared" si="5"/>
        <v>30782.428631998613</v>
      </c>
      <c r="M33" s="548">
        <f t="shared" si="7"/>
        <v>1</v>
      </c>
      <c r="N33" s="755"/>
      <c r="O33" s="741">
        <f t="shared" si="6"/>
        <v>89.782083509995957</v>
      </c>
      <c r="P33" s="550">
        <f t="shared" si="10"/>
        <v>89.782083509995957</v>
      </c>
      <c r="Q33" s="550">
        <f t="shared" si="10"/>
        <v>95</v>
      </c>
      <c r="Y33" s="550">
        <f t="shared" si="11"/>
        <v>65</v>
      </c>
    </row>
    <row r="34" spans="1:136" ht="15.75" customHeight="1">
      <c r="A34" s="257"/>
      <c r="B34" s="258"/>
      <c r="C34" s="543" t="s">
        <v>268</v>
      </c>
      <c r="D34" s="757">
        <f t="shared" si="4"/>
        <v>8.5714285714285712</v>
      </c>
      <c r="E34" s="258" t="s">
        <v>250</v>
      </c>
      <c r="F34" s="269">
        <f t="shared" si="8"/>
        <v>4633.7421700794321</v>
      </c>
      <c r="G34" s="758">
        <f t="shared" si="9"/>
        <v>39717.790029252275</v>
      </c>
      <c r="H34" s="608"/>
      <c r="I34" s="609"/>
      <c r="J34" s="608"/>
      <c r="K34" s="609"/>
      <c r="L34" s="759">
        <f t="shared" si="5"/>
        <v>39717.790029252275</v>
      </c>
      <c r="M34" s="548">
        <f t="shared" si="7"/>
        <v>1</v>
      </c>
      <c r="N34" s="549"/>
      <c r="O34" s="741">
        <f t="shared" si="6"/>
        <v>115.84355425198581</v>
      </c>
      <c r="P34" s="550">
        <f t="shared" si="10"/>
        <v>115.84355425198581</v>
      </c>
      <c r="Q34" s="550">
        <f t="shared" si="10"/>
        <v>81</v>
      </c>
      <c r="Y34" s="550">
        <f t="shared" si="11"/>
        <v>60</v>
      </c>
    </row>
    <row r="35" spans="1:136" ht="15.75" customHeight="1">
      <c r="A35" s="257"/>
      <c r="B35" s="258"/>
      <c r="C35" s="543" t="s">
        <v>257</v>
      </c>
      <c r="D35" s="757">
        <f t="shared" si="4"/>
        <v>8.5714285714285712</v>
      </c>
      <c r="E35" s="258" t="s">
        <v>250</v>
      </c>
      <c r="F35" s="269">
        <f t="shared" si="8"/>
        <v>4467.6124302127319</v>
      </c>
      <c r="G35" s="758">
        <f t="shared" si="9"/>
        <v>38293.820830394841</v>
      </c>
      <c r="H35" s="608"/>
      <c r="I35" s="609"/>
      <c r="J35" s="608"/>
      <c r="K35" s="609"/>
      <c r="L35" s="759">
        <f t="shared" si="5"/>
        <v>38293.820830394841</v>
      </c>
      <c r="M35" s="548">
        <f t="shared" si="7"/>
        <v>1</v>
      </c>
      <c r="N35" s="549"/>
      <c r="O35" s="741">
        <f t="shared" si="6"/>
        <v>111.69031075531831</v>
      </c>
      <c r="P35" s="550">
        <f t="shared" si="10"/>
        <v>111.69031075531831</v>
      </c>
      <c r="Q35" s="550">
        <f t="shared" si="10"/>
        <v>118</v>
      </c>
      <c r="Y35" s="550">
        <f t="shared" si="11"/>
        <v>95</v>
      </c>
    </row>
    <row r="36" spans="1:136" ht="15.75" customHeight="1">
      <c r="A36" s="98"/>
      <c r="B36" s="96"/>
      <c r="C36" s="267" t="s">
        <v>258</v>
      </c>
      <c r="D36" s="757">
        <f t="shared" si="4"/>
        <v>8.5714285714285712</v>
      </c>
      <c r="E36" s="258" t="s">
        <v>250</v>
      </c>
      <c r="F36" s="269">
        <f t="shared" si="8"/>
        <v>7114.6073709619122</v>
      </c>
      <c r="G36" s="758">
        <f t="shared" si="9"/>
        <v>60982.348893959243</v>
      </c>
      <c r="H36" s="608"/>
      <c r="I36" s="609"/>
      <c r="J36" s="608"/>
      <c r="K36" s="609"/>
      <c r="L36" s="759">
        <f t="shared" si="5"/>
        <v>60982.348893959243</v>
      </c>
      <c r="M36" s="548">
        <f t="shared" si="7"/>
        <v>1</v>
      </c>
      <c r="N36" s="549"/>
      <c r="O36" s="741">
        <f t="shared" si="6"/>
        <v>177.86518427404781</v>
      </c>
      <c r="P36" s="550">
        <f t="shared" si="10"/>
        <v>177.86518427404781</v>
      </c>
      <c r="Q36" s="550">
        <f t="shared" si="10"/>
        <v>183</v>
      </c>
      <c r="Y36" s="550">
        <f t="shared" si="11"/>
        <v>194</v>
      </c>
    </row>
    <row r="37" spans="1:136" ht="15.75" customHeight="1">
      <c r="A37" s="98"/>
      <c r="B37" s="96"/>
      <c r="C37" s="267" t="s">
        <v>259</v>
      </c>
      <c r="D37" s="757">
        <f t="shared" si="4"/>
        <v>8.5714285714285712</v>
      </c>
      <c r="E37" s="258" t="s">
        <v>250</v>
      </c>
      <c r="F37" s="269">
        <f t="shared" si="8"/>
        <v>0</v>
      </c>
      <c r="G37" s="758">
        <f t="shared" si="9"/>
        <v>0</v>
      </c>
      <c r="H37" s="608"/>
      <c r="I37" s="609"/>
      <c r="J37" s="608"/>
      <c r="K37" s="609"/>
      <c r="L37" s="759">
        <f t="shared" si="5"/>
        <v>0</v>
      </c>
      <c r="M37" s="548">
        <f t="shared" si="7"/>
        <v>0</v>
      </c>
      <c r="N37" s="549"/>
      <c r="O37" s="741">
        <f t="shared" si="6"/>
        <v>149.29950695605265</v>
      </c>
      <c r="P37" s="550">
        <f t="shared" si="10"/>
        <v>149.29950695605265</v>
      </c>
      <c r="Q37" s="550">
        <f t="shared" si="10"/>
        <v>161</v>
      </c>
      <c r="Y37" s="550">
        <f t="shared" si="11"/>
        <v>173</v>
      </c>
    </row>
    <row r="38" spans="1:136" ht="15.75" customHeight="1">
      <c r="A38" s="98"/>
      <c r="B38" s="96"/>
      <c r="C38" s="267" t="s">
        <v>260</v>
      </c>
      <c r="D38" s="757">
        <f t="shared" si="4"/>
        <v>8.5714285714285712</v>
      </c>
      <c r="E38" s="258" t="s">
        <v>250</v>
      </c>
      <c r="F38" s="269">
        <f t="shared" si="8"/>
        <v>4887.7994357272282</v>
      </c>
      <c r="G38" s="758">
        <f t="shared" si="9"/>
        <v>41895.423734804812</v>
      </c>
      <c r="H38" s="608"/>
      <c r="I38" s="609"/>
      <c r="J38" s="608"/>
      <c r="K38" s="609"/>
      <c r="L38" s="759">
        <f t="shared" si="5"/>
        <v>41895.423734804812</v>
      </c>
      <c r="M38" s="548">
        <f t="shared" si="7"/>
        <v>1</v>
      </c>
      <c r="N38" s="549"/>
      <c r="O38" s="741">
        <f t="shared" si="6"/>
        <v>122.1949858931807</v>
      </c>
      <c r="P38" s="550">
        <f t="shared" si="10"/>
        <v>122.1949858931807</v>
      </c>
      <c r="Q38" s="550">
        <f t="shared" si="10"/>
        <v>121</v>
      </c>
      <c r="Y38" s="550">
        <f t="shared" si="11"/>
        <v>155</v>
      </c>
    </row>
    <row r="39" spans="1:136" ht="15.75" customHeight="1">
      <c r="A39" s="98"/>
      <c r="B39" s="96"/>
      <c r="C39" s="267" t="s">
        <v>261</v>
      </c>
      <c r="D39" s="757">
        <f t="shared" si="4"/>
        <v>8.5714285714285712</v>
      </c>
      <c r="E39" s="258" t="s">
        <v>250</v>
      </c>
      <c r="F39" s="269">
        <f t="shared" si="8"/>
        <v>5823.7832903536155</v>
      </c>
      <c r="G39" s="758">
        <f t="shared" si="9"/>
        <v>49918.142488745274</v>
      </c>
      <c r="H39" s="608"/>
      <c r="I39" s="609"/>
      <c r="J39" s="608"/>
      <c r="K39" s="609"/>
      <c r="L39" s="759">
        <f t="shared" si="5"/>
        <v>49918.142488745274</v>
      </c>
      <c r="M39" s="548">
        <f t="shared" si="7"/>
        <v>1.8</v>
      </c>
      <c r="N39" s="549"/>
      <c r="O39" s="741">
        <f t="shared" si="6"/>
        <v>80.885879032689104</v>
      </c>
      <c r="P39" s="550">
        <f t="shared" si="10"/>
        <v>80.885879032689104</v>
      </c>
      <c r="Q39" s="550">
        <f t="shared" si="10"/>
        <v>84</v>
      </c>
      <c r="Y39" s="550">
        <f t="shared" si="11"/>
        <v>95</v>
      </c>
    </row>
    <row r="40" spans="1:136" ht="15.75" customHeight="1">
      <c r="A40" s="98"/>
      <c r="B40" s="96"/>
      <c r="C40" s="267" t="s">
        <v>263</v>
      </c>
      <c r="D40" s="757">
        <f t="shared" si="4"/>
        <v>8.5714285714285712</v>
      </c>
      <c r="E40" s="258" t="s">
        <v>250</v>
      </c>
      <c r="F40" s="269">
        <f t="shared" si="8"/>
        <v>2242.53641471843</v>
      </c>
      <c r="G40" s="758">
        <f t="shared" si="9"/>
        <v>19221.740697586542</v>
      </c>
      <c r="H40" s="608"/>
      <c r="I40" s="609"/>
      <c r="J40" s="608"/>
      <c r="K40" s="609"/>
      <c r="L40" s="759">
        <f t="shared" si="5"/>
        <v>19221.740697586542</v>
      </c>
      <c r="M40" s="548">
        <f>+M23</f>
        <v>1</v>
      </c>
      <c r="N40" s="549"/>
      <c r="O40" s="741">
        <f>O23</f>
        <v>56.063410367960756</v>
      </c>
      <c r="P40" s="550">
        <f t="shared" ref="P40:Q43" si="12">+P23</f>
        <v>56.063410367960756</v>
      </c>
      <c r="Q40" s="550">
        <f t="shared" si="12"/>
        <v>65</v>
      </c>
      <c r="Y40" s="550">
        <f>+Y23</f>
        <v>65</v>
      </c>
    </row>
    <row r="41" spans="1:136" ht="15.75" customHeight="1">
      <c r="A41" s="98"/>
      <c r="B41" s="96"/>
      <c r="C41" s="267" t="s">
        <v>264</v>
      </c>
      <c r="D41" s="757">
        <f t="shared" si="4"/>
        <v>8.5714285714285712</v>
      </c>
      <c r="E41" s="258" t="s">
        <v>250</v>
      </c>
      <c r="F41" s="269">
        <f t="shared" si="8"/>
        <v>1252.1287095580547</v>
      </c>
      <c r="G41" s="758">
        <f t="shared" si="9"/>
        <v>10732.531796211897</v>
      </c>
      <c r="H41" s="608"/>
      <c r="I41" s="609"/>
      <c r="J41" s="608"/>
      <c r="K41" s="609"/>
      <c r="L41" s="759">
        <f t="shared" si="5"/>
        <v>10732.531796211897</v>
      </c>
      <c r="M41" s="548">
        <f>+M24</f>
        <v>0.2</v>
      </c>
      <c r="N41" s="549"/>
      <c r="O41" s="741">
        <f>O24</f>
        <v>156.51608869475683</v>
      </c>
      <c r="P41" s="550">
        <f t="shared" si="12"/>
        <v>156.51608869475683</v>
      </c>
      <c r="Q41" s="550">
        <f t="shared" si="12"/>
        <v>80</v>
      </c>
      <c r="Y41" s="550">
        <f>+Y24</f>
        <v>90</v>
      </c>
    </row>
    <row r="42" spans="1:136" ht="15.75" customHeight="1">
      <c r="A42" s="98"/>
      <c r="B42" s="96"/>
      <c r="C42" s="267" t="s">
        <v>265</v>
      </c>
      <c r="D42" s="757">
        <f t="shared" si="4"/>
        <v>8.5714285714285712</v>
      </c>
      <c r="E42" s="258" t="s">
        <v>250</v>
      </c>
      <c r="F42" s="269">
        <f t="shared" si="8"/>
        <v>1386.8106359093163</v>
      </c>
      <c r="G42" s="758">
        <f t="shared" si="9"/>
        <v>11886.948307794139</v>
      </c>
      <c r="H42" s="608"/>
      <c r="I42" s="609"/>
      <c r="J42" s="608"/>
      <c r="K42" s="609"/>
      <c r="L42" s="759">
        <f t="shared" si="5"/>
        <v>11886.948307794139</v>
      </c>
      <c r="M42" s="548">
        <f>+M25</f>
        <v>0.25</v>
      </c>
      <c r="N42" s="549"/>
      <c r="O42" s="741">
        <f>O25</f>
        <v>138.68106359093161</v>
      </c>
      <c r="P42" s="550">
        <f t="shared" si="12"/>
        <v>138.68106359093161</v>
      </c>
      <c r="Q42" s="550">
        <f t="shared" si="12"/>
        <v>101</v>
      </c>
      <c r="Y42" s="550">
        <f>+Y25</f>
        <v>101</v>
      </c>
    </row>
    <row r="43" spans="1:136" s="97" customFormat="1" ht="15.75" customHeight="1" thickBot="1">
      <c r="A43" s="102"/>
      <c r="B43" s="103"/>
      <c r="C43" s="104" t="s">
        <v>266</v>
      </c>
      <c r="D43" s="105">
        <f t="shared" si="4"/>
        <v>8.5714285714285712</v>
      </c>
      <c r="E43" s="106" t="s">
        <v>250</v>
      </c>
      <c r="F43" s="107">
        <f>(40*P43)*M43</f>
        <v>1076.4085695891258</v>
      </c>
      <c r="G43" s="108">
        <f t="shared" si="9"/>
        <v>9226.3591679067922</v>
      </c>
      <c r="H43" s="610"/>
      <c r="I43" s="611"/>
      <c r="J43" s="610"/>
      <c r="K43" s="611"/>
      <c r="L43" s="109">
        <f>SUM(G43+I43+K43)</f>
        <v>9226.3591679067922</v>
      </c>
      <c r="M43" s="110">
        <f>+M26</f>
        <v>0.25</v>
      </c>
      <c r="O43" s="270">
        <f>O26</f>
        <v>107.64085695891259</v>
      </c>
      <c r="P43" s="111">
        <f t="shared" si="12"/>
        <v>107.64085695891259</v>
      </c>
      <c r="Q43" s="111">
        <f t="shared" si="12"/>
        <v>96</v>
      </c>
      <c r="R43"/>
      <c r="S43"/>
      <c r="T43"/>
      <c r="U43"/>
      <c r="V43"/>
      <c r="W43"/>
      <c r="X43"/>
      <c r="Y43" s="111">
        <f>+Y26</f>
        <v>96</v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</row>
    <row r="44" spans="1:136" ht="15.75" thickBot="1">
      <c r="A44" s="602"/>
      <c r="B44" s="603"/>
      <c r="C44" s="112" t="s">
        <v>269</v>
      </c>
      <c r="D44" s="113"/>
      <c r="E44" s="114"/>
      <c r="F44" s="114"/>
      <c r="G44" s="114"/>
      <c r="H44" s="114"/>
      <c r="I44" s="114"/>
      <c r="J44" s="114"/>
      <c r="K44" s="114"/>
      <c r="L44" s="115">
        <f>SUM(L45:L65)</f>
        <v>186815</v>
      </c>
      <c r="M44" s="115"/>
      <c r="N44" s="116"/>
      <c r="O44" s="271"/>
    </row>
    <row r="45" spans="1:136" ht="15.6" customHeight="1">
      <c r="A45" s="257"/>
      <c r="B45" s="258"/>
      <c r="C45" s="736" t="s">
        <v>270</v>
      </c>
      <c r="D45" s="757">
        <v>1</v>
      </c>
      <c r="E45" s="744" t="s">
        <v>271</v>
      </c>
      <c r="F45" s="606"/>
      <c r="G45" s="607"/>
      <c r="H45" s="760">
        <v>16000</v>
      </c>
      <c r="I45" s="758">
        <f t="shared" ref="I45:I65" si="13">SUM(D45*H45)</f>
        <v>16000</v>
      </c>
      <c r="J45" s="606" t="s">
        <v>272</v>
      </c>
      <c r="K45" s="607"/>
      <c r="L45" s="759">
        <f t="shared" ref="L45:L65" si="14">SUM(G45+I45+K45)</f>
        <v>16000</v>
      </c>
      <c r="M45" s="761"/>
      <c r="N45" s="755"/>
      <c r="O45" s="271"/>
    </row>
    <row r="46" spans="1:136" ht="15.6" customHeight="1">
      <c r="A46" s="257"/>
      <c r="B46" s="258"/>
      <c r="C46" s="543" t="s">
        <v>273</v>
      </c>
      <c r="D46" s="757">
        <f>$L$4</f>
        <v>22.3</v>
      </c>
      <c r="E46" s="258" t="s">
        <v>274</v>
      </c>
      <c r="F46" s="608"/>
      <c r="G46" s="609"/>
      <c r="H46" s="748">
        <v>3500</v>
      </c>
      <c r="I46" s="758">
        <f t="shared" si="13"/>
        <v>78050</v>
      </c>
      <c r="J46" s="608"/>
      <c r="K46" s="609"/>
      <c r="L46" s="759">
        <f t="shared" si="14"/>
        <v>78050</v>
      </c>
      <c r="M46" s="612"/>
      <c r="N46" s="545"/>
      <c r="O46" s="271"/>
    </row>
    <row r="47" spans="1:136" ht="15.6" customHeight="1">
      <c r="A47" s="257"/>
      <c r="B47" s="258"/>
      <c r="C47" s="736" t="s">
        <v>275</v>
      </c>
      <c r="D47" s="757">
        <v>0</v>
      </c>
      <c r="E47" s="258" t="s">
        <v>271</v>
      </c>
      <c r="F47" s="608"/>
      <c r="G47" s="609"/>
      <c r="H47" s="748">
        <v>15958</v>
      </c>
      <c r="I47" s="758">
        <f t="shared" si="13"/>
        <v>0</v>
      </c>
      <c r="J47" s="608"/>
      <c r="K47" s="609"/>
      <c r="L47" s="759">
        <f t="shared" si="14"/>
        <v>0</v>
      </c>
      <c r="M47" s="612"/>
      <c r="N47" s="545" t="s">
        <v>276</v>
      </c>
      <c r="O47" s="271"/>
    </row>
    <row r="48" spans="1:136" ht="15.6" customHeight="1">
      <c r="A48" s="257"/>
      <c r="B48" s="258"/>
      <c r="C48" s="543" t="s">
        <v>277</v>
      </c>
      <c r="D48" s="757">
        <v>0</v>
      </c>
      <c r="E48" s="258" t="s">
        <v>274</v>
      </c>
      <c r="F48" s="608"/>
      <c r="G48" s="609"/>
      <c r="H48" s="748">
        <v>1732</v>
      </c>
      <c r="I48" s="758">
        <f t="shared" si="13"/>
        <v>0</v>
      </c>
      <c r="J48" s="608"/>
      <c r="K48" s="609"/>
      <c r="L48" s="759">
        <f t="shared" si="14"/>
        <v>0</v>
      </c>
      <c r="M48" s="612"/>
      <c r="N48" s="545" t="s">
        <v>276</v>
      </c>
      <c r="O48" s="271"/>
    </row>
    <row r="49" spans="1:15" ht="15.6" customHeight="1">
      <c r="A49" s="257"/>
      <c r="B49" s="258"/>
      <c r="C49" s="736" t="s">
        <v>278</v>
      </c>
      <c r="D49" s="737">
        <v>0</v>
      </c>
      <c r="E49" s="258" t="s">
        <v>271</v>
      </c>
      <c r="F49" s="608"/>
      <c r="G49" s="609"/>
      <c r="H49" s="748">
        <v>1371</v>
      </c>
      <c r="I49" s="758">
        <f t="shared" si="13"/>
        <v>0</v>
      </c>
      <c r="J49" s="608"/>
      <c r="K49" s="609"/>
      <c r="L49" s="759">
        <f t="shared" si="14"/>
        <v>0</v>
      </c>
      <c r="M49" s="612"/>
      <c r="N49" s="545" t="s">
        <v>279</v>
      </c>
      <c r="O49" s="271"/>
    </row>
    <row r="50" spans="1:15" ht="15.6" customHeight="1">
      <c r="A50" s="257"/>
      <c r="B50" s="258"/>
      <c r="C50" s="543" t="s">
        <v>280</v>
      </c>
      <c r="D50" s="737">
        <v>0</v>
      </c>
      <c r="E50" s="258" t="s">
        <v>274</v>
      </c>
      <c r="F50" s="608"/>
      <c r="G50" s="609"/>
      <c r="H50" s="748">
        <v>573</v>
      </c>
      <c r="I50" s="758">
        <f t="shared" si="13"/>
        <v>0</v>
      </c>
      <c r="J50" s="608"/>
      <c r="K50" s="609"/>
      <c r="L50" s="759">
        <f t="shared" si="14"/>
        <v>0</v>
      </c>
      <c r="M50" s="612"/>
      <c r="N50" s="545" t="s">
        <v>279</v>
      </c>
      <c r="O50" s="271"/>
    </row>
    <row r="51" spans="1:15" ht="15.6" customHeight="1">
      <c r="A51" s="257"/>
      <c r="B51" s="258"/>
      <c r="C51" s="543" t="s">
        <v>281</v>
      </c>
      <c r="D51" s="757">
        <v>1</v>
      </c>
      <c r="E51" s="258" t="s">
        <v>271</v>
      </c>
      <c r="F51" s="608"/>
      <c r="G51" s="609"/>
      <c r="H51" s="760">
        <v>2000</v>
      </c>
      <c r="I51" s="758">
        <f t="shared" si="13"/>
        <v>2000</v>
      </c>
      <c r="J51" s="608"/>
      <c r="K51" s="609"/>
      <c r="L51" s="759">
        <f t="shared" si="14"/>
        <v>2000</v>
      </c>
      <c r="M51" s="612"/>
      <c r="N51" s="549"/>
      <c r="O51" s="271"/>
    </row>
    <row r="52" spans="1:15" ht="13.15" customHeight="1">
      <c r="A52" s="257"/>
      <c r="B52" s="258"/>
      <c r="C52" s="543" t="s">
        <v>282</v>
      </c>
      <c r="D52" s="757">
        <f>$L$4</f>
        <v>22.3</v>
      </c>
      <c r="E52" s="258" t="s">
        <v>274</v>
      </c>
      <c r="F52" s="608"/>
      <c r="G52" s="609"/>
      <c r="H52" s="748">
        <v>250</v>
      </c>
      <c r="I52" s="758">
        <f t="shared" si="13"/>
        <v>5575</v>
      </c>
      <c r="J52" s="608"/>
      <c r="K52" s="609"/>
      <c r="L52" s="759">
        <f t="shared" si="14"/>
        <v>5575</v>
      </c>
      <c r="M52" s="612"/>
      <c r="N52" s="549"/>
      <c r="O52" s="271"/>
    </row>
    <row r="53" spans="1:15" ht="13.15" customHeight="1">
      <c r="A53" s="257"/>
      <c r="B53" s="258"/>
      <c r="C53" s="543" t="s">
        <v>283</v>
      </c>
      <c r="D53" s="757">
        <f>$L$4</f>
        <v>22.3</v>
      </c>
      <c r="E53" s="258" t="s">
        <v>274</v>
      </c>
      <c r="F53" s="608"/>
      <c r="G53" s="609"/>
      <c r="H53" s="760">
        <v>0</v>
      </c>
      <c r="I53" s="758">
        <f t="shared" si="13"/>
        <v>0</v>
      </c>
      <c r="J53" s="608"/>
      <c r="K53" s="609"/>
      <c r="L53" s="759">
        <f t="shared" si="14"/>
        <v>0</v>
      </c>
      <c r="M53" s="612"/>
      <c r="N53" s="549" t="s">
        <v>284</v>
      </c>
      <c r="O53" s="271"/>
    </row>
    <row r="54" spans="1:15">
      <c r="A54" s="257"/>
      <c r="B54" s="258"/>
      <c r="C54" s="543" t="s">
        <v>285</v>
      </c>
      <c r="D54" s="757">
        <v>0</v>
      </c>
      <c r="E54" s="258" t="s">
        <v>286</v>
      </c>
      <c r="F54" s="608"/>
      <c r="G54" s="609"/>
      <c r="H54" s="760">
        <v>500</v>
      </c>
      <c r="I54" s="758">
        <f t="shared" si="13"/>
        <v>0</v>
      </c>
      <c r="J54" s="608"/>
      <c r="K54" s="609"/>
      <c r="L54" s="759">
        <f t="shared" si="14"/>
        <v>0</v>
      </c>
      <c r="M54" s="612"/>
      <c r="N54" s="549"/>
      <c r="O54" s="271"/>
    </row>
    <row r="55" spans="1:15" ht="13.15" customHeight="1">
      <c r="A55" s="257"/>
      <c r="B55" s="258"/>
      <c r="C55" s="543" t="s">
        <v>287</v>
      </c>
      <c r="D55" s="757">
        <f>$L$4</f>
        <v>22.3</v>
      </c>
      <c r="E55" s="258" t="s">
        <v>274</v>
      </c>
      <c r="F55" s="608"/>
      <c r="G55" s="609"/>
      <c r="H55" s="760">
        <v>100</v>
      </c>
      <c r="I55" s="758">
        <f t="shared" si="13"/>
        <v>2230</v>
      </c>
      <c r="J55" s="608"/>
      <c r="K55" s="609"/>
      <c r="L55" s="759">
        <f t="shared" si="14"/>
        <v>2230</v>
      </c>
      <c r="M55" s="612"/>
      <c r="N55" s="549"/>
      <c r="O55" s="271"/>
    </row>
    <row r="56" spans="1:15">
      <c r="A56" s="257"/>
      <c r="B56" s="258"/>
      <c r="C56" s="543" t="s">
        <v>288</v>
      </c>
      <c r="D56" s="757">
        <f>$L$4</f>
        <v>22.3</v>
      </c>
      <c r="E56" s="258" t="s">
        <v>274</v>
      </c>
      <c r="F56" s="608"/>
      <c r="G56" s="609"/>
      <c r="H56" s="760">
        <v>50</v>
      </c>
      <c r="I56" s="758">
        <f t="shared" si="13"/>
        <v>1115</v>
      </c>
      <c r="J56" s="608"/>
      <c r="K56" s="609"/>
      <c r="L56" s="759">
        <f t="shared" si="14"/>
        <v>1115</v>
      </c>
      <c r="M56" s="612"/>
      <c r="N56" s="549"/>
      <c r="O56" s="271"/>
    </row>
    <row r="57" spans="1:15">
      <c r="A57" s="257"/>
      <c r="B57" s="258"/>
      <c r="C57" s="543" t="s">
        <v>289</v>
      </c>
      <c r="D57" s="757">
        <f>$L$4</f>
        <v>22.3</v>
      </c>
      <c r="E57" s="258" t="s">
        <v>274</v>
      </c>
      <c r="F57" s="608"/>
      <c r="G57" s="609"/>
      <c r="H57" s="760">
        <v>250</v>
      </c>
      <c r="I57" s="758">
        <f t="shared" si="13"/>
        <v>5575</v>
      </c>
      <c r="J57" s="608"/>
      <c r="K57" s="609"/>
      <c r="L57" s="759">
        <f t="shared" si="14"/>
        <v>5575</v>
      </c>
      <c r="M57" s="612"/>
      <c r="N57" s="549"/>
      <c r="O57" s="271"/>
    </row>
    <row r="58" spans="1:15">
      <c r="A58" s="257"/>
      <c r="B58" s="258"/>
      <c r="C58" s="543" t="s">
        <v>290</v>
      </c>
      <c r="D58" s="762">
        <v>2.5000000000000001E-3</v>
      </c>
      <c r="E58" s="258" t="s">
        <v>291</v>
      </c>
      <c r="F58" s="608"/>
      <c r="G58" s="609"/>
      <c r="H58" s="763">
        <v>0</v>
      </c>
      <c r="I58" s="758">
        <f t="shared" si="13"/>
        <v>0</v>
      </c>
      <c r="J58" s="608"/>
      <c r="K58" s="609"/>
      <c r="L58" s="759">
        <f t="shared" si="14"/>
        <v>0</v>
      </c>
      <c r="M58" s="612"/>
      <c r="N58" s="551" t="s">
        <v>292</v>
      </c>
      <c r="O58" s="271"/>
    </row>
    <row r="59" spans="1:15">
      <c r="A59" s="257"/>
      <c r="B59" s="258"/>
      <c r="C59" s="543" t="s">
        <v>293</v>
      </c>
      <c r="D59" s="764">
        <v>0</v>
      </c>
      <c r="E59" s="258" t="s">
        <v>286</v>
      </c>
      <c r="F59" s="608"/>
      <c r="G59" s="609"/>
      <c r="H59" s="760">
        <v>0</v>
      </c>
      <c r="I59" s="758">
        <f t="shared" si="13"/>
        <v>0</v>
      </c>
      <c r="J59" s="608"/>
      <c r="K59" s="609"/>
      <c r="L59" s="759">
        <f t="shared" si="14"/>
        <v>0</v>
      </c>
      <c r="M59" s="612"/>
      <c r="N59" s="549"/>
      <c r="O59" s="271"/>
    </row>
    <row r="60" spans="1:15">
      <c r="A60" s="257"/>
      <c r="B60" s="258"/>
      <c r="C60" s="543" t="s">
        <v>294</v>
      </c>
      <c r="D60" s="764">
        <v>2</v>
      </c>
      <c r="E60" s="258" t="s">
        <v>286</v>
      </c>
      <c r="F60" s="608"/>
      <c r="G60" s="609"/>
      <c r="H60" s="760">
        <v>500</v>
      </c>
      <c r="I60" s="758">
        <f t="shared" si="13"/>
        <v>1000</v>
      </c>
      <c r="J60" s="608"/>
      <c r="K60" s="609"/>
      <c r="L60" s="759">
        <f t="shared" si="14"/>
        <v>1000</v>
      </c>
      <c r="M60" s="612"/>
      <c r="N60" s="549"/>
      <c r="O60" s="271"/>
    </row>
    <row r="61" spans="1:15">
      <c r="A61" s="257"/>
      <c r="B61" s="258"/>
      <c r="C61" s="543" t="s">
        <v>295</v>
      </c>
      <c r="D61" s="764">
        <v>1</v>
      </c>
      <c r="E61" s="258" t="s">
        <v>286</v>
      </c>
      <c r="F61" s="608"/>
      <c r="G61" s="609"/>
      <c r="H61" s="748">
        <v>750</v>
      </c>
      <c r="I61" s="758">
        <f t="shared" si="13"/>
        <v>750</v>
      </c>
      <c r="J61" s="608"/>
      <c r="K61" s="609"/>
      <c r="L61" s="759">
        <f t="shared" si="14"/>
        <v>750</v>
      </c>
      <c r="M61" s="612"/>
      <c r="N61" s="549"/>
      <c r="O61" s="271"/>
    </row>
    <row r="62" spans="1:15">
      <c r="A62" s="257"/>
      <c r="B62" s="258"/>
      <c r="C62" s="543" t="s">
        <v>296</v>
      </c>
      <c r="D62" s="764">
        <f>$L$4</f>
        <v>22.3</v>
      </c>
      <c r="E62" s="258" t="s">
        <v>274</v>
      </c>
      <c r="F62" s="608"/>
      <c r="G62" s="609"/>
      <c r="H62" s="760">
        <v>0</v>
      </c>
      <c r="I62" s="758">
        <f t="shared" si="13"/>
        <v>0</v>
      </c>
      <c r="J62" s="608"/>
      <c r="K62" s="609"/>
      <c r="L62" s="759">
        <f t="shared" si="14"/>
        <v>0</v>
      </c>
      <c r="M62" s="612"/>
      <c r="N62" s="549"/>
      <c r="O62" s="271"/>
    </row>
    <row r="63" spans="1:15">
      <c r="A63" s="257"/>
      <c r="B63" s="258"/>
      <c r="C63" s="543" t="s">
        <v>297</v>
      </c>
      <c r="D63" s="764">
        <v>0</v>
      </c>
      <c r="E63" s="258" t="s">
        <v>286</v>
      </c>
      <c r="F63" s="608"/>
      <c r="G63" s="609"/>
      <c r="H63" s="760">
        <v>250</v>
      </c>
      <c r="I63" s="758">
        <f t="shared" si="13"/>
        <v>0</v>
      </c>
      <c r="J63" s="608"/>
      <c r="K63" s="609"/>
      <c r="L63" s="759">
        <f t="shared" si="14"/>
        <v>0</v>
      </c>
      <c r="M63" s="612"/>
      <c r="N63" s="549"/>
      <c r="O63" s="271"/>
    </row>
    <row r="64" spans="1:15">
      <c r="A64" s="257"/>
      <c r="B64" s="258"/>
      <c r="C64" s="543" t="s">
        <v>298</v>
      </c>
      <c r="D64" s="764">
        <v>3</v>
      </c>
      <c r="E64" s="258" t="s">
        <v>271</v>
      </c>
      <c r="F64" s="608"/>
      <c r="G64" s="609"/>
      <c r="H64" s="259">
        <v>840</v>
      </c>
      <c r="I64" s="758">
        <f t="shared" si="13"/>
        <v>2520</v>
      </c>
      <c r="J64" s="608"/>
      <c r="K64" s="609"/>
      <c r="L64" s="552">
        <f t="shared" si="14"/>
        <v>2520</v>
      </c>
      <c r="M64" s="612"/>
      <c r="N64" s="545" t="s">
        <v>299</v>
      </c>
      <c r="O64" s="271"/>
    </row>
    <row r="65" spans="1:15" ht="15.75" thickBot="1">
      <c r="A65" s="257"/>
      <c r="B65" s="258"/>
      <c r="C65" s="117" t="s">
        <v>300</v>
      </c>
      <c r="D65" s="118">
        <v>20</v>
      </c>
      <c r="E65" s="103" t="s">
        <v>274</v>
      </c>
      <c r="F65" s="610"/>
      <c r="G65" s="611"/>
      <c r="H65" s="119">
        <v>3600</v>
      </c>
      <c r="I65" s="758">
        <f t="shared" si="13"/>
        <v>72000</v>
      </c>
      <c r="J65" s="610"/>
      <c r="K65" s="611"/>
      <c r="L65" s="120">
        <f t="shared" si="14"/>
        <v>72000</v>
      </c>
      <c r="M65" s="613"/>
      <c r="N65" s="545" t="s">
        <v>301</v>
      </c>
      <c r="O65" s="271"/>
    </row>
    <row r="66" spans="1:15" ht="15.75" hidden="1" thickBot="1">
      <c r="A66" s="602"/>
      <c r="B66" s="603"/>
      <c r="C66" s="121" t="s">
        <v>302</v>
      </c>
      <c r="D66" s="662"/>
      <c r="E66" s="663"/>
      <c r="F66" s="663"/>
      <c r="G66" s="663"/>
      <c r="H66" s="663"/>
      <c r="I66" s="663"/>
      <c r="J66" s="663"/>
      <c r="K66" s="663"/>
      <c r="L66" s="664"/>
      <c r="M66" s="122"/>
      <c r="N66" s="116">
        <f>SUM(L67:L81)</f>
        <v>0</v>
      </c>
      <c r="O66" s="271"/>
    </row>
    <row r="67" spans="1:15" ht="15.75" hidden="1" thickBot="1">
      <c r="A67" s="734"/>
      <c r="B67" s="735"/>
      <c r="C67" s="749" t="s">
        <v>303</v>
      </c>
      <c r="D67" s="750">
        <v>1</v>
      </c>
      <c r="E67" s="735" t="s">
        <v>286</v>
      </c>
      <c r="F67" s="606"/>
      <c r="G67" s="607"/>
      <c r="H67" s="606"/>
      <c r="I67" s="607"/>
      <c r="J67" s="751">
        <v>0</v>
      </c>
      <c r="K67" s="752">
        <f>SUM(D67*J67)</f>
        <v>0</v>
      </c>
      <c r="L67" s="753">
        <f t="shared" ref="L67:L81" si="15">SUM(G67+I67+K67)</f>
        <v>0</v>
      </c>
      <c r="M67" s="753"/>
      <c r="N67" s="765" t="s">
        <v>304</v>
      </c>
      <c r="O67" s="271"/>
    </row>
    <row r="68" spans="1:15" ht="15.75" hidden="1" thickBot="1">
      <c r="A68" s="257"/>
      <c r="B68" s="258"/>
      <c r="C68" s="543" t="s">
        <v>305</v>
      </c>
      <c r="D68" s="757">
        <f>L4</f>
        <v>22.3</v>
      </c>
      <c r="E68" s="258" t="s">
        <v>274</v>
      </c>
      <c r="F68" s="608"/>
      <c r="G68" s="609"/>
      <c r="H68" s="608"/>
      <c r="I68" s="609"/>
      <c r="J68" s="269">
        <v>0</v>
      </c>
      <c r="K68" s="758">
        <f t="shared" ref="K68:K81" si="16">SUM(D68*J68)</f>
        <v>0</v>
      </c>
      <c r="L68" s="759">
        <f t="shared" si="15"/>
        <v>0</v>
      </c>
      <c r="M68" s="759"/>
      <c r="N68" s="755" t="s">
        <v>304</v>
      </c>
      <c r="O68" s="271"/>
    </row>
    <row r="69" spans="1:15" ht="15.75" hidden="1" thickBot="1">
      <c r="A69" s="257"/>
      <c r="B69" s="258"/>
      <c r="C69" s="543" t="s">
        <v>281</v>
      </c>
      <c r="D69" s="757">
        <v>1</v>
      </c>
      <c r="E69" s="258" t="s">
        <v>286</v>
      </c>
      <c r="F69" s="608"/>
      <c r="G69" s="609"/>
      <c r="H69" s="608"/>
      <c r="I69" s="609"/>
      <c r="J69" s="269">
        <v>0</v>
      </c>
      <c r="K69" s="758">
        <f t="shared" si="16"/>
        <v>0</v>
      </c>
      <c r="L69" s="759">
        <f t="shared" si="15"/>
        <v>0</v>
      </c>
      <c r="M69" s="759"/>
      <c r="N69" s="755" t="s">
        <v>304</v>
      </c>
      <c r="O69" s="271"/>
    </row>
    <row r="70" spans="1:15" ht="15.75" hidden="1" thickBot="1">
      <c r="A70" s="257"/>
      <c r="B70" s="258"/>
      <c r="C70" s="543" t="s">
        <v>306</v>
      </c>
      <c r="D70" s="757">
        <f>L4</f>
        <v>22.3</v>
      </c>
      <c r="E70" s="258" t="s">
        <v>274</v>
      </c>
      <c r="F70" s="608"/>
      <c r="G70" s="609"/>
      <c r="H70" s="608"/>
      <c r="I70" s="609"/>
      <c r="J70" s="269">
        <v>0</v>
      </c>
      <c r="K70" s="758">
        <f t="shared" si="16"/>
        <v>0</v>
      </c>
      <c r="L70" s="759">
        <f t="shared" si="15"/>
        <v>0</v>
      </c>
      <c r="M70" s="759"/>
      <c r="N70" s="755" t="s">
        <v>304</v>
      </c>
      <c r="O70" s="271"/>
    </row>
    <row r="71" spans="1:15" ht="15.75" hidden="1" thickBot="1">
      <c r="A71" s="257"/>
      <c r="B71" s="258"/>
      <c r="C71" s="543" t="s">
        <v>283</v>
      </c>
      <c r="D71" s="757">
        <f>L4+L5</f>
        <v>24.3</v>
      </c>
      <c r="E71" s="258" t="s">
        <v>274</v>
      </c>
      <c r="F71" s="608"/>
      <c r="G71" s="609"/>
      <c r="H71" s="608"/>
      <c r="I71" s="609"/>
      <c r="J71" s="269">
        <v>0</v>
      </c>
      <c r="K71" s="758">
        <f t="shared" si="16"/>
        <v>0</v>
      </c>
      <c r="L71" s="759">
        <f t="shared" si="15"/>
        <v>0</v>
      </c>
      <c r="M71" s="759"/>
      <c r="N71" s="755" t="s">
        <v>304</v>
      </c>
      <c r="O71" s="271"/>
    </row>
    <row r="72" spans="1:15" ht="15.75" hidden="1" thickBot="1">
      <c r="A72" s="257"/>
      <c r="B72" s="258"/>
      <c r="C72" s="543" t="s">
        <v>285</v>
      </c>
      <c r="D72" s="757">
        <v>1</v>
      </c>
      <c r="E72" s="258" t="s">
        <v>286</v>
      </c>
      <c r="F72" s="608"/>
      <c r="G72" s="609"/>
      <c r="H72" s="608"/>
      <c r="I72" s="609"/>
      <c r="J72" s="269">
        <v>0</v>
      </c>
      <c r="K72" s="758">
        <f t="shared" si="16"/>
        <v>0</v>
      </c>
      <c r="L72" s="759">
        <f t="shared" si="15"/>
        <v>0</v>
      </c>
      <c r="M72" s="759"/>
      <c r="N72" s="755" t="s">
        <v>304</v>
      </c>
      <c r="O72" s="271"/>
    </row>
    <row r="73" spans="1:15" ht="15.75" hidden="1" thickBot="1">
      <c r="A73" s="257"/>
      <c r="B73" s="258"/>
      <c r="C73" s="543" t="s">
        <v>287</v>
      </c>
      <c r="D73" s="757">
        <f>L4+L5</f>
        <v>24.3</v>
      </c>
      <c r="E73" s="258" t="s">
        <v>274</v>
      </c>
      <c r="F73" s="608"/>
      <c r="G73" s="609"/>
      <c r="H73" s="608"/>
      <c r="I73" s="609"/>
      <c r="J73" s="269">
        <v>0</v>
      </c>
      <c r="K73" s="758">
        <f t="shared" si="16"/>
        <v>0</v>
      </c>
      <c r="L73" s="759">
        <f t="shared" si="15"/>
        <v>0</v>
      </c>
      <c r="M73" s="759"/>
      <c r="N73" s="755" t="s">
        <v>304</v>
      </c>
      <c r="O73" s="271"/>
    </row>
    <row r="74" spans="1:15" ht="15.75" hidden="1" thickBot="1">
      <c r="A74" s="257"/>
      <c r="B74" s="258"/>
      <c r="C74" s="543" t="s">
        <v>288</v>
      </c>
      <c r="D74" s="757">
        <f>L4+L5</f>
        <v>24.3</v>
      </c>
      <c r="E74" s="258" t="s">
        <v>274</v>
      </c>
      <c r="F74" s="608"/>
      <c r="G74" s="609"/>
      <c r="H74" s="608"/>
      <c r="I74" s="609"/>
      <c r="J74" s="269">
        <v>0</v>
      </c>
      <c r="K74" s="758">
        <f t="shared" si="16"/>
        <v>0</v>
      </c>
      <c r="L74" s="759">
        <f t="shared" si="15"/>
        <v>0</v>
      </c>
      <c r="M74" s="759"/>
      <c r="N74" s="755" t="s">
        <v>304</v>
      </c>
      <c r="O74" s="271"/>
    </row>
    <row r="75" spans="1:15" ht="15.75" hidden="1" thickBot="1">
      <c r="A75" s="257"/>
      <c r="B75" s="258"/>
      <c r="C75" s="543" t="s">
        <v>307</v>
      </c>
      <c r="D75" s="757">
        <f>L4</f>
        <v>22.3</v>
      </c>
      <c r="E75" s="258" t="s">
        <v>274</v>
      </c>
      <c r="F75" s="608"/>
      <c r="G75" s="609"/>
      <c r="H75" s="608"/>
      <c r="I75" s="609"/>
      <c r="J75" s="269">
        <v>0</v>
      </c>
      <c r="K75" s="758">
        <f t="shared" si="16"/>
        <v>0</v>
      </c>
      <c r="L75" s="759">
        <f t="shared" si="15"/>
        <v>0</v>
      </c>
      <c r="M75" s="759"/>
      <c r="N75" s="755" t="s">
        <v>304</v>
      </c>
      <c r="O75" s="271"/>
    </row>
    <row r="76" spans="1:15" ht="15.75" hidden="1" thickBot="1">
      <c r="A76" s="257"/>
      <c r="B76" s="258"/>
      <c r="C76" s="543" t="s">
        <v>293</v>
      </c>
      <c r="D76" s="757">
        <v>1</v>
      </c>
      <c r="E76" s="258" t="s">
        <v>286</v>
      </c>
      <c r="F76" s="608"/>
      <c r="G76" s="609"/>
      <c r="H76" s="608"/>
      <c r="I76" s="609"/>
      <c r="J76" s="269">
        <v>0</v>
      </c>
      <c r="K76" s="758">
        <f t="shared" si="16"/>
        <v>0</v>
      </c>
      <c r="L76" s="759">
        <f t="shared" si="15"/>
        <v>0</v>
      </c>
      <c r="M76" s="759"/>
      <c r="N76" s="755" t="s">
        <v>304</v>
      </c>
      <c r="O76" s="271"/>
    </row>
    <row r="77" spans="1:15" ht="15.75" hidden="1" thickBot="1">
      <c r="A77" s="257"/>
      <c r="B77" s="258"/>
      <c r="C77" s="543" t="s">
        <v>294</v>
      </c>
      <c r="D77" s="757">
        <v>1</v>
      </c>
      <c r="E77" s="258" t="s">
        <v>286</v>
      </c>
      <c r="F77" s="608"/>
      <c r="G77" s="609"/>
      <c r="H77" s="608"/>
      <c r="I77" s="609"/>
      <c r="J77" s="269">
        <v>0</v>
      </c>
      <c r="K77" s="758">
        <f t="shared" si="16"/>
        <v>0</v>
      </c>
      <c r="L77" s="759">
        <f t="shared" si="15"/>
        <v>0</v>
      </c>
      <c r="M77" s="759"/>
      <c r="N77" s="755" t="s">
        <v>304</v>
      </c>
      <c r="O77" s="271"/>
    </row>
    <row r="78" spans="1:15" ht="15.75" hidden="1" thickBot="1">
      <c r="A78" s="257"/>
      <c r="B78" s="258"/>
      <c r="C78" s="543" t="s">
        <v>295</v>
      </c>
      <c r="D78" s="757">
        <f>L4+L5</f>
        <v>24.3</v>
      </c>
      <c r="E78" s="258" t="s">
        <v>274</v>
      </c>
      <c r="F78" s="608"/>
      <c r="G78" s="609"/>
      <c r="H78" s="608"/>
      <c r="I78" s="609"/>
      <c r="J78" s="269">
        <v>0</v>
      </c>
      <c r="K78" s="758">
        <f t="shared" si="16"/>
        <v>0</v>
      </c>
      <c r="L78" s="759">
        <f t="shared" si="15"/>
        <v>0</v>
      </c>
      <c r="M78" s="759"/>
      <c r="N78" s="755" t="s">
        <v>304</v>
      </c>
      <c r="O78" s="271"/>
    </row>
    <row r="79" spans="1:15" ht="15.75" hidden="1" thickBot="1">
      <c r="A79" s="257"/>
      <c r="B79" s="258"/>
      <c r="C79" s="543" t="s">
        <v>308</v>
      </c>
      <c r="D79" s="757">
        <v>1</v>
      </c>
      <c r="E79" s="258" t="s">
        <v>286</v>
      </c>
      <c r="F79" s="608"/>
      <c r="G79" s="609"/>
      <c r="H79" s="608"/>
      <c r="I79" s="609"/>
      <c r="J79" s="269">
        <v>0</v>
      </c>
      <c r="K79" s="758">
        <f t="shared" si="16"/>
        <v>0</v>
      </c>
      <c r="L79" s="759">
        <f t="shared" si="15"/>
        <v>0</v>
      </c>
      <c r="M79" s="759"/>
      <c r="N79" s="755" t="s">
        <v>304</v>
      </c>
      <c r="O79" s="271"/>
    </row>
    <row r="80" spans="1:15" ht="15.75" hidden="1" thickBot="1">
      <c r="A80" s="257"/>
      <c r="B80" s="258"/>
      <c r="C80" s="543" t="s">
        <v>296</v>
      </c>
      <c r="D80" s="757">
        <f>L4</f>
        <v>22.3</v>
      </c>
      <c r="E80" s="258" t="s">
        <v>274</v>
      </c>
      <c r="F80" s="608"/>
      <c r="G80" s="609"/>
      <c r="H80" s="608"/>
      <c r="I80" s="609"/>
      <c r="J80" s="269">
        <v>0</v>
      </c>
      <c r="K80" s="758">
        <f t="shared" si="16"/>
        <v>0</v>
      </c>
      <c r="L80" s="552">
        <f t="shared" si="15"/>
        <v>0</v>
      </c>
      <c r="M80" s="759"/>
      <c r="N80" s="755" t="s">
        <v>304</v>
      </c>
      <c r="O80" s="271"/>
    </row>
    <row r="81" spans="1:15" ht="15.75" hidden="1" thickBot="1">
      <c r="A81" s="102"/>
      <c r="B81" s="103"/>
      <c r="C81" s="117" t="s">
        <v>297</v>
      </c>
      <c r="D81" s="105">
        <v>1</v>
      </c>
      <c r="E81" s="103" t="s">
        <v>286</v>
      </c>
      <c r="F81" s="610"/>
      <c r="G81" s="611"/>
      <c r="H81" s="610"/>
      <c r="I81" s="611"/>
      <c r="J81" s="123">
        <v>0</v>
      </c>
      <c r="K81" s="108">
        <f t="shared" si="16"/>
        <v>0</v>
      </c>
      <c r="L81" s="120">
        <f t="shared" si="15"/>
        <v>0</v>
      </c>
      <c r="M81" s="120"/>
      <c r="N81" s="124" t="s">
        <v>304</v>
      </c>
      <c r="O81" s="271"/>
    </row>
    <row r="82" spans="1:15" ht="15.75" thickBot="1">
      <c r="A82" s="602"/>
      <c r="B82" s="603"/>
      <c r="C82" s="121" t="s">
        <v>309</v>
      </c>
      <c r="D82" s="113"/>
      <c r="E82" s="114"/>
      <c r="F82" s="114"/>
      <c r="G82" s="114"/>
      <c r="H82" s="114"/>
      <c r="I82" s="114"/>
      <c r="J82" s="114"/>
      <c r="K82" s="114"/>
      <c r="L82" s="115">
        <f>SUM(L83:L95)</f>
        <v>132840</v>
      </c>
      <c r="M82" s="115"/>
      <c r="N82" s="116"/>
      <c r="O82" s="271"/>
    </row>
    <row r="83" spans="1:15">
      <c r="A83" s="257"/>
      <c r="B83" s="258"/>
      <c r="C83" s="736" t="s">
        <v>310</v>
      </c>
      <c r="D83" s="757">
        <v>0</v>
      </c>
      <c r="E83" s="744" t="s">
        <v>286</v>
      </c>
      <c r="F83" s="606"/>
      <c r="G83" s="607"/>
      <c r="H83" s="606"/>
      <c r="I83" s="607"/>
      <c r="J83" s="760">
        <v>5000</v>
      </c>
      <c r="K83" s="758">
        <f>SUM(D83*J83)</f>
        <v>0</v>
      </c>
      <c r="L83" s="759">
        <f t="shared" ref="L83:L95" si="17">SUM(G83+I83+K83)</f>
        <v>0</v>
      </c>
      <c r="M83" s="761"/>
      <c r="N83" s="766"/>
      <c r="O83" s="271"/>
    </row>
    <row r="84" spans="1:15">
      <c r="A84" s="257"/>
      <c r="B84" s="258"/>
      <c r="C84" s="543" t="s">
        <v>311</v>
      </c>
      <c r="D84" s="764">
        <f>$L$4</f>
        <v>22.3</v>
      </c>
      <c r="E84" s="258" t="s">
        <v>274</v>
      </c>
      <c r="F84" s="608"/>
      <c r="G84" s="609"/>
      <c r="H84" s="608"/>
      <c r="I84" s="609"/>
      <c r="J84" s="760">
        <v>1050</v>
      </c>
      <c r="K84" s="758">
        <f t="shared" ref="K84:K93" si="18">SUM(D84*J84)</f>
        <v>23415</v>
      </c>
      <c r="L84" s="759">
        <f t="shared" si="17"/>
        <v>23415</v>
      </c>
      <c r="M84" s="612"/>
      <c r="N84" s="551"/>
      <c r="O84" s="271"/>
    </row>
    <row r="85" spans="1:15">
      <c r="A85" s="257"/>
      <c r="B85" s="258"/>
      <c r="C85" s="543" t="s">
        <v>312</v>
      </c>
      <c r="D85" s="764">
        <f>L4</f>
        <v>22.3</v>
      </c>
      <c r="E85" s="258" t="s">
        <v>274</v>
      </c>
      <c r="F85" s="608"/>
      <c r="G85" s="609"/>
      <c r="H85" s="608"/>
      <c r="I85" s="609"/>
      <c r="J85" s="760">
        <v>0</v>
      </c>
      <c r="K85" s="758">
        <f t="shared" si="18"/>
        <v>0</v>
      </c>
      <c r="L85" s="759">
        <f t="shared" si="17"/>
        <v>0</v>
      </c>
      <c r="M85" s="612"/>
      <c r="N85" s="551"/>
      <c r="O85" s="271"/>
    </row>
    <row r="86" spans="1:15">
      <c r="A86" s="257"/>
      <c r="B86" s="258"/>
      <c r="C86" s="543" t="s">
        <v>313</v>
      </c>
      <c r="D86" s="764">
        <v>0</v>
      </c>
      <c r="E86" s="258" t="s">
        <v>179</v>
      </c>
      <c r="F86" s="608"/>
      <c r="G86" s="609"/>
      <c r="H86" s="608"/>
      <c r="I86" s="609"/>
      <c r="J86" s="760">
        <v>0</v>
      </c>
      <c r="K86" s="758">
        <f t="shared" si="18"/>
        <v>0</v>
      </c>
      <c r="L86" s="759">
        <f t="shared" si="17"/>
        <v>0</v>
      </c>
      <c r="M86" s="612"/>
      <c r="N86" s="766"/>
      <c r="O86" s="271"/>
    </row>
    <row r="87" spans="1:15">
      <c r="A87" s="257"/>
      <c r="B87" s="258"/>
      <c r="C87" s="543" t="s">
        <v>314</v>
      </c>
      <c r="D87" s="764">
        <v>1</v>
      </c>
      <c r="E87" s="258" t="s">
        <v>286</v>
      </c>
      <c r="F87" s="608"/>
      <c r="G87" s="609"/>
      <c r="H87" s="608"/>
      <c r="I87" s="609"/>
      <c r="J87" s="760">
        <v>3500</v>
      </c>
      <c r="K87" s="758">
        <f t="shared" si="18"/>
        <v>3500</v>
      </c>
      <c r="L87" s="759">
        <f t="shared" si="17"/>
        <v>3500</v>
      </c>
      <c r="M87" s="612"/>
      <c r="N87" s="551"/>
      <c r="O87" s="271"/>
    </row>
    <row r="88" spans="1:15">
      <c r="A88" s="257"/>
      <c r="B88" s="258"/>
      <c r="C88" s="543" t="s">
        <v>315</v>
      </c>
      <c r="D88" s="764">
        <f>L4</f>
        <v>22.3</v>
      </c>
      <c r="E88" s="258" t="s">
        <v>274</v>
      </c>
      <c r="F88" s="608"/>
      <c r="G88" s="609"/>
      <c r="H88" s="608"/>
      <c r="I88" s="609"/>
      <c r="J88" s="760">
        <v>150</v>
      </c>
      <c r="K88" s="758">
        <f t="shared" si="18"/>
        <v>3345</v>
      </c>
      <c r="L88" s="759">
        <f t="shared" si="17"/>
        <v>3345</v>
      </c>
      <c r="M88" s="612"/>
      <c r="N88" s="551"/>
      <c r="O88" s="271"/>
    </row>
    <row r="89" spans="1:15">
      <c r="A89" s="257"/>
      <c r="B89" s="258"/>
      <c r="C89" s="543" t="s">
        <v>316</v>
      </c>
      <c r="D89" s="737">
        <f>L4</f>
        <v>22.3</v>
      </c>
      <c r="E89" s="258" t="s">
        <v>274</v>
      </c>
      <c r="F89" s="608"/>
      <c r="G89" s="609"/>
      <c r="H89" s="608"/>
      <c r="I89" s="609"/>
      <c r="J89" s="767">
        <f>410*10</f>
        <v>4100</v>
      </c>
      <c r="K89" s="746">
        <f>SUM(D89*J89)</f>
        <v>91430</v>
      </c>
      <c r="L89" s="747">
        <f t="shared" si="17"/>
        <v>91430</v>
      </c>
      <c r="M89" s="612"/>
      <c r="N89" s="545"/>
      <c r="O89" s="271"/>
    </row>
    <row r="90" spans="1:15" ht="15.6" customHeight="1">
      <c r="A90" s="257"/>
      <c r="B90" s="258"/>
      <c r="C90" s="736" t="s">
        <v>317</v>
      </c>
      <c r="D90" s="737">
        <v>0</v>
      </c>
      <c r="E90" s="744" t="s">
        <v>271</v>
      </c>
      <c r="F90" s="608"/>
      <c r="G90" s="609"/>
      <c r="H90" s="608"/>
      <c r="I90" s="609"/>
      <c r="J90" s="748">
        <v>100</v>
      </c>
      <c r="K90" s="746">
        <f t="shared" ref="K90:K92" si="19">SUM(D90*J90)</f>
        <v>0</v>
      </c>
      <c r="L90" s="747">
        <f t="shared" si="17"/>
        <v>0</v>
      </c>
      <c r="M90" s="612"/>
      <c r="N90" s="545"/>
      <c r="O90" s="271"/>
    </row>
    <row r="91" spans="1:15">
      <c r="A91" s="257"/>
      <c r="B91" s="258"/>
      <c r="C91" s="543" t="s">
        <v>318</v>
      </c>
      <c r="D91" s="737">
        <v>0</v>
      </c>
      <c r="E91" s="258" t="s">
        <v>274</v>
      </c>
      <c r="F91" s="608"/>
      <c r="G91" s="609"/>
      <c r="H91" s="608"/>
      <c r="I91" s="609"/>
      <c r="J91" s="748">
        <f>2*410</f>
        <v>820</v>
      </c>
      <c r="K91" s="746">
        <f t="shared" si="19"/>
        <v>0</v>
      </c>
      <c r="L91" s="747">
        <f t="shared" si="17"/>
        <v>0</v>
      </c>
      <c r="M91" s="612"/>
      <c r="N91" s="545"/>
      <c r="O91" s="271"/>
    </row>
    <row r="92" spans="1:15" ht="15.6" customHeight="1">
      <c r="A92" s="257"/>
      <c r="B92" s="258"/>
      <c r="C92" s="736" t="s">
        <v>319</v>
      </c>
      <c r="D92" s="757">
        <v>0</v>
      </c>
      <c r="E92" s="744" t="s">
        <v>271</v>
      </c>
      <c r="F92" s="608"/>
      <c r="G92" s="609"/>
      <c r="H92" s="608"/>
      <c r="I92" s="609"/>
      <c r="J92" s="748">
        <v>100</v>
      </c>
      <c r="K92" s="746">
        <f t="shared" si="19"/>
        <v>0</v>
      </c>
      <c r="L92" s="747">
        <f t="shared" si="17"/>
        <v>0</v>
      </c>
      <c r="M92" s="612"/>
      <c r="N92" s="545"/>
      <c r="O92" s="271"/>
    </row>
    <row r="93" spans="1:15">
      <c r="A93" s="257"/>
      <c r="B93" s="258"/>
      <c r="C93" s="543" t="s">
        <v>320</v>
      </c>
      <c r="D93" s="764">
        <f>L4</f>
        <v>22.3</v>
      </c>
      <c r="E93" s="258" t="s">
        <v>274</v>
      </c>
      <c r="F93" s="608"/>
      <c r="G93" s="609"/>
      <c r="H93" s="608"/>
      <c r="I93" s="609"/>
      <c r="J93" s="760">
        <v>500</v>
      </c>
      <c r="K93" s="758">
        <f t="shared" si="18"/>
        <v>11150</v>
      </c>
      <c r="L93" s="759">
        <f t="shared" si="17"/>
        <v>11150</v>
      </c>
      <c r="M93" s="612"/>
      <c r="N93" s="551"/>
      <c r="O93" s="271"/>
    </row>
    <row r="94" spans="1:15">
      <c r="A94" s="257"/>
      <c r="B94" s="258"/>
      <c r="C94" s="543" t="s">
        <v>321</v>
      </c>
      <c r="D94" s="764">
        <v>0</v>
      </c>
      <c r="E94" s="258" t="s">
        <v>286</v>
      </c>
      <c r="F94" s="608"/>
      <c r="G94" s="609"/>
      <c r="H94" s="608"/>
      <c r="I94" s="609"/>
      <c r="J94" s="760">
        <v>0</v>
      </c>
      <c r="K94" s="758">
        <f t="shared" ref="K94:K95" si="20">SUM(D94*J94)</f>
        <v>0</v>
      </c>
      <c r="L94" s="759">
        <f t="shared" si="17"/>
        <v>0</v>
      </c>
      <c r="M94" s="612"/>
      <c r="N94" s="551"/>
      <c r="O94" s="271"/>
    </row>
    <row r="95" spans="1:15" ht="15.75" thickBot="1">
      <c r="A95" s="257"/>
      <c r="B95" s="258"/>
      <c r="C95" s="543" t="s">
        <v>322</v>
      </c>
      <c r="D95" s="764">
        <f>L4</f>
        <v>22.3</v>
      </c>
      <c r="E95" s="258" t="s">
        <v>274</v>
      </c>
      <c r="F95" s="608"/>
      <c r="G95" s="609"/>
      <c r="H95" s="608"/>
      <c r="I95" s="609"/>
      <c r="J95" s="269">
        <v>0</v>
      </c>
      <c r="K95" s="758">
        <f t="shared" si="20"/>
        <v>0</v>
      </c>
      <c r="L95" s="552">
        <f t="shared" si="17"/>
        <v>0</v>
      </c>
      <c r="M95" s="612"/>
      <c r="N95" s="551"/>
      <c r="O95" s="271"/>
    </row>
    <row r="96" spans="1:15" ht="15.75" thickBot="1">
      <c r="A96" s="602"/>
      <c r="B96" s="603"/>
      <c r="C96" s="121" t="s">
        <v>323</v>
      </c>
      <c r="D96" s="113"/>
      <c r="E96" s="114"/>
      <c r="F96" s="114"/>
      <c r="G96" s="114"/>
      <c r="H96" s="114"/>
      <c r="I96" s="114"/>
      <c r="J96" s="114"/>
      <c r="K96" s="114"/>
      <c r="L96" s="116">
        <f>SUM(L97:L99)</f>
        <v>72475</v>
      </c>
      <c r="M96" s="116"/>
      <c r="N96" s="116"/>
      <c r="O96" s="271"/>
    </row>
    <row r="97" spans="1:15">
      <c r="A97" s="257"/>
      <c r="B97" s="258"/>
      <c r="C97" s="749" t="s">
        <v>324</v>
      </c>
      <c r="D97" s="757">
        <f>$L$4</f>
        <v>22.3</v>
      </c>
      <c r="E97" s="553" t="s">
        <v>274</v>
      </c>
      <c r="F97" s="606"/>
      <c r="G97" s="607"/>
      <c r="H97" s="606"/>
      <c r="I97" s="607"/>
      <c r="J97" s="751">
        <v>750</v>
      </c>
      <c r="K97" s="752">
        <f>SUM(D97*J97)</f>
        <v>16725</v>
      </c>
      <c r="L97" s="753">
        <f>SUM(G97+I97+K97)</f>
        <v>16725</v>
      </c>
      <c r="M97" s="761"/>
      <c r="N97" s="765"/>
      <c r="O97" s="271"/>
    </row>
    <row r="98" spans="1:15">
      <c r="A98" s="257"/>
      <c r="B98" s="258"/>
      <c r="C98" s="125" t="s">
        <v>325</v>
      </c>
      <c r="D98" s="126">
        <f>L4</f>
        <v>22.3</v>
      </c>
      <c r="E98" s="258" t="s">
        <v>274</v>
      </c>
      <c r="F98" s="608"/>
      <c r="G98" s="609"/>
      <c r="H98" s="608"/>
      <c r="I98" s="609"/>
      <c r="J98" s="127">
        <v>2500</v>
      </c>
      <c r="K98" s="128">
        <f>SUM(D98*J98)</f>
        <v>55750</v>
      </c>
      <c r="L98" s="129">
        <f>SUM(G98+I98+K98)</f>
        <v>55750</v>
      </c>
      <c r="M98" s="612"/>
      <c r="N98" s="130"/>
      <c r="O98" s="271"/>
    </row>
    <row r="99" spans="1:15" ht="15.75" thickBot="1">
      <c r="A99" s="257"/>
      <c r="B99" s="258"/>
      <c r="C99" s="117" t="s">
        <v>326</v>
      </c>
      <c r="D99" s="131">
        <v>0</v>
      </c>
      <c r="E99" s="103" t="s">
        <v>286</v>
      </c>
      <c r="F99" s="610"/>
      <c r="G99" s="611"/>
      <c r="H99" s="610"/>
      <c r="I99" s="611"/>
      <c r="J99" s="107">
        <v>1000</v>
      </c>
      <c r="K99" s="132">
        <f>SUM(D99*J99)</f>
        <v>0</v>
      </c>
      <c r="L99" s="109">
        <f>SUM(G99+I99+K99)</f>
        <v>0</v>
      </c>
      <c r="M99" s="613"/>
      <c r="N99" s="133"/>
      <c r="O99" s="271"/>
    </row>
    <row r="100" spans="1:15" ht="15.75" thickBot="1">
      <c r="A100" s="602"/>
      <c r="B100" s="603"/>
      <c r="C100" s="121" t="s">
        <v>327</v>
      </c>
      <c r="D100" s="113"/>
      <c r="E100" s="114"/>
      <c r="F100" s="114"/>
      <c r="G100" s="114"/>
      <c r="H100" s="114"/>
      <c r="I100" s="114"/>
      <c r="J100" s="114"/>
      <c r="K100" s="114"/>
      <c r="L100" s="116">
        <f>SUM(L101:L118)</f>
        <v>23571.7</v>
      </c>
      <c r="M100" s="116"/>
      <c r="N100" s="116"/>
      <c r="O100" s="271"/>
    </row>
    <row r="101" spans="1:15">
      <c r="A101" s="257"/>
      <c r="B101" s="258">
        <v>15000</v>
      </c>
      <c r="C101" s="736" t="s">
        <v>328</v>
      </c>
      <c r="D101" s="737">
        <v>1774</v>
      </c>
      <c r="E101" s="744" t="s">
        <v>329</v>
      </c>
      <c r="F101" s="606"/>
      <c r="G101" s="607"/>
      <c r="H101" s="606"/>
      <c r="I101" s="607"/>
      <c r="J101" s="748">
        <v>8.3000000000000007</v>
      </c>
      <c r="K101" s="746">
        <f>J101*D101</f>
        <v>14724.2</v>
      </c>
      <c r="L101" s="747">
        <f t="shared" ref="L101:L158" si="21">SUM(G101+I101+K101)</f>
        <v>14724.2</v>
      </c>
      <c r="M101" s="761"/>
      <c r="N101" s="740"/>
      <c r="O101" s="271"/>
    </row>
    <row r="102" spans="1:15">
      <c r="A102" s="257"/>
      <c r="B102" s="258"/>
      <c r="C102" s="736" t="s">
        <v>330</v>
      </c>
      <c r="D102" s="737">
        <v>0</v>
      </c>
      <c r="E102" s="744" t="s">
        <v>329</v>
      </c>
      <c r="F102" s="608"/>
      <c r="G102" s="609"/>
      <c r="H102" s="608"/>
      <c r="I102" s="609"/>
      <c r="J102" s="748">
        <v>9.8000000000000007</v>
      </c>
      <c r="K102" s="746">
        <f>J102*D102</f>
        <v>0</v>
      </c>
      <c r="L102" s="747">
        <f t="shared" si="21"/>
        <v>0</v>
      </c>
      <c r="M102" s="612"/>
      <c r="N102" s="740"/>
      <c r="O102" s="271"/>
    </row>
    <row r="103" spans="1:15">
      <c r="A103" s="257"/>
      <c r="B103" s="258"/>
      <c r="C103" s="736" t="s">
        <v>331</v>
      </c>
      <c r="D103" s="737">
        <v>0</v>
      </c>
      <c r="E103" s="744" t="s">
        <v>329</v>
      </c>
      <c r="F103" s="608"/>
      <c r="G103" s="609"/>
      <c r="H103" s="608"/>
      <c r="I103" s="609"/>
      <c r="J103" s="760">
        <v>6.49</v>
      </c>
      <c r="K103" s="758">
        <f>SUM(D103*J103)</f>
        <v>0</v>
      </c>
      <c r="L103" s="759">
        <f t="shared" si="21"/>
        <v>0</v>
      </c>
      <c r="M103" s="612"/>
      <c r="N103" s="740"/>
      <c r="O103" s="271"/>
    </row>
    <row r="104" spans="1:15">
      <c r="A104" s="257"/>
      <c r="B104" s="258"/>
      <c r="C104" s="736" t="s">
        <v>332</v>
      </c>
      <c r="D104" s="737">
        <v>0</v>
      </c>
      <c r="E104" s="744" t="s">
        <v>329</v>
      </c>
      <c r="F104" s="608"/>
      <c r="G104" s="609"/>
      <c r="H104" s="608"/>
      <c r="I104" s="609"/>
      <c r="J104" s="760">
        <v>7.49</v>
      </c>
      <c r="K104" s="758">
        <f>SUM(D104*J104)</f>
        <v>0</v>
      </c>
      <c r="L104" s="759">
        <f t="shared" si="21"/>
        <v>0</v>
      </c>
      <c r="M104" s="612"/>
      <c r="N104" s="740"/>
      <c r="O104" s="271"/>
    </row>
    <row r="105" spans="1:15">
      <c r="A105" s="257"/>
      <c r="B105" s="258"/>
      <c r="C105" s="736" t="s">
        <v>333</v>
      </c>
      <c r="D105" s="764">
        <v>2</v>
      </c>
      <c r="E105" s="744" t="s">
        <v>271</v>
      </c>
      <c r="F105" s="608"/>
      <c r="G105" s="609"/>
      <c r="H105" s="608"/>
      <c r="I105" s="609"/>
      <c r="J105" s="760">
        <v>800</v>
      </c>
      <c r="K105" s="758">
        <f>SUM(D105*J105)</f>
        <v>1600</v>
      </c>
      <c r="L105" s="759">
        <f t="shared" si="21"/>
        <v>1600</v>
      </c>
      <c r="M105" s="612"/>
      <c r="N105" s="740"/>
      <c r="O105" s="271"/>
    </row>
    <row r="106" spans="1:15">
      <c r="A106" s="257"/>
      <c r="B106" s="258">
        <v>15000</v>
      </c>
      <c r="C106" s="543" t="s">
        <v>334</v>
      </c>
      <c r="D106" s="764">
        <f>L4</f>
        <v>22.3</v>
      </c>
      <c r="E106" s="258" t="s">
        <v>274</v>
      </c>
      <c r="F106" s="608"/>
      <c r="G106" s="609"/>
      <c r="H106" s="608"/>
      <c r="I106" s="609"/>
      <c r="J106" s="760">
        <v>150</v>
      </c>
      <c r="K106" s="758">
        <f t="shared" ref="K106:K118" si="22">SUM(D106*J106)</f>
        <v>3345</v>
      </c>
      <c r="L106" s="759">
        <f t="shared" si="21"/>
        <v>3345</v>
      </c>
      <c r="M106" s="612"/>
      <c r="N106" s="755"/>
      <c r="O106" s="271"/>
    </row>
    <row r="107" spans="1:15">
      <c r="A107" s="257"/>
      <c r="B107" s="258"/>
      <c r="C107" s="543" t="s">
        <v>335</v>
      </c>
      <c r="D107" s="764">
        <f>K4</f>
        <v>95.571428571428569</v>
      </c>
      <c r="E107" s="258" t="s">
        <v>250</v>
      </c>
      <c r="F107" s="608"/>
      <c r="G107" s="609"/>
      <c r="H107" s="608"/>
      <c r="I107" s="609"/>
      <c r="J107" s="760">
        <v>0</v>
      </c>
      <c r="K107" s="758">
        <f t="shared" si="22"/>
        <v>0</v>
      </c>
      <c r="L107" s="759">
        <f t="shared" si="21"/>
        <v>0</v>
      </c>
      <c r="M107" s="612"/>
      <c r="N107" s="551"/>
      <c r="O107" s="271"/>
    </row>
    <row r="108" spans="1:15">
      <c r="A108" s="257"/>
      <c r="B108" s="258"/>
      <c r="C108" s="543" t="s">
        <v>336</v>
      </c>
      <c r="D108" s="764">
        <v>0</v>
      </c>
      <c r="E108" s="258" t="s">
        <v>286</v>
      </c>
      <c r="F108" s="608"/>
      <c r="G108" s="609"/>
      <c r="H108" s="608"/>
      <c r="I108" s="609"/>
      <c r="J108" s="748">
        <v>10000</v>
      </c>
      <c r="K108" s="758">
        <f t="shared" si="22"/>
        <v>0</v>
      </c>
      <c r="L108" s="759">
        <f t="shared" si="21"/>
        <v>0</v>
      </c>
      <c r="M108" s="612"/>
      <c r="N108" s="549"/>
      <c r="O108" s="271"/>
    </row>
    <row r="109" spans="1:15">
      <c r="A109" s="257"/>
      <c r="B109" s="258">
        <v>15000</v>
      </c>
      <c r="C109" s="543" t="s">
        <v>337</v>
      </c>
      <c r="D109" s="764">
        <v>0</v>
      </c>
      <c r="E109" s="258" t="s">
        <v>286</v>
      </c>
      <c r="F109" s="608"/>
      <c r="G109" s="609"/>
      <c r="H109" s="608"/>
      <c r="I109" s="609"/>
      <c r="J109" s="760">
        <v>2500</v>
      </c>
      <c r="K109" s="758">
        <f t="shared" si="22"/>
        <v>0</v>
      </c>
      <c r="L109" s="759">
        <f t="shared" si="21"/>
        <v>0</v>
      </c>
      <c r="M109" s="612"/>
      <c r="N109" s="549"/>
      <c r="O109" s="271"/>
    </row>
    <row r="110" spans="1:15">
      <c r="A110" s="257"/>
      <c r="B110" s="258"/>
      <c r="C110" s="543" t="s">
        <v>338</v>
      </c>
      <c r="D110" s="764">
        <v>0</v>
      </c>
      <c r="E110" s="258" t="s">
        <v>286</v>
      </c>
      <c r="F110" s="608"/>
      <c r="G110" s="609"/>
      <c r="H110" s="608"/>
      <c r="I110" s="609"/>
      <c r="J110" s="760">
        <v>1500</v>
      </c>
      <c r="K110" s="758">
        <f>J110*D110</f>
        <v>0</v>
      </c>
      <c r="L110" s="759">
        <f t="shared" si="21"/>
        <v>0</v>
      </c>
      <c r="M110" s="612"/>
      <c r="N110" s="549"/>
      <c r="O110" s="271"/>
    </row>
    <row r="111" spans="1:15">
      <c r="A111" s="257"/>
      <c r="B111" s="258"/>
      <c r="C111" s="543" t="s">
        <v>339</v>
      </c>
      <c r="D111" s="764">
        <v>0</v>
      </c>
      <c r="E111" s="258" t="s">
        <v>286</v>
      </c>
      <c r="F111" s="608"/>
      <c r="G111" s="609"/>
      <c r="H111" s="608"/>
      <c r="I111" s="609"/>
      <c r="J111" s="760">
        <v>500</v>
      </c>
      <c r="K111" s="758">
        <f>J111*D111</f>
        <v>0</v>
      </c>
      <c r="L111" s="759">
        <f t="shared" si="21"/>
        <v>0</v>
      </c>
      <c r="M111" s="612"/>
      <c r="N111" s="549"/>
      <c r="O111" s="271"/>
    </row>
    <row r="112" spans="1:15">
      <c r="A112" s="257"/>
      <c r="B112" s="258">
        <v>15000</v>
      </c>
      <c r="C112" s="543" t="s">
        <v>340</v>
      </c>
      <c r="D112" s="764">
        <v>0</v>
      </c>
      <c r="E112" s="258" t="s">
        <v>286</v>
      </c>
      <c r="F112" s="608"/>
      <c r="G112" s="609"/>
      <c r="H112" s="608"/>
      <c r="I112" s="609"/>
      <c r="J112" s="760">
        <v>5000</v>
      </c>
      <c r="K112" s="758">
        <f t="shared" si="22"/>
        <v>0</v>
      </c>
      <c r="L112" s="759">
        <f t="shared" si="21"/>
        <v>0</v>
      </c>
      <c r="M112" s="612"/>
      <c r="N112" s="549"/>
      <c r="O112" s="271"/>
    </row>
    <row r="113" spans="1:15">
      <c r="A113" s="257"/>
      <c r="B113" s="258"/>
      <c r="C113" s="543" t="s">
        <v>341</v>
      </c>
      <c r="D113" s="764">
        <v>0</v>
      </c>
      <c r="E113" s="258" t="s">
        <v>286</v>
      </c>
      <c r="F113" s="608"/>
      <c r="G113" s="609"/>
      <c r="H113" s="608"/>
      <c r="I113" s="609"/>
      <c r="J113" s="760">
        <v>0</v>
      </c>
      <c r="K113" s="758">
        <f t="shared" si="22"/>
        <v>0</v>
      </c>
      <c r="L113" s="759">
        <f t="shared" si="21"/>
        <v>0</v>
      </c>
      <c r="M113" s="612"/>
      <c r="N113" s="549"/>
      <c r="O113" s="271"/>
    </row>
    <row r="114" spans="1:15">
      <c r="A114" s="257"/>
      <c r="B114" s="258">
        <v>15000</v>
      </c>
      <c r="C114" s="543" t="s">
        <v>342</v>
      </c>
      <c r="D114" s="764">
        <v>0</v>
      </c>
      <c r="E114" s="258" t="s">
        <v>286</v>
      </c>
      <c r="F114" s="608"/>
      <c r="G114" s="609"/>
      <c r="H114" s="608"/>
      <c r="I114" s="609"/>
      <c r="J114" s="760">
        <v>5000</v>
      </c>
      <c r="K114" s="758">
        <f t="shared" si="22"/>
        <v>0</v>
      </c>
      <c r="L114" s="759">
        <f t="shared" si="21"/>
        <v>0</v>
      </c>
      <c r="M114" s="612"/>
      <c r="N114" s="549"/>
      <c r="O114" s="271"/>
    </row>
    <row r="115" spans="1:15">
      <c r="A115" s="257"/>
      <c r="B115" s="258">
        <v>15000</v>
      </c>
      <c r="C115" s="543" t="s">
        <v>343</v>
      </c>
      <c r="D115" s="764">
        <v>0</v>
      </c>
      <c r="E115" s="258" t="s">
        <v>286</v>
      </c>
      <c r="F115" s="608"/>
      <c r="G115" s="609"/>
      <c r="H115" s="608"/>
      <c r="I115" s="609"/>
      <c r="J115" s="760">
        <v>5000</v>
      </c>
      <c r="K115" s="758">
        <f t="shared" si="22"/>
        <v>0</v>
      </c>
      <c r="L115" s="759">
        <f t="shared" si="21"/>
        <v>0</v>
      </c>
      <c r="M115" s="612"/>
      <c r="N115" s="549"/>
      <c r="O115" s="271"/>
    </row>
    <row r="116" spans="1:15">
      <c r="A116" s="257"/>
      <c r="B116" s="258"/>
      <c r="C116" s="543" t="s">
        <v>344</v>
      </c>
      <c r="D116" s="757">
        <f>L4</f>
        <v>22.3</v>
      </c>
      <c r="E116" s="258" t="s">
        <v>274</v>
      </c>
      <c r="F116" s="608"/>
      <c r="G116" s="609"/>
      <c r="H116" s="608"/>
      <c r="I116" s="609"/>
      <c r="J116" s="760">
        <v>125</v>
      </c>
      <c r="K116" s="758">
        <f t="shared" si="22"/>
        <v>2787.5</v>
      </c>
      <c r="L116" s="759">
        <f t="shared" si="21"/>
        <v>2787.5</v>
      </c>
      <c r="M116" s="612"/>
      <c r="N116" s="549"/>
      <c r="O116" s="271"/>
    </row>
    <row r="117" spans="1:15">
      <c r="A117" s="257"/>
      <c r="B117" s="258"/>
      <c r="C117" s="543" t="s">
        <v>345</v>
      </c>
      <c r="D117" s="757">
        <f>L4</f>
        <v>22.3</v>
      </c>
      <c r="E117" s="258" t="s">
        <v>274</v>
      </c>
      <c r="F117" s="608"/>
      <c r="G117" s="609"/>
      <c r="H117" s="608"/>
      <c r="I117" s="609"/>
      <c r="J117" s="269">
        <v>50</v>
      </c>
      <c r="K117" s="758">
        <f t="shared" si="22"/>
        <v>1115</v>
      </c>
      <c r="L117" s="552">
        <f t="shared" si="21"/>
        <v>1115</v>
      </c>
      <c r="M117" s="612"/>
      <c r="N117" s="549"/>
      <c r="O117" s="271"/>
    </row>
    <row r="118" spans="1:15" ht="15.75" thickBot="1">
      <c r="A118" s="257"/>
      <c r="B118" s="258"/>
      <c r="C118" s="117" t="s">
        <v>346</v>
      </c>
      <c r="D118" s="134">
        <v>0</v>
      </c>
      <c r="E118" s="103" t="s">
        <v>271</v>
      </c>
      <c r="F118" s="610"/>
      <c r="G118" s="611"/>
      <c r="H118" s="610"/>
      <c r="I118" s="611"/>
      <c r="J118" s="123">
        <v>0</v>
      </c>
      <c r="K118" s="758">
        <f t="shared" si="22"/>
        <v>0</v>
      </c>
      <c r="L118" s="120">
        <f t="shared" si="21"/>
        <v>0</v>
      </c>
      <c r="M118" s="613"/>
      <c r="N118" s="133"/>
      <c r="O118" s="271"/>
    </row>
    <row r="119" spans="1:15" ht="15.75" thickBot="1">
      <c r="A119" s="602"/>
      <c r="B119" s="603"/>
      <c r="C119" s="121" t="s">
        <v>347</v>
      </c>
      <c r="D119" s="113"/>
      <c r="E119" s="114"/>
      <c r="F119" s="114"/>
      <c r="G119" s="114"/>
      <c r="H119" s="114"/>
      <c r="I119" s="114"/>
      <c r="J119" s="114"/>
      <c r="K119" s="114"/>
      <c r="L119" s="116">
        <f>SUM(L120:L125)</f>
        <v>450370.85714285716</v>
      </c>
      <c r="M119" s="116"/>
      <c r="N119" s="116"/>
      <c r="O119" s="271"/>
    </row>
    <row r="120" spans="1:15">
      <c r="A120" s="554"/>
      <c r="B120" s="553"/>
      <c r="C120" s="768" t="s">
        <v>348</v>
      </c>
      <c r="D120" s="126">
        <v>0</v>
      </c>
      <c r="E120" s="553" t="s">
        <v>250</v>
      </c>
      <c r="F120" s="606"/>
      <c r="G120" s="607"/>
      <c r="H120" s="606"/>
      <c r="I120" s="607"/>
      <c r="J120" s="555">
        <v>350</v>
      </c>
      <c r="K120" s="556">
        <f t="shared" ref="K120:K125" si="23">SUM(D120*J120)</f>
        <v>0</v>
      </c>
      <c r="L120" s="769">
        <f t="shared" si="21"/>
        <v>0</v>
      </c>
      <c r="M120" s="761"/>
      <c r="N120" s="770" t="s">
        <v>349</v>
      </c>
      <c r="O120" s="271"/>
    </row>
    <row r="121" spans="1:15">
      <c r="A121" s="257"/>
      <c r="B121" s="258"/>
      <c r="C121" s="543" t="s">
        <v>350</v>
      </c>
      <c r="D121" s="272">
        <v>0</v>
      </c>
      <c r="E121" s="258" t="s">
        <v>250</v>
      </c>
      <c r="F121" s="608"/>
      <c r="G121" s="609"/>
      <c r="H121" s="608"/>
      <c r="I121" s="609"/>
      <c r="J121" s="269">
        <v>400</v>
      </c>
      <c r="K121" s="260">
        <f t="shared" si="23"/>
        <v>0</v>
      </c>
      <c r="L121" s="552">
        <f>SUM(G121+I121+K121)</f>
        <v>0</v>
      </c>
      <c r="M121" s="612"/>
      <c r="N121" s="273" t="s">
        <v>349</v>
      </c>
      <c r="O121" s="271"/>
    </row>
    <row r="122" spans="1:15">
      <c r="A122" s="743"/>
      <c r="B122" s="744"/>
      <c r="C122" s="736" t="s">
        <v>351</v>
      </c>
      <c r="D122" s="757">
        <f>K4</f>
        <v>95.571428571428569</v>
      </c>
      <c r="E122" s="744" t="s">
        <v>250</v>
      </c>
      <c r="F122" s="608"/>
      <c r="G122" s="609"/>
      <c r="H122" s="608"/>
      <c r="I122" s="609"/>
      <c r="J122" s="760">
        <v>750</v>
      </c>
      <c r="K122" s="758">
        <f t="shared" si="23"/>
        <v>71678.57142857142</v>
      </c>
      <c r="L122" s="759">
        <f>SUM(G122+I122+K122)</f>
        <v>71678.57142857142</v>
      </c>
      <c r="M122" s="612"/>
      <c r="N122" s="551" t="s">
        <v>349</v>
      </c>
      <c r="O122" s="271"/>
    </row>
    <row r="123" spans="1:15">
      <c r="A123" s="257"/>
      <c r="B123" s="258"/>
      <c r="C123" s="543" t="s">
        <v>352</v>
      </c>
      <c r="D123" s="757">
        <f>K4</f>
        <v>95.571428571428569</v>
      </c>
      <c r="E123" s="258" t="s">
        <v>250</v>
      </c>
      <c r="F123" s="608"/>
      <c r="G123" s="609"/>
      <c r="H123" s="608"/>
      <c r="I123" s="609"/>
      <c r="J123" s="269">
        <v>0</v>
      </c>
      <c r="K123" s="758">
        <f t="shared" si="23"/>
        <v>0</v>
      </c>
      <c r="L123" s="759">
        <f t="shared" si="21"/>
        <v>0</v>
      </c>
      <c r="M123" s="612"/>
      <c r="N123" s="551"/>
      <c r="O123" s="271"/>
    </row>
    <row r="124" spans="1:15">
      <c r="A124" s="257"/>
      <c r="B124" s="258">
        <v>17300</v>
      </c>
      <c r="C124" s="543" t="s">
        <v>353</v>
      </c>
      <c r="D124" s="757">
        <f>K4</f>
        <v>95.571428571428569</v>
      </c>
      <c r="E124" s="258" t="s">
        <v>250</v>
      </c>
      <c r="F124" s="608"/>
      <c r="G124" s="609"/>
      <c r="H124" s="608"/>
      <c r="I124" s="609"/>
      <c r="J124" s="269">
        <f>65*16</f>
        <v>1040</v>
      </c>
      <c r="K124" s="758">
        <f t="shared" si="23"/>
        <v>99394.28571428571</v>
      </c>
      <c r="L124" s="759">
        <f t="shared" si="21"/>
        <v>99394.28571428571</v>
      </c>
      <c r="M124" s="612"/>
      <c r="N124" s="551"/>
      <c r="O124" s="271"/>
    </row>
    <row r="125" spans="1:15" ht="15.75" thickBot="1">
      <c r="A125" s="102"/>
      <c r="B125" s="103"/>
      <c r="C125" s="117" t="s">
        <v>354</v>
      </c>
      <c r="D125" s="118">
        <f>SUM('Area Calculations'!E15:E21)</f>
        <v>279298</v>
      </c>
      <c r="E125" s="103" t="s">
        <v>179</v>
      </c>
      <c r="F125" s="610"/>
      <c r="G125" s="611"/>
      <c r="H125" s="610"/>
      <c r="I125" s="611"/>
      <c r="J125" s="135">
        <v>1</v>
      </c>
      <c r="K125" s="108">
        <f t="shared" si="23"/>
        <v>279298</v>
      </c>
      <c r="L125" s="109">
        <f>SUM(G125+I125+K125)</f>
        <v>279298</v>
      </c>
      <c r="M125" s="613"/>
      <c r="N125" s="136"/>
      <c r="O125" s="271"/>
    </row>
    <row r="126" spans="1:15" ht="15.75" thickBot="1">
      <c r="A126" s="602"/>
      <c r="B126" s="603"/>
      <c r="C126" s="121" t="s">
        <v>355</v>
      </c>
      <c r="D126" s="113"/>
      <c r="E126" s="114"/>
      <c r="F126" s="114"/>
      <c r="G126" s="114"/>
      <c r="H126" s="114"/>
      <c r="I126" s="114"/>
      <c r="J126" s="114"/>
      <c r="K126" s="114"/>
      <c r="L126" s="116">
        <f>SUM(L127:L134)</f>
        <v>51255</v>
      </c>
      <c r="M126" s="116"/>
      <c r="N126" s="116"/>
      <c r="O126" s="271"/>
    </row>
    <row r="127" spans="1:15" s="176" customFormat="1" ht="30">
      <c r="A127" s="404"/>
      <c r="B127" s="405">
        <v>13200</v>
      </c>
      <c r="C127" s="557" t="s">
        <v>356</v>
      </c>
      <c r="D127" s="771">
        <v>1</v>
      </c>
      <c r="E127" s="405" t="s">
        <v>286</v>
      </c>
      <c r="F127" s="608"/>
      <c r="G127" s="609"/>
      <c r="H127" s="608"/>
      <c r="I127" s="609"/>
      <c r="J127" s="406">
        <v>10000</v>
      </c>
      <c r="K127" s="772">
        <f t="shared" ref="K127:K134" si="24">SUM(D127*J127)</f>
        <v>10000</v>
      </c>
      <c r="L127" s="773">
        <f>SUM(G127+I127+K127)</f>
        <v>10000</v>
      </c>
      <c r="M127" s="612"/>
      <c r="N127" s="558" t="s">
        <v>357</v>
      </c>
      <c r="O127" s="407"/>
    </row>
    <row r="128" spans="1:15" s="176" customFormat="1" ht="30">
      <c r="A128" s="404"/>
      <c r="B128" s="405">
        <v>13200</v>
      </c>
      <c r="C128" s="557" t="s">
        <v>358</v>
      </c>
      <c r="D128" s="774">
        <f>L4</f>
        <v>22.3</v>
      </c>
      <c r="E128" s="405" t="s">
        <v>274</v>
      </c>
      <c r="F128" s="608"/>
      <c r="G128" s="609"/>
      <c r="H128" s="608"/>
      <c r="I128" s="609"/>
      <c r="J128" s="406">
        <v>1650</v>
      </c>
      <c r="K128" s="775">
        <f t="shared" si="24"/>
        <v>36795</v>
      </c>
      <c r="L128" s="773">
        <f>SUM(G128+I128+K128)</f>
        <v>36795</v>
      </c>
      <c r="M128" s="612"/>
      <c r="N128" s="558" t="s">
        <v>359</v>
      </c>
      <c r="O128" s="407"/>
    </row>
    <row r="129" spans="1:15" s="176" customFormat="1" ht="30">
      <c r="A129" s="404"/>
      <c r="B129" s="405">
        <v>13200</v>
      </c>
      <c r="C129" s="557" t="s">
        <v>360</v>
      </c>
      <c r="D129" s="771">
        <f>L7</f>
        <v>0</v>
      </c>
      <c r="E129" s="405" t="s">
        <v>274</v>
      </c>
      <c r="F129" s="608"/>
      <c r="G129" s="609"/>
      <c r="H129" s="608"/>
      <c r="I129" s="609"/>
      <c r="J129" s="406">
        <v>300</v>
      </c>
      <c r="K129" s="772">
        <f t="shared" si="24"/>
        <v>0</v>
      </c>
      <c r="L129" s="773">
        <f>SUM(G129+I129+K129)</f>
        <v>0</v>
      </c>
      <c r="M129" s="612"/>
      <c r="N129" s="558" t="s">
        <v>361</v>
      </c>
      <c r="O129" s="407"/>
    </row>
    <row r="130" spans="1:15">
      <c r="A130" s="257"/>
      <c r="B130" s="258">
        <v>13233</v>
      </c>
      <c r="C130" s="543" t="s">
        <v>362</v>
      </c>
      <c r="D130" s="757">
        <f>L4</f>
        <v>22.3</v>
      </c>
      <c r="E130" s="258" t="s">
        <v>274</v>
      </c>
      <c r="F130" s="608"/>
      <c r="G130" s="609"/>
      <c r="H130" s="608"/>
      <c r="I130" s="609"/>
      <c r="J130" s="269">
        <v>100</v>
      </c>
      <c r="K130" s="758">
        <f t="shared" si="24"/>
        <v>2230</v>
      </c>
      <c r="L130" s="759">
        <f t="shared" si="21"/>
        <v>2230</v>
      </c>
      <c r="M130" s="612"/>
      <c r="N130" s="551"/>
      <c r="O130" s="271"/>
    </row>
    <row r="131" spans="1:15">
      <c r="A131" s="257"/>
      <c r="B131" s="258">
        <v>13233</v>
      </c>
      <c r="C131" s="543" t="s">
        <v>363</v>
      </c>
      <c r="D131" s="757">
        <f>L4</f>
        <v>22.3</v>
      </c>
      <c r="E131" s="258" t="s">
        <v>274</v>
      </c>
      <c r="F131" s="608"/>
      <c r="G131" s="609"/>
      <c r="H131" s="608"/>
      <c r="I131" s="609"/>
      <c r="J131" s="269">
        <v>100</v>
      </c>
      <c r="K131" s="758">
        <f t="shared" si="24"/>
        <v>2230</v>
      </c>
      <c r="L131" s="552">
        <f t="shared" si="21"/>
        <v>2230</v>
      </c>
      <c r="M131" s="612"/>
      <c r="N131" s="551"/>
      <c r="O131" s="271"/>
    </row>
    <row r="132" spans="1:15">
      <c r="A132" s="257"/>
      <c r="B132" s="258"/>
      <c r="C132" s="543" t="s">
        <v>364</v>
      </c>
      <c r="D132" s="272">
        <v>0</v>
      </c>
      <c r="E132" s="258" t="s">
        <v>286</v>
      </c>
      <c r="F132" s="608"/>
      <c r="G132" s="609"/>
      <c r="H132" s="608"/>
      <c r="I132" s="609"/>
      <c r="J132" s="760">
        <v>2500</v>
      </c>
      <c r="K132" s="758">
        <f t="shared" si="24"/>
        <v>0</v>
      </c>
      <c r="L132" s="759">
        <f t="shared" si="21"/>
        <v>0</v>
      </c>
      <c r="M132" s="612"/>
      <c r="N132" s="273"/>
      <c r="O132" s="271"/>
    </row>
    <row r="133" spans="1:15">
      <c r="A133" s="257"/>
      <c r="B133" s="258">
        <v>13233</v>
      </c>
      <c r="C133" s="736" t="s">
        <v>365</v>
      </c>
      <c r="D133" s="757">
        <v>0</v>
      </c>
      <c r="E133" s="744" t="s">
        <v>286</v>
      </c>
      <c r="F133" s="608"/>
      <c r="G133" s="609"/>
      <c r="H133" s="608"/>
      <c r="I133" s="609"/>
      <c r="J133" s="269">
        <v>500</v>
      </c>
      <c r="K133" s="758">
        <f t="shared" si="24"/>
        <v>0</v>
      </c>
      <c r="L133" s="552">
        <f t="shared" si="21"/>
        <v>0</v>
      </c>
      <c r="M133" s="612"/>
      <c r="N133" s="273"/>
      <c r="O133" s="271"/>
    </row>
    <row r="134" spans="1:15" ht="15.75" thickBot="1">
      <c r="A134" s="257"/>
      <c r="B134" s="258"/>
      <c r="C134" s="267" t="s">
        <v>366</v>
      </c>
      <c r="D134" s="126">
        <v>0</v>
      </c>
      <c r="E134" s="96" t="s">
        <v>286</v>
      </c>
      <c r="F134" s="610"/>
      <c r="G134" s="611"/>
      <c r="H134" s="610"/>
      <c r="I134" s="611"/>
      <c r="J134" s="127">
        <v>0</v>
      </c>
      <c r="K134" s="758">
        <f t="shared" si="24"/>
        <v>0</v>
      </c>
      <c r="L134" s="129">
        <f t="shared" si="21"/>
        <v>0</v>
      </c>
      <c r="M134" s="613"/>
      <c r="N134" s="273"/>
      <c r="O134" s="271"/>
    </row>
    <row r="135" spans="1:15" ht="15.75" thickBot="1">
      <c r="A135" s="602"/>
      <c r="B135" s="603"/>
      <c r="C135" s="121" t="s">
        <v>367</v>
      </c>
      <c r="D135" s="113"/>
      <c r="E135" s="114"/>
      <c r="F135" s="114"/>
      <c r="G135" s="114"/>
      <c r="H135" s="114"/>
      <c r="I135" s="114"/>
      <c r="J135" s="114"/>
      <c r="K135" s="114"/>
      <c r="L135" s="116">
        <f>SUM(L136:L140)</f>
        <v>18345</v>
      </c>
      <c r="M135" s="116"/>
      <c r="N135" s="116"/>
      <c r="O135" s="271"/>
    </row>
    <row r="136" spans="1:15">
      <c r="A136" s="257"/>
      <c r="B136" s="258"/>
      <c r="C136" s="736" t="s">
        <v>368</v>
      </c>
      <c r="D136" s="757">
        <v>0</v>
      </c>
      <c r="E136" s="744" t="s">
        <v>286</v>
      </c>
      <c r="F136" s="606"/>
      <c r="G136" s="607"/>
      <c r="H136" s="606"/>
      <c r="I136" s="607"/>
      <c r="J136" s="269">
        <v>1000</v>
      </c>
      <c r="K136" s="758">
        <f>SUM(D136*J136)</f>
        <v>0</v>
      </c>
      <c r="L136" s="759">
        <f t="shared" si="21"/>
        <v>0</v>
      </c>
      <c r="M136" s="761"/>
      <c r="N136" s="755"/>
      <c r="O136" s="271"/>
    </row>
    <row r="137" spans="1:15">
      <c r="A137" s="257"/>
      <c r="B137" s="258">
        <v>10550</v>
      </c>
      <c r="C137" s="543" t="s">
        <v>369</v>
      </c>
      <c r="D137" s="757">
        <v>0</v>
      </c>
      <c r="E137" s="258" t="s">
        <v>286</v>
      </c>
      <c r="F137" s="608"/>
      <c r="G137" s="609"/>
      <c r="H137" s="776"/>
      <c r="I137" s="665"/>
      <c r="J137" s="269">
        <v>2500</v>
      </c>
      <c r="K137" s="758">
        <f>SUM(D137*J137)</f>
        <v>0</v>
      </c>
      <c r="L137" s="759">
        <f t="shared" si="21"/>
        <v>0</v>
      </c>
      <c r="M137" s="612"/>
      <c r="N137" s="549"/>
      <c r="O137" s="271"/>
    </row>
    <row r="138" spans="1:15">
      <c r="A138" s="257"/>
      <c r="B138" s="258"/>
      <c r="C138" s="543" t="s">
        <v>370</v>
      </c>
      <c r="D138" s="757">
        <v>1</v>
      </c>
      <c r="E138" s="258" t="s">
        <v>286</v>
      </c>
      <c r="F138" s="608"/>
      <c r="G138" s="609"/>
      <c r="H138" s="269">
        <v>15000</v>
      </c>
      <c r="I138" s="758">
        <f>SUM(D138*H138)</f>
        <v>15000</v>
      </c>
      <c r="J138" s="666"/>
      <c r="K138" s="667"/>
      <c r="L138" s="759">
        <f t="shared" si="21"/>
        <v>15000</v>
      </c>
      <c r="M138" s="612"/>
      <c r="N138" s="549"/>
      <c r="O138" s="271"/>
    </row>
    <row r="139" spans="1:15">
      <c r="A139" s="257"/>
      <c r="B139" s="258"/>
      <c r="C139" s="543" t="s">
        <v>371</v>
      </c>
      <c r="D139" s="757">
        <f>$L$4</f>
        <v>22.3</v>
      </c>
      <c r="E139" s="258" t="s">
        <v>274</v>
      </c>
      <c r="F139" s="608"/>
      <c r="G139" s="609"/>
      <c r="H139" s="269">
        <v>75</v>
      </c>
      <c r="I139" s="758">
        <f>SUM(D139*H139)</f>
        <v>1672.5</v>
      </c>
      <c r="J139" s="608"/>
      <c r="K139" s="609"/>
      <c r="L139" s="552">
        <f t="shared" si="21"/>
        <v>1672.5</v>
      </c>
      <c r="M139" s="612"/>
      <c r="N139" s="549"/>
      <c r="O139" s="271"/>
    </row>
    <row r="140" spans="1:15" ht="15.75" thickBot="1">
      <c r="A140" s="257"/>
      <c r="B140" s="258"/>
      <c r="C140" s="267" t="s">
        <v>372</v>
      </c>
      <c r="D140" s="757">
        <f>$L$4</f>
        <v>22.3</v>
      </c>
      <c r="E140" s="96" t="s">
        <v>274</v>
      </c>
      <c r="F140" s="610"/>
      <c r="G140" s="611"/>
      <c r="H140" s="127">
        <v>75</v>
      </c>
      <c r="I140" s="758">
        <f>SUM(D140*H140)</f>
        <v>1672.5</v>
      </c>
      <c r="J140" s="610"/>
      <c r="K140" s="611"/>
      <c r="L140" s="129">
        <f t="shared" si="21"/>
        <v>1672.5</v>
      </c>
      <c r="M140" s="613"/>
      <c r="N140" s="274"/>
      <c r="O140" s="271"/>
    </row>
    <row r="141" spans="1:15" ht="15.75" thickBot="1">
      <c r="A141" s="602"/>
      <c r="B141" s="603"/>
      <c r="C141" s="121" t="s">
        <v>373</v>
      </c>
      <c r="D141" s="113"/>
      <c r="E141" s="114"/>
      <c r="F141" s="114"/>
      <c r="G141" s="114"/>
      <c r="H141" s="114"/>
      <c r="I141" s="114"/>
      <c r="J141" s="114"/>
      <c r="K141" s="114"/>
      <c r="L141" s="116">
        <f>SUM(L142:L144)</f>
        <v>0</v>
      </c>
      <c r="M141" s="116"/>
      <c r="N141" s="116"/>
      <c r="O141" s="271"/>
    </row>
    <row r="142" spans="1:15">
      <c r="A142" s="257"/>
      <c r="B142" s="258"/>
      <c r="C142" s="543" t="s">
        <v>374</v>
      </c>
      <c r="D142" s="764">
        <v>0</v>
      </c>
      <c r="E142" s="258" t="s">
        <v>286</v>
      </c>
      <c r="F142" s="608"/>
      <c r="G142" s="609"/>
      <c r="H142" s="608"/>
      <c r="I142" s="609"/>
      <c r="J142" s="269">
        <v>0</v>
      </c>
      <c r="K142" s="758">
        <f>SUM(D142*J142)</f>
        <v>0</v>
      </c>
      <c r="L142" s="759">
        <f t="shared" si="21"/>
        <v>0</v>
      </c>
      <c r="M142" s="761"/>
      <c r="N142" s="551" t="s">
        <v>375</v>
      </c>
      <c r="O142" s="271"/>
    </row>
    <row r="143" spans="1:15">
      <c r="A143" s="257"/>
      <c r="B143" s="258"/>
      <c r="C143" s="543" t="s">
        <v>376</v>
      </c>
      <c r="D143" s="275">
        <v>0</v>
      </c>
      <c r="E143" s="258" t="s">
        <v>271</v>
      </c>
      <c r="F143" s="608"/>
      <c r="G143" s="609"/>
      <c r="H143" s="608"/>
      <c r="I143" s="609"/>
      <c r="J143" s="269">
        <v>0</v>
      </c>
      <c r="K143" s="758">
        <f>SUM(D143*J143)</f>
        <v>0</v>
      </c>
      <c r="L143" s="552">
        <f t="shared" si="21"/>
        <v>0</v>
      </c>
      <c r="M143" s="612"/>
      <c r="N143" s="551" t="s">
        <v>375</v>
      </c>
      <c r="O143" s="271"/>
    </row>
    <row r="144" spans="1:15" ht="15.75" thickBot="1">
      <c r="A144" s="257"/>
      <c r="B144" s="258"/>
      <c r="C144" s="267" t="s">
        <v>377</v>
      </c>
      <c r="D144" s="137">
        <v>0</v>
      </c>
      <c r="E144" s="138" t="s">
        <v>286</v>
      </c>
      <c r="F144" s="610"/>
      <c r="G144" s="611"/>
      <c r="H144" s="610"/>
      <c r="I144" s="611"/>
      <c r="J144" s="127">
        <v>0</v>
      </c>
      <c r="K144" s="758">
        <f>SUM(D144*J144)</f>
        <v>0</v>
      </c>
      <c r="L144" s="129">
        <f t="shared" si="21"/>
        <v>0</v>
      </c>
      <c r="M144" s="613"/>
      <c r="N144" s="551" t="s">
        <v>375</v>
      </c>
      <c r="O144" s="271"/>
    </row>
    <row r="145" spans="1:136" ht="15.75" thickBot="1">
      <c r="A145" s="602"/>
      <c r="B145" s="603"/>
      <c r="C145" s="121" t="s">
        <v>378</v>
      </c>
      <c r="D145" s="113"/>
      <c r="E145" s="114"/>
      <c r="F145" s="114"/>
      <c r="G145" s="114"/>
      <c r="H145" s="114"/>
      <c r="I145" s="114"/>
      <c r="J145" s="114"/>
      <c r="K145" s="114"/>
      <c r="L145" s="116">
        <f>SUM(L146:L149)</f>
        <v>0</v>
      </c>
      <c r="M145" s="116"/>
      <c r="N145" s="116"/>
      <c r="O145" s="271"/>
    </row>
    <row r="146" spans="1:136">
      <c r="A146" s="734"/>
      <c r="B146" s="735"/>
      <c r="C146" s="749" t="s">
        <v>379</v>
      </c>
      <c r="D146" s="777">
        <v>0</v>
      </c>
      <c r="E146" s="735" t="s">
        <v>286</v>
      </c>
      <c r="F146" s="606"/>
      <c r="G146" s="607"/>
      <c r="H146" s="606"/>
      <c r="I146" s="607"/>
      <c r="J146" s="751">
        <v>0</v>
      </c>
      <c r="K146" s="752">
        <f>SUM(D146*J146)</f>
        <v>0</v>
      </c>
      <c r="L146" s="753">
        <f t="shared" si="21"/>
        <v>0</v>
      </c>
      <c r="M146" s="761"/>
      <c r="N146" s="778" t="s">
        <v>375</v>
      </c>
      <c r="O146" s="271"/>
    </row>
    <row r="147" spans="1:136">
      <c r="A147" s="257"/>
      <c r="B147" s="258"/>
      <c r="C147" s="543" t="s">
        <v>380</v>
      </c>
      <c r="D147" s="764">
        <v>0</v>
      </c>
      <c r="E147" s="258" t="s">
        <v>286</v>
      </c>
      <c r="F147" s="608"/>
      <c r="G147" s="609"/>
      <c r="H147" s="608"/>
      <c r="I147" s="609"/>
      <c r="J147" s="269">
        <v>0</v>
      </c>
      <c r="K147" s="758">
        <f>SUM(D147*J147)</f>
        <v>0</v>
      </c>
      <c r="L147" s="759">
        <f t="shared" si="21"/>
        <v>0</v>
      </c>
      <c r="M147" s="612"/>
      <c r="N147" s="551" t="s">
        <v>375</v>
      </c>
      <c r="O147" s="271"/>
    </row>
    <row r="148" spans="1:136">
      <c r="A148" s="257"/>
      <c r="B148" s="258"/>
      <c r="C148" s="543" t="s">
        <v>381</v>
      </c>
      <c r="D148" s="764">
        <v>0</v>
      </c>
      <c r="E148" s="258" t="s">
        <v>271</v>
      </c>
      <c r="F148" s="608"/>
      <c r="G148" s="609"/>
      <c r="H148" s="608"/>
      <c r="I148" s="609"/>
      <c r="J148" s="139">
        <v>0</v>
      </c>
      <c r="K148" s="758">
        <f>SUM(D148*J148)</f>
        <v>0</v>
      </c>
      <c r="L148" s="552">
        <f t="shared" si="21"/>
        <v>0</v>
      </c>
      <c r="M148" s="612"/>
      <c r="N148" s="551" t="s">
        <v>375</v>
      </c>
      <c r="O148" s="271"/>
    </row>
    <row r="149" spans="1:136" ht="15.75" thickBot="1">
      <c r="A149" s="102"/>
      <c r="B149" s="103"/>
      <c r="C149" s="117" t="s">
        <v>382</v>
      </c>
      <c r="D149" s="118">
        <v>0</v>
      </c>
      <c r="E149" s="103" t="s">
        <v>286</v>
      </c>
      <c r="F149" s="610"/>
      <c r="G149" s="611"/>
      <c r="H149" s="610"/>
      <c r="I149" s="611"/>
      <c r="J149" s="107">
        <v>0</v>
      </c>
      <c r="K149" s="108">
        <f>SUM(D149*J149)</f>
        <v>0</v>
      </c>
      <c r="L149" s="120">
        <f t="shared" si="21"/>
        <v>0</v>
      </c>
      <c r="M149" s="613"/>
      <c r="N149" s="136" t="s">
        <v>375</v>
      </c>
      <c r="O149" s="271"/>
    </row>
    <row r="150" spans="1:136" ht="15.75" thickBot="1">
      <c r="A150" s="602"/>
      <c r="B150" s="603"/>
      <c r="C150" s="121" t="s">
        <v>383</v>
      </c>
      <c r="D150" s="113"/>
      <c r="E150" s="114"/>
      <c r="F150" s="114"/>
      <c r="G150" s="114"/>
      <c r="H150" s="114"/>
      <c r="I150" s="114"/>
      <c r="J150" s="114"/>
      <c r="K150" s="114"/>
      <c r="L150" s="116">
        <f>SUM(L151:L154)</f>
        <v>0</v>
      </c>
      <c r="M150" s="116"/>
      <c r="N150" s="116"/>
      <c r="O150" s="271"/>
    </row>
    <row r="151" spans="1:136">
      <c r="A151" s="734"/>
      <c r="B151" s="735"/>
      <c r="C151" s="749" t="s">
        <v>384</v>
      </c>
      <c r="D151" s="777">
        <v>0</v>
      </c>
      <c r="E151" s="735" t="s">
        <v>274</v>
      </c>
      <c r="F151" s="606"/>
      <c r="G151" s="607"/>
      <c r="H151" s="606"/>
      <c r="I151" s="607"/>
      <c r="J151" s="751">
        <v>0</v>
      </c>
      <c r="K151" s="752">
        <f>SUM(D151*J151)</f>
        <v>0</v>
      </c>
      <c r="L151" s="753">
        <f>SUM(G151+I151+K151)</f>
        <v>0</v>
      </c>
      <c r="M151" s="761"/>
      <c r="N151" s="778"/>
      <c r="O151" s="271"/>
      <c r="Q151">
        <v>250</v>
      </c>
      <c r="R151" t="s">
        <v>385</v>
      </c>
    </row>
    <row r="152" spans="1:136">
      <c r="A152" s="257"/>
      <c r="B152" s="258"/>
      <c r="C152" s="543" t="s">
        <v>386</v>
      </c>
      <c r="D152" s="764">
        <v>0</v>
      </c>
      <c r="E152" s="258" t="s">
        <v>274</v>
      </c>
      <c r="F152" s="608"/>
      <c r="G152" s="609"/>
      <c r="H152" s="608"/>
      <c r="I152" s="609"/>
      <c r="J152" s="269">
        <v>0</v>
      </c>
      <c r="K152" s="758">
        <f>SUM(D152*J152)</f>
        <v>0</v>
      </c>
      <c r="L152" s="759">
        <f>SUM(G152+I152+K152)</f>
        <v>0</v>
      </c>
      <c r="M152" s="612"/>
      <c r="N152" s="551"/>
      <c r="O152" s="271"/>
      <c r="Q152">
        <v>125</v>
      </c>
      <c r="R152" t="s">
        <v>387</v>
      </c>
      <c r="S152" t="s">
        <v>388</v>
      </c>
    </row>
    <row r="153" spans="1:136">
      <c r="A153" s="257"/>
      <c r="B153" s="258"/>
      <c r="C153" s="543" t="s">
        <v>389</v>
      </c>
      <c r="D153" s="764">
        <v>0</v>
      </c>
      <c r="E153" s="258" t="s">
        <v>274</v>
      </c>
      <c r="F153" s="608"/>
      <c r="G153" s="609"/>
      <c r="H153" s="608"/>
      <c r="I153" s="609"/>
      <c r="J153" s="269">
        <v>0</v>
      </c>
      <c r="K153" s="758">
        <f>SUM(D153*J153)</f>
        <v>0</v>
      </c>
      <c r="L153" s="552">
        <f>SUM(G153+I153+K153)</f>
        <v>0</v>
      </c>
      <c r="M153" s="612"/>
      <c r="N153" s="551"/>
      <c r="O153" s="271"/>
      <c r="Q153">
        <v>60</v>
      </c>
      <c r="R153" t="s">
        <v>390</v>
      </c>
    </row>
    <row r="154" spans="1:136" ht="15.75" thickBot="1">
      <c r="A154" s="102"/>
      <c r="B154" s="103"/>
      <c r="C154" s="117" t="s">
        <v>391</v>
      </c>
      <c r="D154" s="118">
        <v>0</v>
      </c>
      <c r="E154" s="258" t="s">
        <v>274</v>
      </c>
      <c r="F154" s="610"/>
      <c r="G154" s="611"/>
      <c r="H154" s="610"/>
      <c r="I154" s="611"/>
      <c r="J154" s="107">
        <v>0</v>
      </c>
      <c r="K154" s="108">
        <f>SUM(D154*J154)</f>
        <v>0</v>
      </c>
      <c r="L154" s="120">
        <f>SUM(G154+I154+K154)</f>
        <v>0</v>
      </c>
      <c r="M154" s="613"/>
      <c r="N154" s="136"/>
      <c r="O154" s="271"/>
    </row>
    <row r="155" spans="1:136" ht="15.75" thickBot="1">
      <c r="A155" s="602"/>
      <c r="B155" s="603"/>
      <c r="C155" s="121" t="s">
        <v>391</v>
      </c>
      <c r="D155" s="113"/>
      <c r="E155" s="114"/>
      <c r="F155" s="114"/>
      <c r="G155" s="114"/>
      <c r="H155" s="114"/>
      <c r="I155" s="114"/>
      <c r="J155" s="114"/>
      <c r="K155" s="114"/>
      <c r="L155" s="116">
        <f>SUM(L156:L158)</f>
        <v>5000</v>
      </c>
      <c r="M155" s="116"/>
      <c r="N155" s="116"/>
      <c r="O155" s="271"/>
    </row>
    <row r="156" spans="1:136">
      <c r="A156" s="257"/>
      <c r="B156" s="258"/>
      <c r="C156" s="736" t="s">
        <v>392</v>
      </c>
      <c r="D156" s="757">
        <v>2</v>
      </c>
      <c r="E156" s="744" t="s">
        <v>271</v>
      </c>
      <c r="F156" s="606"/>
      <c r="G156" s="607"/>
      <c r="H156" s="606"/>
      <c r="I156" s="607"/>
      <c r="J156" s="760">
        <v>2500</v>
      </c>
      <c r="K156" s="758">
        <f>SUM(D156*J156)</f>
        <v>5000</v>
      </c>
      <c r="L156" s="759">
        <f t="shared" si="21"/>
        <v>5000</v>
      </c>
      <c r="M156" s="761"/>
      <c r="N156" s="766"/>
      <c r="O156" s="271"/>
    </row>
    <row r="157" spans="1:136">
      <c r="A157" s="257"/>
      <c r="B157" s="258"/>
      <c r="C157" s="543" t="s">
        <v>393</v>
      </c>
      <c r="D157" s="757">
        <v>0</v>
      </c>
      <c r="E157" s="258" t="s">
        <v>286</v>
      </c>
      <c r="F157" s="608"/>
      <c r="G157" s="609"/>
      <c r="H157" s="608"/>
      <c r="I157" s="609"/>
      <c r="J157" s="269">
        <v>0</v>
      </c>
      <c r="K157" s="758">
        <f>SUM(D157*J157)</f>
        <v>0</v>
      </c>
      <c r="L157" s="759">
        <f t="shared" si="21"/>
        <v>0</v>
      </c>
      <c r="M157" s="612"/>
      <c r="N157" s="551"/>
      <c r="O157" s="271"/>
    </row>
    <row r="158" spans="1:136" ht="15.75" thickBot="1">
      <c r="A158" s="257"/>
      <c r="B158" s="258"/>
      <c r="C158" s="543" t="s">
        <v>394</v>
      </c>
      <c r="D158" s="757">
        <v>0</v>
      </c>
      <c r="E158" s="258" t="s">
        <v>271</v>
      </c>
      <c r="F158" s="608"/>
      <c r="G158" s="609"/>
      <c r="H158" s="608"/>
      <c r="I158" s="609"/>
      <c r="J158" s="269">
        <v>0</v>
      </c>
      <c r="K158" s="128">
        <f>SUM(D158*J158)</f>
        <v>0</v>
      </c>
      <c r="L158" s="129">
        <f t="shared" si="21"/>
        <v>0</v>
      </c>
      <c r="M158" s="612"/>
      <c r="N158" s="551"/>
      <c r="O158" s="271"/>
    </row>
    <row r="159" spans="1:136" s="82" customFormat="1" ht="15.75" thickBot="1">
      <c r="A159" s="668"/>
      <c r="B159" s="669"/>
      <c r="C159" s="140" t="s">
        <v>235</v>
      </c>
      <c r="D159" s="141"/>
      <c r="E159" s="142"/>
      <c r="F159" s="143"/>
      <c r="G159" s="144">
        <f>SUM(G10:G158)</f>
        <v>6222864.1215684274</v>
      </c>
      <c r="H159" s="143"/>
      <c r="I159" s="144">
        <f>SUM(I10:I158)</f>
        <v>205160</v>
      </c>
      <c r="J159" s="143"/>
      <c r="K159" s="144">
        <f>SUM(K10:K158)</f>
        <v>735512.55714285711</v>
      </c>
      <c r="L159" s="144">
        <f>SUM(L9:L158)/2</f>
        <v>7163536.6787112849</v>
      </c>
      <c r="M159" s="145"/>
      <c r="N159" s="145"/>
      <c r="O159" s="271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</row>
    <row r="160" spans="1:136" s="82" customFormat="1" ht="15.75" thickBot="1">
      <c r="A160" s="74"/>
      <c r="B160" s="74"/>
      <c r="C160" s="26"/>
      <c r="D160" s="146"/>
      <c r="E160" s="77"/>
      <c r="F160" s="147"/>
      <c r="G160" s="147"/>
      <c r="H160" s="147"/>
      <c r="I160" s="147"/>
      <c r="J160" s="147"/>
      <c r="K160" s="147"/>
      <c r="L160" s="147"/>
      <c r="M160" s="147"/>
      <c r="N160" s="50"/>
      <c r="O160" s="5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</row>
    <row r="161" spans="1:25" s="82" customFormat="1" ht="15.75" customHeight="1" thickBot="1">
      <c r="A161" s="74"/>
      <c r="B161" s="74"/>
      <c r="C161" s="26"/>
      <c r="D161" s="146"/>
      <c r="E161" s="77"/>
      <c r="F161" s="147"/>
      <c r="G161" s="147"/>
      <c r="H161" s="147"/>
      <c r="I161" s="147"/>
      <c r="J161" s="670" t="s">
        <v>395</v>
      </c>
      <c r="K161" s="671"/>
      <c r="L161" s="148">
        <f>G159</f>
        <v>6222864.1215684274</v>
      </c>
      <c r="M161" s="50">
        <f>L161/L4</f>
        <v>279052.20276091603</v>
      </c>
      <c r="P161"/>
      <c r="Y161"/>
    </row>
    <row r="162" spans="1:25" s="82" customFormat="1" ht="15.75" customHeight="1" thickBot="1">
      <c r="A162" s="74"/>
      <c r="B162" s="74"/>
      <c r="D162" s="146"/>
      <c r="E162" s="77"/>
      <c r="F162" s="147"/>
      <c r="G162" s="147"/>
      <c r="H162" s="147"/>
      <c r="I162" s="147"/>
      <c r="J162" s="652" t="s">
        <v>396</v>
      </c>
      <c r="K162" s="653"/>
      <c r="L162" s="149">
        <f>I159+K159</f>
        <v>940672.55714285711</v>
      </c>
      <c r="M162" s="50">
        <f>L162/L4</f>
        <v>42182.625880845611</v>
      </c>
      <c r="P162"/>
      <c r="Y162"/>
    </row>
    <row r="163" spans="1:25" s="82" customFormat="1" ht="15" customHeight="1" thickBot="1">
      <c r="A163" s="74"/>
      <c r="B163" s="74"/>
      <c r="D163" s="146"/>
      <c r="E163" s="77"/>
      <c r="F163" s="147"/>
      <c r="G163" s="147"/>
      <c r="H163" s="147"/>
      <c r="I163" s="147"/>
      <c r="J163" s="650" t="s">
        <v>397</v>
      </c>
      <c r="K163" s="651"/>
      <c r="L163" s="150">
        <f>SUM(L161:L162)</f>
        <v>7163536.6787112849</v>
      </c>
      <c r="M163" s="50">
        <f>L163/L4</f>
        <v>321234.82864176162</v>
      </c>
      <c r="N163" t="s">
        <v>398</v>
      </c>
      <c r="O163"/>
      <c r="P163"/>
      <c r="Y163"/>
    </row>
    <row r="164" spans="1:25" s="82" customFormat="1">
      <c r="A164" s="74"/>
      <c r="B164" s="74"/>
      <c r="D164" s="146"/>
      <c r="E164" s="77"/>
      <c r="F164" s="147"/>
      <c r="G164" s="147"/>
      <c r="H164" s="147"/>
      <c r="I164" s="147"/>
      <c r="J164" s="147"/>
      <c r="K164" s="147"/>
      <c r="L164" s="147">
        <f>L159-L163</f>
        <v>0</v>
      </c>
      <c r="M164" s="50"/>
      <c r="N164" s="50"/>
      <c r="O164" s="50"/>
      <c r="P164"/>
      <c r="Y164"/>
    </row>
    <row r="165" spans="1:25" s="82" customFormat="1">
      <c r="A165" s="74"/>
      <c r="B165" s="74"/>
      <c r="D165" s="146"/>
      <c r="E165" s="77"/>
      <c r="F165" s="147"/>
      <c r="G165" s="147"/>
      <c r="H165" s="147"/>
      <c r="I165" s="147"/>
      <c r="J165" s="147"/>
      <c r="K165" s="147"/>
      <c r="L165" s="147"/>
      <c r="M165" s="147"/>
      <c r="N165" s="50"/>
      <c r="O165" s="50"/>
      <c r="P165"/>
      <c r="Y165"/>
    </row>
    <row r="166" spans="1:25" s="82" customFormat="1">
      <c r="A166" s="74"/>
      <c r="B166" s="74"/>
      <c r="D166" s="146"/>
      <c r="E166" s="77"/>
      <c r="F166" s="147"/>
      <c r="G166" s="147"/>
      <c r="H166" s="147"/>
      <c r="I166" s="147"/>
      <c r="J166" s="147"/>
      <c r="K166" s="147"/>
      <c r="L166" s="147"/>
      <c r="M166" s="147"/>
      <c r="N166" s="50"/>
      <c r="O166" s="50"/>
      <c r="P166"/>
      <c r="Y166"/>
    </row>
    <row r="167" spans="1:25" s="82" customFormat="1">
      <c r="A167" s="74"/>
      <c r="B167" s="74"/>
      <c r="D167" s="146"/>
      <c r="E167" s="77"/>
      <c r="F167" s="147"/>
      <c r="G167" s="147"/>
      <c r="H167" s="147"/>
      <c r="I167" s="147"/>
      <c r="J167" s="147"/>
      <c r="K167" s="147"/>
      <c r="L167" s="147"/>
      <c r="M167" s="147"/>
      <c r="N167" s="50"/>
      <c r="O167" s="50"/>
      <c r="P167"/>
      <c r="Y167"/>
    </row>
    <row r="168" spans="1:25" s="82" customFormat="1">
      <c r="A168" s="74"/>
      <c r="B168" s="74"/>
      <c r="D168" s="146"/>
      <c r="E168" s="77"/>
      <c r="F168" s="147"/>
      <c r="G168" s="147"/>
      <c r="H168" s="147"/>
      <c r="I168" s="147"/>
      <c r="J168" s="147"/>
      <c r="K168" s="147"/>
      <c r="L168" s="147"/>
      <c r="M168" s="147"/>
      <c r="N168" s="50"/>
      <c r="O168" s="50"/>
      <c r="P168"/>
      <c r="Y168"/>
    </row>
    <row r="169" spans="1:25" s="82" customFormat="1">
      <c r="A169" s="74"/>
      <c r="B169" s="74"/>
      <c r="D169" s="146"/>
      <c r="E169" s="77"/>
      <c r="F169" s="147"/>
      <c r="G169" s="147"/>
      <c r="H169" s="147"/>
      <c r="I169" s="147"/>
      <c r="J169" s="147"/>
      <c r="K169" s="147"/>
      <c r="L169" s="147"/>
      <c r="M169" s="147"/>
      <c r="N169" s="50"/>
      <c r="O169" s="50"/>
      <c r="P169"/>
    </row>
    <row r="170" spans="1:25" s="82" customFormat="1">
      <c r="A170" s="74"/>
      <c r="B170" s="74"/>
      <c r="D170" s="146"/>
      <c r="E170" s="77"/>
      <c r="F170" s="147"/>
      <c r="G170" s="147"/>
      <c r="H170" s="147"/>
      <c r="I170" s="147"/>
      <c r="J170" s="147"/>
      <c r="K170" s="147"/>
      <c r="L170" s="147"/>
      <c r="M170" s="147"/>
      <c r="N170" s="50"/>
      <c r="O170" s="50"/>
      <c r="P170"/>
    </row>
    <row r="171" spans="1:25" s="82" customFormat="1">
      <c r="A171" s="74"/>
      <c r="B171" s="74"/>
      <c r="D171" s="146"/>
      <c r="E171" s="77"/>
      <c r="F171" s="147"/>
      <c r="G171" s="147"/>
      <c r="H171" s="147"/>
      <c r="I171" s="147"/>
      <c r="J171" s="147"/>
      <c r="K171" s="147"/>
      <c r="L171" s="147"/>
      <c r="M171" s="147"/>
      <c r="N171" s="50"/>
      <c r="O171" s="50"/>
      <c r="P171"/>
    </row>
    <row r="172" spans="1:25" s="82" customFormat="1">
      <c r="A172" s="74"/>
      <c r="B172" s="74"/>
      <c r="D172" s="146"/>
      <c r="E172" s="77"/>
      <c r="F172" s="147"/>
      <c r="G172" s="147"/>
      <c r="H172" s="147"/>
      <c r="I172" s="147"/>
      <c r="J172" s="147"/>
      <c r="K172" s="147"/>
      <c r="L172" s="147"/>
      <c r="M172" s="147"/>
      <c r="N172" s="50"/>
      <c r="O172" s="50"/>
      <c r="P172"/>
    </row>
    <row r="173" spans="1:25" s="82" customFormat="1">
      <c r="A173" s="74"/>
      <c r="B173" s="74"/>
      <c r="D173" s="146"/>
      <c r="E173" s="77"/>
      <c r="F173" s="147"/>
      <c r="G173" s="147"/>
      <c r="H173" s="147"/>
      <c r="I173" s="147"/>
      <c r="J173" s="147"/>
      <c r="K173" s="147"/>
      <c r="L173" s="147"/>
      <c r="M173" s="147"/>
      <c r="N173" s="50"/>
      <c r="O173" s="50"/>
      <c r="P173"/>
    </row>
    <row r="174" spans="1:25" s="82" customFormat="1">
      <c r="A174" s="74"/>
      <c r="B174" s="74"/>
      <c r="D174" s="146"/>
      <c r="E174" s="77"/>
      <c r="F174" s="147"/>
      <c r="G174" s="147"/>
      <c r="H174" s="147"/>
      <c r="I174" s="147"/>
      <c r="J174" s="147"/>
      <c r="K174" s="147"/>
      <c r="L174" s="147"/>
      <c r="M174" s="147"/>
      <c r="N174" s="50"/>
      <c r="O174" s="50"/>
      <c r="P174"/>
    </row>
    <row r="175" spans="1:25" s="82" customFormat="1">
      <c r="A175" s="74"/>
      <c r="B175" s="74"/>
      <c r="D175" s="146"/>
      <c r="E175" s="77"/>
      <c r="F175" s="147"/>
      <c r="G175" s="147"/>
      <c r="H175" s="147"/>
      <c r="I175" s="147"/>
      <c r="J175" s="147"/>
      <c r="K175" s="147"/>
      <c r="L175" s="147"/>
      <c r="M175" s="147"/>
      <c r="N175" s="50"/>
      <c r="O175" s="50"/>
      <c r="P175"/>
    </row>
    <row r="176" spans="1:25" s="82" customFormat="1">
      <c r="A176" s="74"/>
      <c r="B176" s="74"/>
      <c r="D176" s="146"/>
      <c r="E176" s="77"/>
      <c r="F176" s="147"/>
      <c r="G176" s="147"/>
      <c r="H176" s="147"/>
      <c r="I176" s="147"/>
      <c r="J176" s="147"/>
      <c r="K176" s="147"/>
      <c r="L176" s="147"/>
      <c r="M176" s="147"/>
      <c r="N176" s="50"/>
      <c r="O176" s="50"/>
      <c r="P176"/>
    </row>
    <row r="177" spans="1:25" s="82" customFormat="1">
      <c r="A177" s="74"/>
      <c r="B177" s="74"/>
      <c r="D177" s="146"/>
      <c r="E177" s="77"/>
      <c r="F177" s="147"/>
      <c r="G177" s="147"/>
      <c r="H177" s="147"/>
      <c r="I177" s="147"/>
      <c r="J177" s="147"/>
      <c r="K177" s="147"/>
      <c r="L177" s="147"/>
      <c r="M177" s="147"/>
      <c r="N177" s="50"/>
      <c r="O177" s="50"/>
      <c r="P177"/>
    </row>
    <row r="178" spans="1:25" s="82" customFormat="1">
      <c r="A178" s="74"/>
      <c r="B178" s="74"/>
      <c r="D178" s="146"/>
      <c r="E178" s="77"/>
      <c r="F178" s="147"/>
      <c r="G178" s="147"/>
      <c r="H178" s="147"/>
      <c r="I178" s="147"/>
      <c r="J178" s="147"/>
      <c r="K178" s="147"/>
      <c r="L178" s="147"/>
      <c r="M178" s="147"/>
      <c r="N178" s="50"/>
      <c r="O178" s="50"/>
      <c r="P178"/>
    </row>
    <row r="179" spans="1:25" s="82" customFormat="1">
      <c r="A179" s="74"/>
      <c r="B179" s="74"/>
      <c r="D179" s="146"/>
      <c r="E179" s="77"/>
      <c r="F179" s="147"/>
      <c r="G179" s="147"/>
      <c r="H179" s="147"/>
      <c r="I179" s="147"/>
      <c r="J179" s="147"/>
      <c r="K179" s="147"/>
      <c r="L179" s="147"/>
      <c r="M179" s="147"/>
      <c r="N179" s="50"/>
      <c r="O179" s="50"/>
      <c r="P179"/>
    </row>
    <row r="180" spans="1:25" s="82" customFormat="1">
      <c r="A180" s="74"/>
      <c r="B180" s="74"/>
      <c r="D180" s="146"/>
      <c r="E180" s="77"/>
      <c r="F180" s="147"/>
      <c r="G180" s="147"/>
      <c r="H180" s="147"/>
      <c r="I180" s="147"/>
      <c r="J180" s="147"/>
      <c r="K180" s="147"/>
      <c r="L180" s="147"/>
      <c r="M180" s="147"/>
      <c r="N180" s="50"/>
      <c r="O180" s="50"/>
      <c r="P180"/>
    </row>
    <row r="181" spans="1:25" s="82" customFormat="1">
      <c r="A181" s="74"/>
      <c r="B181" s="74"/>
      <c r="D181" s="146"/>
      <c r="E181" s="77"/>
      <c r="F181" s="147"/>
      <c r="G181" s="147"/>
      <c r="H181" s="147"/>
      <c r="I181" s="147"/>
      <c r="J181" s="147"/>
      <c r="K181" s="147"/>
      <c r="L181" s="147"/>
      <c r="M181" s="147"/>
      <c r="N181" s="50"/>
      <c r="O181" s="50"/>
      <c r="P181"/>
    </row>
    <row r="182" spans="1:25" s="82" customFormat="1">
      <c r="A182" s="74"/>
      <c r="B182" s="74"/>
      <c r="D182" s="146"/>
      <c r="E182" s="77"/>
      <c r="F182" s="147"/>
      <c r="G182" s="147"/>
      <c r="H182" s="147"/>
      <c r="I182" s="147"/>
      <c r="J182" s="147"/>
      <c r="K182" s="147"/>
      <c r="L182" s="147"/>
      <c r="M182" s="147"/>
      <c r="N182" s="50"/>
      <c r="O182" s="50"/>
      <c r="P182"/>
    </row>
    <row r="183" spans="1:25" s="82" customFormat="1">
      <c r="A183" s="74"/>
      <c r="B183" s="74"/>
      <c r="D183" s="146"/>
      <c r="E183" s="77"/>
      <c r="F183" s="147"/>
      <c r="G183" s="147"/>
      <c r="H183" s="147"/>
      <c r="I183" s="147"/>
      <c r="J183" s="147"/>
      <c r="K183" s="147"/>
      <c r="L183" s="147"/>
      <c r="M183" s="147"/>
      <c r="N183" s="50"/>
      <c r="O183" s="50"/>
      <c r="P183"/>
    </row>
    <row r="184" spans="1:25" s="82" customFormat="1">
      <c r="A184" s="74"/>
      <c r="B184" s="74"/>
      <c r="D184" s="146"/>
      <c r="E184" s="77"/>
      <c r="F184" s="147"/>
      <c r="G184" s="147"/>
      <c r="H184" s="147"/>
      <c r="I184" s="147"/>
      <c r="J184" s="147"/>
      <c r="K184" s="147"/>
      <c r="L184" s="147"/>
      <c r="M184" s="147"/>
      <c r="N184" s="50"/>
      <c r="O184" s="50"/>
      <c r="P184"/>
    </row>
    <row r="185" spans="1:25" s="82" customFormat="1">
      <c r="A185" s="74"/>
      <c r="B185" s="74"/>
      <c r="D185" s="146"/>
      <c r="E185" s="77"/>
      <c r="F185" s="50"/>
      <c r="G185" s="50"/>
      <c r="H185" s="50"/>
      <c r="I185" s="50"/>
      <c r="J185" s="50"/>
      <c r="K185" s="50"/>
      <c r="L185" s="147"/>
      <c r="M185" s="147"/>
      <c r="N185" s="50"/>
      <c r="O185" s="50"/>
      <c r="P185"/>
    </row>
    <row r="186" spans="1:25">
      <c r="Y186" s="82"/>
    </row>
    <row r="187" spans="1:25">
      <c r="Y187" s="82"/>
    </row>
    <row r="188" spans="1:25">
      <c r="Y188" s="82"/>
    </row>
    <row r="189" spans="1:25">
      <c r="Y189" s="82"/>
    </row>
    <row r="190" spans="1:25">
      <c r="Y190" s="82"/>
    </row>
    <row r="191" spans="1:25">
      <c r="Y191" s="82"/>
    </row>
    <row r="192" spans="1:25">
      <c r="Y192" s="82"/>
    </row>
    <row r="193" spans="25:25">
      <c r="Y193" s="82"/>
    </row>
    <row r="194" spans="25:25"/>
  </sheetData>
  <mergeCells count="82">
    <mergeCell ref="A150:B150"/>
    <mergeCell ref="A155:B155"/>
    <mergeCell ref="A159:B159"/>
    <mergeCell ref="J161:K161"/>
    <mergeCell ref="A145:B145"/>
    <mergeCell ref="F146:G149"/>
    <mergeCell ref="H146:I149"/>
    <mergeCell ref="A141:B141"/>
    <mergeCell ref="F142:G144"/>
    <mergeCell ref="H142:I144"/>
    <mergeCell ref="M142:M144"/>
    <mergeCell ref="F136:G140"/>
    <mergeCell ref="M146:M149"/>
    <mergeCell ref="F101:G118"/>
    <mergeCell ref="H101:I118"/>
    <mergeCell ref="M101:M118"/>
    <mergeCell ref="A119:B119"/>
    <mergeCell ref="F120:G125"/>
    <mergeCell ref="H120:I125"/>
    <mergeCell ref="M120:M125"/>
    <mergeCell ref="A126:B126"/>
    <mergeCell ref="F127:G134"/>
    <mergeCell ref="H127:I134"/>
    <mergeCell ref="M127:M134"/>
    <mergeCell ref="A135:B135"/>
    <mergeCell ref="H136:I137"/>
    <mergeCell ref="M136:M140"/>
    <mergeCell ref="J138:K140"/>
    <mergeCell ref="A82:B82"/>
    <mergeCell ref="F83:G95"/>
    <mergeCell ref="H83:I95"/>
    <mergeCell ref="M83:M95"/>
    <mergeCell ref="A96:B96"/>
    <mergeCell ref="A44:B44"/>
    <mergeCell ref="F45:G65"/>
    <mergeCell ref="J45:K65"/>
    <mergeCell ref="M45:M65"/>
    <mergeCell ref="A66:B66"/>
    <mergeCell ref="D66:L66"/>
    <mergeCell ref="H10:I26"/>
    <mergeCell ref="J10:K26"/>
    <mergeCell ref="A27:B27"/>
    <mergeCell ref="H28:I43"/>
    <mergeCell ref="J28:K43"/>
    <mergeCell ref="P3:P8"/>
    <mergeCell ref="R4:S4"/>
    <mergeCell ref="R5:S5"/>
    <mergeCell ref="R7:S7"/>
    <mergeCell ref="R8:S8"/>
    <mergeCell ref="J163:K163"/>
    <mergeCell ref="J162:K162"/>
    <mergeCell ref="F151:G154"/>
    <mergeCell ref="H151:I154"/>
    <mergeCell ref="M151:M154"/>
    <mergeCell ref="F156:G158"/>
    <mergeCell ref="H156:I158"/>
    <mergeCell ref="M156:M158"/>
    <mergeCell ref="A9:B9"/>
    <mergeCell ref="A1:A8"/>
    <mergeCell ref="B1:B8"/>
    <mergeCell ref="C1:N2"/>
    <mergeCell ref="C3:E6"/>
    <mergeCell ref="F3:G3"/>
    <mergeCell ref="C7:C8"/>
    <mergeCell ref="D7:D8"/>
    <mergeCell ref="F5:G5"/>
    <mergeCell ref="A100:B100"/>
    <mergeCell ref="P1:Y2"/>
    <mergeCell ref="O3:O8"/>
    <mergeCell ref="F97:G99"/>
    <mergeCell ref="H97:I99"/>
    <mergeCell ref="M97:M99"/>
    <mergeCell ref="F67:G81"/>
    <mergeCell ref="H67:I81"/>
    <mergeCell ref="N3:N8"/>
    <mergeCell ref="F4:G4"/>
    <mergeCell ref="F6:G6"/>
    <mergeCell ref="H6:I6"/>
    <mergeCell ref="J6:K6"/>
    <mergeCell ref="L6:L8"/>
    <mergeCell ref="M3:M8"/>
    <mergeCell ref="E7:E8"/>
  </mergeCells>
  <pageMargins left="0.7" right="0.7" top="0.75" bottom="0.75" header="0.3" footer="0.3"/>
  <pageSetup paperSize="3" scale="95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8C34-5F9F-48A1-A5ED-560966146462}">
  <sheetPr>
    <tabColor theme="9" tint="0.39997558519241921"/>
  </sheetPr>
  <dimension ref="A1:H40"/>
  <sheetViews>
    <sheetView topLeftCell="A4" workbookViewId="0">
      <selection activeCell="F9" sqref="F9"/>
    </sheetView>
  </sheetViews>
  <sheetFormatPr defaultRowHeight="15"/>
  <cols>
    <col min="3" max="3" width="13.85546875" customWidth="1"/>
    <col min="5" max="5" width="14" customWidth="1"/>
  </cols>
  <sheetData>
    <row r="1" spans="1:8">
      <c r="E1" s="41"/>
    </row>
    <row r="2" spans="1:8">
      <c r="E2" s="41"/>
    </row>
    <row r="3" spans="1:8">
      <c r="A3" t="s">
        <v>399</v>
      </c>
      <c r="E3" s="41"/>
    </row>
    <row r="4" spans="1:8">
      <c r="E4" s="41"/>
    </row>
    <row r="5" spans="1:8">
      <c r="A5" s="82" t="s">
        <v>400</v>
      </c>
      <c r="E5" s="41"/>
    </row>
    <row r="6" spans="1:8">
      <c r="A6" t="s">
        <v>401</v>
      </c>
      <c r="B6" s="276"/>
      <c r="C6" s="276"/>
      <c r="D6" s="276"/>
      <c r="E6" s="277"/>
      <c r="F6" s="276"/>
      <c r="G6" s="276"/>
      <c r="H6" s="276"/>
    </row>
    <row r="7" spans="1:8" ht="15.75" thickBot="1">
      <c r="A7" s="276" t="s">
        <v>402</v>
      </c>
      <c r="E7" s="41"/>
    </row>
    <row r="8" spans="1:8" ht="15.75" thickBot="1">
      <c r="C8" s="672" t="s">
        <v>403</v>
      </c>
      <c r="D8" s="672"/>
      <c r="E8" s="672"/>
      <c r="F8" s="278">
        <v>0.35</v>
      </c>
    </row>
    <row r="9" spans="1:8" ht="30">
      <c r="A9" s="74"/>
      <c r="B9" s="74"/>
      <c r="C9" s="74"/>
      <c r="D9" s="74"/>
      <c r="E9" s="559" t="s">
        <v>404</v>
      </c>
      <c r="F9" s="779" t="s">
        <v>405</v>
      </c>
      <c r="G9" s="559" t="s">
        <v>235</v>
      </c>
      <c r="H9" s="74"/>
    </row>
    <row r="10" spans="1:8">
      <c r="B10">
        <v>1</v>
      </c>
      <c r="C10" t="s">
        <v>406</v>
      </c>
      <c r="E10" s="41">
        <v>157.66656272329965</v>
      </c>
      <c r="F10" s="279">
        <f t="shared" ref="F10:F40" si="0">E10*$F$8</f>
        <v>55.183296953154873</v>
      </c>
      <c r="G10" s="279">
        <f t="shared" ref="G10:G40" si="1">SUM(E10:F10)</f>
        <v>212.84985967645451</v>
      </c>
    </row>
    <row r="11" spans="1:8">
      <c r="B11">
        <v>2</v>
      </c>
      <c r="C11" t="s">
        <v>407</v>
      </c>
      <c r="E11" s="41">
        <v>130.67474961637163</v>
      </c>
      <c r="F11" s="279">
        <f t="shared" si="0"/>
        <v>45.736162365730067</v>
      </c>
      <c r="G11" s="279">
        <f t="shared" si="1"/>
        <v>176.41091198210171</v>
      </c>
    </row>
    <row r="12" spans="1:8">
      <c r="B12">
        <v>3</v>
      </c>
      <c r="C12" t="s">
        <v>408</v>
      </c>
      <c r="E12" s="41">
        <v>120.3413239935074</v>
      </c>
      <c r="F12" s="279">
        <f t="shared" si="0"/>
        <v>42.119463397727586</v>
      </c>
      <c r="G12" s="279">
        <f t="shared" si="1"/>
        <v>162.46078739123499</v>
      </c>
    </row>
    <row r="13" spans="1:8">
      <c r="B13">
        <v>4</v>
      </c>
      <c r="C13" t="s">
        <v>409</v>
      </c>
      <c r="E13" s="41">
        <v>110.14475923076922</v>
      </c>
      <c r="F13" s="279">
        <f t="shared" si="0"/>
        <v>38.550665730769225</v>
      </c>
      <c r="G13" s="279">
        <f t="shared" si="1"/>
        <v>148.69542496153844</v>
      </c>
    </row>
    <row r="14" spans="1:8">
      <c r="B14">
        <v>5</v>
      </c>
      <c r="C14" t="s">
        <v>410</v>
      </c>
      <c r="E14" s="41">
        <v>94.265604056207636</v>
      </c>
      <c r="F14" s="279">
        <f t="shared" si="0"/>
        <v>32.992961419672667</v>
      </c>
      <c r="G14" s="279">
        <f t="shared" si="1"/>
        <v>127.2585654758803</v>
      </c>
    </row>
    <row r="15" spans="1:8">
      <c r="B15">
        <v>6</v>
      </c>
      <c r="C15" t="s">
        <v>411</v>
      </c>
      <c r="E15" s="41">
        <v>66.505247044441447</v>
      </c>
      <c r="F15" s="279">
        <f t="shared" si="0"/>
        <v>23.276836465554506</v>
      </c>
      <c r="G15" s="279">
        <f t="shared" si="1"/>
        <v>89.782083509995957</v>
      </c>
    </row>
    <row r="16" spans="1:8">
      <c r="B16">
        <v>7</v>
      </c>
      <c r="C16" t="s">
        <v>412</v>
      </c>
      <c r="E16" s="41">
        <v>85.810040186656153</v>
      </c>
      <c r="F16" s="279">
        <f t="shared" si="0"/>
        <v>30.033514065329651</v>
      </c>
      <c r="G16" s="279">
        <f t="shared" si="1"/>
        <v>115.84355425198581</v>
      </c>
    </row>
    <row r="17" spans="2:7">
      <c r="B17">
        <v>8</v>
      </c>
      <c r="C17" t="s">
        <v>413</v>
      </c>
      <c r="E17" s="41">
        <v>82.733563522458013</v>
      </c>
      <c r="F17" s="279">
        <f t="shared" si="0"/>
        <v>28.956747232860302</v>
      </c>
      <c r="G17" s="279">
        <f t="shared" si="1"/>
        <v>111.69031075531831</v>
      </c>
    </row>
    <row r="18" spans="2:7">
      <c r="B18">
        <v>9</v>
      </c>
      <c r="C18" t="s">
        <v>414</v>
      </c>
      <c r="E18" s="41">
        <v>131.75198835114654</v>
      </c>
      <c r="F18" s="279">
        <f t="shared" si="0"/>
        <v>46.113195922901284</v>
      </c>
      <c r="G18" s="279">
        <f t="shared" si="1"/>
        <v>177.86518427404781</v>
      </c>
    </row>
    <row r="19" spans="2:7">
      <c r="B19">
        <v>10</v>
      </c>
      <c r="C19" t="s">
        <v>415</v>
      </c>
      <c r="E19" s="41">
        <v>110.59222737485382</v>
      </c>
      <c r="F19" s="279">
        <f t="shared" si="0"/>
        <v>38.707279581198833</v>
      </c>
      <c r="G19" s="279">
        <f t="shared" si="1"/>
        <v>149.29950695605265</v>
      </c>
    </row>
    <row r="20" spans="2:7">
      <c r="B20">
        <v>11</v>
      </c>
      <c r="C20" t="s">
        <v>416</v>
      </c>
      <c r="E20" s="41">
        <v>90.514804365319037</v>
      </c>
      <c r="F20" s="279">
        <f t="shared" si="0"/>
        <v>31.680181527861659</v>
      </c>
      <c r="G20" s="279">
        <f t="shared" si="1"/>
        <v>122.1949858931807</v>
      </c>
    </row>
    <row r="21" spans="2:7">
      <c r="B21">
        <v>12</v>
      </c>
      <c r="C21" t="s">
        <v>417</v>
      </c>
      <c r="E21" s="41">
        <v>59.915465950140074</v>
      </c>
      <c r="F21" s="279">
        <f t="shared" si="0"/>
        <v>20.970413082549026</v>
      </c>
      <c r="G21" s="279">
        <f t="shared" si="1"/>
        <v>80.885879032689104</v>
      </c>
    </row>
    <row r="22" spans="2:7">
      <c r="B22">
        <v>13</v>
      </c>
      <c r="C22" t="s">
        <v>418</v>
      </c>
      <c r="E22" s="41">
        <v>102.93238753698225</v>
      </c>
      <c r="F22" s="279">
        <f t="shared" si="0"/>
        <v>36.026335637943781</v>
      </c>
      <c r="G22" s="279">
        <f t="shared" si="1"/>
        <v>138.95872317492604</v>
      </c>
    </row>
    <row r="23" spans="2:7">
      <c r="B23">
        <v>14</v>
      </c>
      <c r="C23" t="s">
        <v>263</v>
      </c>
      <c r="E23" s="41">
        <v>41.528452124415374</v>
      </c>
      <c r="F23" s="279">
        <f t="shared" si="0"/>
        <v>14.534958243545379</v>
      </c>
      <c r="G23" s="279">
        <f t="shared" si="1"/>
        <v>56.063410367960756</v>
      </c>
    </row>
    <row r="24" spans="2:7">
      <c r="B24">
        <v>15</v>
      </c>
      <c r="C24" t="s">
        <v>419</v>
      </c>
      <c r="E24" s="41">
        <v>115.93784347759767</v>
      </c>
      <c r="F24" s="279">
        <f t="shared" si="0"/>
        <v>40.578245217159179</v>
      </c>
      <c r="G24" s="279">
        <f t="shared" si="1"/>
        <v>156.51608869475683</v>
      </c>
    </row>
    <row r="25" spans="2:7">
      <c r="B25">
        <v>16</v>
      </c>
      <c r="C25" t="s">
        <v>420</v>
      </c>
      <c r="E25" s="41">
        <v>102.72671377106045</v>
      </c>
      <c r="F25" s="279">
        <f t="shared" si="0"/>
        <v>35.954349819871155</v>
      </c>
      <c r="G25" s="279">
        <f t="shared" si="1"/>
        <v>138.68106359093161</v>
      </c>
    </row>
    <row r="26" spans="2:7">
      <c r="B26">
        <v>17</v>
      </c>
      <c r="C26" t="s">
        <v>421</v>
      </c>
      <c r="E26" s="41">
        <v>79.733968117713033</v>
      </c>
      <c r="F26" s="279">
        <f t="shared" si="0"/>
        <v>27.90688884119956</v>
      </c>
      <c r="G26" s="279">
        <f t="shared" si="1"/>
        <v>107.64085695891259</v>
      </c>
    </row>
    <row r="27" spans="2:7">
      <c r="C27" t="s">
        <v>422</v>
      </c>
      <c r="E27" s="41">
        <v>32.408055728281447</v>
      </c>
      <c r="F27" s="279">
        <f t="shared" si="0"/>
        <v>11.342819504898506</v>
      </c>
      <c r="G27" s="279">
        <f t="shared" si="1"/>
        <v>43.750875233179954</v>
      </c>
    </row>
    <row r="28" spans="2:7">
      <c r="C28" t="s">
        <v>423</v>
      </c>
      <c r="E28" s="41">
        <v>32.97821066136202</v>
      </c>
      <c r="F28" s="279">
        <f t="shared" si="0"/>
        <v>11.542373731476706</v>
      </c>
      <c r="G28" s="279">
        <f t="shared" si="1"/>
        <v>44.520584392838728</v>
      </c>
    </row>
    <row r="29" spans="2:7">
      <c r="C29" t="s">
        <v>424</v>
      </c>
      <c r="E29" s="41">
        <v>45.013251208111193</v>
      </c>
      <c r="F29" s="279">
        <f t="shared" si="0"/>
        <v>15.754637922838917</v>
      </c>
      <c r="G29" s="279">
        <f t="shared" si="1"/>
        <v>60.76788913095011</v>
      </c>
    </row>
    <row r="30" spans="2:7">
      <c r="C30" t="s">
        <v>425</v>
      </c>
      <c r="E30" s="41">
        <v>35.486876153846154</v>
      </c>
      <c r="F30" s="279">
        <f t="shared" si="0"/>
        <v>12.420406653846154</v>
      </c>
      <c r="G30" s="279">
        <f t="shared" si="1"/>
        <v>47.907282807692312</v>
      </c>
    </row>
    <row r="31" spans="2:7">
      <c r="C31" t="s">
        <v>426</v>
      </c>
      <c r="E31" s="41">
        <v>46.605242298570992</v>
      </c>
      <c r="F31" s="279">
        <f t="shared" si="0"/>
        <v>16.311834804499846</v>
      </c>
      <c r="G31" s="279">
        <f t="shared" si="1"/>
        <v>62.917077103070838</v>
      </c>
    </row>
    <row r="32" spans="2:7">
      <c r="C32" t="s">
        <v>427</v>
      </c>
      <c r="E32" s="41">
        <v>0</v>
      </c>
      <c r="F32" s="279">
        <f t="shared" si="0"/>
        <v>0</v>
      </c>
      <c r="G32" s="279">
        <f t="shared" si="1"/>
        <v>0</v>
      </c>
    </row>
    <row r="33" spans="3:7">
      <c r="C33" t="s">
        <v>428</v>
      </c>
      <c r="E33" s="41">
        <v>130.41080393860946</v>
      </c>
      <c r="F33" s="279">
        <f t="shared" si="0"/>
        <v>45.64378137851331</v>
      </c>
      <c r="G33" s="279">
        <f t="shared" si="1"/>
        <v>176.05458531712276</v>
      </c>
    </row>
    <row r="34" spans="3:7">
      <c r="C34" t="s">
        <v>429</v>
      </c>
      <c r="E34" s="41">
        <v>135.45803657819172</v>
      </c>
      <c r="F34" s="279">
        <f t="shared" si="0"/>
        <v>47.410312802367102</v>
      </c>
      <c r="G34" s="279">
        <f t="shared" si="1"/>
        <v>182.86834938055881</v>
      </c>
    </row>
    <row r="35" spans="3:7">
      <c r="C35" t="s">
        <v>430</v>
      </c>
      <c r="E35" s="41">
        <v>0</v>
      </c>
      <c r="F35" s="279">
        <f t="shared" si="0"/>
        <v>0</v>
      </c>
      <c r="G35" s="279">
        <f t="shared" si="1"/>
        <v>0</v>
      </c>
    </row>
    <row r="36" spans="3:7">
      <c r="C36" t="s">
        <v>431</v>
      </c>
      <c r="E36" s="41">
        <v>85.413090209579266</v>
      </c>
      <c r="F36" s="279">
        <f t="shared" si="0"/>
        <v>29.894581573352742</v>
      </c>
      <c r="G36" s="279">
        <f t="shared" si="1"/>
        <v>115.307671782932</v>
      </c>
    </row>
    <row r="37" spans="3:7">
      <c r="C37" t="s">
        <v>432</v>
      </c>
      <c r="E37" s="41">
        <v>121.55328932355434</v>
      </c>
      <c r="F37" s="279">
        <f t="shared" si="0"/>
        <v>42.543651263244016</v>
      </c>
      <c r="G37" s="279">
        <f t="shared" si="1"/>
        <v>164.09694058679835</v>
      </c>
    </row>
    <row r="38" spans="3:7">
      <c r="C38" t="s">
        <v>433</v>
      </c>
      <c r="E38" s="41">
        <v>140.91980313910551</v>
      </c>
      <c r="F38" s="279">
        <f t="shared" si="0"/>
        <v>49.321931098686925</v>
      </c>
      <c r="G38" s="279">
        <f t="shared" si="1"/>
        <v>190.24173423779243</v>
      </c>
    </row>
    <row r="39" spans="3:7">
      <c r="C39" t="s">
        <v>434</v>
      </c>
      <c r="E39" s="41">
        <v>52.717120320380801</v>
      </c>
      <c r="F39" s="279">
        <f t="shared" si="0"/>
        <v>18.450992112133278</v>
      </c>
      <c r="G39" s="279">
        <f t="shared" si="1"/>
        <v>71.168112432514079</v>
      </c>
    </row>
    <row r="40" spans="3:7">
      <c r="C40" t="s">
        <v>435</v>
      </c>
      <c r="E40" s="41">
        <v>69.670191498836502</v>
      </c>
      <c r="F40" s="279">
        <f t="shared" si="0"/>
        <v>24.384567024592773</v>
      </c>
      <c r="G40" s="279">
        <f t="shared" si="1"/>
        <v>94.054758523429271</v>
      </c>
    </row>
  </sheetData>
  <sortState xmlns:xlrd2="http://schemas.microsoft.com/office/spreadsheetml/2017/richdata2" ref="B10:G40">
    <sortCondition ref="B10:B40"/>
  </sortState>
  <mergeCells count="1">
    <mergeCell ref="C8:E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938A-0F35-4FB8-B76F-60EF09595100}">
  <sheetPr>
    <tabColor rgb="FFFFFF00"/>
    <pageSetUpPr fitToPage="1"/>
  </sheetPr>
  <dimension ref="A1:AH93"/>
  <sheetViews>
    <sheetView zoomScale="90" zoomScaleNormal="90" workbookViewId="0">
      <pane xSplit="2" ySplit="10" topLeftCell="D11" activePane="bottomRight" state="frozen"/>
      <selection pane="bottomRight" activeCell="B26" sqref="B26"/>
      <selection pane="bottomLeft" activeCell="B4" sqref="B4"/>
      <selection pane="topRight"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223" customWidth="1"/>
    <col min="5" max="5" width="7.5703125" style="2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224"/>
      <c r="E5" s="5"/>
      <c r="F5" s="5"/>
      <c r="G5" s="6" t="s">
        <v>444</v>
      </c>
      <c r="H5" s="683"/>
      <c r="I5" s="684"/>
      <c r="J5" s="683"/>
      <c r="K5" s="684"/>
      <c r="L5" s="673"/>
      <c r="M5" s="674"/>
      <c r="N5" s="673"/>
      <c r="O5" s="674"/>
      <c r="P5" s="673"/>
      <c r="Q5" s="674"/>
      <c r="R5" s="673"/>
      <c r="S5" s="674"/>
    </row>
    <row r="6" spans="1:19">
      <c r="A6" s="505" t="s">
        <v>445</v>
      </c>
      <c r="B6" s="497" t="s">
        <v>108</v>
      </c>
      <c r="C6" s="506"/>
      <c r="D6" s="522"/>
      <c r="E6" s="506"/>
      <c r="F6" s="506"/>
      <c r="G6" s="462" t="s">
        <v>446</v>
      </c>
      <c r="H6" s="685"/>
      <c r="I6" s="686"/>
      <c r="J6" s="685"/>
      <c r="K6" s="686"/>
      <c r="L6" s="675"/>
      <c r="M6" s="676"/>
      <c r="N6" s="675"/>
      <c r="O6" s="676"/>
      <c r="P6" s="675"/>
      <c r="Q6" s="676"/>
      <c r="R6" s="675"/>
      <c r="S6" s="676"/>
    </row>
    <row r="7" spans="1:19">
      <c r="A7" s="505" t="s">
        <v>447</v>
      </c>
      <c r="B7" s="509" t="s">
        <v>107</v>
      </c>
      <c r="C7" s="506"/>
      <c r="D7" s="522"/>
      <c r="E7" s="506"/>
      <c r="F7" s="506"/>
      <c r="G7" s="510" t="s">
        <v>448</v>
      </c>
      <c r="H7" s="687"/>
      <c r="I7" s="688"/>
      <c r="J7" s="687"/>
      <c r="K7" s="688"/>
      <c r="L7" s="677"/>
      <c r="M7" s="678"/>
      <c r="N7" s="677"/>
      <c r="O7" s="678"/>
      <c r="P7" s="677"/>
      <c r="Q7" s="678"/>
      <c r="R7" s="677"/>
      <c r="S7" s="678"/>
    </row>
    <row r="8" spans="1:19">
      <c r="A8" s="505" t="s">
        <v>449</v>
      </c>
      <c r="B8" s="511"/>
      <c r="C8" s="506"/>
      <c r="D8" s="522"/>
      <c r="E8" s="506"/>
      <c r="F8" s="506"/>
      <c r="G8" s="510" t="s">
        <v>450</v>
      </c>
      <c r="H8" s="689"/>
      <c r="I8" s="690"/>
      <c r="J8" s="689"/>
      <c r="K8" s="69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560"/>
      <c r="B9" s="485"/>
      <c r="C9" s="8"/>
      <c r="D9" s="225"/>
      <c r="E9" s="8"/>
      <c r="F9" s="486"/>
      <c r="G9" s="487" t="s">
        <v>451</v>
      </c>
      <c r="H9" s="780">
        <f>I55</f>
        <v>60117</v>
      </c>
      <c r="I9" s="780"/>
      <c r="J9" s="681">
        <f>K59</f>
        <v>0</v>
      </c>
      <c r="K9" s="682"/>
      <c r="L9" s="681">
        <f>M59</f>
        <v>0</v>
      </c>
      <c r="M9" s="682"/>
      <c r="N9" s="681">
        <f>O59</f>
        <v>0</v>
      </c>
      <c r="O9" s="682"/>
      <c r="P9" s="681">
        <f>Q59</f>
        <v>0</v>
      </c>
      <c r="Q9" s="682"/>
      <c r="R9" s="681">
        <f>S59</f>
        <v>0</v>
      </c>
      <c r="S9" s="682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522"/>
      <c r="E11" s="506"/>
      <c r="F11" s="506"/>
      <c r="G11" s="60"/>
      <c r="H11" s="561"/>
      <c r="I11" s="782"/>
      <c r="J11" s="561"/>
      <c r="K11" s="183"/>
      <c r="L11" s="561"/>
      <c r="M11" s="783"/>
      <c r="N11" s="561"/>
      <c r="O11" s="783"/>
      <c r="P11" s="561"/>
      <c r="Q11" s="783"/>
      <c r="R11" s="561"/>
      <c r="S11" s="783"/>
    </row>
    <row r="12" spans="1:19">
      <c r="A12" s="784"/>
      <c r="B12" s="785" t="s">
        <v>461</v>
      </c>
      <c r="C12" s="506"/>
      <c r="D12" s="522"/>
      <c r="E12" s="506"/>
      <c r="F12" s="506"/>
      <c r="G12" s="60"/>
      <c r="H12" s="561"/>
      <c r="I12" s="782"/>
      <c r="J12" s="561"/>
      <c r="K12" s="783"/>
      <c r="L12" s="561"/>
      <c r="M12" s="783"/>
      <c r="N12" s="561"/>
      <c r="O12" s="783"/>
      <c r="P12" s="561"/>
      <c r="Q12" s="783"/>
      <c r="R12" s="561"/>
      <c r="S12" s="783"/>
    </row>
    <row r="13" spans="1:19">
      <c r="A13" s="512"/>
      <c r="B13" s="786" t="s">
        <v>462</v>
      </c>
      <c r="C13" s="506"/>
      <c r="D13" s="522"/>
      <c r="E13" s="506"/>
      <c r="F13" s="506"/>
      <c r="G13" s="60"/>
      <c r="H13" s="561"/>
      <c r="I13" s="782"/>
      <c r="J13" s="561"/>
      <c r="K13" s="783"/>
      <c r="L13" s="561"/>
      <c r="M13" s="783"/>
      <c r="N13" s="561"/>
      <c r="O13" s="783"/>
      <c r="P13" s="561"/>
      <c r="Q13" s="783"/>
      <c r="R13" s="561"/>
      <c r="S13" s="783"/>
    </row>
    <row r="14" spans="1:19">
      <c r="A14" s="512"/>
      <c r="B14" s="787" t="s">
        <v>463</v>
      </c>
      <c r="C14" s="506"/>
      <c r="D14" s="522"/>
      <c r="E14" s="506"/>
      <c r="F14" s="506"/>
      <c r="G14" s="60"/>
      <c r="H14" s="561"/>
      <c r="I14" s="782"/>
      <c r="J14" s="561"/>
      <c r="K14" s="783"/>
      <c r="L14" s="561"/>
      <c r="M14" s="783"/>
      <c r="N14" s="561"/>
      <c r="O14" s="783"/>
      <c r="P14" s="561"/>
      <c r="Q14" s="783"/>
      <c r="R14" s="561"/>
      <c r="S14" s="783"/>
    </row>
    <row r="15" spans="1:19">
      <c r="A15" s="512"/>
      <c r="B15" s="787" t="s">
        <v>464</v>
      </c>
      <c r="C15" s="506"/>
      <c r="D15" s="522"/>
      <c r="E15" s="506"/>
      <c r="F15" s="506"/>
      <c r="G15" s="60"/>
      <c r="H15" s="561"/>
      <c r="I15" s="782"/>
      <c r="J15" s="561"/>
      <c r="K15" s="782"/>
      <c r="L15" s="561"/>
      <c r="M15" s="782"/>
      <c r="N15" s="561"/>
      <c r="O15" s="782"/>
      <c r="P15" s="561"/>
      <c r="Q15" s="782"/>
      <c r="R15" s="561"/>
      <c r="S15" s="782"/>
    </row>
    <row r="16" spans="1:19">
      <c r="A16" s="512"/>
      <c r="B16" s="787" t="s">
        <v>465</v>
      </c>
      <c r="C16" s="506"/>
      <c r="D16" s="522"/>
      <c r="E16" s="506"/>
      <c r="F16" s="506"/>
      <c r="G16" s="60"/>
      <c r="H16" s="561"/>
      <c r="I16" s="782"/>
      <c r="J16" s="561"/>
      <c r="K16" s="783"/>
      <c r="L16" s="561"/>
      <c r="M16" s="783"/>
      <c r="N16" s="561"/>
      <c r="O16" s="783"/>
      <c r="P16" s="561"/>
      <c r="Q16" s="783"/>
      <c r="R16" s="561"/>
      <c r="S16" s="783"/>
    </row>
    <row r="17" spans="1:19">
      <c r="A17" s="512"/>
      <c r="B17" s="787" t="s">
        <v>466</v>
      </c>
      <c r="C17" s="506"/>
      <c r="D17" s="522"/>
      <c r="E17" s="506"/>
      <c r="F17" s="506"/>
      <c r="G17" s="60"/>
      <c r="H17" s="561"/>
      <c r="I17" s="782"/>
      <c r="J17" s="561"/>
      <c r="K17" s="783"/>
      <c r="L17" s="561"/>
      <c r="M17" s="783"/>
      <c r="N17" s="561"/>
      <c r="O17" s="783"/>
      <c r="P17" s="561"/>
      <c r="Q17" s="783"/>
      <c r="R17" s="561"/>
      <c r="S17" s="783"/>
    </row>
    <row r="18" spans="1:19">
      <c r="A18" s="512"/>
      <c r="B18" s="788" t="s">
        <v>467</v>
      </c>
      <c r="C18" s="506"/>
      <c r="D18" s="522"/>
      <c r="E18" s="506"/>
      <c r="F18" s="506"/>
      <c r="G18" s="60"/>
      <c r="H18" s="561"/>
      <c r="I18" s="782"/>
      <c r="J18" s="561"/>
      <c r="K18" s="783"/>
      <c r="L18" s="561"/>
      <c r="M18" s="783"/>
      <c r="N18" s="561"/>
      <c r="O18" s="783"/>
      <c r="P18" s="561"/>
      <c r="Q18" s="783"/>
      <c r="R18" s="561"/>
      <c r="S18" s="783"/>
    </row>
    <row r="19" spans="1:19">
      <c r="A19" s="512"/>
      <c r="B19" s="789" t="s">
        <v>468</v>
      </c>
      <c r="C19" s="513"/>
      <c r="D19" s="523"/>
      <c r="E19" s="513"/>
      <c r="F19" s="516"/>
      <c r="G19" s="463"/>
      <c r="H19" s="562"/>
      <c r="I19" s="790"/>
      <c r="J19" s="562"/>
      <c r="K19" s="791"/>
      <c r="L19" s="562"/>
      <c r="M19" s="791"/>
      <c r="N19" s="562"/>
      <c r="O19" s="791"/>
      <c r="P19" s="562"/>
      <c r="Q19" s="791"/>
      <c r="R19" s="562"/>
      <c r="S19" s="791"/>
    </row>
    <row r="20" spans="1:19">
      <c r="A20" s="512"/>
      <c r="B20" s="792"/>
      <c r="C20" s="506"/>
      <c r="D20" s="522"/>
      <c r="E20" s="506"/>
      <c r="F20" s="517"/>
      <c r="G20" s="60"/>
      <c r="H20" s="561"/>
      <c r="I20" s="793"/>
      <c r="J20" s="561"/>
      <c r="K20" s="794"/>
      <c r="L20" s="561"/>
      <c r="M20" s="794"/>
      <c r="N20" s="561"/>
      <c r="O20" s="794"/>
      <c r="P20" s="561"/>
      <c r="Q20" s="794"/>
      <c r="R20" s="561"/>
      <c r="S20" s="794"/>
    </row>
    <row r="21" spans="1:19">
      <c r="A21" s="512"/>
      <c r="B21" s="229" t="s">
        <v>108</v>
      </c>
      <c r="C21" s="506"/>
      <c r="D21" s="522">
        <f>'Area Calculations'!G7</f>
        <v>4.0078282828282825</v>
      </c>
      <c r="E21" s="506" t="s">
        <v>469</v>
      </c>
      <c r="F21" s="492">
        <v>15000</v>
      </c>
      <c r="G21" s="315">
        <f t="shared" ref="G21:G49" si="0">ROUND(D21*F21,0)</f>
        <v>60117</v>
      </c>
      <c r="H21" s="561"/>
      <c r="I21" s="793">
        <f>G21</f>
        <v>60117</v>
      </c>
      <c r="J21" s="561"/>
      <c r="K21" s="794"/>
      <c r="L21" s="561"/>
      <c r="M21" s="794"/>
      <c r="N21" s="561"/>
      <c r="O21" s="794"/>
      <c r="P21" s="561"/>
      <c r="Q21" s="794"/>
      <c r="R21" s="561"/>
      <c r="S21" s="794"/>
    </row>
    <row r="22" spans="1:19">
      <c r="A22" s="512"/>
      <c r="B22" s="563"/>
      <c r="C22" s="491"/>
      <c r="D22" s="564"/>
      <c r="E22" s="506"/>
      <c r="F22" s="492"/>
      <c r="G22" s="315">
        <f t="shared" si="0"/>
        <v>0</v>
      </c>
      <c r="H22" s="561"/>
      <c r="I22" s="793"/>
      <c r="J22" s="561"/>
      <c r="K22" s="794"/>
      <c r="L22" s="561"/>
      <c r="M22" s="793"/>
      <c r="N22" s="561"/>
      <c r="O22" s="793"/>
      <c r="P22" s="561"/>
      <c r="Q22" s="794"/>
      <c r="R22" s="561"/>
      <c r="S22" s="794"/>
    </row>
    <row r="23" spans="1:19">
      <c r="A23" s="512"/>
      <c r="B23" s="563"/>
      <c r="C23" s="491"/>
      <c r="D23" s="564"/>
      <c r="E23" s="506"/>
      <c r="F23" s="492"/>
      <c r="G23" s="315">
        <f t="shared" si="0"/>
        <v>0</v>
      </c>
      <c r="H23" s="561"/>
      <c r="I23" s="793"/>
      <c r="J23" s="561"/>
      <c r="K23" s="794"/>
      <c r="L23" s="561"/>
      <c r="M23" s="793"/>
      <c r="N23" s="561"/>
      <c r="O23" s="793"/>
      <c r="P23" s="561"/>
      <c r="Q23" s="794"/>
      <c r="R23" s="561"/>
      <c r="S23" s="794"/>
    </row>
    <row r="24" spans="1:19">
      <c r="A24" s="512"/>
      <c r="B24" s="563"/>
      <c r="C24" s="491"/>
      <c r="D24" s="564"/>
      <c r="E24" s="506"/>
      <c r="F24" s="492"/>
      <c r="G24" s="315">
        <f t="shared" si="0"/>
        <v>0</v>
      </c>
      <c r="H24" s="561"/>
      <c r="I24" s="793"/>
      <c r="J24" s="561"/>
      <c r="K24" s="794"/>
      <c r="L24" s="561"/>
      <c r="M24" s="794"/>
      <c r="N24" s="561"/>
      <c r="O24" s="794"/>
      <c r="P24" s="561"/>
      <c r="Q24" s="794"/>
      <c r="R24" s="561"/>
      <c r="S24" s="794"/>
    </row>
    <row r="25" spans="1:19">
      <c r="A25" s="512"/>
      <c r="B25" s="563"/>
      <c r="C25" s="491"/>
      <c r="D25" s="564"/>
      <c r="E25" s="506"/>
      <c r="F25" s="492"/>
      <c r="G25" s="315">
        <f t="shared" si="0"/>
        <v>0</v>
      </c>
      <c r="H25" s="561"/>
      <c r="I25" s="793"/>
      <c r="J25" s="561"/>
      <c r="K25" s="794"/>
      <c r="L25" s="561"/>
      <c r="M25" s="794"/>
      <c r="N25" s="561"/>
      <c r="O25" s="794"/>
      <c r="P25" s="561"/>
      <c r="Q25" s="794"/>
      <c r="R25" s="561"/>
      <c r="S25" s="794"/>
    </row>
    <row r="26" spans="1:19">
      <c r="A26" s="512"/>
      <c r="B26" s="563"/>
      <c r="C26" s="491"/>
      <c r="D26" s="564"/>
      <c r="E26" s="506"/>
      <c r="F26" s="492"/>
      <c r="G26" s="315">
        <f t="shared" si="0"/>
        <v>0</v>
      </c>
      <c r="H26" s="561"/>
      <c r="I26" s="793"/>
      <c r="J26" s="561"/>
      <c r="K26" s="794"/>
      <c r="L26" s="561"/>
      <c r="M26" s="794"/>
      <c r="N26" s="561"/>
      <c r="O26" s="794"/>
      <c r="P26" s="561"/>
      <c r="Q26" s="794"/>
      <c r="R26" s="561"/>
      <c r="S26" s="794"/>
    </row>
    <row r="27" spans="1:19">
      <c r="A27" s="512"/>
      <c r="B27" s="563"/>
      <c r="C27" s="491"/>
      <c r="D27" s="564"/>
      <c r="E27" s="506"/>
      <c r="F27" s="492"/>
      <c r="G27" s="315">
        <f t="shared" si="0"/>
        <v>0</v>
      </c>
      <c r="H27" s="561"/>
      <c r="I27" s="793"/>
      <c r="J27" s="561"/>
      <c r="K27" s="794"/>
      <c r="L27" s="561"/>
      <c r="M27" s="794"/>
      <c r="N27" s="561"/>
      <c r="O27" s="794"/>
      <c r="P27" s="561"/>
      <c r="Q27" s="794"/>
      <c r="R27" s="561"/>
      <c r="S27" s="794"/>
    </row>
    <row r="28" spans="1:19">
      <c r="A28" s="512"/>
      <c r="B28" s="563"/>
      <c r="C28" s="491"/>
      <c r="D28" s="564"/>
      <c r="E28" s="506"/>
      <c r="F28" s="492"/>
      <c r="G28" s="315">
        <f t="shared" si="0"/>
        <v>0</v>
      </c>
      <c r="H28" s="561"/>
      <c r="I28" s="793"/>
      <c r="J28" s="561"/>
      <c r="K28" s="794"/>
      <c r="L28" s="561"/>
      <c r="M28" s="794"/>
      <c r="N28" s="561"/>
      <c r="O28" s="794"/>
      <c r="P28" s="561"/>
      <c r="Q28" s="794"/>
      <c r="R28" s="561"/>
      <c r="S28" s="794"/>
    </row>
    <row r="29" spans="1:19">
      <c r="A29" s="512"/>
      <c r="B29" s="563"/>
      <c r="C29" s="491"/>
      <c r="D29" s="564"/>
      <c r="E29" s="506"/>
      <c r="F29" s="492"/>
      <c r="G29" s="315">
        <f t="shared" si="0"/>
        <v>0</v>
      </c>
      <c r="H29" s="561"/>
      <c r="I29" s="793"/>
      <c r="J29" s="561"/>
      <c r="K29" s="794"/>
      <c r="L29" s="561"/>
      <c r="M29" s="794"/>
      <c r="N29" s="561"/>
      <c r="O29" s="794"/>
      <c r="P29" s="561"/>
      <c r="Q29" s="794"/>
      <c r="R29" s="561"/>
      <c r="S29" s="794"/>
    </row>
    <row r="30" spans="1:19">
      <c r="A30" s="512"/>
      <c r="B30" s="565"/>
      <c r="C30" s="491"/>
      <c r="D30" s="564"/>
      <c r="E30" s="506"/>
      <c r="F30" s="492"/>
      <c r="G30" s="315">
        <f t="shared" si="0"/>
        <v>0</v>
      </c>
      <c r="H30" s="561"/>
      <c r="I30" s="793"/>
      <c r="J30" s="561"/>
      <c r="K30" s="794"/>
      <c r="L30" s="561"/>
      <c r="M30" s="794"/>
      <c r="N30" s="561"/>
      <c r="O30" s="794"/>
      <c r="P30" s="561"/>
      <c r="Q30" s="794"/>
      <c r="R30" s="561"/>
      <c r="S30" s="794"/>
    </row>
    <row r="31" spans="1:19">
      <c r="A31" s="512"/>
      <c r="B31" s="566"/>
      <c r="C31" s="491"/>
      <c r="D31" s="564"/>
      <c r="E31" s="506"/>
      <c r="F31" s="492"/>
      <c r="G31" s="315">
        <f t="shared" si="0"/>
        <v>0</v>
      </c>
      <c r="H31" s="561"/>
      <c r="I31" s="793"/>
      <c r="J31" s="561"/>
      <c r="K31" s="794"/>
      <c r="L31" s="561"/>
      <c r="M31" s="794"/>
      <c r="N31" s="561"/>
      <c r="O31" s="794"/>
      <c r="P31" s="561"/>
      <c r="Q31" s="794"/>
      <c r="R31" s="561"/>
      <c r="S31" s="794"/>
    </row>
    <row r="32" spans="1:19">
      <c r="A32" s="512"/>
      <c r="B32" s="566"/>
      <c r="C32" s="491"/>
      <c r="D32" s="564"/>
      <c r="E32" s="506"/>
      <c r="F32" s="492"/>
      <c r="G32" s="315">
        <f t="shared" si="0"/>
        <v>0</v>
      </c>
      <c r="H32" s="561"/>
      <c r="I32" s="793"/>
      <c r="J32" s="561"/>
      <c r="K32" s="794"/>
      <c r="L32" s="561"/>
      <c r="M32" s="794"/>
      <c r="N32" s="561"/>
      <c r="O32" s="794"/>
      <c r="P32" s="561"/>
      <c r="Q32" s="794"/>
      <c r="R32" s="561"/>
      <c r="S32" s="794"/>
    </row>
    <row r="33" spans="1:19">
      <c r="A33" s="512"/>
      <c r="B33" s="566"/>
      <c r="C33" s="491"/>
      <c r="D33" s="564"/>
      <c r="E33" s="506"/>
      <c r="F33" s="492"/>
      <c r="G33" s="315">
        <f t="shared" si="0"/>
        <v>0</v>
      </c>
      <c r="H33" s="561"/>
      <c r="I33" s="793"/>
      <c r="J33" s="561"/>
      <c r="K33" s="794"/>
      <c r="L33" s="561"/>
      <c r="M33" s="794"/>
      <c r="N33" s="561"/>
      <c r="O33" s="794"/>
      <c r="P33" s="561"/>
      <c r="Q33" s="794"/>
      <c r="R33" s="561"/>
      <c r="S33" s="794"/>
    </row>
    <row r="34" spans="1:19" ht="15.75" customHeight="1">
      <c r="A34" s="512"/>
      <c r="B34" s="563"/>
      <c r="C34" s="491"/>
      <c r="D34" s="564"/>
      <c r="E34" s="506"/>
      <c r="F34" s="492"/>
      <c r="G34" s="315">
        <f t="shared" si="0"/>
        <v>0</v>
      </c>
      <c r="H34" s="561"/>
      <c r="I34" s="793"/>
      <c r="J34" s="561"/>
      <c r="K34" s="794"/>
      <c r="L34" s="561"/>
      <c r="M34" s="794"/>
      <c r="N34" s="561"/>
      <c r="O34" s="794"/>
      <c r="P34" s="561"/>
      <c r="Q34" s="794"/>
      <c r="R34" s="561"/>
      <c r="S34" s="794"/>
    </row>
    <row r="35" spans="1:19" ht="15.75" customHeight="1">
      <c r="A35" s="512"/>
      <c r="B35" s="563"/>
      <c r="C35" s="491"/>
      <c r="D35" s="564"/>
      <c r="E35" s="506"/>
      <c r="F35" s="492"/>
      <c r="G35" s="315">
        <f t="shared" si="0"/>
        <v>0</v>
      </c>
      <c r="H35" s="561"/>
      <c r="I35" s="793"/>
      <c r="J35" s="561"/>
      <c r="K35" s="794"/>
      <c r="L35" s="561"/>
      <c r="M35" s="794"/>
      <c r="N35" s="561"/>
      <c r="O35" s="794"/>
      <c r="P35" s="561"/>
      <c r="Q35" s="794"/>
      <c r="R35" s="561"/>
      <c r="S35" s="794"/>
    </row>
    <row r="36" spans="1:19" ht="15.75" customHeight="1">
      <c r="A36" s="512"/>
      <c r="B36" s="567"/>
      <c r="C36" s="491"/>
      <c r="D36" s="564"/>
      <c r="E36" s="506"/>
      <c r="F36" s="492"/>
      <c r="G36" s="315">
        <f t="shared" si="0"/>
        <v>0</v>
      </c>
      <c r="H36" s="561"/>
      <c r="I36" s="793"/>
      <c r="J36" s="561"/>
      <c r="K36" s="794"/>
      <c r="L36" s="561"/>
      <c r="M36" s="794"/>
      <c r="N36" s="561"/>
      <c r="O36" s="794"/>
      <c r="P36" s="561"/>
      <c r="Q36" s="794"/>
      <c r="R36" s="561"/>
      <c r="S36" s="794"/>
    </row>
    <row r="37" spans="1:19" ht="15.75" customHeight="1">
      <c r="A37" s="512"/>
      <c r="B37" s="229"/>
      <c r="C37" s="506"/>
      <c r="D37" s="522"/>
      <c r="E37" s="506"/>
      <c r="F37" s="492"/>
      <c r="G37" s="315">
        <f t="shared" si="0"/>
        <v>0</v>
      </c>
      <c r="H37" s="561"/>
      <c r="I37" s="793"/>
      <c r="J37" s="561"/>
      <c r="K37" s="794"/>
      <c r="L37" s="561"/>
      <c r="M37" s="794"/>
      <c r="N37" s="561"/>
      <c r="O37" s="794"/>
      <c r="P37" s="561"/>
      <c r="Q37" s="794"/>
      <c r="R37" s="561"/>
      <c r="S37" s="794"/>
    </row>
    <row r="38" spans="1:19">
      <c r="A38" s="512"/>
      <c r="B38" s="563"/>
      <c r="C38" s="491"/>
      <c r="D38" s="564"/>
      <c r="E38" s="506"/>
      <c r="F38" s="492"/>
      <c r="G38" s="315">
        <f t="shared" si="0"/>
        <v>0</v>
      </c>
      <c r="H38" s="561"/>
      <c r="I38" s="793"/>
      <c r="J38" s="561"/>
      <c r="K38" s="794"/>
      <c r="L38" s="561"/>
      <c r="M38" s="793"/>
      <c r="N38" s="561"/>
      <c r="O38" s="793"/>
      <c r="P38" s="561"/>
      <c r="Q38" s="794"/>
      <c r="R38" s="561"/>
      <c r="S38" s="794"/>
    </row>
    <row r="39" spans="1:19">
      <c r="A39" s="512"/>
      <c r="B39" s="563"/>
      <c r="C39" s="491"/>
      <c r="D39" s="564"/>
      <c r="E39" s="506"/>
      <c r="F39" s="492"/>
      <c r="G39" s="315">
        <f t="shared" si="0"/>
        <v>0</v>
      </c>
      <c r="H39" s="561"/>
      <c r="I39" s="793"/>
      <c r="J39" s="561"/>
      <c r="K39" s="794"/>
      <c r="L39" s="561"/>
      <c r="M39" s="793"/>
      <c r="N39" s="561"/>
      <c r="O39" s="793"/>
      <c r="P39" s="561"/>
      <c r="Q39" s="794"/>
      <c r="R39" s="561"/>
      <c r="S39" s="794"/>
    </row>
    <row r="40" spans="1:19">
      <c r="A40" s="512"/>
      <c r="B40" s="563"/>
      <c r="C40" s="491"/>
      <c r="D40" s="564"/>
      <c r="E40" s="506"/>
      <c r="F40" s="492"/>
      <c r="G40" s="315">
        <f t="shared" si="0"/>
        <v>0</v>
      </c>
      <c r="H40" s="561"/>
      <c r="I40" s="793"/>
      <c r="J40" s="561"/>
      <c r="K40" s="794"/>
      <c r="L40" s="561"/>
      <c r="M40" s="794"/>
      <c r="N40" s="561"/>
      <c r="O40" s="794"/>
      <c r="P40" s="561"/>
      <c r="Q40" s="794"/>
      <c r="R40" s="561"/>
      <c r="S40" s="794"/>
    </row>
    <row r="41" spans="1:19">
      <c r="A41" s="512"/>
      <c r="B41" s="563"/>
      <c r="C41" s="491"/>
      <c r="D41" s="564"/>
      <c r="E41" s="506"/>
      <c r="F41" s="492"/>
      <c r="G41" s="315">
        <f t="shared" si="0"/>
        <v>0</v>
      </c>
      <c r="H41" s="561"/>
      <c r="I41" s="793"/>
      <c r="J41" s="561"/>
      <c r="K41" s="794"/>
      <c r="L41" s="561"/>
      <c r="M41" s="794"/>
      <c r="N41" s="561"/>
      <c r="O41" s="794"/>
      <c r="P41" s="561"/>
      <c r="Q41" s="794"/>
      <c r="R41" s="561"/>
      <c r="S41" s="794"/>
    </row>
    <row r="42" spans="1:19">
      <c r="A42" s="512"/>
      <c r="B42" s="563"/>
      <c r="C42" s="491"/>
      <c r="D42" s="564"/>
      <c r="E42" s="506"/>
      <c r="F42" s="492"/>
      <c r="G42" s="315">
        <f t="shared" si="0"/>
        <v>0</v>
      </c>
      <c r="H42" s="561"/>
      <c r="I42" s="793"/>
      <c r="J42" s="561"/>
      <c r="K42" s="794"/>
      <c r="L42" s="561"/>
      <c r="M42" s="794"/>
      <c r="N42" s="561"/>
      <c r="O42" s="794"/>
      <c r="P42" s="561"/>
      <c r="Q42" s="794"/>
      <c r="R42" s="561"/>
      <c r="S42" s="794"/>
    </row>
    <row r="43" spans="1:19">
      <c r="A43" s="512"/>
      <c r="B43" s="565"/>
      <c r="C43" s="491"/>
      <c r="D43" s="564"/>
      <c r="E43" s="506"/>
      <c r="F43" s="492"/>
      <c r="G43" s="315">
        <f t="shared" si="0"/>
        <v>0</v>
      </c>
      <c r="H43" s="561"/>
      <c r="I43" s="793"/>
      <c r="J43" s="561"/>
      <c r="K43" s="794"/>
      <c r="L43" s="561"/>
      <c r="M43" s="794"/>
      <c r="N43" s="561"/>
      <c r="O43" s="794"/>
      <c r="P43" s="561"/>
      <c r="Q43" s="794"/>
      <c r="R43" s="561"/>
      <c r="S43" s="794"/>
    </row>
    <row r="44" spans="1:19">
      <c r="A44" s="512"/>
      <c r="B44" s="566"/>
      <c r="C44" s="491"/>
      <c r="D44" s="564"/>
      <c r="E44" s="506"/>
      <c r="F44" s="492"/>
      <c r="G44" s="315">
        <f t="shared" si="0"/>
        <v>0</v>
      </c>
      <c r="H44" s="561"/>
      <c r="I44" s="793"/>
      <c r="J44" s="561"/>
      <c r="K44" s="794"/>
      <c r="L44" s="561"/>
      <c r="M44" s="794"/>
      <c r="N44" s="561"/>
      <c r="O44" s="794"/>
      <c r="P44" s="561"/>
      <c r="Q44" s="794"/>
      <c r="R44" s="561"/>
      <c r="S44" s="794"/>
    </row>
    <row r="45" spans="1:19" ht="15.75" customHeight="1">
      <c r="A45" s="512"/>
      <c r="B45" s="563"/>
      <c r="C45" s="491"/>
      <c r="D45" s="564"/>
      <c r="E45" s="506"/>
      <c r="F45" s="492"/>
      <c r="G45" s="315">
        <f t="shared" si="0"/>
        <v>0</v>
      </c>
      <c r="H45" s="561"/>
      <c r="I45" s="793"/>
      <c r="J45" s="561"/>
      <c r="K45" s="794"/>
      <c r="L45" s="561"/>
      <c r="M45" s="794"/>
      <c r="N45" s="561"/>
      <c r="O45" s="794"/>
      <c r="P45" s="561"/>
      <c r="Q45" s="794"/>
      <c r="R45" s="561"/>
      <c r="S45" s="794"/>
    </row>
    <row r="46" spans="1:19" ht="15.75" customHeight="1">
      <c r="A46" s="512"/>
      <c r="B46" s="563"/>
      <c r="C46" s="491"/>
      <c r="D46" s="564"/>
      <c r="E46" s="506"/>
      <c r="F46" s="492"/>
      <c r="G46" s="315">
        <f t="shared" si="0"/>
        <v>0</v>
      </c>
      <c r="H46" s="561"/>
      <c r="I46" s="793"/>
      <c r="J46" s="561"/>
      <c r="K46" s="794"/>
      <c r="L46" s="561"/>
      <c r="M46" s="794"/>
      <c r="N46" s="561"/>
      <c r="O46" s="794"/>
      <c r="P46" s="561"/>
      <c r="Q46" s="794"/>
      <c r="R46" s="561"/>
      <c r="S46" s="794"/>
    </row>
    <row r="47" spans="1:19" ht="15.75" customHeight="1">
      <c r="A47" s="512"/>
      <c r="B47" s="563"/>
      <c r="C47" s="491"/>
      <c r="D47" s="564"/>
      <c r="E47" s="506"/>
      <c r="F47" s="492"/>
      <c r="G47" s="315">
        <f t="shared" si="0"/>
        <v>0</v>
      </c>
      <c r="H47" s="561"/>
      <c r="I47" s="793"/>
      <c r="J47" s="561"/>
      <c r="K47" s="794"/>
      <c r="L47" s="561"/>
      <c r="M47" s="794"/>
      <c r="N47" s="561"/>
      <c r="O47" s="794"/>
      <c r="P47" s="561"/>
      <c r="Q47" s="794"/>
      <c r="R47" s="561"/>
      <c r="S47" s="794"/>
    </row>
    <row r="48" spans="1:19" ht="15.75" customHeight="1">
      <c r="A48" s="512"/>
      <c r="B48" s="563"/>
      <c r="C48" s="491"/>
      <c r="D48" s="564"/>
      <c r="E48" s="506"/>
      <c r="F48" s="492"/>
      <c r="G48" s="315">
        <f t="shared" si="0"/>
        <v>0</v>
      </c>
      <c r="H48" s="561"/>
      <c r="I48" s="793"/>
      <c r="J48" s="561"/>
      <c r="K48" s="794"/>
      <c r="L48" s="561"/>
      <c r="M48" s="794"/>
      <c r="N48" s="561"/>
      <c r="O48" s="794"/>
      <c r="P48" s="561"/>
      <c r="Q48" s="794"/>
      <c r="R48" s="561"/>
      <c r="S48" s="794"/>
    </row>
    <row r="49" spans="1:34" ht="15.75" customHeight="1">
      <c r="A49" s="512"/>
      <c r="B49" s="567"/>
      <c r="C49" s="491"/>
      <c r="D49" s="564"/>
      <c r="E49" s="506"/>
      <c r="F49" s="492"/>
      <c r="G49" s="315">
        <f t="shared" si="0"/>
        <v>0</v>
      </c>
      <c r="H49" s="561"/>
      <c r="I49" s="793"/>
      <c r="J49" s="561"/>
      <c r="K49" s="794"/>
      <c r="L49" s="561"/>
      <c r="M49" s="794"/>
      <c r="N49" s="561"/>
      <c r="O49" s="794"/>
      <c r="P49" s="561"/>
      <c r="Q49" s="794"/>
      <c r="R49" s="561"/>
      <c r="S49" s="794"/>
    </row>
    <row r="50" spans="1:34" ht="15.75" thickBot="1">
      <c r="A50" s="512"/>
      <c r="B50" s="518"/>
      <c r="C50" s="491"/>
      <c r="D50" s="564"/>
      <c r="E50" s="506"/>
      <c r="F50" s="492"/>
      <c r="G50" s="315"/>
      <c r="H50" s="561"/>
      <c r="I50" s="793"/>
      <c r="J50" s="561"/>
      <c r="K50" s="794"/>
      <c r="L50" s="561"/>
      <c r="M50" s="794"/>
      <c r="N50" s="561"/>
      <c r="O50" s="794"/>
      <c r="P50" s="561"/>
      <c r="Q50" s="794"/>
      <c r="R50" s="561"/>
      <c r="S50" s="794"/>
    </row>
    <row r="51" spans="1:34" ht="15.75" thickTop="1">
      <c r="A51" s="15"/>
      <c r="B51" s="19" t="s">
        <v>470</v>
      </c>
      <c r="C51" s="17"/>
      <c r="D51" s="226"/>
      <c r="E51" s="18"/>
      <c r="F51" s="19"/>
      <c r="G51" s="215">
        <f>SUM(G19:G50)</f>
        <v>60117</v>
      </c>
      <c r="H51" s="21"/>
      <c r="I51" s="228">
        <f>SUBTOTAL(9,I21:I49)</f>
        <v>60117</v>
      </c>
      <c r="J51" s="21"/>
      <c r="K51" s="228">
        <f>SUBTOTAL(9,K21:K49)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519"/>
      <c r="B52" s="494" t="s">
        <v>471</v>
      </c>
      <c r="C52" s="493"/>
      <c r="D52" s="524"/>
      <c r="E52" s="521"/>
      <c r="F52" s="494"/>
      <c r="G52" s="216"/>
      <c r="H52" s="568">
        <v>0</v>
      </c>
      <c r="I52" s="163"/>
      <c r="J52" s="568">
        <v>0</v>
      </c>
      <c r="K52" s="163"/>
      <c r="L52" s="568">
        <v>0</v>
      </c>
      <c r="M52" s="163"/>
      <c r="N52" s="568">
        <v>0</v>
      </c>
      <c r="O52" s="163"/>
      <c r="P52" s="568">
        <v>0</v>
      </c>
      <c r="Q52" s="163"/>
      <c r="R52" s="568">
        <v>0</v>
      </c>
      <c r="S52" s="163"/>
    </row>
    <row r="53" spans="1:34">
      <c r="A53" s="519"/>
      <c r="B53" s="494" t="s">
        <v>472</v>
      </c>
      <c r="C53" s="493"/>
      <c r="D53" s="524"/>
      <c r="E53" s="521"/>
      <c r="F53" s="494"/>
      <c r="G53" s="569">
        <f>F52*G51</f>
        <v>0</v>
      </c>
      <c r="H53" s="570"/>
      <c r="I53" s="571">
        <f>H52*I51</f>
        <v>0</v>
      </c>
      <c r="J53" s="570"/>
      <c r="K53" s="571">
        <f>J52*K51</f>
        <v>0</v>
      </c>
      <c r="L53" s="570"/>
      <c r="M53" s="571">
        <f>L52*M51</f>
        <v>0</v>
      </c>
      <c r="N53" s="570"/>
      <c r="O53" s="571">
        <f>N52*O51</f>
        <v>0</v>
      </c>
      <c r="P53" s="570"/>
      <c r="Q53" s="571">
        <f>P52*Q51</f>
        <v>0</v>
      </c>
      <c r="R53" s="570"/>
      <c r="S53" s="571">
        <f>R52*S51</f>
        <v>0</v>
      </c>
    </row>
    <row r="54" spans="1:34">
      <c r="A54" s="519"/>
      <c r="B54" s="494"/>
      <c r="C54" s="493"/>
      <c r="D54" s="524"/>
      <c r="E54" s="521"/>
      <c r="F54" s="494"/>
      <c r="G54" s="569"/>
      <c r="H54" s="570"/>
      <c r="I54" s="571"/>
      <c r="J54" s="570"/>
      <c r="K54" s="571"/>
      <c r="L54" s="570"/>
      <c r="M54" s="571"/>
      <c r="N54" s="570"/>
      <c r="O54" s="571"/>
      <c r="P54" s="570"/>
      <c r="Q54" s="571"/>
      <c r="R54" s="570"/>
      <c r="S54" s="571"/>
    </row>
    <row r="55" spans="1:34">
      <c r="A55" s="519"/>
      <c r="B55" s="494" t="s">
        <v>473</v>
      </c>
      <c r="C55" s="493"/>
      <c r="D55" s="524"/>
      <c r="E55" s="521"/>
      <c r="F55" s="494"/>
      <c r="G55" s="569">
        <f>SUM(G51:G53)</f>
        <v>60117</v>
      </c>
      <c r="H55" s="572"/>
      <c r="I55" s="571">
        <f>SUM(I51:I53)</f>
        <v>60117</v>
      </c>
      <c r="J55" s="572"/>
      <c r="K55" s="571">
        <f>SUM(K51:K53)</f>
        <v>0</v>
      </c>
      <c r="L55" s="572"/>
      <c r="M55" s="571">
        <f>SUM(M51:M53)</f>
        <v>0</v>
      </c>
      <c r="N55" s="572"/>
      <c r="O55" s="571">
        <f>SUM(O51:O53)</f>
        <v>0</v>
      </c>
      <c r="P55" s="572"/>
      <c r="Q55" s="571">
        <f>SUM(Q51:Q53)</f>
        <v>0</v>
      </c>
      <c r="R55" s="572"/>
      <c r="S55" s="571">
        <f>SUM(S51:S53)</f>
        <v>0</v>
      </c>
    </row>
    <row r="56" spans="1:34">
      <c r="A56" s="519"/>
      <c r="B56" s="495" t="s">
        <v>474</v>
      </c>
      <c r="C56" s="493"/>
      <c r="D56" s="524"/>
      <c r="E56" s="521"/>
      <c r="F56" s="495"/>
      <c r="G56" s="573">
        <f>G55/'Area Calculations'!$G$5</f>
        <v>0.15441420106184325</v>
      </c>
      <c r="H56" s="574"/>
      <c r="I56" s="575">
        <f>I55/'Area Calculations'!$G$5</f>
        <v>0.15441420106184325</v>
      </c>
      <c r="J56" s="574"/>
      <c r="K56" s="575">
        <f>K55/'Area Calculations'!$G$5</f>
        <v>0</v>
      </c>
      <c r="L56" s="574"/>
      <c r="M56" s="575">
        <f>M55/'Area Calculations'!$G$5</f>
        <v>0</v>
      </c>
      <c r="N56" s="574"/>
      <c r="O56" s="575">
        <f>O55/'Area Calculations'!$G$5</f>
        <v>0</v>
      </c>
      <c r="P56" s="574"/>
      <c r="Q56" s="575">
        <f>Q55/'Area Calculations'!$G$5</f>
        <v>0</v>
      </c>
      <c r="R56" s="576"/>
      <c r="S56" s="575">
        <f>S55/'Area Calculations'!$G$5</f>
        <v>0</v>
      </c>
    </row>
    <row r="57" spans="1:34" ht="15.75" thickBot="1">
      <c r="A57" s="519"/>
      <c r="B57" s="496"/>
      <c r="C57" s="493"/>
      <c r="D57" s="524"/>
      <c r="E57" s="521"/>
      <c r="F57" s="494"/>
      <c r="G57" s="464"/>
      <c r="H57" s="577"/>
      <c r="I57" s="578"/>
      <c r="J57" s="577"/>
      <c r="K57" s="577"/>
      <c r="L57" s="577"/>
      <c r="M57" s="577"/>
      <c r="N57" s="577"/>
      <c r="O57" s="577"/>
      <c r="P57" s="577"/>
      <c r="Q57" s="577"/>
      <c r="R57" s="577"/>
      <c r="S57" s="577"/>
    </row>
    <row r="58" spans="1:34" ht="16.5" thickTop="1" thickBot="1">
      <c r="A58" s="691" t="s">
        <v>475</v>
      </c>
      <c r="B58" s="692"/>
      <c r="C58" s="14"/>
      <c r="D58" s="227"/>
      <c r="E58" s="14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797"/>
      <c r="E59" s="796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797"/>
      <c r="E60" s="796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797"/>
      <c r="E61" s="796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227"/>
      <c r="E62" s="14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797"/>
      <c r="E63" s="796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797"/>
      <c r="E64" s="796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797"/>
      <c r="E65" s="796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227"/>
      <c r="E66" s="14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797"/>
      <c r="E67" s="796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520"/>
      <c r="B68" s="497"/>
      <c r="C68" s="506"/>
      <c r="D68" s="522"/>
      <c r="E68" s="506"/>
      <c r="F68" s="506"/>
      <c r="G68" s="498"/>
      <c r="H68" s="499"/>
      <c r="I68" s="499"/>
      <c r="J68" s="499"/>
      <c r="K68" s="499"/>
      <c r="L68" s="499"/>
      <c r="M68" s="499"/>
      <c r="N68" s="499"/>
      <c r="O68" s="499"/>
      <c r="P68" s="499"/>
      <c r="Q68" s="499"/>
      <c r="R68" s="499"/>
      <c r="S68" s="499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500"/>
      <c r="B69" s="501"/>
      <c r="C69" s="506"/>
      <c r="D69" s="522"/>
      <c r="E69" s="506"/>
      <c r="F69" s="506"/>
      <c r="G69" s="498"/>
      <c r="H69" s="502"/>
      <c r="I69" s="502"/>
      <c r="J69" s="502"/>
      <c r="K69" s="502"/>
      <c r="L69" s="502"/>
      <c r="M69" s="502"/>
      <c r="N69" s="502"/>
      <c r="O69" s="502"/>
      <c r="P69" s="502"/>
      <c r="Q69" s="502"/>
      <c r="R69" s="502"/>
      <c r="S69" s="502"/>
    </row>
    <row r="70" spans="1:34" s="2" customFormat="1" ht="16.5" thickTop="1" thickBot="1">
      <c r="A70" s="691" t="s">
        <v>478</v>
      </c>
      <c r="B70" s="692"/>
      <c r="C70" s="14"/>
      <c r="D70" s="227"/>
      <c r="E70" s="14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797"/>
      <c r="E71" s="796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500"/>
      <c r="B72" s="501"/>
      <c r="C72" s="506"/>
      <c r="D72" s="522"/>
      <c r="E72" s="506"/>
      <c r="F72" s="506"/>
      <c r="G72" s="498"/>
      <c r="H72" s="503"/>
      <c r="I72" s="503"/>
      <c r="J72" s="503"/>
      <c r="K72" s="503"/>
      <c r="L72" s="503"/>
      <c r="M72" s="503"/>
      <c r="N72" s="503"/>
      <c r="O72" s="503"/>
      <c r="P72" s="503"/>
      <c r="Q72" s="503"/>
      <c r="R72" s="503"/>
      <c r="S72" s="50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500"/>
      <c r="B73" s="501"/>
      <c r="C73" s="506"/>
      <c r="D73" s="522"/>
      <c r="E73" s="506"/>
      <c r="F73" s="506"/>
      <c r="G73" s="498"/>
      <c r="H73" s="503"/>
      <c r="I73" s="503"/>
      <c r="J73" s="503"/>
      <c r="K73" s="503"/>
      <c r="L73" s="503"/>
      <c r="M73" s="503"/>
      <c r="N73" s="503"/>
      <c r="O73" s="503"/>
      <c r="P73" s="503"/>
      <c r="Q73" s="503"/>
      <c r="R73" s="503"/>
      <c r="S73" s="50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227"/>
      <c r="E74" s="14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520"/>
      <c r="B75" s="497" t="s">
        <v>480</v>
      </c>
      <c r="C75" s="506"/>
      <c r="D75" s="522"/>
      <c r="E75" s="506"/>
      <c r="F75" s="506"/>
      <c r="G75" s="498"/>
      <c r="H75" s="503"/>
      <c r="I75" s="503"/>
      <c r="J75" s="503"/>
      <c r="K75" s="503"/>
      <c r="L75" s="503"/>
      <c r="M75" s="503"/>
      <c r="N75" s="503"/>
      <c r="O75" s="503"/>
      <c r="P75" s="503"/>
      <c r="Q75" s="503"/>
      <c r="R75" s="503"/>
      <c r="S75" s="503"/>
    </row>
    <row r="76" spans="1:34">
      <c r="A76" s="520"/>
      <c r="B76" s="497" t="s">
        <v>481</v>
      </c>
      <c r="C76" s="506"/>
      <c r="D76" s="522"/>
      <c r="E76" s="506"/>
      <c r="F76" s="506"/>
      <c r="G76" s="498"/>
      <c r="H76" s="503"/>
      <c r="I76" s="503"/>
      <c r="J76" s="503"/>
      <c r="K76" s="503"/>
      <c r="L76" s="503"/>
      <c r="M76" s="503"/>
      <c r="N76" s="503"/>
      <c r="O76" s="503"/>
      <c r="P76" s="503"/>
      <c r="Q76" s="503"/>
      <c r="R76" s="503"/>
      <c r="S76" s="503"/>
    </row>
    <row r="77" spans="1:34">
      <c r="A77" s="520"/>
      <c r="B77" s="497" t="s">
        <v>482</v>
      </c>
      <c r="C77" s="506"/>
      <c r="D77" s="522"/>
      <c r="E77" s="506"/>
      <c r="F77" s="506"/>
      <c r="G77" s="498"/>
      <c r="H77" s="503"/>
      <c r="I77" s="503"/>
      <c r="J77" s="503"/>
      <c r="K77" s="503"/>
      <c r="L77" s="503"/>
      <c r="M77" s="503"/>
      <c r="N77" s="503"/>
      <c r="O77" s="503"/>
      <c r="P77" s="503"/>
      <c r="Q77" s="503"/>
      <c r="R77" s="503"/>
      <c r="S77" s="503"/>
    </row>
    <row r="78" spans="1:34">
      <c r="A78" s="520"/>
      <c r="B78" s="497" t="s">
        <v>483</v>
      </c>
      <c r="C78" s="506"/>
      <c r="D78" s="522"/>
      <c r="E78" s="506"/>
      <c r="F78" s="506"/>
      <c r="G78" s="498"/>
      <c r="H78" s="503"/>
      <c r="I78" s="503"/>
      <c r="J78" s="503"/>
      <c r="K78" s="503"/>
      <c r="L78" s="503"/>
      <c r="M78" s="503"/>
      <c r="N78" s="503"/>
      <c r="O78" s="503"/>
      <c r="P78" s="503"/>
      <c r="Q78" s="503"/>
      <c r="R78" s="503"/>
      <c r="S78" s="503"/>
    </row>
    <row r="79" spans="1:34" ht="15.75" thickBot="1">
      <c r="A79" s="23"/>
      <c r="B79" s="7"/>
      <c r="C79" s="8"/>
      <c r="D79" s="225"/>
      <c r="E79" s="8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227"/>
      <c r="E80" s="14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797"/>
      <c r="E81" s="796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520"/>
      <c r="B82" s="497" t="s">
        <v>486</v>
      </c>
      <c r="C82" s="506"/>
      <c r="D82" s="522"/>
      <c r="E82" s="506"/>
      <c r="F82" s="506"/>
      <c r="G82" s="498"/>
      <c r="H82" s="579"/>
      <c r="I82" s="579"/>
      <c r="J82" s="579"/>
      <c r="K82" s="579"/>
      <c r="L82" s="579"/>
      <c r="M82" s="579"/>
      <c r="N82" s="579"/>
      <c r="O82" s="579"/>
      <c r="P82" s="579"/>
      <c r="Q82" s="579"/>
      <c r="R82" s="579"/>
      <c r="S82" s="579"/>
    </row>
    <row r="83" spans="1:19" ht="15.75" thickBot="1">
      <c r="A83" s="525"/>
      <c r="B83" s="485" t="s">
        <v>487</v>
      </c>
      <c r="C83" s="486"/>
      <c r="D83" s="490"/>
      <c r="E83" s="486"/>
      <c r="F83" s="486"/>
      <c r="G83" s="488"/>
      <c r="H83" s="587"/>
      <c r="I83" s="587"/>
      <c r="J83" s="587"/>
      <c r="K83" s="587"/>
      <c r="L83" s="587"/>
      <c r="M83" s="587"/>
      <c r="N83" s="587"/>
      <c r="O83" s="587"/>
      <c r="P83" s="587"/>
      <c r="Q83" s="587"/>
      <c r="R83" s="587"/>
      <c r="S83" s="587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580"/>
    </row>
    <row r="87" spans="1:19">
      <c r="A87" s="504" t="s">
        <v>446</v>
      </c>
      <c r="B87" s="580"/>
    </row>
    <row r="88" spans="1:19">
      <c r="A88" s="581" t="s">
        <v>448</v>
      </c>
      <c r="B88" s="582"/>
    </row>
    <row r="89" spans="1:19">
      <c r="A89" s="581" t="s">
        <v>450</v>
      </c>
      <c r="B89" s="583"/>
    </row>
    <row r="90" spans="1:19" ht="15.75" thickBot="1">
      <c r="A90" s="526" t="s">
        <v>489</v>
      </c>
      <c r="B90" s="588">
        <f>$I$55</f>
        <v>60117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A66:B66"/>
    <mergeCell ref="A70:B70"/>
    <mergeCell ref="A74:B74"/>
    <mergeCell ref="N7:O7"/>
    <mergeCell ref="N8:O8"/>
    <mergeCell ref="N9:O9"/>
    <mergeCell ref="A58:B58"/>
    <mergeCell ref="A62:B62"/>
    <mergeCell ref="P5:Q5"/>
    <mergeCell ref="P6:Q6"/>
    <mergeCell ref="P7:Q7"/>
    <mergeCell ref="H8:I8"/>
    <mergeCell ref="H9:I9"/>
    <mergeCell ref="J5:K5"/>
    <mergeCell ref="J6:K6"/>
    <mergeCell ref="J7:K7"/>
    <mergeCell ref="J8:K8"/>
    <mergeCell ref="J9:K9"/>
    <mergeCell ref="P8:Q8"/>
    <mergeCell ref="P9:Q9"/>
    <mergeCell ref="L8:M8"/>
    <mergeCell ref="L9:M9"/>
    <mergeCell ref="N5:O5"/>
    <mergeCell ref="N6:O6"/>
    <mergeCell ref="H5:I5"/>
    <mergeCell ref="H6:I6"/>
    <mergeCell ref="H7:I7"/>
    <mergeCell ref="L5:M5"/>
    <mergeCell ref="L6:M6"/>
    <mergeCell ref="L7:M7"/>
    <mergeCell ref="R5:S5"/>
    <mergeCell ref="R6:S6"/>
    <mergeCell ref="R7:S7"/>
    <mergeCell ref="R8:S8"/>
    <mergeCell ref="R9:S9"/>
  </mergeCells>
  <conditionalFormatting sqref="H11:H18 J11:J18 L11:L18 N11:N18 P11:P18 R11:R18 H20:H50 J20:J50 L20:L50 N20:N50 P20:P50 R20:R50">
    <cfRule type="cellIs" dxfId="149" priority="1" operator="equal">
      <formula>"X"</formula>
    </cfRule>
    <cfRule type="cellIs" dxfId="148" priority="2" operator="equal">
      <formula>"I"</formula>
    </cfRule>
  </conditionalFormatting>
  <hyperlinks>
    <hyperlink ref="B4" location="'Cost Summary'!A1" display="BACK TO SUMMARY SHEET" xr:uid="{91AC4BFA-8C3A-4174-AB18-678E63184A16}"/>
  </hyperlinks>
  <pageMargins left="0.2" right="0.2" top="0.5" bottom="0.25" header="0.3" footer="0.3"/>
  <pageSetup paperSize="3" scale="7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D836-9FBA-4803-A742-6C2609EC640F}">
  <sheetPr>
    <tabColor rgb="FFFFFF00"/>
    <pageSetUpPr fitToPage="1"/>
  </sheetPr>
  <dimension ref="A1:AH93"/>
  <sheetViews>
    <sheetView zoomScale="90" zoomScaleNormal="90" workbookViewId="0">
      <pane xSplit="2" ySplit="10" topLeftCell="D11" activePane="bottomRight" state="frozen"/>
      <selection pane="bottomRight" activeCell="K29" sqref="K29"/>
      <selection pane="bottomLeft" activeCell="B4" sqref="B4"/>
      <selection pane="topRight"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223" customWidth="1"/>
    <col min="5" max="5" width="7.5703125" style="2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224"/>
      <c r="E5" s="5"/>
      <c r="F5" s="5"/>
      <c r="G5" s="6" t="s">
        <v>444</v>
      </c>
      <c r="H5" s="683"/>
      <c r="I5" s="684"/>
      <c r="J5" s="683"/>
      <c r="K5" s="684"/>
      <c r="L5" s="673"/>
      <c r="M5" s="674"/>
      <c r="N5" s="673"/>
      <c r="O5" s="674"/>
      <c r="P5" s="673"/>
      <c r="Q5" s="674"/>
      <c r="R5" s="673"/>
      <c r="S5" s="674"/>
    </row>
    <row r="6" spans="1:19">
      <c r="A6" s="505" t="s">
        <v>445</v>
      </c>
      <c r="B6" s="497" t="s">
        <v>111</v>
      </c>
      <c r="C6" s="506"/>
      <c r="D6" s="522"/>
      <c r="E6" s="506"/>
      <c r="F6" s="506"/>
      <c r="G6" s="462" t="s">
        <v>446</v>
      </c>
      <c r="H6" s="685"/>
      <c r="I6" s="686"/>
      <c r="J6" s="685"/>
      <c r="K6" s="686"/>
      <c r="L6" s="675"/>
      <c r="M6" s="676"/>
      <c r="N6" s="675"/>
      <c r="O6" s="676"/>
      <c r="P6" s="675"/>
      <c r="Q6" s="676"/>
      <c r="R6" s="675"/>
      <c r="S6" s="676"/>
    </row>
    <row r="7" spans="1:19">
      <c r="A7" s="505" t="s">
        <v>447</v>
      </c>
      <c r="B7" s="509" t="s">
        <v>110</v>
      </c>
      <c r="C7" s="506"/>
      <c r="D7" s="522"/>
      <c r="E7" s="506"/>
      <c r="F7" s="506"/>
      <c r="G7" s="510" t="s">
        <v>448</v>
      </c>
      <c r="H7" s="687"/>
      <c r="I7" s="688"/>
      <c r="J7" s="687"/>
      <c r="K7" s="688"/>
      <c r="L7" s="677"/>
      <c r="M7" s="678"/>
      <c r="N7" s="677"/>
      <c r="O7" s="678"/>
      <c r="P7" s="677"/>
      <c r="Q7" s="678"/>
      <c r="R7" s="677"/>
      <c r="S7" s="678"/>
    </row>
    <row r="8" spans="1:19">
      <c r="A8" s="505" t="s">
        <v>449</v>
      </c>
      <c r="B8" s="511"/>
      <c r="C8" s="506"/>
      <c r="D8" s="522"/>
      <c r="E8" s="506"/>
      <c r="F8" s="506"/>
      <c r="G8" s="510" t="s">
        <v>450</v>
      </c>
      <c r="H8" s="689"/>
      <c r="I8" s="690"/>
      <c r="J8" s="689"/>
      <c r="K8" s="69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560"/>
      <c r="B9" s="485"/>
      <c r="C9" s="8"/>
      <c r="D9" s="225"/>
      <c r="E9" s="8"/>
      <c r="F9" s="486"/>
      <c r="G9" s="487" t="s">
        <v>451</v>
      </c>
      <c r="H9" s="780">
        <f>I55</f>
        <v>0</v>
      </c>
      <c r="I9" s="780"/>
      <c r="J9" s="681">
        <f>K59</f>
        <v>0</v>
      </c>
      <c r="K9" s="682"/>
      <c r="L9" s="681">
        <f>M59</f>
        <v>0</v>
      </c>
      <c r="M9" s="682"/>
      <c r="N9" s="681">
        <f>O59</f>
        <v>0</v>
      </c>
      <c r="O9" s="682"/>
      <c r="P9" s="681">
        <f>Q59</f>
        <v>0</v>
      </c>
      <c r="Q9" s="682"/>
      <c r="R9" s="681">
        <f>S59</f>
        <v>0</v>
      </c>
      <c r="S9" s="682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522"/>
      <c r="E11" s="506"/>
      <c r="F11" s="506"/>
      <c r="G11" s="60"/>
      <c r="H11" s="561"/>
      <c r="I11" s="782"/>
      <c r="J11" s="561"/>
      <c r="K11" s="183"/>
      <c r="L11" s="561"/>
      <c r="M11" s="783"/>
      <c r="N11" s="561"/>
      <c r="O11" s="783"/>
      <c r="P11" s="561"/>
      <c r="Q11" s="783"/>
      <c r="R11" s="561"/>
      <c r="S11" s="783"/>
    </row>
    <row r="12" spans="1:19">
      <c r="A12" s="784"/>
      <c r="B12" s="785" t="s">
        <v>461</v>
      </c>
      <c r="C12" s="506"/>
      <c r="D12" s="522"/>
      <c r="E12" s="506"/>
      <c r="F12" s="506"/>
      <c r="G12" s="60"/>
      <c r="H12" s="561"/>
      <c r="I12" s="782"/>
      <c r="J12" s="561"/>
      <c r="K12" s="783"/>
      <c r="L12" s="561"/>
      <c r="M12" s="783"/>
      <c r="N12" s="561"/>
      <c r="O12" s="783"/>
      <c r="P12" s="561"/>
      <c r="Q12" s="783"/>
      <c r="R12" s="561"/>
      <c r="S12" s="783"/>
    </row>
    <row r="13" spans="1:19">
      <c r="A13" s="512"/>
      <c r="B13" s="786" t="s">
        <v>462</v>
      </c>
      <c r="C13" s="506"/>
      <c r="D13" s="522"/>
      <c r="E13" s="506"/>
      <c r="F13" s="506"/>
      <c r="G13" s="60"/>
      <c r="H13" s="561"/>
      <c r="I13" s="782"/>
      <c r="J13" s="561"/>
      <c r="K13" s="783"/>
      <c r="L13" s="561"/>
      <c r="M13" s="783"/>
      <c r="N13" s="561"/>
      <c r="O13" s="783"/>
      <c r="P13" s="561"/>
      <c r="Q13" s="783"/>
      <c r="R13" s="561"/>
      <c r="S13" s="783"/>
    </row>
    <row r="14" spans="1:19">
      <c r="A14" s="512"/>
      <c r="B14" s="787" t="s">
        <v>463</v>
      </c>
      <c r="C14" s="506"/>
      <c r="D14" s="522"/>
      <c r="E14" s="506"/>
      <c r="F14" s="506"/>
      <c r="G14" s="60"/>
      <c r="H14" s="561"/>
      <c r="I14" s="782"/>
      <c r="J14" s="561"/>
      <c r="K14" s="783"/>
      <c r="L14" s="561"/>
      <c r="M14" s="783"/>
      <c r="N14" s="561"/>
      <c r="O14" s="783"/>
      <c r="P14" s="561"/>
      <c r="Q14" s="783"/>
      <c r="R14" s="561"/>
      <c r="S14" s="783"/>
    </row>
    <row r="15" spans="1:19">
      <c r="A15" s="512"/>
      <c r="B15" s="787" t="s">
        <v>464</v>
      </c>
      <c r="C15" s="506"/>
      <c r="D15" s="522"/>
      <c r="E15" s="506"/>
      <c r="F15" s="506"/>
      <c r="G15" s="60"/>
      <c r="H15" s="561"/>
      <c r="I15" s="782"/>
      <c r="J15" s="561"/>
      <c r="K15" s="782"/>
      <c r="L15" s="561"/>
      <c r="M15" s="782"/>
      <c r="N15" s="561"/>
      <c r="O15" s="782"/>
      <c r="P15" s="561"/>
      <c r="Q15" s="782"/>
      <c r="R15" s="561"/>
      <c r="S15" s="782"/>
    </row>
    <row r="16" spans="1:19">
      <c r="A16" s="512"/>
      <c r="B16" s="787" t="s">
        <v>465</v>
      </c>
      <c r="C16" s="506"/>
      <c r="D16" s="522"/>
      <c r="E16" s="506"/>
      <c r="F16" s="506"/>
      <c r="G16" s="60"/>
      <c r="H16" s="561"/>
      <c r="I16" s="782"/>
      <c r="J16" s="561"/>
      <c r="K16" s="783"/>
      <c r="L16" s="561"/>
      <c r="M16" s="783"/>
      <c r="N16" s="561"/>
      <c r="O16" s="783"/>
      <c r="P16" s="561"/>
      <c r="Q16" s="783"/>
      <c r="R16" s="561"/>
      <c r="S16" s="783"/>
    </row>
    <row r="17" spans="1:19">
      <c r="A17" s="512"/>
      <c r="B17" s="787" t="s">
        <v>466</v>
      </c>
      <c r="C17" s="506"/>
      <c r="D17" s="522"/>
      <c r="E17" s="506"/>
      <c r="F17" s="506"/>
      <c r="G17" s="60"/>
      <c r="H17" s="561"/>
      <c r="I17" s="782"/>
      <c r="J17" s="561"/>
      <c r="K17" s="783"/>
      <c r="L17" s="561"/>
      <c r="M17" s="783"/>
      <c r="N17" s="561"/>
      <c r="O17" s="783"/>
      <c r="P17" s="561"/>
      <c r="Q17" s="783"/>
      <c r="R17" s="561"/>
      <c r="S17" s="783"/>
    </row>
    <row r="18" spans="1:19">
      <c r="A18" s="512"/>
      <c r="B18" s="788" t="s">
        <v>467</v>
      </c>
      <c r="C18" s="506"/>
      <c r="D18" s="522"/>
      <c r="E18" s="506"/>
      <c r="F18" s="506"/>
      <c r="G18" s="60"/>
      <c r="H18" s="561"/>
      <c r="I18" s="782"/>
      <c r="J18" s="561"/>
      <c r="K18" s="783"/>
      <c r="L18" s="561"/>
      <c r="M18" s="783"/>
      <c r="N18" s="561"/>
      <c r="O18" s="783"/>
      <c r="P18" s="561"/>
      <c r="Q18" s="783"/>
      <c r="R18" s="561"/>
      <c r="S18" s="783"/>
    </row>
    <row r="19" spans="1:19">
      <c r="A19" s="512"/>
      <c r="B19" s="789" t="s">
        <v>468</v>
      </c>
      <c r="C19" s="513"/>
      <c r="D19" s="523"/>
      <c r="E19" s="513"/>
      <c r="F19" s="516"/>
      <c r="G19" s="463"/>
      <c r="H19" s="562"/>
      <c r="I19" s="790"/>
      <c r="J19" s="562"/>
      <c r="K19" s="791"/>
      <c r="L19" s="562"/>
      <c r="M19" s="791"/>
      <c r="N19" s="562"/>
      <c r="O19" s="791"/>
      <c r="P19" s="562"/>
      <c r="Q19" s="791"/>
      <c r="R19" s="562"/>
      <c r="S19" s="791"/>
    </row>
    <row r="20" spans="1:19">
      <c r="A20" s="512"/>
      <c r="B20" s="792"/>
      <c r="C20" s="506"/>
      <c r="D20" s="522"/>
      <c r="E20" s="506"/>
      <c r="F20" s="517"/>
      <c r="G20" s="60"/>
      <c r="H20" s="561"/>
      <c r="I20" s="793"/>
      <c r="J20" s="561"/>
      <c r="K20" s="794"/>
      <c r="L20" s="561"/>
      <c r="M20" s="794"/>
      <c r="N20" s="561"/>
      <c r="O20" s="794"/>
      <c r="P20" s="561"/>
      <c r="Q20" s="794"/>
      <c r="R20" s="561"/>
      <c r="S20" s="794"/>
    </row>
    <row r="21" spans="1:19">
      <c r="A21" s="512"/>
      <c r="B21" s="229"/>
      <c r="C21" s="506"/>
      <c r="D21" s="522"/>
      <c r="E21" s="506"/>
      <c r="F21" s="492"/>
      <c r="G21" s="315">
        <f t="shared" ref="G21:G49" si="0">ROUND(D21*F21,0)</f>
        <v>0</v>
      </c>
      <c r="H21" s="561"/>
      <c r="I21" s="793"/>
      <c r="J21" s="561"/>
      <c r="K21" s="794"/>
      <c r="L21" s="561"/>
      <c r="M21" s="794"/>
      <c r="N21" s="561"/>
      <c r="O21" s="794"/>
      <c r="P21" s="561"/>
      <c r="Q21" s="794"/>
      <c r="R21" s="561"/>
      <c r="S21" s="794"/>
    </row>
    <row r="22" spans="1:19">
      <c r="A22" s="512"/>
      <c r="B22" s="563"/>
      <c r="C22" s="491"/>
      <c r="D22" s="564"/>
      <c r="E22" s="506"/>
      <c r="F22" s="492"/>
      <c r="G22" s="315">
        <f t="shared" si="0"/>
        <v>0</v>
      </c>
      <c r="H22" s="561"/>
      <c r="I22" s="793"/>
      <c r="J22" s="561"/>
      <c r="K22" s="794"/>
      <c r="L22" s="561"/>
      <c r="M22" s="793"/>
      <c r="N22" s="561"/>
      <c r="O22" s="793"/>
      <c r="P22" s="561"/>
      <c r="Q22" s="794"/>
      <c r="R22" s="561"/>
      <c r="S22" s="794"/>
    </row>
    <row r="23" spans="1:19">
      <c r="A23" s="512"/>
      <c r="B23" s="563"/>
      <c r="C23" s="491"/>
      <c r="D23" s="564"/>
      <c r="E23" s="506"/>
      <c r="F23" s="492"/>
      <c r="G23" s="315">
        <f t="shared" si="0"/>
        <v>0</v>
      </c>
      <c r="H23" s="561"/>
      <c r="I23" s="793"/>
      <c r="J23" s="561"/>
      <c r="K23" s="794"/>
      <c r="L23" s="561"/>
      <c r="M23" s="793"/>
      <c r="N23" s="561"/>
      <c r="O23" s="793"/>
      <c r="P23" s="561"/>
      <c r="Q23" s="794"/>
      <c r="R23" s="561"/>
      <c r="S23" s="794"/>
    </row>
    <row r="24" spans="1:19">
      <c r="A24" s="512"/>
      <c r="B24" s="563"/>
      <c r="C24" s="491"/>
      <c r="D24" s="564"/>
      <c r="E24" s="506"/>
      <c r="F24" s="492"/>
      <c r="G24" s="315">
        <f t="shared" si="0"/>
        <v>0</v>
      </c>
      <c r="H24" s="561"/>
      <c r="I24" s="793"/>
      <c r="J24" s="561"/>
      <c r="K24" s="794"/>
      <c r="L24" s="561"/>
      <c r="M24" s="794"/>
      <c r="N24" s="561"/>
      <c r="O24" s="794"/>
      <c r="P24" s="561"/>
      <c r="Q24" s="794"/>
      <c r="R24" s="561"/>
      <c r="S24" s="794"/>
    </row>
    <row r="25" spans="1:19">
      <c r="A25" s="512"/>
      <c r="B25" s="563"/>
      <c r="C25" s="491"/>
      <c r="D25" s="564"/>
      <c r="E25" s="506"/>
      <c r="F25" s="492"/>
      <c r="G25" s="315">
        <f t="shared" si="0"/>
        <v>0</v>
      </c>
      <c r="H25" s="561"/>
      <c r="I25" s="793"/>
      <c r="J25" s="561"/>
      <c r="K25" s="794"/>
      <c r="L25" s="561"/>
      <c r="M25" s="794"/>
      <c r="N25" s="561"/>
      <c r="O25" s="794"/>
      <c r="P25" s="561"/>
      <c r="Q25" s="794"/>
      <c r="R25" s="561"/>
      <c r="S25" s="794"/>
    </row>
    <row r="26" spans="1:19">
      <c r="A26" s="512"/>
      <c r="B26" s="563"/>
      <c r="C26" s="491"/>
      <c r="D26" s="564"/>
      <c r="E26" s="506"/>
      <c r="F26" s="492"/>
      <c r="G26" s="315">
        <f t="shared" si="0"/>
        <v>0</v>
      </c>
      <c r="H26" s="561"/>
      <c r="I26" s="793"/>
      <c r="J26" s="561"/>
      <c r="K26" s="794"/>
      <c r="L26" s="561"/>
      <c r="M26" s="794"/>
      <c r="N26" s="561"/>
      <c r="O26" s="794"/>
      <c r="P26" s="561"/>
      <c r="Q26" s="794"/>
      <c r="R26" s="561"/>
      <c r="S26" s="794"/>
    </row>
    <row r="27" spans="1:19">
      <c r="A27" s="512"/>
      <c r="B27" s="563"/>
      <c r="C27" s="491"/>
      <c r="D27" s="564"/>
      <c r="E27" s="506"/>
      <c r="F27" s="492"/>
      <c r="G27" s="315">
        <f t="shared" si="0"/>
        <v>0</v>
      </c>
      <c r="H27" s="561"/>
      <c r="I27" s="793"/>
      <c r="J27" s="561"/>
      <c r="K27" s="794"/>
      <c r="L27" s="561"/>
      <c r="M27" s="794"/>
      <c r="N27" s="561"/>
      <c r="O27" s="794"/>
      <c r="P27" s="561"/>
      <c r="Q27" s="794"/>
      <c r="R27" s="561"/>
      <c r="S27" s="794"/>
    </row>
    <row r="28" spans="1:19">
      <c r="A28" s="512"/>
      <c r="B28" s="563"/>
      <c r="C28" s="491"/>
      <c r="D28" s="564"/>
      <c r="E28" s="506"/>
      <c r="F28" s="492"/>
      <c r="G28" s="315">
        <f t="shared" si="0"/>
        <v>0</v>
      </c>
      <c r="H28" s="561"/>
      <c r="I28" s="793"/>
      <c r="J28" s="561"/>
      <c r="K28" s="794"/>
      <c r="L28" s="561"/>
      <c r="M28" s="794"/>
      <c r="N28" s="561"/>
      <c r="O28" s="794"/>
      <c r="P28" s="561"/>
      <c r="Q28" s="794"/>
      <c r="R28" s="561"/>
      <c r="S28" s="794"/>
    </row>
    <row r="29" spans="1:19">
      <c r="A29" s="512"/>
      <c r="B29" s="563"/>
      <c r="C29" s="491"/>
      <c r="D29" s="564"/>
      <c r="E29" s="506"/>
      <c r="F29" s="492"/>
      <c r="G29" s="315">
        <f t="shared" si="0"/>
        <v>0</v>
      </c>
      <c r="H29" s="561"/>
      <c r="I29" s="793"/>
      <c r="J29" s="561"/>
      <c r="K29" s="794"/>
      <c r="L29" s="561"/>
      <c r="M29" s="794"/>
      <c r="N29" s="561"/>
      <c r="O29" s="794"/>
      <c r="P29" s="561"/>
      <c r="Q29" s="794"/>
      <c r="R29" s="561"/>
      <c r="S29" s="794"/>
    </row>
    <row r="30" spans="1:19">
      <c r="A30" s="512"/>
      <c r="B30" s="565"/>
      <c r="C30" s="491"/>
      <c r="D30" s="564"/>
      <c r="E30" s="506"/>
      <c r="F30" s="492"/>
      <c r="G30" s="315">
        <f t="shared" si="0"/>
        <v>0</v>
      </c>
      <c r="H30" s="561"/>
      <c r="I30" s="793"/>
      <c r="J30" s="561"/>
      <c r="K30" s="794"/>
      <c r="L30" s="561"/>
      <c r="M30" s="794"/>
      <c r="N30" s="561"/>
      <c r="O30" s="794"/>
      <c r="P30" s="561"/>
      <c r="Q30" s="794"/>
      <c r="R30" s="561"/>
      <c r="S30" s="794"/>
    </row>
    <row r="31" spans="1:19">
      <c r="A31" s="512"/>
      <c r="B31" s="566"/>
      <c r="C31" s="491"/>
      <c r="D31" s="564"/>
      <c r="E31" s="506"/>
      <c r="F31" s="492"/>
      <c r="G31" s="315">
        <f t="shared" si="0"/>
        <v>0</v>
      </c>
      <c r="H31" s="561"/>
      <c r="I31" s="793"/>
      <c r="J31" s="561"/>
      <c r="K31" s="794"/>
      <c r="L31" s="561"/>
      <c r="M31" s="794"/>
      <c r="N31" s="561"/>
      <c r="O31" s="794"/>
      <c r="P31" s="561"/>
      <c r="Q31" s="794"/>
      <c r="R31" s="561"/>
      <c r="S31" s="794"/>
    </row>
    <row r="32" spans="1:19">
      <c r="A32" s="512"/>
      <c r="B32" s="566"/>
      <c r="C32" s="491"/>
      <c r="D32" s="564"/>
      <c r="E32" s="506"/>
      <c r="F32" s="492"/>
      <c r="G32" s="315">
        <f t="shared" si="0"/>
        <v>0</v>
      </c>
      <c r="H32" s="561"/>
      <c r="I32" s="793"/>
      <c r="J32" s="561"/>
      <c r="K32" s="794"/>
      <c r="L32" s="561"/>
      <c r="M32" s="794"/>
      <c r="N32" s="561"/>
      <c r="O32" s="794"/>
      <c r="P32" s="561"/>
      <c r="Q32" s="794"/>
      <c r="R32" s="561"/>
      <c r="S32" s="794"/>
    </row>
    <row r="33" spans="1:19">
      <c r="A33" s="512"/>
      <c r="B33" s="566"/>
      <c r="C33" s="491"/>
      <c r="D33" s="564"/>
      <c r="E33" s="506"/>
      <c r="F33" s="492"/>
      <c r="G33" s="315">
        <f t="shared" si="0"/>
        <v>0</v>
      </c>
      <c r="H33" s="561"/>
      <c r="I33" s="793"/>
      <c r="J33" s="561"/>
      <c r="K33" s="794"/>
      <c r="L33" s="561"/>
      <c r="M33" s="794"/>
      <c r="N33" s="561"/>
      <c r="O33" s="794"/>
      <c r="P33" s="561"/>
      <c r="Q33" s="794"/>
      <c r="R33" s="561"/>
      <c r="S33" s="794"/>
    </row>
    <row r="34" spans="1:19" ht="15.75" customHeight="1">
      <c r="A34" s="512"/>
      <c r="B34" s="563"/>
      <c r="C34" s="491"/>
      <c r="D34" s="564"/>
      <c r="E34" s="506"/>
      <c r="F34" s="492"/>
      <c r="G34" s="315">
        <f t="shared" si="0"/>
        <v>0</v>
      </c>
      <c r="H34" s="561"/>
      <c r="I34" s="793"/>
      <c r="J34" s="561"/>
      <c r="K34" s="794"/>
      <c r="L34" s="561"/>
      <c r="M34" s="794"/>
      <c r="N34" s="561"/>
      <c r="O34" s="794"/>
      <c r="P34" s="561"/>
      <c r="Q34" s="794"/>
      <c r="R34" s="561"/>
      <c r="S34" s="794"/>
    </row>
    <row r="35" spans="1:19" ht="15.75" customHeight="1">
      <c r="A35" s="512"/>
      <c r="B35" s="563"/>
      <c r="C35" s="491"/>
      <c r="D35" s="564"/>
      <c r="E35" s="506"/>
      <c r="F35" s="492"/>
      <c r="G35" s="315">
        <f t="shared" si="0"/>
        <v>0</v>
      </c>
      <c r="H35" s="561"/>
      <c r="I35" s="793"/>
      <c r="J35" s="561"/>
      <c r="K35" s="794"/>
      <c r="L35" s="561"/>
      <c r="M35" s="794"/>
      <c r="N35" s="561"/>
      <c r="O35" s="794"/>
      <c r="P35" s="561"/>
      <c r="Q35" s="794"/>
      <c r="R35" s="561"/>
      <c r="S35" s="794"/>
    </row>
    <row r="36" spans="1:19" ht="15.75" customHeight="1">
      <c r="A36" s="512"/>
      <c r="B36" s="567"/>
      <c r="C36" s="491"/>
      <c r="D36" s="564"/>
      <c r="E36" s="506"/>
      <c r="F36" s="492"/>
      <c r="G36" s="315">
        <f t="shared" si="0"/>
        <v>0</v>
      </c>
      <c r="H36" s="561"/>
      <c r="I36" s="793"/>
      <c r="J36" s="561"/>
      <c r="K36" s="794"/>
      <c r="L36" s="561"/>
      <c r="M36" s="794"/>
      <c r="N36" s="561"/>
      <c r="O36" s="794"/>
      <c r="P36" s="561"/>
      <c r="Q36" s="794"/>
      <c r="R36" s="561"/>
      <c r="S36" s="794"/>
    </row>
    <row r="37" spans="1:19" ht="15.75" customHeight="1">
      <c r="A37" s="512"/>
      <c r="B37" s="229"/>
      <c r="C37" s="506"/>
      <c r="D37" s="522"/>
      <c r="E37" s="506"/>
      <c r="F37" s="492"/>
      <c r="G37" s="315">
        <f t="shared" si="0"/>
        <v>0</v>
      </c>
      <c r="H37" s="561"/>
      <c r="I37" s="793"/>
      <c r="J37" s="561"/>
      <c r="K37" s="794"/>
      <c r="L37" s="561"/>
      <c r="M37" s="794"/>
      <c r="N37" s="561"/>
      <c r="O37" s="794"/>
      <c r="P37" s="561"/>
      <c r="Q37" s="794"/>
      <c r="R37" s="561"/>
      <c r="S37" s="794"/>
    </row>
    <row r="38" spans="1:19">
      <c r="A38" s="512"/>
      <c r="B38" s="563"/>
      <c r="C38" s="491"/>
      <c r="D38" s="564"/>
      <c r="E38" s="506"/>
      <c r="F38" s="492"/>
      <c r="G38" s="315">
        <f t="shared" si="0"/>
        <v>0</v>
      </c>
      <c r="H38" s="561"/>
      <c r="I38" s="793"/>
      <c r="J38" s="561"/>
      <c r="K38" s="794"/>
      <c r="L38" s="561"/>
      <c r="M38" s="793"/>
      <c r="N38" s="561"/>
      <c r="O38" s="793"/>
      <c r="P38" s="561"/>
      <c r="Q38" s="794"/>
      <c r="R38" s="561"/>
      <c r="S38" s="794"/>
    </row>
    <row r="39" spans="1:19">
      <c r="A39" s="512"/>
      <c r="B39" s="563"/>
      <c r="C39" s="491"/>
      <c r="D39" s="564"/>
      <c r="E39" s="506"/>
      <c r="F39" s="492"/>
      <c r="G39" s="315">
        <f t="shared" si="0"/>
        <v>0</v>
      </c>
      <c r="H39" s="561"/>
      <c r="I39" s="793"/>
      <c r="J39" s="561"/>
      <c r="K39" s="794"/>
      <c r="L39" s="561"/>
      <c r="M39" s="793"/>
      <c r="N39" s="561"/>
      <c r="O39" s="793"/>
      <c r="P39" s="561"/>
      <c r="Q39" s="794"/>
      <c r="R39" s="561"/>
      <c r="S39" s="794"/>
    </row>
    <row r="40" spans="1:19">
      <c r="A40" s="512"/>
      <c r="B40" s="563"/>
      <c r="C40" s="491"/>
      <c r="D40" s="564"/>
      <c r="E40" s="506"/>
      <c r="F40" s="492"/>
      <c r="G40" s="315">
        <f t="shared" si="0"/>
        <v>0</v>
      </c>
      <c r="H40" s="561"/>
      <c r="I40" s="793"/>
      <c r="J40" s="561"/>
      <c r="K40" s="794"/>
      <c r="L40" s="561"/>
      <c r="M40" s="794"/>
      <c r="N40" s="561"/>
      <c r="O40" s="794"/>
      <c r="P40" s="561"/>
      <c r="Q40" s="794"/>
      <c r="R40" s="561"/>
      <c r="S40" s="794"/>
    </row>
    <row r="41" spans="1:19">
      <c r="A41" s="512"/>
      <c r="B41" s="563"/>
      <c r="C41" s="491"/>
      <c r="D41" s="564"/>
      <c r="E41" s="506"/>
      <c r="F41" s="492"/>
      <c r="G41" s="315">
        <f t="shared" si="0"/>
        <v>0</v>
      </c>
      <c r="H41" s="561"/>
      <c r="I41" s="793"/>
      <c r="J41" s="561"/>
      <c r="K41" s="794"/>
      <c r="L41" s="561"/>
      <c r="M41" s="794"/>
      <c r="N41" s="561"/>
      <c r="O41" s="794"/>
      <c r="P41" s="561"/>
      <c r="Q41" s="794"/>
      <c r="R41" s="561"/>
      <c r="S41" s="794"/>
    </row>
    <row r="42" spans="1:19">
      <c r="A42" s="512"/>
      <c r="B42" s="563"/>
      <c r="C42" s="491"/>
      <c r="D42" s="564"/>
      <c r="E42" s="506"/>
      <c r="F42" s="492"/>
      <c r="G42" s="315">
        <f t="shared" si="0"/>
        <v>0</v>
      </c>
      <c r="H42" s="561"/>
      <c r="I42" s="793"/>
      <c r="J42" s="561"/>
      <c r="K42" s="794"/>
      <c r="L42" s="561"/>
      <c r="M42" s="794"/>
      <c r="N42" s="561"/>
      <c r="O42" s="794"/>
      <c r="P42" s="561"/>
      <c r="Q42" s="794"/>
      <c r="R42" s="561"/>
      <c r="S42" s="794"/>
    </row>
    <row r="43" spans="1:19">
      <c r="A43" s="512"/>
      <c r="B43" s="565"/>
      <c r="C43" s="491"/>
      <c r="D43" s="564"/>
      <c r="E43" s="506"/>
      <c r="F43" s="492"/>
      <c r="G43" s="315">
        <f t="shared" si="0"/>
        <v>0</v>
      </c>
      <c r="H43" s="561"/>
      <c r="I43" s="793"/>
      <c r="J43" s="561"/>
      <c r="K43" s="794"/>
      <c r="L43" s="561"/>
      <c r="M43" s="794"/>
      <c r="N43" s="561"/>
      <c r="O43" s="794"/>
      <c r="P43" s="561"/>
      <c r="Q43" s="794"/>
      <c r="R43" s="561"/>
      <c r="S43" s="794"/>
    </row>
    <row r="44" spans="1:19">
      <c r="A44" s="512"/>
      <c r="B44" s="566"/>
      <c r="C44" s="491"/>
      <c r="D44" s="564"/>
      <c r="E44" s="506"/>
      <c r="F44" s="492"/>
      <c r="G44" s="315">
        <f t="shared" si="0"/>
        <v>0</v>
      </c>
      <c r="H44" s="561"/>
      <c r="I44" s="793"/>
      <c r="J44" s="561"/>
      <c r="K44" s="794"/>
      <c r="L44" s="561"/>
      <c r="M44" s="794"/>
      <c r="N44" s="561"/>
      <c r="O44" s="794"/>
      <c r="P44" s="561"/>
      <c r="Q44" s="794"/>
      <c r="R44" s="561"/>
      <c r="S44" s="794"/>
    </row>
    <row r="45" spans="1:19" ht="15.75" customHeight="1">
      <c r="A45" s="512"/>
      <c r="B45" s="563"/>
      <c r="C45" s="491"/>
      <c r="D45" s="564"/>
      <c r="E45" s="506"/>
      <c r="F45" s="492"/>
      <c r="G45" s="315">
        <f t="shared" si="0"/>
        <v>0</v>
      </c>
      <c r="H45" s="561"/>
      <c r="I45" s="793"/>
      <c r="J45" s="561"/>
      <c r="K45" s="794"/>
      <c r="L45" s="561"/>
      <c r="M45" s="794"/>
      <c r="N45" s="561"/>
      <c r="O45" s="794"/>
      <c r="P45" s="561"/>
      <c r="Q45" s="794"/>
      <c r="R45" s="561"/>
      <c r="S45" s="794"/>
    </row>
    <row r="46" spans="1:19" ht="15.75" customHeight="1">
      <c r="A46" s="512"/>
      <c r="B46" s="563"/>
      <c r="C46" s="491"/>
      <c r="D46" s="564"/>
      <c r="E46" s="506"/>
      <c r="F46" s="492"/>
      <c r="G46" s="315">
        <f t="shared" si="0"/>
        <v>0</v>
      </c>
      <c r="H46" s="561"/>
      <c r="I46" s="793"/>
      <c r="J46" s="561"/>
      <c r="K46" s="794"/>
      <c r="L46" s="561"/>
      <c r="M46" s="794"/>
      <c r="N46" s="561"/>
      <c r="O46" s="794"/>
      <c r="P46" s="561"/>
      <c r="Q46" s="794"/>
      <c r="R46" s="561"/>
      <c r="S46" s="794"/>
    </row>
    <row r="47" spans="1:19" ht="15.75" customHeight="1">
      <c r="A47" s="512"/>
      <c r="B47" s="563"/>
      <c r="C47" s="491"/>
      <c r="D47" s="564"/>
      <c r="E47" s="506"/>
      <c r="F47" s="492"/>
      <c r="G47" s="315">
        <f t="shared" si="0"/>
        <v>0</v>
      </c>
      <c r="H47" s="561"/>
      <c r="I47" s="793"/>
      <c r="J47" s="561"/>
      <c r="K47" s="794"/>
      <c r="L47" s="561"/>
      <c r="M47" s="794"/>
      <c r="N47" s="561"/>
      <c r="O47" s="794"/>
      <c r="P47" s="561"/>
      <c r="Q47" s="794"/>
      <c r="R47" s="561"/>
      <c r="S47" s="794"/>
    </row>
    <row r="48" spans="1:19" ht="15.75" customHeight="1">
      <c r="A48" s="512"/>
      <c r="B48" s="563"/>
      <c r="C48" s="491"/>
      <c r="D48" s="564"/>
      <c r="E48" s="506"/>
      <c r="F48" s="492"/>
      <c r="G48" s="315">
        <f t="shared" si="0"/>
        <v>0</v>
      </c>
      <c r="H48" s="561"/>
      <c r="I48" s="793"/>
      <c r="J48" s="561"/>
      <c r="K48" s="794"/>
      <c r="L48" s="561"/>
      <c r="M48" s="794"/>
      <c r="N48" s="561"/>
      <c r="O48" s="794"/>
      <c r="P48" s="561"/>
      <c r="Q48" s="794"/>
      <c r="R48" s="561"/>
      <c r="S48" s="794"/>
    </row>
    <row r="49" spans="1:34" ht="15.75" customHeight="1">
      <c r="A49" s="512"/>
      <c r="B49" s="567"/>
      <c r="C49" s="491"/>
      <c r="D49" s="564"/>
      <c r="E49" s="506"/>
      <c r="F49" s="492"/>
      <c r="G49" s="315">
        <f t="shared" si="0"/>
        <v>0</v>
      </c>
      <c r="H49" s="561"/>
      <c r="I49" s="793"/>
      <c r="J49" s="561"/>
      <c r="K49" s="794"/>
      <c r="L49" s="561"/>
      <c r="M49" s="794"/>
      <c r="N49" s="561"/>
      <c r="O49" s="794"/>
      <c r="P49" s="561"/>
      <c r="Q49" s="794"/>
      <c r="R49" s="561"/>
      <c r="S49" s="794"/>
    </row>
    <row r="50" spans="1:34" ht="15.75" thickBot="1">
      <c r="A50" s="512"/>
      <c r="B50" s="518"/>
      <c r="C50" s="491"/>
      <c r="D50" s="564"/>
      <c r="E50" s="506"/>
      <c r="F50" s="492"/>
      <c r="G50" s="315"/>
      <c r="H50" s="561"/>
      <c r="I50" s="793"/>
      <c r="J50" s="561"/>
      <c r="K50" s="794"/>
      <c r="L50" s="561"/>
      <c r="M50" s="794"/>
      <c r="N50" s="561"/>
      <c r="O50" s="794"/>
      <c r="P50" s="561"/>
      <c r="Q50" s="794"/>
      <c r="R50" s="561"/>
      <c r="S50" s="794"/>
    </row>
    <row r="51" spans="1:34" ht="15.75" thickTop="1">
      <c r="A51" s="15"/>
      <c r="B51" s="19" t="s">
        <v>470</v>
      </c>
      <c r="C51" s="17"/>
      <c r="D51" s="226"/>
      <c r="E51" s="18"/>
      <c r="F51" s="19"/>
      <c r="G51" s="215">
        <f>SUM(G19:G50)</f>
        <v>0</v>
      </c>
      <c r="H51" s="21"/>
      <c r="I51" s="228">
        <f>SUBTOTAL(9,I21:I49)</f>
        <v>0</v>
      </c>
      <c r="J51" s="21"/>
      <c r="K51" s="228">
        <f>SUBTOTAL(9,K21:K49)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519"/>
      <c r="B52" s="494" t="s">
        <v>471</v>
      </c>
      <c r="C52" s="493"/>
      <c r="D52" s="524"/>
      <c r="E52" s="521"/>
      <c r="F52" s="494"/>
      <c r="G52" s="216"/>
      <c r="H52" s="568">
        <v>0</v>
      </c>
      <c r="I52" s="163"/>
      <c r="J52" s="568">
        <v>0</v>
      </c>
      <c r="K52" s="163"/>
      <c r="L52" s="568">
        <v>0</v>
      </c>
      <c r="M52" s="163"/>
      <c r="N52" s="568">
        <v>0</v>
      </c>
      <c r="O52" s="163"/>
      <c r="P52" s="568">
        <v>0</v>
      </c>
      <c r="Q52" s="163"/>
      <c r="R52" s="568">
        <v>0</v>
      </c>
      <c r="S52" s="163"/>
    </row>
    <row r="53" spans="1:34">
      <c r="A53" s="519"/>
      <c r="B53" s="494" t="s">
        <v>472</v>
      </c>
      <c r="C53" s="493"/>
      <c r="D53" s="524"/>
      <c r="E53" s="521"/>
      <c r="F53" s="494"/>
      <c r="G53" s="569">
        <f>F52*G51</f>
        <v>0</v>
      </c>
      <c r="H53" s="570"/>
      <c r="I53" s="571">
        <f>H52*I51</f>
        <v>0</v>
      </c>
      <c r="J53" s="570"/>
      <c r="K53" s="571">
        <f>J52*K51</f>
        <v>0</v>
      </c>
      <c r="L53" s="570"/>
      <c r="M53" s="571">
        <f>L52*M51</f>
        <v>0</v>
      </c>
      <c r="N53" s="570"/>
      <c r="O53" s="571">
        <f>N52*O51</f>
        <v>0</v>
      </c>
      <c r="P53" s="570"/>
      <c r="Q53" s="571">
        <f>P52*Q51</f>
        <v>0</v>
      </c>
      <c r="R53" s="570"/>
      <c r="S53" s="571">
        <f>R52*S51</f>
        <v>0</v>
      </c>
    </row>
    <row r="54" spans="1:34">
      <c r="A54" s="519"/>
      <c r="B54" s="494"/>
      <c r="C54" s="493"/>
      <c r="D54" s="524"/>
      <c r="E54" s="521"/>
      <c r="F54" s="494"/>
      <c r="G54" s="569"/>
      <c r="H54" s="570"/>
      <c r="I54" s="571"/>
      <c r="J54" s="570"/>
      <c r="K54" s="571"/>
      <c r="L54" s="570"/>
      <c r="M54" s="571"/>
      <c r="N54" s="570"/>
      <c r="O54" s="571"/>
      <c r="P54" s="570"/>
      <c r="Q54" s="571"/>
      <c r="R54" s="570"/>
      <c r="S54" s="571"/>
    </row>
    <row r="55" spans="1:34">
      <c r="A55" s="519"/>
      <c r="B55" s="494" t="s">
        <v>473</v>
      </c>
      <c r="C55" s="493"/>
      <c r="D55" s="524"/>
      <c r="E55" s="521"/>
      <c r="F55" s="494"/>
      <c r="G55" s="569">
        <f>SUM(G51:G53)</f>
        <v>0</v>
      </c>
      <c r="H55" s="572"/>
      <c r="I55" s="571">
        <f>SUM(I51:I53)</f>
        <v>0</v>
      </c>
      <c r="J55" s="572"/>
      <c r="K55" s="571">
        <f>SUM(K51:K53)</f>
        <v>0</v>
      </c>
      <c r="L55" s="572"/>
      <c r="M55" s="571">
        <f>SUM(M51:M53)</f>
        <v>0</v>
      </c>
      <c r="N55" s="572"/>
      <c r="O55" s="571">
        <f>SUM(O51:O53)</f>
        <v>0</v>
      </c>
      <c r="P55" s="572"/>
      <c r="Q55" s="571">
        <f>SUM(Q51:Q53)</f>
        <v>0</v>
      </c>
      <c r="R55" s="572"/>
      <c r="S55" s="571">
        <f>SUM(S51:S53)</f>
        <v>0</v>
      </c>
    </row>
    <row r="56" spans="1:34">
      <c r="A56" s="519"/>
      <c r="B56" s="495" t="s">
        <v>474</v>
      </c>
      <c r="C56" s="493"/>
      <c r="D56" s="524"/>
      <c r="E56" s="521"/>
      <c r="F56" s="495"/>
      <c r="G56" s="573">
        <f>G55/'Area Calculations'!$G$5</f>
        <v>0</v>
      </c>
      <c r="H56" s="574"/>
      <c r="I56" s="575">
        <f>I55/'Area Calculations'!$G$5</f>
        <v>0</v>
      </c>
      <c r="J56" s="574"/>
      <c r="K56" s="575">
        <f>K55/'Area Calculations'!$G$5</f>
        <v>0</v>
      </c>
      <c r="L56" s="574"/>
      <c r="M56" s="575">
        <f>M55/'Area Calculations'!$G$5</f>
        <v>0</v>
      </c>
      <c r="N56" s="574"/>
      <c r="O56" s="575">
        <f>O55/'Area Calculations'!$G$5</f>
        <v>0</v>
      </c>
      <c r="P56" s="574"/>
      <c r="Q56" s="575">
        <f>Q55/'Area Calculations'!$G$5</f>
        <v>0</v>
      </c>
      <c r="R56" s="576"/>
      <c r="S56" s="575">
        <f>S55/'Area Calculations'!$G$5</f>
        <v>0</v>
      </c>
    </row>
    <row r="57" spans="1:34" ht="15.75" thickBot="1">
      <c r="A57" s="519"/>
      <c r="B57" s="496"/>
      <c r="C57" s="493"/>
      <c r="D57" s="524"/>
      <c r="E57" s="521"/>
      <c r="F57" s="494"/>
      <c r="G57" s="464"/>
      <c r="H57" s="577"/>
      <c r="I57" s="578"/>
      <c r="J57" s="577"/>
      <c r="K57" s="577"/>
      <c r="L57" s="577"/>
      <c r="M57" s="577"/>
      <c r="N57" s="577"/>
      <c r="O57" s="577"/>
      <c r="P57" s="577"/>
      <c r="Q57" s="577"/>
      <c r="R57" s="577"/>
      <c r="S57" s="577"/>
    </row>
    <row r="58" spans="1:34" ht="16.5" thickTop="1" thickBot="1">
      <c r="A58" s="691" t="s">
        <v>475</v>
      </c>
      <c r="B58" s="692"/>
      <c r="C58" s="14"/>
      <c r="D58" s="227"/>
      <c r="E58" s="14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797"/>
      <c r="E59" s="796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797"/>
      <c r="E60" s="796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797"/>
      <c r="E61" s="796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227"/>
      <c r="E62" s="14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797"/>
      <c r="E63" s="796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797"/>
      <c r="E64" s="796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797"/>
      <c r="E65" s="796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227"/>
      <c r="E66" s="14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797"/>
      <c r="E67" s="796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520"/>
      <c r="B68" s="497"/>
      <c r="C68" s="506"/>
      <c r="D68" s="522"/>
      <c r="E68" s="506"/>
      <c r="F68" s="506"/>
      <c r="G68" s="498"/>
      <c r="H68" s="499"/>
      <c r="I68" s="499"/>
      <c r="J68" s="499"/>
      <c r="K68" s="499"/>
      <c r="L68" s="499"/>
      <c r="M68" s="499"/>
      <c r="N68" s="499"/>
      <c r="O68" s="499"/>
      <c r="P68" s="499"/>
      <c r="Q68" s="499"/>
      <c r="R68" s="499"/>
      <c r="S68" s="499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500"/>
      <c r="B69" s="501"/>
      <c r="C69" s="506"/>
      <c r="D69" s="522"/>
      <c r="E69" s="506"/>
      <c r="F69" s="506"/>
      <c r="G69" s="498"/>
      <c r="H69" s="502"/>
      <c r="I69" s="502"/>
      <c r="J69" s="502"/>
      <c r="K69" s="502"/>
      <c r="L69" s="502"/>
      <c r="M69" s="502"/>
      <c r="N69" s="502"/>
      <c r="O69" s="502"/>
      <c r="P69" s="502"/>
      <c r="Q69" s="502"/>
      <c r="R69" s="502"/>
      <c r="S69" s="502"/>
    </row>
    <row r="70" spans="1:34" s="2" customFormat="1" ht="16.5" thickTop="1" thickBot="1">
      <c r="A70" s="691" t="s">
        <v>478</v>
      </c>
      <c r="B70" s="692"/>
      <c r="C70" s="14"/>
      <c r="D70" s="227"/>
      <c r="E70" s="14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797"/>
      <c r="E71" s="796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500"/>
      <c r="B72" s="501"/>
      <c r="C72" s="506"/>
      <c r="D72" s="522"/>
      <c r="E72" s="506"/>
      <c r="F72" s="506"/>
      <c r="G72" s="498"/>
      <c r="H72" s="503"/>
      <c r="I72" s="503"/>
      <c r="J72" s="503"/>
      <c r="K72" s="503"/>
      <c r="L72" s="503"/>
      <c r="M72" s="503"/>
      <c r="N72" s="503"/>
      <c r="O72" s="503"/>
      <c r="P72" s="503"/>
      <c r="Q72" s="503"/>
      <c r="R72" s="503"/>
      <c r="S72" s="50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500"/>
      <c r="B73" s="501"/>
      <c r="C73" s="506"/>
      <c r="D73" s="522"/>
      <c r="E73" s="506"/>
      <c r="F73" s="506"/>
      <c r="G73" s="498"/>
      <c r="H73" s="503"/>
      <c r="I73" s="503"/>
      <c r="J73" s="503"/>
      <c r="K73" s="503"/>
      <c r="L73" s="503"/>
      <c r="M73" s="503"/>
      <c r="N73" s="503"/>
      <c r="O73" s="503"/>
      <c r="P73" s="503"/>
      <c r="Q73" s="503"/>
      <c r="R73" s="503"/>
      <c r="S73" s="50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227"/>
      <c r="E74" s="14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520"/>
      <c r="B75" s="497" t="s">
        <v>480</v>
      </c>
      <c r="C75" s="506"/>
      <c r="D75" s="522"/>
      <c r="E75" s="506"/>
      <c r="F75" s="506"/>
      <c r="G75" s="498"/>
      <c r="H75" s="503"/>
      <c r="I75" s="503"/>
      <c r="J75" s="503"/>
      <c r="K75" s="503"/>
      <c r="L75" s="503"/>
      <c r="M75" s="503"/>
      <c r="N75" s="503"/>
      <c r="O75" s="503"/>
      <c r="P75" s="503"/>
      <c r="Q75" s="503"/>
      <c r="R75" s="503"/>
      <c r="S75" s="503"/>
    </row>
    <row r="76" spans="1:34">
      <c r="A76" s="520"/>
      <c r="B76" s="497" t="s">
        <v>481</v>
      </c>
      <c r="C76" s="506"/>
      <c r="D76" s="522"/>
      <c r="E76" s="506"/>
      <c r="F76" s="506"/>
      <c r="G76" s="498"/>
      <c r="H76" s="503"/>
      <c r="I76" s="503"/>
      <c r="J76" s="503"/>
      <c r="K76" s="503"/>
      <c r="L76" s="503"/>
      <c r="M76" s="503"/>
      <c r="N76" s="503"/>
      <c r="O76" s="503"/>
      <c r="P76" s="503"/>
      <c r="Q76" s="503"/>
      <c r="R76" s="503"/>
      <c r="S76" s="503"/>
    </row>
    <row r="77" spans="1:34">
      <c r="A77" s="520"/>
      <c r="B77" s="497" t="s">
        <v>482</v>
      </c>
      <c r="C77" s="506"/>
      <c r="D77" s="522"/>
      <c r="E77" s="506"/>
      <c r="F77" s="506"/>
      <c r="G77" s="498"/>
      <c r="H77" s="503"/>
      <c r="I77" s="503"/>
      <c r="J77" s="503"/>
      <c r="K77" s="503"/>
      <c r="L77" s="503"/>
      <c r="M77" s="503"/>
      <c r="N77" s="503"/>
      <c r="O77" s="503"/>
      <c r="P77" s="503"/>
      <c r="Q77" s="503"/>
      <c r="R77" s="503"/>
      <c r="S77" s="503"/>
    </row>
    <row r="78" spans="1:34">
      <c r="A78" s="520"/>
      <c r="B78" s="497" t="s">
        <v>483</v>
      </c>
      <c r="C78" s="506"/>
      <c r="D78" s="522"/>
      <c r="E78" s="506"/>
      <c r="F78" s="506"/>
      <c r="G78" s="498"/>
      <c r="H78" s="503"/>
      <c r="I78" s="503"/>
      <c r="J78" s="503"/>
      <c r="K78" s="503"/>
      <c r="L78" s="503"/>
      <c r="M78" s="503"/>
      <c r="N78" s="503"/>
      <c r="O78" s="503"/>
      <c r="P78" s="503"/>
      <c r="Q78" s="503"/>
      <c r="R78" s="503"/>
      <c r="S78" s="503"/>
    </row>
    <row r="79" spans="1:34" ht="15.75" thickBot="1">
      <c r="A79" s="23"/>
      <c r="B79" s="7"/>
      <c r="C79" s="8"/>
      <c r="D79" s="225"/>
      <c r="E79" s="8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227"/>
      <c r="E80" s="14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797"/>
      <c r="E81" s="796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520"/>
      <c r="B82" s="497" t="s">
        <v>486</v>
      </c>
      <c r="C82" s="506"/>
      <c r="D82" s="522"/>
      <c r="E82" s="506"/>
      <c r="F82" s="506"/>
      <c r="G82" s="498"/>
      <c r="H82" s="579"/>
      <c r="I82" s="579"/>
      <c r="J82" s="579"/>
      <c r="K82" s="579"/>
      <c r="L82" s="579"/>
      <c r="M82" s="579"/>
      <c r="N82" s="579"/>
      <c r="O82" s="579"/>
      <c r="P82" s="579"/>
      <c r="Q82" s="579"/>
      <c r="R82" s="579"/>
      <c r="S82" s="579"/>
    </row>
    <row r="83" spans="1:19" ht="15.75" thickBot="1">
      <c r="A83" s="525"/>
      <c r="B83" s="485" t="s">
        <v>487</v>
      </c>
      <c r="C83" s="486"/>
      <c r="D83" s="490"/>
      <c r="E83" s="486"/>
      <c r="F83" s="486"/>
      <c r="G83" s="488"/>
      <c r="H83" s="587"/>
      <c r="I83" s="587"/>
      <c r="J83" s="587"/>
      <c r="K83" s="587"/>
      <c r="L83" s="587"/>
      <c r="M83" s="587"/>
      <c r="N83" s="587"/>
      <c r="O83" s="587"/>
      <c r="P83" s="587"/>
      <c r="Q83" s="587"/>
      <c r="R83" s="587"/>
      <c r="S83" s="587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580"/>
    </row>
    <row r="87" spans="1:19">
      <c r="A87" s="504" t="s">
        <v>446</v>
      </c>
      <c r="B87" s="580"/>
    </row>
    <row r="88" spans="1:19">
      <c r="A88" s="581" t="s">
        <v>448</v>
      </c>
      <c r="B88" s="582"/>
    </row>
    <row r="89" spans="1:19">
      <c r="A89" s="581" t="s">
        <v>450</v>
      </c>
      <c r="B89" s="583"/>
    </row>
    <row r="90" spans="1:19" ht="15.75" thickBot="1">
      <c r="A90" s="526" t="s">
        <v>489</v>
      </c>
      <c r="B90" s="588">
        <f>$I$55</f>
        <v>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A58:B58"/>
    <mergeCell ref="A62:B62"/>
    <mergeCell ref="A66:B66"/>
    <mergeCell ref="A70:B70"/>
    <mergeCell ref="A74:B74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5:S5"/>
    <mergeCell ref="H5:I5"/>
    <mergeCell ref="J5:K5"/>
    <mergeCell ref="L5:M5"/>
    <mergeCell ref="N5:O5"/>
    <mergeCell ref="P5:Q5"/>
  </mergeCells>
  <conditionalFormatting sqref="H11:H18 J11:J18 L11:L18 N11:N18 P11:P18 R11:R18 H20:H50 J20:J50 L20:L50 N20:N50 P20:P50 R20:R50">
    <cfRule type="cellIs" dxfId="147" priority="1" operator="equal">
      <formula>"X"</formula>
    </cfRule>
    <cfRule type="cellIs" dxfId="146" priority="2" operator="equal">
      <formula>"I"</formula>
    </cfRule>
  </conditionalFormatting>
  <hyperlinks>
    <hyperlink ref="B4" location="'Cost Summary'!A1" display="BACK TO SUMMARY SHEET" xr:uid="{545B2EF1-1D86-4A72-8C37-C1BB99540B6D}"/>
  </hyperlinks>
  <pageMargins left="0.2" right="0.2" top="0.5" bottom="0.25" header="0.3" footer="0.3"/>
  <pageSetup paperSize="3" scale="7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B30D-1A1D-4FB8-BC72-95AFA59420DA}">
  <sheetPr>
    <tabColor rgb="FFFFFF00"/>
    <pageSetUpPr fitToPage="1"/>
  </sheetPr>
  <dimension ref="A1:AH105"/>
  <sheetViews>
    <sheetView zoomScale="90" zoomScaleNormal="90" workbookViewId="0">
      <pane xSplit="6" ySplit="10" topLeftCell="G11" activePane="bottomRight" state="frozen"/>
      <selection pane="bottomRight" activeCell="M33" sqref="M33"/>
      <selection pane="bottomLeft" activeCell="A11" sqref="A11"/>
      <selection pane="topRight" activeCell="G1" sqref="G1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300" bestFit="1" customWidth="1"/>
    <col min="8" max="8" width="7.42578125" style="2" bestFit="1" customWidth="1"/>
    <col min="9" max="9" width="14.85546875" style="300" customWidth="1"/>
    <col min="10" max="10" width="8.42578125" style="2" bestFit="1" customWidth="1"/>
    <col min="11" max="11" width="14.85546875" style="300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299" t="s">
        <v>436</v>
      </c>
    </row>
    <row r="2" spans="1:19">
      <c r="F2" s="180" t="s">
        <v>437</v>
      </c>
      <c r="G2" s="299" t="s">
        <v>438</v>
      </c>
    </row>
    <row r="3" spans="1:19">
      <c r="F3" s="181" t="s">
        <v>439</v>
      </c>
      <c r="G3" s="299" t="s">
        <v>440</v>
      </c>
    </row>
    <row r="4" spans="1:19" ht="15.75" thickBot="1">
      <c r="B4" s="182" t="s">
        <v>441</v>
      </c>
      <c r="F4" s="170"/>
      <c r="G4" s="300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301" t="s">
        <v>444</v>
      </c>
      <c r="H5" s="683"/>
      <c r="I5" s="684"/>
      <c r="J5" s="683"/>
      <c r="K5" s="684"/>
      <c r="L5" s="683"/>
      <c r="M5" s="684"/>
      <c r="N5" s="683"/>
      <c r="O5" s="684"/>
      <c r="P5" s="673"/>
      <c r="Q5" s="674"/>
      <c r="R5" s="673"/>
      <c r="S5" s="674"/>
    </row>
    <row r="6" spans="1:19">
      <c r="A6" s="505" t="s">
        <v>445</v>
      </c>
      <c r="B6" s="497" t="s">
        <v>114</v>
      </c>
      <c r="C6" s="506"/>
      <c r="D6" s="507"/>
      <c r="E6" s="508"/>
      <c r="F6" s="506"/>
      <c r="G6" s="482" t="s">
        <v>446</v>
      </c>
      <c r="H6" s="685"/>
      <c r="I6" s="686"/>
      <c r="J6" s="685"/>
      <c r="K6" s="686"/>
      <c r="L6" s="685"/>
      <c r="M6" s="686"/>
      <c r="N6" s="685"/>
      <c r="O6" s="686"/>
      <c r="P6" s="675"/>
      <c r="Q6" s="676"/>
      <c r="R6" s="675"/>
      <c r="S6" s="676"/>
    </row>
    <row r="7" spans="1:19">
      <c r="A7" s="505" t="s">
        <v>447</v>
      </c>
      <c r="B7" s="509" t="s">
        <v>113</v>
      </c>
      <c r="C7" s="506"/>
      <c r="D7" s="507"/>
      <c r="E7" s="508"/>
      <c r="F7" s="506"/>
      <c r="G7" s="584" t="s">
        <v>448</v>
      </c>
      <c r="H7" s="687"/>
      <c r="I7" s="688"/>
      <c r="J7" s="687"/>
      <c r="K7" s="688"/>
      <c r="L7" s="687"/>
      <c r="M7" s="688"/>
      <c r="N7" s="687"/>
      <c r="O7" s="688"/>
      <c r="P7" s="677"/>
      <c r="Q7" s="678"/>
      <c r="R7" s="677"/>
      <c r="S7" s="678"/>
    </row>
    <row r="8" spans="1:19">
      <c r="A8" s="505" t="s">
        <v>449</v>
      </c>
      <c r="B8" s="511"/>
      <c r="C8" s="506"/>
      <c r="D8" s="507"/>
      <c r="E8" s="508"/>
      <c r="F8" s="506"/>
      <c r="G8" s="584" t="s">
        <v>450</v>
      </c>
      <c r="H8" s="689"/>
      <c r="I8" s="690"/>
      <c r="J8" s="689"/>
      <c r="K8" s="690"/>
      <c r="L8" s="689"/>
      <c r="M8" s="690"/>
      <c r="N8" s="689"/>
      <c r="O8" s="690"/>
      <c r="P8" s="679"/>
      <c r="Q8" s="680"/>
      <c r="R8" s="679"/>
      <c r="S8" s="680"/>
    </row>
    <row r="9" spans="1:19" ht="15.75" thickBot="1">
      <c r="A9" s="560"/>
      <c r="B9" s="485"/>
      <c r="C9" s="8"/>
      <c r="D9" s="166"/>
      <c r="E9" s="172"/>
      <c r="F9" s="486"/>
      <c r="G9" s="489" t="s">
        <v>451</v>
      </c>
      <c r="H9" s="681">
        <f>I$67</f>
        <v>33000765</v>
      </c>
      <c r="I9" s="682"/>
      <c r="J9" s="681">
        <f>K$67</f>
        <v>16240694.573333336</v>
      </c>
      <c r="K9" s="682"/>
      <c r="L9" s="681">
        <f>M$67</f>
        <v>128</v>
      </c>
      <c r="M9" s="682"/>
      <c r="N9" s="804">
        <f>O$67</f>
        <v>260527.40740740742</v>
      </c>
      <c r="O9" s="805"/>
      <c r="P9" s="681">
        <f t="shared" ref="P9" si="0">Q$67</f>
        <v>0</v>
      </c>
      <c r="Q9" s="682"/>
      <c r="R9" s="681">
        <f t="shared" ref="R9" si="1">S$67</f>
        <v>0</v>
      </c>
      <c r="S9" s="682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302" t="s">
        <v>457</v>
      </c>
      <c r="H10" s="160" t="s">
        <v>458</v>
      </c>
      <c r="I10" s="308" t="s">
        <v>459</v>
      </c>
      <c r="J10" s="160" t="s">
        <v>458</v>
      </c>
      <c r="K10" s="308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507"/>
      <c r="E11" s="508"/>
      <c r="F11" s="506"/>
      <c r="G11" s="303"/>
      <c r="H11" s="561"/>
      <c r="I11" s="806"/>
      <c r="J11" s="561"/>
      <c r="K11" s="806"/>
      <c r="L11" s="561"/>
      <c r="M11" s="183"/>
      <c r="N11" s="561"/>
      <c r="O11" s="782"/>
      <c r="P11" s="561"/>
      <c r="Q11" s="783"/>
      <c r="R11" s="561"/>
      <c r="S11" s="783"/>
    </row>
    <row r="12" spans="1:19">
      <c r="A12" s="784"/>
      <c r="B12" s="785" t="s">
        <v>461</v>
      </c>
      <c r="C12" s="506"/>
      <c r="D12" s="507"/>
      <c r="E12" s="508"/>
      <c r="F12" s="506"/>
      <c r="G12" s="303"/>
      <c r="H12" s="561"/>
      <c r="I12" s="806"/>
      <c r="J12" s="561"/>
      <c r="K12" s="806"/>
      <c r="L12" s="561"/>
      <c r="M12" s="783"/>
      <c r="N12" s="561"/>
      <c r="O12" s="782"/>
      <c r="P12" s="561"/>
      <c r="Q12" s="783"/>
      <c r="R12" s="561"/>
      <c r="S12" s="783"/>
    </row>
    <row r="13" spans="1:19">
      <c r="A13" s="512"/>
      <c r="B13" s="786" t="s">
        <v>462</v>
      </c>
      <c r="C13" s="506"/>
      <c r="D13" s="507"/>
      <c r="E13" s="508"/>
      <c r="F13" s="506"/>
      <c r="G13" s="303"/>
      <c r="H13" s="561"/>
      <c r="I13" s="806"/>
      <c r="J13" s="561"/>
      <c r="K13" s="806"/>
      <c r="L13" s="561"/>
      <c r="M13" s="783"/>
      <c r="N13" s="561"/>
      <c r="O13" s="782"/>
      <c r="P13" s="561"/>
      <c r="Q13" s="783"/>
      <c r="R13" s="561"/>
      <c r="S13" s="783"/>
    </row>
    <row r="14" spans="1:19">
      <c r="A14" s="512"/>
      <c r="B14" s="787" t="s">
        <v>463</v>
      </c>
      <c r="C14" s="506"/>
      <c r="D14" s="507"/>
      <c r="E14" s="508"/>
      <c r="F14" s="506"/>
      <c r="G14" s="303"/>
      <c r="H14" s="561"/>
      <c r="I14" s="806"/>
      <c r="J14" s="561"/>
      <c r="K14" s="806"/>
      <c r="L14" s="561"/>
      <c r="M14" s="783"/>
      <c r="N14" s="561"/>
      <c r="O14" s="782"/>
      <c r="P14" s="561"/>
      <c r="Q14" s="783"/>
      <c r="R14" s="561"/>
      <c r="S14" s="783"/>
    </row>
    <row r="15" spans="1:19">
      <c r="A15" s="512"/>
      <c r="B15" s="787" t="s">
        <v>464</v>
      </c>
      <c r="C15" s="506"/>
      <c r="D15" s="507"/>
      <c r="E15" s="508"/>
      <c r="F15" s="506"/>
      <c r="G15" s="303"/>
      <c r="H15" s="561"/>
      <c r="I15" s="807"/>
      <c r="J15" s="561"/>
      <c r="K15" s="807"/>
      <c r="L15" s="561"/>
      <c r="M15" s="782"/>
      <c r="N15" s="561"/>
      <c r="O15" s="782"/>
      <c r="P15" s="561"/>
      <c r="Q15" s="782"/>
      <c r="R15" s="561"/>
      <c r="S15" s="782"/>
    </row>
    <row r="16" spans="1:19">
      <c r="A16" s="512"/>
      <c r="B16" s="787" t="s">
        <v>465</v>
      </c>
      <c r="C16" s="506"/>
      <c r="D16" s="507"/>
      <c r="E16" s="508"/>
      <c r="F16" s="506"/>
      <c r="G16" s="303"/>
      <c r="H16" s="561"/>
      <c r="I16" s="806"/>
      <c r="J16" s="561"/>
      <c r="K16" s="806"/>
      <c r="L16" s="561"/>
      <c r="M16" s="783"/>
      <c r="N16" s="561"/>
      <c r="O16" s="782"/>
      <c r="P16" s="561"/>
      <c r="Q16" s="783"/>
      <c r="R16" s="561"/>
      <c r="S16" s="783"/>
    </row>
    <row r="17" spans="1:19">
      <c r="A17" s="512"/>
      <c r="B17" s="787" t="s">
        <v>466</v>
      </c>
      <c r="C17" s="506"/>
      <c r="D17" s="507"/>
      <c r="E17" s="508"/>
      <c r="F17" s="506"/>
      <c r="G17" s="303"/>
      <c r="H17" s="561"/>
      <c r="I17" s="806"/>
      <c r="J17" s="561"/>
      <c r="K17" s="806"/>
      <c r="L17" s="561"/>
      <c r="M17" s="783"/>
      <c r="N17" s="561"/>
      <c r="O17" s="782"/>
      <c r="P17" s="561"/>
      <c r="Q17" s="783"/>
      <c r="R17" s="561"/>
      <c r="S17" s="783"/>
    </row>
    <row r="18" spans="1:19">
      <c r="A18" s="512"/>
      <c r="B18" s="788" t="s">
        <v>467</v>
      </c>
      <c r="C18" s="506"/>
      <c r="D18" s="507"/>
      <c r="E18" s="508"/>
      <c r="F18" s="506"/>
      <c r="G18" s="303"/>
      <c r="H18" s="561"/>
      <c r="I18" s="806"/>
      <c r="J18" s="561"/>
      <c r="K18" s="806"/>
      <c r="L18" s="561"/>
      <c r="M18" s="783"/>
      <c r="N18" s="561"/>
      <c r="O18" s="782"/>
      <c r="P18" s="561"/>
      <c r="Q18" s="783"/>
      <c r="R18" s="561"/>
      <c r="S18" s="783"/>
    </row>
    <row r="19" spans="1:19">
      <c r="A19" s="512"/>
      <c r="B19" s="789" t="s">
        <v>468</v>
      </c>
      <c r="C19" s="513"/>
      <c r="D19" s="514"/>
      <c r="E19" s="515"/>
      <c r="F19" s="516"/>
      <c r="G19" s="483"/>
      <c r="H19" s="562"/>
      <c r="I19" s="808"/>
      <c r="J19" s="562"/>
      <c r="K19" s="808"/>
      <c r="L19" s="562"/>
      <c r="M19" s="791"/>
      <c r="N19" s="562"/>
      <c r="O19" s="790"/>
      <c r="P19" s="562"/>
      <c r="Q19" s="791"/>
      <c r="R19" s="562"/>
      <c r="S19" s="791"/>
    </row>
    <row r="20" spans="1:19">
      <c r="A20" s="512"/>
      <c r="B20" s="792"/>
      <c r="C20" s="506"/>
      <c r="D20" s="507"/>
      <c r="E20" s="508"/>
      <c r="F20" s="517"/>
      <c r="G20" s="303"/>
      <c r="H20" s="561"/>
      <c r="I20" s="807"/>
      <c r="J20" s="561"/>
      <c r="K20" s="806"/>
      <c r="L20" s="561"/>
      <c r="M20" s="794"/>
      <c r="N20" s="561"/>
      <c r="O20" s="793"/>
      <c r="P20" s="561"/>
      <c r="Q20" s="794"/>
      <c r="R20" s="561"/>
      <c r="S20" s="794"/>
    </row>
    <row r="21" spans="1:19">
      <c r="A21" s="585"/>
      <c r="B21" s="809" t="s">
        <v>492</v>
      </c>
      <c r="C21" s="810"/>
      <c r="D21" s="811"/>
      <c r="E21" s="812"/>
      <c r="F21" s="813"/>
      <c r="G21" s="303"/>
      <c r="H21" s="814"/>
      <c r="I21" s="807"/>
      <c r="J21" s="814"/>
      <c r="K21" s="806"/>
      <c r="L21" s="814"/>
      <c r="M21" s="794"/>
      <c r="N21" s="814"/>
      <c r="O21" s="793"/>
      <c r="P21" s="814"/>
      <c r="Q21" s="794"/>
      <c r="R21" s="814"/>
      <c r="S21" s="794"/>
    </row>
    <row r="22" spans="1:19">
      <c r="A22" s="815"/>
      <c r="B22" s="816" t="s">
        <v>493</v>
      </c>
      <c r="C22" s="817"/>
      <c r="D22" s="811">
        <f>1514*10*2/27</f>
        <v>1121.4814814814815</v>
      </c>
      <c r="E22" s="812" t="s">
        <v>494</v>
      </c>
      <c r="F22" s="813">
        <v>650</v>
      </c>
      <c r="G22" s="303">
        <f t="shared" ref="G22:G25" si="2">ROUND(D22*F22,0)</f>
        <v>728963</v>
      </c>
      <c r="H22" s="814"/>
      <c r="I22" s="807">
        <f>G22</f>
        <v>728963</v>
      </c>
      <c r="J22" s="814"/>
      <c r="K22" s="806"/>
      <c r="L22" s="814"/>
      <c r="M22" s="794"/>
      <c r="N22" s="814"/>
      <c r="O22" s="793"/>
      <c r="P22" s="814"/>
      <c r="Q22" s="794"/>
      <c r="R22" s="814"/>
      <c r="S22" s="794"/>
    </row>
    <row r="23" spans="1:19">
      <c r="A23" s="815">
        <v>130</v>
      </c>
      <c r="B23" s="816" t="s">
        <v>495</v>
      </c>
      <c r="C23" s="817"/>
      <c r="D23" s="811">
        <f>10*10*2*130/27</f>
        <v>962.96296296296293</v>
      </c>
      <c r="E23" s="812" t="s">
        <v>494</v>
      </c>
      <c r="F23" s="813">
        <v>650</v>
      </c>
      <c r="G23" s="303">
        <f t="shared" si="2"/>
        <v>625926</v>
      </c>
      <c r="H23" s="814"/>
      <c r="I23" s="807">
        <f t="shared" ref="I23:I61" si="3">G23</f>
        <v>625926</v>
      </c>
      <c r="J23" s="814"/>
      <c r="K23" s="806"/>
      <c r="L23" s="814"/>
      <c r="M23" s="794"/>
      <c r="N23" s="814"/>
      <c r="O23" s="793"/>
      <c r="P23" s="814"/>
      <c r="Q23" s="794"/>
      <c r="R23" s="814"/>
      <c r="S23" s="794"/>
    </row>
    <row r="24" spans="1:19">
      <c r="A24" s="815">
        <v>130</v>
      </c>
      <c r="B24" s="816" t="s">
        <v>496</v>
      </c>
      <c r="C24" s="817"/>
      <c r="D24" s="811">
        <f>2*2*15*130/27</f>
        <v>288.88888888888891</v>
      </c>
      <c r="E24" s="812" t="s">
        <v>494</v>
      </c>
      <c r="F24" s="813">
        <v>2500</v>
      </c>
      <c r="G24" s="303">
        <f t="shared" si="2"/>
        <v>722222</v>
      </c>
      <c r="H24" s="814"/>
      <c r="I24" s="807">
        <f t="shared" si="3"/>
        <v>722222</v>
      </c>
      <c r="J24" s="814"/>
      <c r="K24" s="806"/>
      <c r="L24" s="814"/>
      <c r="M24" s="794"/>
      <c r="N24" s="814"/>
      <c r="O24" s="793"/>
      <c r="P24" s="814"/>
      <c r="Q24" s="794"/>
      <c r="R24" s="814"/>
      <c r="S24" s="794"/>
    </row>
    <row r="25" spans="1:19">
      <c r="A25" s="815"/>
      <c r="B25" s="816" t="s">
        <v>497</v>
      </c>
      <c r="C25" s="817"/>
      <c r="D25" s="811">
        <f>4034*2/27</f>
        <v>298.81481481481484</v>
      </c>
      <c r="E25" s="812" t="s">
        <v>494</v>
      </c>
      <c r="F25" s="813">
        <v>660</v>
      </c>
      <c r="G25" s="303">
        <f t="shared" si="2"/>
        <v>197218</v>
      </c>
      <c r="H25" s="814"/>
      <c r="I25" s="807">
        <f t="shared" si="3"/>
        <v>197218</v>
      </c>
      <c r="J25" s="814"/>
      <c r="K25" s="806">
        <f>D25</f>
        <v>298.81481481481484</v>
      </c>
      <c r="L25" s="561" t="s">
        <v>494</v>
      </c>
      <c r="M25" s="794">
        <v>32</v>
      </c>
      <c r="N25" s="561"/>
      <c r="O25" s="793">
        <f>K25*M25</f>
        <v>9562.0740740740748</v>
      </c>
      <c r="P25" s="814"/>
      <c r="Q25" s="794"/>
      <c r="R25" s="814"/>
      <c r="S25" s="794"/>
    </row>
    <row r="26" spans="1:19">
      <c r="A26" s="815"/>
      <c r="B26" s="818" t="s">
        <v>498</v>
      </c>
      <c r="C26" s="817"/>
      <c r="D26" s="811">
        <v>38</v>
      </c>
      <c r="E26" s="812" t="s">
        <v>494</v>
      </c>
      <c r="F26" s="813">
        <v>1500</v>
      </c>
      <c r="G26" s="303">
        <f t="shared" ref="G26" si="4">ROUND(D26*F26,0)</f>
        <v>57000</v>
      </c>
      <c r="H26" s="814"/>
      <c r="I26" s="807">
        <f t="shared" ref="I26" si="5">G26</f>
        <v>57000</v>
      </c>
      <c r="J26" s="814"/>
      <c r="K26" s="806">
        <f>D26</f>
        <v>38</v>
      </c>
      <c r="L26" s="561" t="s">
        <v>494</v>
      </c>
      <c r="M26" s="794">
        <v>32</v>
      </c>
      <c r="N26" s="561"/>
      <c r="O26" s="793">
        <f>K26*M26</f>
        <v>1216</v>
      </c>
      <c r="P26" s="814"/>
      <c r="Q26" s="794"/>
      <c r="R26" s="814"/>
      <c r="S26" s="794"/>
    </row>
    <row r="27" spans="1:19">
      <c r="A27" s="512"/>
      <c r="B27" s="819" t="s">
        <v>499</v>
      </c>
      <c r="C27" s="506"/>
      <c r="D27" s="811">
        <f>1514*15*2/27</f>
        <v>1682.2222222222222</v>
      </c>
      <c r="E27" s="812" t="s">
        <v>494</v>
      </c>
      <c r="F27" s="813">
        <v>1500</v>
      </c>
      <c r="G27" s="303">
        <f t="shared" ref="G27:G61" si="6">ROUND(D27*F27,0)</f>
        <v>2523333</v>
      </c>
      <c r="H27" s="561"/>
      <c r="I27" s="807">
        <f t="shared" si="3"/>
        <v>2523333</v>
      </c>
      <c r="J27" s="561"/>
      <c r="K27" s="806">
        <f>D27</f>
        <v>1682.2222222222222</v>
      </c>
      <c r="L27" s="561" t="s">
        <v>494</v>
      </c>
      <c r="M27" s="794">
        <v>32</v>
      </c>
      <c r="N27" s="561"/>
      <c r="O27" s="793">
        <f>K27*M27</f>
        <v>53831.111111111109</v>
      </c>
      <c r="P27" s="561"/>
      <c r="Q27" s="794"/>
      <c r="R27" s="561"/>
      <c r="S27" s="794"/>
    </row>
    <row r="28" spans="1:19">
      <c r="A28" s="815">
        <f>304+230</f>
        <v>534</v>
      </c>
      <c r="B28" s="816" t="s">
        <v>500</v>
      </c>
      <c r="C28" s="817"/>
      <c r="D28" s="820">
        <f>534*15/27</f>
        <v>296.66666666666669</v>
      </c>
      <c r="E28" s="508" t="s">
        <v>494</v>
      </c>
      <c r="F28" s="813">
        <v>1500</v>
      </c>
      <c r="G28" s="303">
        <f t="shared" ref="G28" si="7">ROUND(D28*F28,0)</f>
        <v>445000</v>
      </c>
      <c r="H28" s="561"/>
      <c r="I28" s="807">
        <f t="shared" ref="I28" si="8">G28</f>
        <v>445000</v>
      </c>
      <c r="J28" s="561"/>
      <c r="K28" s="806"/>
      <c r="L28" s="561"/>
      <c r="M28" s="794"/>
      <c r="N28" s="561"/>
      <c r="O28" s="793"/>
      <c r="P28" s="814"/>
      <c r="Q28" s="794"/>
      <c r="R28" s="814"/>
      <c r="S28" s="794"/>
    </row>
    <row r="29" spans="1:19">
      <c r="A29" s="512"/>
      <c r="B29" s="816" t="s">
        <v>501</v>
      </c>
      <c r="C29" s="821"/>
      <c r="D29" s="820">
        <v>110792</v>
      </c>
      <c r="E29" s="508" t="s">
        <v>179</v>
      </c>
      <c r="F29" s="822">
        <v>45</v>
      </c>
      <c r="G29" s="303">
        <f t="shared" si="6"/>
        <v>4985640</v>
      </c>
      <c r="H29" s="561"/>
      <c r="I29" s="807">
        <f t="shared" si="3"/>
        <v>4985640</v>
      </c>
      <c r="J29" s="561"/>
      <c r="K29" s="806">
        <f>D29*1.33/27</f>
        <v>5457.5318518518525</v>
      </c>
      <c r="L29" s="561" t="s">
        <v>494</v>
      </c>
      <c r="M29" s="794"/>
      <c r="N29" s="561"/>
      <c r="O29" s="793"/>
      <c r="P29" s="561"/>
      <c r="Q29" s="794"/>
      <c r="R29" s="561"/>
      <c r="S29" s="794"/>
    </row>
    <row r="30" spans="1:19">
      <c r="A30" s="512"/>
      <c r="B30" s="816" t="s">
        <v>502</v>
      </c>
      <c r="C30" s="821"/>
      <c r="D30" s="820">
        <v>110792</v>
      </c>
      <c r="E30" s="508" t="s">
        <v>179</v>
      </c>
      <c r="F30" s="822">
        <v>12</v>
      </c>
      <c r="G30" s="303">
        <f t="shared" si="6"/>
        <v>1329504</v>
      </c>
      <c r="H30" s="561"/>
      <c r="I30" s="807">
        <f t="shared" si="3"/>
        <v>1329504</v>
      </c>
      <c r="J30" s="561"/>
      <c r="K30" s="806">
        <f>D30*0.5/27</f>
        <v>2051.7037037037039</v>
      </c>
      <c r="L30" s="561" t="s">
        <v>494</v>
      </c>
      <c r="M30" s="794">
        <v>32</v>
      </c>
      <c r="N30" s="561"/>
      <c r="O30" s="793">
        <f>K30*M30</f>
        <v>65654.518518518526</v>
      </c>
      <c r="P30" s="561"/>
      <c r="Q30" s="794"/>
      <c r="R30" s="561"/>
      <c r="S30" s="794"/>
    </row>
    <row r="31" spans="1:19">
      <c r="A31" s="512"/>
      <c r="B31" s="816" t="s">
        <v>503</v>
      </c>
      <c r="C31" s="821"/>
      <c r="D31" s="820">
        <f>280266</f>
        <v>280266</v>
      </c>
      <c r="E31" s="508" t="s">
        <v>179</v>
      </c>
      <c r="F31" s="822">
        <v>8</v>
      </c>
      <c r="G31" s="303">
        <f t="shared" si="6"/>
        <v>2242128</v>
      </c>
      <c r="H31" s="561"/>
      <c r="I31" s="807">
        <f t="shared" si="3"/>
        <v>2242128</v>
      </c>
      <c r="J31" s="561"/>
      <c r="K31" s="806">
        <f>D31*0.42/27</f>
        <v>4359.6933333333336</v>
      </c>
      <c r="L31" s="561" t="s">
        <v>494</v>
      </c>
      <c r="M31" s="794"/>
      <c r="N31" s="561"/>
      <c r="O31" s="793"/>
      <c r="P31" s="561"/>
      <c r="Q31" s="794"/>
      <c r="R31" s="561"/>
      <c r="S31" s="794"/>
    </row>
    <row r="32" spans="1:19">
      <c r="A32" s="512"/>
      <c r="B32" s="823"/>
      <c r="C32" s="821"/>
      <c r="D32" s="820"/>
      <c r="E32" s="508"/>
      <c r="F32" s="822"/>
      <c r="G32" s="303">
        <f t="shared" si="6"/>
        <v>0</v>
      </c>
      <c r="H32" s="561"/>
      <c r="I32" s="807">
        <f t="shared" si="3"/>
        <v>0</v>
      </c>
      <c r="J32" s="561"/>
      <c r="K32" s="806"/>
      <c r="L32" s="561"/>
      <c r="M32" s="794"/>
      <c r="N32" s="561"/>
      <c r="O32" s="793">
        <f>SUM(O25:O31)</f>
        <v>130263.70370370371</v>
      </c>
      <c r="P32" s="561"/>
      <c r="Q32" s="794"/>
      <c r="R32" s="561"/>
      <c r="S32" s="794"/>
    </row>
    <row r="33" spans="1:19">
      <c r="A33" s="512"/>
      <c r="B33" s="816" t="s">
        <v>504</v>
      </c>
      <c r="C33" s="821"/>
      <c r="D33" s="820">
        <f>SUM(D22:D28)+SUM(K29:K31)</f>
        <v>16557.965925925928</v>
      </c>
      <c r="E33" s="508" t="s">
        <v>494</v>
      </c>
      <c r="F33" s="822">
        <v>980</v>
      </c>
      <c r="G33" s="303">
        <f t="shared" ref="G33:G36" si="9">ROUND(D33*F33,0)</f>
        <v>16226807</v>
      </c>
      <c r="H33" s="561"/>
      <c r="I33" s="807">
        <f t="shared" ref="I33:I36" si="10">G33</f>
        <v>16226807</v>
      </c>
      <c r="J33" s="561"/>
      <c r="K33" s="806">
        <f>D33*F33</f>
        <v>16226806.60740741</v>
      </c>
      <c r="L33" s="561"/>
      <c r="M33" s="794"/>
      <c r="N33" s="561"/>
      <c r="O33" s="793"/>
      <c r="P33" s="561"/>
      <c r="Q33" s="794"/>
      <c r="R33" s="561"/>
      <c r="S33" s="794"/>
    </row>
    <row r="34" spans="1:19">
      <c r="A34" s="815"/>
      <c r="B34" s="816"/>
      <c r="C34" s="821"/>
      <c r="D34" s="820"/>
      <c r="E34" s="812"/>
      <c r="F34" s="822"/>
      <c r="G34" s="303">
        <f t="shared" si="9"/>
        <v>0</v>
      </c>
      <c r="H34" s="561"/>
      <c r="I34" s="807">
        <f t="shared" si="10"/>
        <v>0</v>
      </c>
      <c r="J34" s="814"/>
      <c r="K34" s="806"/>
      <c r="L34" s="814"/>
      <c r="M34" s="794"/>
      <c r="N34" s="814"/>
      <c r="O34" s="793"/>
      <c r="P34" s="814"/>
      <c r="Q34" s="794"/>
      <c r="R34" s="814"/>
      <c r="S34" s="794"/>
    </row>
    <row r="35" spans="1:19">
      <c r="A35" s="815"/>
      <c r="B35" s="816" t="s">
        <v>505</v>
      </c>
      <c r="C35" s="821"/>
      <c r="D35" s="820">
        <v>110792</v>
      </c>
      <c r="E35" s="812" t="s">
        <v>179</v>
      </c>
      <c r="F35" s="822">
        <v>15</v>
      </c>
      <c r="G35" s="303">
        <f t="shared" si="9"/>
        <v>1661880</v>
      </c>
      <c r="H35" s="561"/>
      <c r="I35" s="807">
        <f t="shared" si="10"/>
        <v>1661880</v>
      </c>
      <c r="J35" s="814"/>
      <c r="K35" s="806"/>
      <c r="L35" s="814"/>
      <c r="M35" s="794"/>
      <c r="N35" s="814"/>
      <c r="O35" s="793"/>
      <c r="P35" s="814"/>
      <c r="Q35" s="794"/>
      <c r="R35" s="814"/>
      <c r="S35" s="794"/>
    </row>
    <row r="36" spans="1:19">
      <c r="A36" s="512"/>
      <c r="B36" s="823"/>
      <c r="C36" s="821"/>
      <c r="D36" s="820"/>
      <c r="E36" s="508"/>
      <c r="F36" s="822"/>
      <c r="G36" s="303">
        <f t="shared" si="9"/>
        <v>0</v>
      </c>
      <c r="H36" s="561"/>
      <c r="I36" s="807">
        <f t="shared" si="10"/>
        <v>0</v>
      </c>
      <c r="J36" s="561"/>
      <c r="K36" s="806"/>
      <c r="L36" s="561"/>
      <c r="M36" s="794"/>
      <c r="N36" s="561"/>
      <c r="O36" s="793"/>
      <c r="P36" s="561"/>
      <c r="Q36" s="794"/>
      <c r="R36" s="561"/>
      <c r="S36" s="794"/>
    </row>
    <row r="37" spans="1:19">
      <c r="A37" s="512"/>
      <c r="B37" s="824" t="s">
        <v>506</v>
      </c>
      <c r="C37" s="821"/>
      <c r="D37" s="820"/>
      <c r="E37" s="508"/>
      <c r="F37" s="822"/>
      <c r="G37" s="303">
        <f t="shared" si="6"/>
        <v>0</v>
      </c>
      <c r="H37" s="561"/>
      <c r="I37" s="807">
        <f t="shared" si="3"/>
        <v>0</v>
      </c>
      <c r="J37" s="561"/>
      <c r="K37" s="806"/>
      <c r="L37" s="561"/>
      <c r="M37" s="794"/>
      <c r="N37" s="561"/>
      <c r="O37" s="793"/>
      <c r="P37" s="561"/>
      <c r="Q37" s="794"/>
      <c r="R37" s="561"/>
      <c r="S37" s="794"/>
    </row>
    <row r="38" spans="1:19">
      <c r="A38" s="512" t="s">
        <v>507</v>
      </c>
      <c r="B38" s="823" t="s">
        <v>508</v>
      </c>
      <c r="C38" s="821"/>
      <c r="D38" s="820">
        <f>174*83.5</f>
        <v>14529</v>
      </c>
      <c r="E38" s="508" t="s">
        <v>179</v>
      </c>
      <c r="F38" s="822">
        <v>20</v>
      </c>
      <c r="G38" s="303">
        <f t="shared" si="6"/>
        <v>290580</v>
      </c>
      <c r="H38" s="561"/>
      <c r="I38" s="807">
        <f t="shared" si="3"/>
        <v>290580</v>
      </c>
      <c r="J38" s="561"/>
      <c r="K38" s="806"/>
      <c r="L38" s="561"/>
      <c r="M38" s="794"/>
      <c r="N38" s="561"/>
      <c r="O38" s="793"/>
      <c r="P38" s="561"/>
      <c r="Q38" s="794"/>
      <c r="R38" s="561"/>
      <c r="S38" s="794"/>
    </row>
    <row r="39" spans="1:19">
      <c r="A39" s="512" t="s">
        <v>507</v>
      </c>
      <c r="B39" s="823" t="s">
        <v>509</v>
      </c>
      <c r="C39" s="821"/>
      <c r="D39" s="820">
        <f>257*83.5</f>
        <v>21459.5</v>
      </c>
      <c r="E39" s="508" t="s">
        <v>179</v>
      </c>
      <c r="F39" s="822">
        <v>20</v>
      </c>
      <c r="G39" s="303">
        <f t="shared" si="6"/>
        <v>429190</v>
      </c>
      <c r="H39" s="561"/>
      <c r="I39" s="807">
        <f t="shared" si="3"/>
        <v>429190</v>
      </c>
      <c r="J39" s="561"/>
      <c r="K39" s="806"/>
      <c r="L39" s="561"/>
      <c r="M39" s="794"/>
      <c r="N39" s="561"/>
      <c r="O39" s="793"/>
      <c r="P39" s="561"/>
      <c r="Q39" s="794"/>
      <c r="R39" s="561"/>
      <c r="S39" s="794"/>
    </row>
    <row r="40" spans="1:19">
      <c r="A40" s="512"/>
      <c r="B40" s="823"/>
      <c r="C40" s="821"/>
      <c r="D40" s="820"/>
      <c r="E40" s="508"/>
      <c r="F40" s="822"/>
      <c r="G40" s="303">
        <f t="shared" si="6"/>
        <v>0</v>
      </c>
      <c r="H40" s="561"/>
      <c r="I40" s="807">
        <f t="shared" si="3"/>
        <v>0</v>
      </c>
      <c r="J40" s="561"/>
      <c r="K40" s="806"/>
      <c r="L40" s="561"/>
      <c r="M40" s="794"/>
      <c r="N40" s="561"/>
      <c r="O40" s="793"/>
      <c r="P40" s="561"/>
      <c r="Q40" s="794"/>
      <c r="R40" s="561"/>
      <c r="S40" s="794"/>
    </row>
    <row r="41" spans="1:19">
      <c r="A41" s="512"/>
      <c r="B41" s="824" t="s">
        <v>510</v>
      </c>
      <c r="C41" s="821"/>
      <c r="D41" s="820"/>
      <c r="E41" s="508"/>
      <c r="F41" s="822"/>
      <c r="G41" s="303">
        <f t="shared" si="6"/>
        <v>0</v>
      </c>
      <c r="H41" s="561"/>
      <c r="I41" s="807">
        <f t="shared" si="3"/>
        <v>0</v>
      </c>
      <c r="J41" s="561"/>
      <c r="K41" s="806"/>
      <c r="L41" s="561"/>
      <c r="M41" s="794"/>
      <c r="N41" s="561"/>
      <c r="O41" s="793"/>
      <c r="P41" s="561"/>
      <c r="Q41" s="794"/>
      <c r="R41" s="561"/>
      <c r="S41" s="794"/>
    </row>
    <row r="42" spans="1:19">
      <c r="A42" s="512" t="s">
        <v>511</v>
      </c>
      <c r="B42" s="823" t="s">
        <v>508</v>
      </c>
      <c r="C42" s="821"/>
      <c r="D42" s="820">
        <f>55*36.83</f>
        <v>2025.6499999999999</v>
      </c>
      <c r="E42" s="508" t="s">
        <v>179</v>
      </c>
      <c r="F42" s="822">
        <v>20</v>
      </c>
      <c r="G42" s="303">
        <f t="shared" si="6"/>
        <v>40513</v>
      </c>
      <c r="H42" s="561"/>
      <c r="I42" s="807">
        <f t="shared" si="3"/>
        <v>40513</v>
      </c>
      <c r="J42" s="561"/>
      <c r="K42" s="806"/>
      <c r="L42" s="561"/>
      <c r="M42" s="794"/>
      <c r="N42" s="561"/>
      <c r="O42" s="793"/>
      <c r="P42" s="561"/>
      <c r="Q42" s="794"/>
      <c r="R42" s="561"/>
      <c r="S42" s="794"/>
    </row>
    <row r="43" spans="1:19">
      <c r="A43" s="512" t="s">
        <v>511</v>
      </c>
      <c r="B43" s="823" t="s">
        <v>509</v>
      </c>
      <c r="C43" s="821"/>
      <c r="D43" s="820">
        <f>47*36.83</f>
        <v>1731.01</v>
      </c>
      <c r="E43" s="508" t="s">
        <v>179</v>
      </c>
      <c r="F43" s="822">
        <v>20</v>
      </c>
      <c r="G43" s="303">
        <f t="shared" si="6"/>
        <v>34620</v>
      </c>
      <c r="H43" s="561"/>
      <c r="I43" s="807">
        <f t="shared" si="3"/>
        <v>34620</v>
      </c>
      <c r="J43" s="561"/>
      <c r="K43" s="806"/>
      <c r="L43" s="561"/>
      <c r="M43" s="794"/>
      <c r="N43" s="561"/>
      <c r="O43" s="793"/>
      <c r="P43" s="561"/>
      <c r="Q43" s="794"/>
      <c r="R43" s="561"/>
      <c r="S43" s="794"/>
    </row>
    <row r="44" spans="1:19">
      <c r="A44" s="512"/>
      <c r="B44" s="823"/>
      <c r="C44" s="821"/>
      <c r="D44" s="820"/>
      <c r="E44" s="508"/>
      <c r="F44" s="822"/>
      <c r="G44" s="303">
        <f t="shared" si="6"/>
        <v>0</v>
      </c>
      <c r="H44" s="561"/>
      <c r="I44" s="807">
        <f t="shared" si="3"/>
        <v>0</v>
      </c>
      <c r="J44" s="561"/>
      <c r="K44" s="806"/>
      <c r="L44" s="561"/>
      <c r="M44" s="794"/>
      <c r="N44" s="561"/>
      <c r="O44" s="793"/>
      <c r="P44" s="561"/>
      <c r="Q44" s="794"/>
      <c r="R44" s="561"/>
      <c r="S44" s="794"/>
    </row>
    <row r="45" spans="1:19">
      <c r="A45" s="512"/>
      <c r="B45" s="823"/>
      <c r="C45" s="821"/>
      <c r="D45" s="820"/>
      <c r="E45" s="508"/>
      <c r="F45" s="822"/>
      <c r="G45" s="303">
        <f t="shared" si="6"/>
        <v>0</v>
      </c>
      <c r="H45" s="561"/>
      <c r="I45" s="807">
        <f t="shared" si="3"/>
        <v>0</v>
      </c>
      <c r="J45" s="561"/>
      <c r="K45" s="806"/>
      <c r="L45" s="561"/>
      <c r="M45" s="794"/>
      <c r="N45" s="561"/>
      <c r="O45" s="793"/>
      <c r="P45" s="561"/>
      <c r="Q45" s="794"/>
      <c r="R45" s="561"/>
      <c r="S45" s="794"/>
    </row>
    <row r="46" spans="1:19">
      <c r="A46" s="512"/>
      <c r="B46" s="824" t="s">
        <v>66</v>
      </c>
      <c r="C46" s="821"/>
      <c r="D46" s="820"/>
      <c r="E46" s="508"/>
      <c r="F46" s="822"/>
      <c r="G46" s="303">
        <f t="shared" si="6"/>
        <v>0</v>
      </c>
      <c r="H46" s="561"/>
      <c r="I46" s="807">
        <f t="shared" si="3"/>
        <v>0</v>
      </c>
      <c r="J46" s="561"/>
      <c r="K46" s="806"/>
      <c r="L46" s="561"/>
      <c r="M46" s="794"/>
      <c r="N46" s="561"/>
      <c r="O46" s="793"/>
      <c r="P46" s="561"/>
      <c r="Q46" s="794"/>
      <c r="R46" s="561"/>
      <c r="S46" s="794"/>
    </row>
    <row r="47" spans="1:19">
      <c r="A47" s="512"/>
      <c r="B47" s="823" t="s">
        <v>512</v>
      </c>
      <c r="C47" s="821"/>
      <c r="D47" s="811">
        <f>10*10*2*10/27</f>
        <v>74.074074074074076</v>
      </c>
      <c r="E47" s="812" t="s">
        <v>494</v>
      </c>
      <c r="F47" s="813">
        <v>650</v>
      </c>
      <c r="G47" s="303">
        <f t="shared" si="6"/>
        <v>48148</v>
      </c>
      <c r="H47" s="814"/>
      <c r="I47" s="807">
        <f t="shared" si="3"/>
        <v>48148</v>
      </c>
      <c r="J47" s="561"/>
      <c r="K47" s="806"/>
      <c r="L47" s="561"/>
      <c r="M47" s="794"/>
      <c r="N47" s="561"/>
      <c r="O47" s="793"/>
      <c r="P47" s="561"/>
      <c r="Q47" s="794"/>
      <c r="R47" s="561"/>
      <c r="S47" s="794"/>
    </row>
    <row r="48" spans="1:19">
      <c r="A48" s="815"/>
      <c r="B48" s="823" t="s">
        <v>513</v>
      </c>
      <c r="C48" s="821"/>
      <c r="D48" s="811">
        <f>2*2*15*10/27</f>
        <v>22.222222222222221</v>
      </c>
      <c r="E48" s="812" t="s">
        <v>494</v>
      </c>
      <c r="F48" s="813">
        <v>650</v>
      </c>
      <c r="G48" s="303">
        <f t="shared" si="6"/>
        <v>14444</v>
      </c>
      <c r="H48" s="814"/>
      <c r="I48" s="807">
        <f t="shared" si="3"/>
        <v>14444</v>
      </c>
      <c r="J48" s="814"/>
      <c r="K48" s="806"/>
      <c r="L48" s="814"/>
      <c r="M48" s="794"/>
      <c r="N48" s="814"/>
      <c r="O48" s="793"/>
      <c r="P48" s="814"/>
      <c r="Q48" s="794"/>
      <c r="R48" s="814"/>
      <c r="S48" s="794"/>
    </row>
    <row r="49" spans="1:19">
      <c r="A49" s="815"/>
      <c r="B49" s="823" t="s">
        <v>514</v>
      </c>
      <c r="C49" s="821"/>
      <c r="D49" s="811">
        <v>132</v>
      </c>
      <c r="E49" s="812" t="s">
        <v>494</v>
      </c>
      <c r="F49" s="813">
        <v>1500</v>
      </c>
      <c r="G49" s="303">
        <f t="shared" si="6"/>
        <v>198000</v>
      </c>
      <c r="H49" s="814"/>
      <c r="I49" s="807">
        <f t="shared" si="3"/>
        <v>198000</v>
      </c>
      <c r="J49" s="814"/>
      <c r="K49" s="806"/>
      <c r="L49" s="814"/>
      <c r="M49" s="794"/>
      <c r="N49" s="814"/>
      <c r="O49" s="793"/>
      <c r="P49" s="814"/>
      <c r="Q49" s="794"/>
      <c r="R49" s="814"/>
      <c r="S49" s="794"/>
    </row>
    <row r="50" spans="1:19">
      <c r="A50" s="815"/>
      <c r="B50" s="823" t="s">
        <v>515</v>
      </c>
      <c r="C50" s="821"/>
      <c r="D50" s="820">
        <f>(12272-2404-123)*5/27</f>
        <v>1804.6296296296296</v>
      </c>
      <c r="E50" s="508" t="s">
        <v>494</v>
      </c>
      <c r="F50" s="822">
        <v>75</v>
      </c>
      <c r="G50" s="303">
        <f t="shared" si="6"/>
        <v>135347</v>
      </c>
      <c r="H50" s="561"/>
      <c r="I50" s="807">
        <f t="shared" si="3"/>
        <v>135347</v>
      </c>
      <c r="J50" s="561"/>
      <c r="K50" s="806"/>
      <c r="L50" s="561"/>
      <c r="M50" s="794"/>
      <c r="N50" s="561"/>
      <c r="O50" s="793"/>
      <c r="P50" s="561"/>
      <c r="Q50" s="794"/>
      <c r="R50" s="561"/>
      <c r="S50" s="794"/>
    </row>
    <row r="51" spans="1:19">
      <c r="A51" s="815"/>
      <c r="B51" s="823"/>
      <c r="C51" s="821"/>
      <c r="D51" s="820"/>
      <c r="E51" s="812"/>
      <c r="F51" s="822"/>
      <c r="G51" s="303"/>
      <c r="H51" s="814"/>
      <c r="I51" s="807"/>
      <c r="J51" s="814"/>
      <c r="K51" s="806"/>
      <c r="L51" s="814"/>
      <c r="M51" s="794"/>
      <c r="N51" s="814"/>
      <c r="O51" s="793"/>
      <c r="P51" s="814"/>
      <c r="Q51" s="794"/>
      <c r="R51" s="814"/>
      <c r="S51" s="794"/>
    </row>
    <row r="52" spans="1:19">
      <c r="A52" s="512"/>
      <c r="B52" s="825" t="s">
        <v>516</v>
      </c>
      <c r="C52" s="821"/>
      <c r="D52" s="820">
        <f>2136*1*0.5/27</f>
        <v>39.555555555555557</v>
      </c>
      <c r="E52" s="508" t="s">
        <v>494</v>
      </c>
      <c r="F52" s="822">
        <v>650</v>
      </c>
      <c r="G52" s="303">
        <f t="shared" si="6"/>
        <v>25711</v>
      </c>
      <c r="H52" s="561"/>
      <c r="I52" s="807">
        <f t="shared" si="3"/>
        <v>25711</v>
      </c>
      <c r="J52" s="561"/>
      <c r="K52" s="806"/>
      <c r="L52" s="561"/>
      <c r="M52" s="794"/>
      <c r="N52" s="561"/>
      <c r="O52" s="793"/>
      <c r="P52" s="561"/>
      <c r="Q52" s="794"/>
      <c r="R52" s="561"/>
      <c r="S52" s="794"/>
    </row>
    <row r="53" spans="1:19">
      <c r="A53" s="512"/>
      <c r="B53" s="825" t="s">
        <v>517</v>
      </c>
      <c r="C53" s="821"/>
      <c r="D53" s="820">
        <f>3206*1*0.5/27</f>
        <v>59.370370370370374</v>
      </c>
      <c r="E53" s="508" t="s">
        <v>494</v>
      </c>
      <c r="F53" s="822">
        <v>650</v>
      </c>
      <c r="G53" s="303">
        <f t="shared" si="6"/>
        <v>38591</v>
      </c>
      <c r="H53" s="561"/>
      <c r="I53" s="807">
        <f t="shared" si="3"/>
        <v>38591</v>
      </c>
      <c r="J53" s="561"/>
      <c r="K53" s="806"/>
      <c r="L53" s="561"/>
      <c r="M53" s="794"/>
      <c r="N53" s="561"/>
      <c r="O53" s="793"/>
      <c r="P53" s="561"/>
      <c r="Q53" s="794"/>
      <c r="R53" s="561"/>
      <c r="S53" s="794"/>
    </row>
    <row r="54" spans="1:19">
      <c r="A54" s="512"/>
      <c r="B54" s="823"/>
      <c r="C54" s="821"/>
      <c r="D54" s="820"/>
      <c r="E54" s="508"/>
      <c r="F54" s="822"/>
      <c r="G54" s="303">
        <f t="shared" si="6"/>
        <v>0</v>
      </c>
      <c r="H54" s="561"/>
      <c r="I54" s="807">
        <f t="shared" si="3"/>
        <v>0</v>
      </c>
      <c r="J54" s="561"/>
      <c r="K54" s="806"/>
      <c r="L54" s="561"/>
      <c r="M54" s="794"/>
      <c r="N54" s="561"/>
      <c r="O54" s="793"/>
      <c r="P54" s="561"/>
      <c r="Q54" s="794"/>
      <c r="R54" s="561"/>
      <c r="S54" s="794"/>
    </row>
    <row r="55" spans="1:19">
      <c r="A55" s="815"/>
      <c r="B55" s="823"/>
      <c r="C55" s="821"/>
      <c r="D55" s="820"/>
      <c r="E55" s="812"/>
      <c r="F55" s="822"/>
      <c r="G55" s="303">
        <f t="shared" ref="G55:G57" si="11">ROUND(D55*F55,0)</f>
        <v>0</v>
      </c>
      <c r="H55" s="561"/>
      <c r="I55" s="807">
        <f t="shared" ref="I55:I57" si="12">G55</f>
        <v>0</v>
      </c>
      <c r="J55" s="814"/>
      <c r="K55" s="806"/>
      <c r="L55" s="814"/>
      <c r="M55" s="794"/>
      <c r="N55" s="814"/>
      <c r="O55" s="793"/>
      <c r="P55" s="814"/>
      <c r="Q55" s="794"/>
      <c r="R55" s="814"/>
      <c r="S55" s="794"/>
    </row>
    <row r="56" spans="1:19">
      <c r="A56" s="815"/>
      <c r="B56" s="823"/>
      <c r="C56" s="821"/>
      <c r="D56" s="820"/>
      <c r="E56" s="812"/>
      <c r="F56" s="822"/>
      <c r="G56" s="303">
        <f t="shared" si="11"/>
        <v>0</v>
      </c>
      <c r="H56" s="561"/>
      <c r="I56" s="807">
        <f t="shared" si="12"/>
        <v>0</v>
      </c>
      <c r="J56" s="814"/>
      <c r="K56" s="806"/>
      <c r="L56" s="814"/>
      <c r="M56" s="794"/>
      <c r="N56" s="814"/>
      <c r="O56" s="793"/>
      <c r="P56" s="814"/>
      <c r="Q56" s="794"/>
      <c r="R56" s="814"/>
      <c r="S56" s="794"/>
    </row>
    <row r="57" spans="1:19">
      <c r="A57" s="512"/>
      <c r="B57" s="823"/>
      <c r="C57" s="821"/>
      <c r="D57" s="820"/>
      <c r="E57" s="508"/>
      <c r="F57" s="822"/>
      <c r="G57" s="303">
        <f t="shared" si="11"/>
        <v>0</v>
      </c>
      <c r="H57" s="561"/>
      <c r="I57" s="807">
        <f t="shared" si="12"/>
        <v>0</v>
      </c>
      <c r="J57" s="561"/>
      <c r="K57" s="806"/>
      <c r="L57" s="561"/>
      <c r="M57" s="794"/>
      <c r="N57" s="561"/>
      <c r="O57" s="793"/>
      <c r="P57" s="561"/>
      <c r="Q57" s="794"/>
      <c r="R57" s="561"/>
      <c r="S57" s="794"/>
    </row>
    <row r="58" spans="1:19">
      <c r="A58" s="512"/>
      <c r="B58" s="823"/>
      <c r="C58" s="821"/>
      <c r="D58" s="820"/>
      <c r="E58" s="508"/>
      <c r="F58" s="822"/>
      <c r="G58" s="303">
        <f t="shared" si="6"/>
        <v>0</v>
      </c>
      <c r="H58" s="561"/>
      <c r="I58" s="807">
        <f t="shared" si="3"/>
        <v>0</v>
      </c>
      <c r="J58" s="561"/>
      <c r="K58" s="806"/>
      <c r="L58" s="561"/>
      <c r="M58" s="794"/>
      <c r="N58" s="561"/>
      <c r="O58" s="793"/>
      <c r="P58" s="561"/>
      <c r="Q58" s="794"/>
      <c r="R58" s="561"/>
      <c r="S58" s="794"/>
    </row>
    <row r="59" spans="1:19">
      <c r="A59" s="512"/>
      <c r="B59" s="823"/>
      <c r="C59" s="821"/>
      <c r="D59" s="820"/>
      <c r="E59" s="508"/>
      <c r="F59" s="822"/>
      <c r="G59" s="303">
        <f t="shared" si="6"/>
        <v>0</v>
      </c>
      <c r="H59" s="561"/>
      <c r="I59" s="807">
        <f t="shared" si="3"/>
        <v>0</v>
      </c>
      <c r="J59" s="561"/>
      <c r="K59" s="806"/>
      <c r="L59" s="561"/>
      <c r="M59" s="794"/>
      <c r="N59" s="561"/>
      <c r="O59" s="793"/>
      <c r="P59" s="561"/>
      <c r="Q59" s="794"/>
      <c r="R59" s="561"/>
      <c r="S59" s="794"/>
    </row>
    <row r="60" spans="1:19">
      <c r="A60" s="512"/>
      <c r="B60" s="823"/>
      <c r="C60" s="821"/>
      <c r="D60" s="820"/>
      <c r="E60" s="508"/>
      <c r="F60" s="822"/>
      <c r="G60" s="303">
        <f t="shared" si="6"/>
        <v>0</v>
      </c>
      <c r="H60" s="561"/>
      <c r="I60" s="807">
        <f t="shared" si="3"/>
        <v>0</v>
      </c>
      <c r="J60" s="561"/>
      <c r="K60" s="806"/>
      <c r="L60" s="561"/>
      <c r="M60" s="794"/>
      <c r="N60" s="561"/>
      <c r="O60" s="793"/>
      <c r="P60" s="561"/>
      <c r="Q60" s="794"/>
      <c r="R60" s="561"/>
      <c r="S60" s="794"/>
    </row>
    <row r="61" spans="1:19">
      <c r="A61" s="512"/>
      <c r="B61" s="823"/>
      <c r="C61" s="821"/>
      <c r="D61" s="820"/>
      <c r="E61" s="508"/>
      <c r="F61" s="822"/>
      <c r="G61" s="303">
        <f t="shared" si="6"/>
        <v>0</v>
      </c>
      <c r="H61" s="561"/>
      <c r="I61" s="807">
        <f t="shared" si="3"/>
        <v>0</v>
      </c>
      <c r="J61" s="561"/>
      <c r="K61" s="806"/>
      <c r="L61" s="561"/>
      <c r="M61" s="794"/>
      <c r="N61" s="561"/>
      <c r="O61" s="793"/>
      <c r="P61" s="561"/>
      <c r="Q61" s="794"/>
      <c r="R61" s="561"/>
      <c r="S61" s="794"/>
    </row>
    <row r="62" spans="1:19" ht="15.75" thickBot="1">
      <c r="A62" s="512"/>
      <c r="B62" s="816"/>
      <c r="C62" s="821"/>
      <c r="D62" s="820"/>
      <c r="E62" s="508"/>
      <c r="F62" s="822"/>
      <c r="G62" s="303"/>
      <c r="H62" s="561"/>
      <c r="I62" s="807"/>
      <c r="J62" s="561"/>
      <c r="K62" s="806"/>
      <c r="L62" s="561"/>
      <c r="M62" s="794"/>
      <c r="N62" s="561"/>
      <c r="O62" s="793"/>
      <c r="P62" s="561"/>
      <c r="Q62" s="794"/>
      <c r="R62" s="561"/>
      <c r="S62" s="794"/>
    </row>
    <row r="63" spans="1:19" ht="15.75" thickTop="1">
      <c r="A63" s="15"/>
      <c r="B63" s="218" t="s">
        <v>518</v>
      </c>
      <c r="C63" s="17"/>
      <c r="D63" s="168"/>
      <c r="E63" s="177"/>
      <c r="F63" s="19"/>
      <c r="G63" s="304">
        <f>SUBTOTAL(9,G27:G62)</f>
        <v>30669436</v>
      </c>
      <c r="H63" s="21"/>
      <c r="I63" s="309">
        <f>SUBTOTAL(9,I20:I62)</f>
        <v>33000765</v>
      </c>
      <c r="J63" s="21"/>
      <c r="K63" s="309">
        <f>SUBTOTAL(9,K20:K62)</f>
        <v>16240694.573333336</v>
      </c>
      <c r="L63" s="21"/>
      <c r="M63" s="217">
        <f>SUBTOTAL(9,M20:M62)</f>
        <v>128</v>
      </c>
      <c r="N63" s="21"/>
      <c r="O63" s="217">
        <f>SUBTOTAL(9,O20:O62)</f>
        <v>260527.40740740742</v>
      </c>
      <c r="P63" s="21"/>
      <c r="Q63" s="217">
        <f>SUBTOTAL(9,Q20:Q62)</f>
        <v>0</v>
      </c>
      <c r="R63" s="21"/>
      <c r="S63" s="217">
        <f>SUBTOTAL(9,S20:S62)</f>
        <v>0</v>
      </c>
    </row>
    <row r="64" spans="1:19">
      <c r="A64" s="826"/>
      <c r="B64" s="827" t="s">
        <v>471</v>
      </c>
      <c r="C64" s="828"/>
      <c r="D64" s="829"/>
      <c r="E64" s="830"/>
      <c r="F64" s="831"/>
      <c r="G64" s="832"/>
      <c r="H64" s="833">
        <v>0</v>
      </c>
      <c r="I64" s="834"/>
      <c r="J64" s="833">
        <v>0</v>
      </c>
      <c r="K64" s="834"/>
      <c r="L64" s="833">
        <v>0</v>
      </c>
      <c r="M64" s="835"/>
      <c r="N64" s="833">
        <v>0</v>
      </c>
      <c r="O64" s="835"/>
      <c r="P64" s="833">
        <v>0</v>
      </c>
      <c r="Q64" s="835"/>
      <c r="R64" s="833">
        <v>0</v>
      </c>
      <c r="S64" s="835"/>
    </row>
    <row r="65" spans="1:34">
      <c r="A65" s="826"/>
      <c r="B65" s="827" t="s">
        <v>472</v>
      </c>
      <c r="C65" s="828"/>
      <c r="D65" s="829"/>
      <c r="E65" s="830"/>
      <c r="F65" s="831"/>
      <c r="G65" s="832">
        <f>F64*G63</f>
        <v>0</v>
      </c>
      <c r="H65" s="836"/>
      <c r="I65" s="837">
        <f>H64*I63</f>
        <v>0</v>
      </c>
      <c r="J65" s="836"/>
      <c r="K65" s="837">
        <f>J64*K63</f>
        <v>0</v>
      </c>
      <c r="L65" s="836"/>
      <c r="M65" s="838">
        <f>L64*M63</f>
        <v>0</v>
      </c>
      <c r="N65" s="836"/>
      <c r="O65" s="838">
        <f>N64*O63</f>
        <v>0</v>
      </c>
      <c r="P65" s="836"/>
      <c r="Q65" s="838">
        <f>P64*Q63</f>
        <v>0</v>
      </c>
      <c r="R65" s="836"/>
      <c r="S65" s="838">
        <f>R64*S63</f>
        <v>0</v>
      </c>
    </row>
    <row r="66" spans="1:34">
      <c r="A66" s="826"/>
      <c r="B66" s="827"/>
      <c r="C66" s="828"/>
      <c r="D66" s="829"/>
      <c r="E66" s="830"/>
      <c r="F66" s="831"/>
      <c r="G66" s="832"/>
      <c r="H66" s="836"/>
      <c r="I66" s="837"/>
      <c r="J66" s="836"/>
      <c r="K66" s="837"/>
      <c r="L66" s="836"/>
      <c r="M66" s="838"/>
      <c r="N66" s="836"/>
      <c r="O66" s="838"/>
      <c r="P66" s="836"/>
      <c r="Q66" s="838"/>
      <c r="R66" s="836"/>
      <c r="S66" s="838"/>
    </row>
    <row r="67" spans="1:34">
      <c r="A67" s="826"/>
      <c r="B67" s="827" t="s">
        <v>473</v>
      </c>
      <c r="C67" s="828"/>
      <c r="D67" s="829"/>
      <c r="E67" s="830"/>
      <c r="F67" s="831"/>
      <c r="G67" s="832">
        <f>SUM(G63:G65)</f>
        <v>30669436</v>
      </c>
      <c r="H67" s="839"/>
      <c r="I67" s="837">
        <f>SUM(I63:I65)</f>
        <v>33000765</v>
      </c>
      <c r="J67" s="839"/>
      <c r="K67" s="837">
        <f>SUM(K63:K65)</f>
        <v>16240694.573333336</v>
      </c>
      <c r="L67" s="839"/>
      <c r="M67" s="838">
        <f>SUM(M63:M65)</f>
        <v>128</v>
      </c>
      <c r="N67" s="839"/>
      <c r="O67" s="838">
        <f>SUM(O63:O65)</f>
        <v>260527.40740740742</v>
      </c>
      <c r="P67" s="839"/>
      <c r="Q67" s="838">
        <f>SUM(Q63:Q65)</f>
        <v>0</v>
      </c>
      <c r="R67" s="839"/>
      <c r="S67" s="838">
        <f>SUM(S63:S65)</f>
        <v>0</v>
      </c>
    </row>
    <row r="68" spans="1:34">
      <c r="A68" s="826"/>
      <c r="B68" s="840" t="s">
        <v>474</v>
      </c>
      <c r="C68" s="828"/>
      <c r="D68" s="829"/>
      <c r="E68" s="830"/>
      <c r="F68" s="840"/>
      <c r="G68" s="841">
        <f>G67/'Area Calculations'!$G$5</f>
        <v>78.776327111421622</v>
      </c>
      <c r="H68" s="842"/>
      <c r="I68" s="843">
        <f>I67/'Area Calculations'!$G$5</f>
        <v>84.764488612283373</v>
      </c>
      <c r="J68" s="842"/>
      <c r="K68" s="843">
        <f>K67/'Area Calculations'!$G$5</f>
        <v>41.715219941625172</v>
      </c>
      <c r="L68" s="842"/>
      <c r="M68" s="844">
        <f>M67/'Area Calculations'!$G$5</f>
        <v>3.2877584935901553E-4</v>
      </c>
      <c r="N68" s="842"/>
      <c r="O68" s="844">
        <f>O67/'Area Calculations'!$G$5</f>
        <v>0.66918062227869257</v>
      </c>
      <c r="P68" s="842"/>
      <c r="Q68" s="844">
        <f>Q67/'Area Calculations'!$G$5</f>
        <v>0</v>
      </c>
      <c r="R68" s="845"/>
      <c r="S68" s="844">
        <f>S67/'Area Calculations'!$G$5</f>
        <v>0</v>
      </c>
    </row>
    <row r="69" spans="1:34" ht="15.75" thickBot="1">
      <c r="A69" s="826"/>
      <c r="B69" s="846"/>
      <c r="C69" s="828"/>
      <c r="D69" s="829"/>
      <c r="E69" s="830"/>
      <c r="F69" s="831"/>
      <c r="G69" s="832"/>
      <c r="H69" s="847"/>
      <c r="I69" s="848"/>
      <c r="J69" s="847"/>
      <c r="K69" s="848"/>
      <c r="L69" s="847"/>
      <c r="M69" s="847"/>
      <c r="N69" s="847"/>
      <c r="O69" s="849"/>
      <c r="P69" s="847"/>
      <c r="Q69" s="847"/>
      <c r="R69" s="847"/>
      <c r="S69" s="847"/>
    </row>
    <row r="70" spans="1:34" ht="16.5" thickTop="1" thickBot="1">
      <c r="A70" s="691" t="s">
        <v>475</v>
      </c>
      <c r="B70" s="692"/>
      <c r="C70" s="14"/>
      <c r="D70" s="169"/>
      <c r="E70" s="178"/>
      <c r="F70" s="14"/>
      <c r="G70" s="305"/>
      <c r="H70" s="22"/>
      <c r="I70" s="311"/>
      <c r="J70" s="22"/>
      <c r="K70" s="311"/>
      <c r="L70" s="22"/>
      <c r="M70" s="22"/>
      <c r="N70" s="22"/>
      <c r="O70" s="22"/>
      <c r="P70" s="22"/>
      <c r="Q70" s="22"/>
      <c r="R70" s="22"/>
      <c r="S70" s="22"/>
    </row>
    <row r="71" spans="1:34" ht="15.75" thickTop="1">
      <c r="A71" s="795"/>
      <c r="B71" s="850"/>
      <c r="C71" s="796"/>
      <c r="D71" s="851"/>
      <c r="E71" s="852"/>
      <c r="F71" s="796"/>
      <c r="G71" s="853"/>
      <c r="H71" s="799"/>
      <c r="I71" s="854"/>
      <c r="J71" s="799"/>
      <c r="K71" s="854"/>
      <c r="L71" s="799"/>
      <c r="M71" s="799"/>
      <c r="N71" s="799"/>
      <c r="O71" s="799"/>
      <c r="P71" s="799"/>
      <c r="Q71" s="799"/>
      <c r="R71" s="799"/>
      <c r="S71" s="799"/>
    </row>
    <row r="72" spans="1:34">
      <c r="A72" s="795"/>
      <c r="B72" s="850"/>
      <c r="C72" s="796"/>
      <c r="D72" s="851"/>
      <c r="E72" s="852"/>
      <c r="F72" s="796"/>
      <c r="G72" s="853"/>
      <c r="H72" s="799"/>
      <c r="I72" s="854"/>
      <c r="J72" s="799"/>
      <c r="K72" s="854"/>
      <c r="L72" s="799"/>
      <c r="M72" s="799"/>
      <c r="N72" s="799"/>
      <c r="O72" s="799"/>
      <c r="P72" s="799"/>
      <c r="Q72" s="799"/>
      <c r="R72" s="799"/>
      <c r="S72" s="799"/>
    </row>
    <row r="73" spans="1:34" ht="15.75" thickBot="1">
      <c r="A73" s="795"/>
      <c r="B73" s="850"/>
      <c r="C73" s="796"/>
      <c r="D73" s="851"/>
      <c r="E73" s="852"/>
      <c r="F73" s="796"/>
      <c r="G73" s="853"/>
      <c r="H73" s="799"/>
      <c r="I73" s="854"/>
      <c r="J73" s="799"/>
      <c r="K73" s="854"/>
      <c r="L73" s="799"/>
      <c r="M73" s="799"/>
      <c r="N73" s="799"/>
      <c r="O73" s="799"/>
      <c r="P73" s="799"/>
      <c r="Q73" s="799"/>
      <c r="R73" s="799"/>
      <c r="S73" s="799"/>
    </row>
    <row r="74" spans="1:34" s="2" customFormat="1" ht="16.5" thickTop="1" thickBot="1">
      <c r="A74" s="691" t="s">
        <v>476</v>
      </c>
      <c r="B74" s="692"/>
      <c r="C74" s="14"/>
      <c r="D74" s="169"/>
      <c r="E74" s="178"/>
      <c r="F74" s="14"/>
      <c r="G74" s="305"/>
      <c r="H74" s="22"/>
      <c r="I74" s="311"/>
      <c r="J74" s="22"/>
      <c r="K74" s="311"/>
      <c r="L74" s="22"/>
      <c r="M74" s="22"/>
      <c r="N74" s="22"/>
      <c r="O74" s="22"/>
      <c r="P74" s="22"/>
      <c r="Q74" s="22"/>
      <c r="R74" s="22"/>
      <c r="S74" s="22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s="2" customFormat="1" ht="15.75" thickTop="1">
      <c r="A75" s="795"/>
      <c r="B75" s="850"/>
      <c r="C75" s="796"/>
      <c r="D75" s="851"/>
      <c r="E75" s="852"/>
      <c r="F75" s="796"/>
      <c r="G75" s="853"/>
      <c r="H75" s="799"/>
      <c r="I75" s="854"/>
      <c r="J75" s="799"/>
      <c r="K75" s="854"/>
      <c r="L75" s="799"/>
      <c r="M75" s="799"/>
      <c r="N75" s="799"/>
      <c r="O75" s="799"/>
      <c r="P75" s="799"/>
      <c r="Q75" s="799"/>
      <c r="R75" s="799"/>
      <c r="S75" s="799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s="2" customFormat="1">
      <c r="A76" s="795"/>
      <c r="B76" s="850"/>
      <c r="C76" s="796"/>
      <c r="D76" s="851"/>
      <c r="E76" s="852"/>
      <c r="F76" s="796"/>
      <c r="G76" s="853"/>
      <c r="H76" s="799"/>
      <c r="I76" s="854"/>
      <c r="J76" s="799"/>
      <c r="K76" s="854"/>
      <c r="L76" s="799"/>
      <c r="M76" s="799"/>
      <c r="N76" s="799"/>
      <c r="O76" s="799"/>
      <c r="P76" s="799"/>
      <c r="Q76" s="799"/>
      <c r="R76" s="799"/>
      <c r="S76" s="799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5.75" thickBot="1">
      <c r="A77" s="795"/>
      <c r="B77" s="850"/>
      <c r="C77" s="796"/>
      <c r="D77" s="851"/>
      <c r="E77" s="852"/>
      <c r="F77" s="796"/>
      <c r="G77" s="853"/>
      <c r="H77" s="799"/>
      <c r="I77" s="854"/>
      <c r="J77" s="799"/>
      <c r="K77" s="854"/>
      <c r="L77" s="799"/>
      <c r="M77" s="799"/>
      <c r="N77" s="799"/>
      <c r="O77" s="799"/>
      <c r="P77" s="799"/>
      <c r="Q77" s="799"/>
      <c r="R77" s="799"/>
      <c r="S77" s="799"/>
    </row>
    <row r="78" spans="1:34" s="2" customFormat="1" ht="16.5" thickTop="1" thickBot="1">
      <c r="A78" s="691" t="s">
        <v>477</v>
      </c>
      <c r="B78" s="692"/>
      <c r="C78" s="14"/>
      <c r="D78" s="169"/>
      <c r="E78" s="178"/>
      <c r="F78" s="14"/>
      <c r="G78" s="305"/>
      <c r="H78" s="22"/>
      <c r="I78" s="311"/>
      <c r="J78" s="22"/>
      <c r="K78" s="311"/>
      <c r="L78" s="22"/>
      <c r="M78" s="22"/>
      <c r="N78" s="22"/>
      <c r="O78" s="22"/>
      <c r="P78" s="22"/>
      <c r="Q78" s="22"/>
      <c r="R78" s="22"/>
      <c r="S78" s="22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s="2" customFormat="1" ht="15.75" thickTop="1">
      <c r="A79" s="795"/>
      <c r="B79" s="850"/>
      <c r="C79" s="796"/>
      <c r="D79" s="851"/>
      <c r="E79" s="852"/>
      <c r="F79" s="796"/>
      <c r="G79" s="853"/>
      <c r="H79" s="799"/>
      <c r="I79" s="854"/>
      <c r="J79" s="799"/>
      <c r="K79" s="854"/>
      <c r="L79" s="799"/>
      <c r="M79" s="799"/>
      <c r="N79" s="799"/>
      <c r="O79" s="799"/>
      <c r="P79" s="799"/>
      <c r="Q79" s="799"/>
      <c r="R79" s="799"/>
      <c r="S79" s="79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s="2" customFormat="1">
      <c r="A80" s="855"/>
      <c r="B80" s="850"/>
      <c r="C80" s="506"/>
      <c r="D80" s="507"/>
      <c r="E80" s="508"/>
      <c r="F80" s="506"/>
      <c r="G80" s="856"/>
      <c r="H80" s="857"/>
      <c r="I80" s="858"/>
      <c r="J80" s="857"/>
      <c r="K80" s="858"/>
      <c r="L80" s="857"/>
      <c r="M80" s="857"/>
      <c r="N80" s="857"/>
      <c r="O80" s="857"/>
      <c r="P80" s="857"/>
      <c r="Q80" s="857"/>
      <c r="R80" s="857"/>
      <c r="S80" s="857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s="2" customFormat="1" ht="15.75" thickBot="1">
      <c r="A81" s="859"/>
      <c r="B81" s="860"/>
      <c r="C81" s="506"/>
      <c r="D81" s="507"/>
      <c r="E81" s="508"/>
      <c r="F81" s="506"/>
      <c r="G81" s="856"/>
      <c r="H81" s="861"/>
      <c r="I81" s="862"/>
      <c r="J81" s="861"/>
      <c r="K81" s="862"/>
      <c r="L81" s="861"/>
      <c r="M81" s="861"/>
      <c r="N81" s="861"/>
      <c r="O81" s="861"/>
      <c r="P81" s="861"/>
      <c r="Q81" s="861"/>
      <c r="R81" s="861"/>
      <c r="S81" s="861"/>
    </row>
    <row r="82" spans="1:34" s="2" customFormat="1" ht="16.5" thickTop="1" thickBot="1">
      <c r="A82" s="691" t="s">
        <v>478</v>
      </c>
      <c r="B82" s="692"/>
      <c r="C82" s="14"/>
      <c r="D82" s="169"/>
      <c r="E82" s="178"/>
      <c r="F82" s="14"/>
      <c r="G82" s="305"/>
      <c r="H82" s="22"/>
      <c r="I82" s="311"/>
      <c r="J82" s="22"/>
      <c r="K82" s="311"/>
      <c r="L82" s="22"/>
      <c r="M82" s="22"/>
      <c r="N82" s="22"/>
      <c r="O82" s="22"/>
      <c r="P82" s="22"/>
      <c r="Q82" s="22"/>
      <c r="R82" s="22"/>
      <c r="S82" s="2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5.75" thickTop="1">
      <c r="A83" s="800"/>
      <c r="B83" s="801"/>
      <c r="C83" s="796"/>
      <c r="D83" s="851"/>
      <c r="E83" s="852"/>
      <c r="F83" s="796"/>
      <c r="G83" s="853"/>
      <c r="H83" s="799"/>
      <c r="I83" s="854"/>
      <c r="J83" s="799"/>
      <c r="K83" s="854"/>
      <c r="L83" s="799"/>
      <c r="M83" s="799"/>
      <c r="N83" s="799"/>
      <c r="O83" s="799"/>
      <c r="P83" s="799"/>
      <c r="Q83" s="799"/>
      <c r="R83" s="799"/>
      <c r="S83" s="799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>
      <c r="A84" s="859"/>
      <c r="B84" s="860"/>
      <c r="C84" s="506"/>
      <c r="D84" s="507"/>
      <c r="E84" s="508"/>
      <c r="F84" s="506"/>
      <c r="G84" s="856"/>
      <c r="H84" s="863"/>
      <c r="I84" s="862"/>
      <c r="J84" s="863"/>
      <c r="K84" s="862"/>
      <c r="L84" s="863"/>
      <c r="M84" s="863"/>
      <c r="N84" s="863"/>
      <c r="O84" s="863"/>
      <c r="P84" s="863"/>
      <c r="Q84" s="863"/>
      <c r="R84" s="863"/>
      <c r="S84" s="86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5.75" thickBot="1">
      <c r="A85" s="859"/>
      <c r="B85" s="860"/>
      <c r="C85" s="506"/>
      <c r="D85" s="507"/>
      <c r="E85" s="508"/>
      <c r="F85" s="506"/>
      <c r="G85" s="856"/>
      <c r="H85" s="863"/>
      <c r="I85" s="862"/>
      <c r="J85" s="863"/>
      <c r="K85" s="862"/>
      <c r="L85" s="863"/>
      <c r="M85" s="863"/>
      <c r="N85" s="863"/>
      <c r="O85" s="863"/>
      <c r="P85" s="863"/>
      <c r="Q85" s="863"/>
      <c r="R85" s="863"/>
      <c r="S85" s="86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6.5" thickTop="1" thickBot="1">
      <c r="A86" s="691" t="s">
        <v>479</v>
      </c>
      <c r="B86" s="692"/>
      <c r="C86" s="14"/>
      <c r="D86" s="169"/>
      <c r="E86" s="178"/>
      <c r="F86" s="14"/>
      <c r="G86" s="305"/>
      <c r="H86" s="22"/>
      <c r="I86" s="311"/>
      <c r="J86" s="22"/>
      <c r="K86" s="311"/>
      <c r="L86" s="22"/>
      <c r="M86" s="22"/>
      <c r="N86" s="22"/>
      <c r="O86" s="22"/>
      <c r="P86" s="22"/>
      <c r="Q86" s="22"/>
      <c r="R86" s="22"/>
      <c r="S86" s="22"/>
    </row>
    <row r="87" spans="1:34" ht="15.75" thickTop="1">
      <c r="A87" s="855"/>
      <c r="B87" s="850" t="s">
        <v>480</v>
      </c>
      <c r="C87" s="506"/>
      <c r="D87" s="507"/>
      <c r="E87" s="508"/>
      <c r="F87" s="506"/>
      <c r="G87" s="856"/>
      <c r="H87" s="863"/>
      <c r="I87" s="862"/>
      <c r="J87" s="863"/>
      <c r="K87" s="862"/>
      <c r="L87" s="863"/>
      <c r="M87" s="863"/>
      <c r="N87" s="863"/>
      <c r="O87" s="863"/>
      <c r="P87" s="863"/>
      <c r="Q87" s="863"/>
      <c r="R87" s="863"/>
      <c r="S87" s="863"/>
    </row>
    <row r="88" spans="1:34">
      <c r="A88" s="855"/>
      <c r="B88" s="850" t="s">
        <v>481</v>
      </c>
      <c r="C88" s="506"/>
      <c r="D88" s="507"/>
      <c r="E88" s="508"/>
      <c r="F88" s="506"/>
      <c r="G88" s="856"/>
      <c r="H88" s="863"/>
      <c r="I88" s="862"/>
      <c r="J88" s="863"/>
      <c r="K88" s="862"/>
      <c r="L88" s="863"/>
      <c r="M88" s="863"/>
      <c r="N88" s="863"/>
      <c r="O88" s="863"/>
      <c r="P88" s="863"/>
      <c r="Q88" s="863"/>
      <c r="R88" s="863"/>
      <c r="S88" s="863"/>
    </row>
    <row r="89" spans="1:34">
      <c r="A89" s="855"/>
      <c r="B89" s="850" t="s">
        <v>482</v>
      </c>
      <c r="C89" s="506"/>
      <c r="D89" s="507"/>
      <c r="E89" s="508"/>
      <c r="F89" s="506"/>
      <c r="G89" s="856"/>
      <c r="H89" s="863"/>
      <c r="I89" s="862"/>
      <c r="J89" s="863"/>
      <c r="K89" s="862"/>
      <c r="L89" s="863"/>
      <c r="M89" s="863"/>
      <c r="N89" s="863"/>
      <c r="O89" s="863"/>
      <c r="P89" s="863"/>
      <c r="Q89" s="863"/>
      <c r="R89" s="863"/>
      <c r="S89" s="863"/>
    </row>
    <row r="90" spans="1:34">
      <c r="A90" s="855"/>
      <c r="B90" s="850" t="s">
        <v>483</v>
      </c>
      <c r="C90" s="506"/>
      <c r="D90" s="507"/>
      <c r="E90" s="508"/>
      <c r="F90" s="506"/>
      <c r="G90" s="856"/>
      <c r="H90" s="863"/>
      <c r="I90" s="862"/>
      <c r="J90" s="863"/>
      <c r="K90" s="862"/>
      <c r="L90" s="863"/>
      <c r="M90" s="863"/>
      <c r="N90" s="863"/>
      <c r="O90" s="863"/>
      <c r="P90" s="863"/>
      <c r="Q90" s="863"/>
      <c r="R90" s="863"/>
      <c r="S90" s="863"/>
    </row>
    <row r="91" spans="1:34" ht="15.75" thickBot="1">
      <c r="A91" s="23"/>
      <c r="B91" s="7"/>
      <c r="C91" s="8"/>
      <c r="D91" s="166"/>
      <c r="E91" s="172"/>
      <c r="F91" s="8"/>
      <c r="G91" s="306"/>
      <c r="H91" s="24"/>
      <c r="I91" s="312"/>
      <c r="J91" s="24"/>
      <c r="K91" s="312"/>
      <c r="L91" s="24"/>
      <c r="M91" s="24"/>
      <c r="N91" s="24"/>
      <c r="O91" s="24"/>
      <c r="P91" s="24"/>
      <c r="Q91" s="24"/>
      <c r="R91" s="24"/>
      <c r="S91" s="24"/>
    </row>
    <row r="92" spans="1:34" ht="16.5" thickTop="1" thickBot="1">
      <c r="A92" s="9" t="s">
        <v>484</v>
      </c>
      <c r="B92" s="10"/>
      <c r="C92" s="14"/>
      <c r="D92" s="169"/>
      <c r="E92" s="178"/>
      <c r="F92" s="14"/>
      <c r="G92" s="305"/>
      <c r="H92" s="22"/>
      <c r="I92" s="311"/>
      <c r="J92" s="22"/>
      <c r="K92" s="311"/>
      <c r="L92" s="22"/>
      <c r="M92" s="22"/>
      <c r="N92" s="22"/>
      <c r="O92" s="22"/>
      <c r="P92" s="22"/>
      <c r="Q92" s="22"/>
      <c r="R92" s="22"/>
      <c r="S92" s="22"/>
    </row>
    <row r="93" spans="1:34" ht="15.75" thickTop="1">
      <c r="A93" s="795"/>
      <c r="B93" s="802" t="s">
        <v>485</v>
      </c>
      <c r="C93" s="796"/>
      <c r="D93" s="851"/>
      <c r="E93" s="852"/>
      <c r="F93" s="796"/>
      <c r="G93" s="853"/>
      <c r="H93" s="803"/>
      <c r="I93" s="854"/>
      <c r="J93" s="803"/>
      <c r="K93" s="854"/>
      <c r="L93" s="803"/>
      <c r="M93" s="803"/>
      <c r="N93" s="803"/>
      <c r="O93" s="803"/>
      <c r="P93" s="803"/>
      <c r="Q93" s="803"/>
      <c r="R93" s="803"/>
      <c r="S93" s="803"/>
    </row>
    <row r="94" spans="1:34">
      <c r="A94" s="855"/>
      <c r="B94" s="850" t="s">
        <v>486</v>
      </c>
      <c r="C94" s="506"/>
      <c r="D94" s="507"/>
      <c r="E94" s="508"/>
      <c r="F94" s="506"/>
      <c r="G94" s="856"/>
      <c r="H94" s="864"/>
      <c r="I94" s="862"/>
      <c r="J94" s="864"/>
      <c r="K94" s="862"/>
      <c r="L94" s="864"/>
      <c r="M94" s="864"/>
      <c r="N94" s="864"/>
      <c r="O94" s="864"/>
      <c r="P94" s="864"/>
      <c r="Q94" s="864"/>
      <c r="R94" s="864"/>
      <c r="S94" s="864"/>
    </row>
    <row r="95" spans="1:34" ht="15.75" thickBot="1">
      <c r="A95" s="865"/>
      <c r="B95" s="866" t="s">
        <v>487</v>
      </c>
      <c r="C95" s="867"/>
      <c r="D95" s="868"/>
      <c r="E95" s="869"/>
      <c r="F95" s="867"/>
      <c r="G95" s="870"/>
      <c r="H95" s="871"/>
      <c r="I95" s="872"/>
      <c r="J95" s="871"/>
      <c r="K95" s="872"/>
      <c r="L95" s="871"/>
      <c r="M95" s="871"/>
      <c r="N95" s="871"/>
      <c r="O95" s="871"/>
      <c r="P95" s="871"/>
      <c r="Q95" s="871"/>
      <c r="R95" s="871"/>
      <c r="S95" s="871"/>
    </row>
    <row r="96" spans="1:34" ht="16.5" thickTop="1" thickBot="1"/>
    <row r="97" spans="1:2" ht="16.5" thickTop="1" thickBot="1">
      <c r="A97" s="42" t="s">
        <v>488</v>
      </c>
      <c r="B97" s="44"/>
    </row>
    <row r="98" spans="1:2" ht="15.75" thickTop="1">
      <c r="A98" s="43" t="s">
        <v>444</v>
      </c>
      <c r="B98" s="873"/>
    </row>
    <row r="99" spans="1:2">
      <c r="A99" s="874" t="s">
        <v>446</v>
      </c>
      <c r="B99" s="873"/>
    </row>
    <row r="100" spans="1:2">
      <c r="A100" s="875" t="s">
        <v>448</v>
      </c>
      <c r="B100" s="876"/>
    </row>
    <row r="101" spans="1:2">
      <c r="A101" s="875" t="s">
        <v>450</v>
      </c>
      <c r="B101" s="877"/>
    </row>
    <row r="102" spans="1:2" ht="15.75" thickBot="1">
      <c r="A102" s="878" t="s">
        <v>489</v>
      </c>
      <c r="B102" s="879">
        <f>K$67</f>
        <v>16240694.573333336</v>
      </c>
    </row>
    <row r="103" spans="1:2" ht="15.75" thickTop="1"/>
    <row r="104" spans="1:2">
      <c r="A104" s="45"/>
      <c r="B104" s="1" t="s">
        <v>490</v>
      </c>
    </row>
    <row r="105" spans="1:2">
      <c r="A105" s="46"/>
      <c r="B105" s="1" t="s">
        <v>491</v>
      </c>
    </row>
  </sheetData>
  <mergeCells count="35">
    <mergeCell ref="H7:I7"/>
    <mergeCell ref="H8:I8"/>
    <mergeCell ref="P6:Q6"/>
    <mergeCell ref="N6:O6"/>
    <mergeCell ref="N7:O7"/>
    <mergeCell ref="J7:K7"/>
    <mergeCell ref="N8:O8"/>
    <mergeCell ref="L6:M6"/>
    <mergeCell ref="R7:S7"/>
    <mergeCell ref="R8:S8"/>
    <mergeCell ref="L8:M8"/>
    <mergeCell ref="J8:K8"/>
    <mergeCell ref="P7:Q7"/>
    <mergeCell ref="P8:Q8"/>
    <mergeCell ref="J5:K5"/>
    <mergeCell ref="J6:K6"/>
    <mergeCell ref="H5:I5"/>
    <mergeCell ref="H6:I6"/>
    <mergeCell ref="L5:M5"/>
    <mergeCell ref="R5:S5"/>
    <mergeCell ref="R6:S6"/>
    <mergeCell ref="P5:Q5"/>
    <mergeCell ref="A86:B86"/>
    <mergeCell ref="R9:S9"/>
    <mergeCell ref="A70:B70"/>
    <mergeCell ref="A74:B74"/>
    <mergeCell ref="A78:B78"/>
    <mergeCell ref="A82:B82"/>
    <mergeCell ref="N9:O9"/>
    <mergeCell ref="L9:M9"/>
    <mergeCell ref="J9:K9"/>
    <mergeCell ref="H9:I9"/>
    <mergeCell ref="P9:Q9"/>
    <mergeCell ref="L7:M7"/>
    <mergeCell ref="N5:O5"/>
  </mergeCells>
  <conditionalFormatting sqref="H11:H18 J11:J18 L11:L18 N11:N18 P11:P18 R11:R18 H20:H62 J20:J62 L20:L62 N20:N62 P20:P62 R20:R62">
    <cfRule type="cellIs" dxfId="145" priority="3" operator="equal">
      <formula>"X"</formula>
    </cfRule>
    <cfRule type="cellIs" dxfId="144" priority="4" operator="equal">
      <formula>"I"</formula>
    </cfRule>
  </conditionalFormatting>
  <hyperlinks>
    <hyperlink ref="B4" location="'Cost Summary'!A1" display="BACK TO SUMMARY SHEET" xr:uid="{2590541F-8843-4D0B-8AF3-4D3381804A6E}"/>
  </hyperlinks>
  <printOptions horizontalCentered="1"/>
  <pageMargins left="0.2" right="0.2" top="0.5" bottom="0.25" header="0.3" footer="0.3"/>
  <pageSetup paperSize="3" scale="79" fitToHeight="0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8291-8AAA-44BE-A990-102AB8C505C3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B27" sqref="B27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/>
      <c r="I5" s="684"/>
      <c r="J5" s="683"/>
      <c r="K5" s="684"/>
      <c r="L5" s="683"/>
      <c r="M5" s="684"/>
      <c r="N5" s="683"/>
      <c r="O5" s="684"/>
      <c r="P5" s="673"/>
      <c r="Q5" s="674"/>
      <c r="R5" s="673"/>
      <c r="S5" s="674"/>
    </row>
    <row r="6" spans="1:19">
      <c r="A6" s="880" t="s">
        <v>445</v>
      </c>
      <c r="B6" s="850" t="s">
        <v>116</v>
      </c>
      <c r="C6" s="817"/>
      <c r="D6" s="811"/>
      <c r="E6" s="812"/>
      <c r="F6" s="817"/>
      <c r="G6" s="462" t="s">
        <v>446</v>
      </c>
      <c r="H6" s="881"/>
      <c r="I6" s="686"/>
      <c r="J6" s="881"/>
      <c r="K6" s="686"/>
      <c r="L6" s="881"/>
      <c r="M6" s="686"/>
      <c r="N6" s="881"/>
      <c r="O6" s="686"/>
      <c r="P6" s="882"/>
      <c r="Q6" s="676"/>
      <c r="R6" s="882"/>
      <c r="S6" s="676"/>
    </row>
    <row r="7" spans="1:19">
      <c r="A7" s="880" t="s">
        <v>447</v>
      </c>
      <c r="B7" s="883" t="s">
        <v>115</v>
      </c>
      <c r="C7" s="817"/>
      <c r="D7" s="811"/>
      <c r="E7" s="812"/>
      <c r="F7" s="817"/>
      <c r="G7" s="884" t="s">
        <v>448</v>
      </c>
      <c r="H7" s="885"/>
      <c r="I7" s="688"/>
      <c r="J7" s="885"/>
      <c r="K7" s="688"/>
      <c r="L7" s="885"/>
      <c r="M7" s="688"/>
      <c r="N7" s="885"/>
      <c r="O7" s="688"/>
      <c r="P7" s="886"/>
      <c r="Q7" s="678"/>
      <c r="R7" s="886"/>
      <c r="S7" s="678"/>
    </row>
    <row r="8" spans="1:19">
      <c r="A8" s="880" t="s">
        <v>449</v>
      </c>
      <c r="B8" s="887"/>
      <c r="C8" s="817"/>
      <c r="D8" s="811"/>
      <c r="E8" s="812"/>
      <c r="F8" s="817"/>
      <c r="G8" s="884" t="s">
        <v>450</v>
      </c>
      <c r="H8" s="888"/>
      <c r="I8" s="690"/>
      <c r="J8" s="888"/>
      <c r="K8" s="690"/>
      <c r="L8" s="888"/>
      <c r="M8" s="690"/>
      <c r="N8" s="888"/>
      <c r="O8" s="690"/>
      <c r="P8" s="889"/>
      <c r="Q8" s="680"/>
      <c r="R8" s="88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2">
        <f>I$55</f>
        <v>132072</v>
      </c>
      <c r="I9" s="893"/>
      <c r="J9" s="892">
        <f>K$55</f>
        <v>0</v>
      </c>
      <c r="K9" s="893"/>
      <c r="L9" s="892">
        <f>M$55</f>
        <v>0</v>
      </c>
      <c r="M9" s="893"/>
      <c r="N9" s="894">
        <f>O$55</f>
        <v>0</v>
      </c>
      <c r="O9" s="895"/>
      <c r="P9" s="892">
        <f t="shared" ref="P9" si="0">Q$55</f>
        <v>0</v>
      </c>
      <c r="Q9" s="893"/>
      <c r="R9" s="892">
        <f t="shared" ref="R9" si="1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811"/>
      <c r="E11" s="812"/>
      <c r="F11" s="817"/>
      <c r="G11" s="60"/>
      <c r="H11" s="814"/>
      <c r="I11" s="783"/>
      <c r="J11" s="814"/>
      <c r="K11" s="783"/>
      <c r="L11" s="814"/>
      <c r="M11" s="183"/>
      <c r="N11" s="814"/>
      <c r="O11" s="782"/>
      <c r="P11" s="814"/>
      <c r="Q11" s="783"/>
      <c r="R11" s="814"/>
      <c r="S11" s="783"/>
    </row>
    <row r="12" spans="1:19">
      <c r="A12" s="784"/>
      <c r="B12" s="785" t="s">
        <v>461</v>
      </c>
      <c r="C12" s="817"/>
      <c r="D12" s="811"/>
      <c r="E12" s="812"/>
      <c r="F12" s="817"/>
      <c r="G12" s="60"/>
      <c r="H12" s="814"/>
      <c r="I12" s="783"/>
      <c r="J12" s="814"/>
      <c r="K12" s="783"/>
      <c r="L12" s="814"/>
      <c r="M12" s="783"/>
      <c r="N12" s="814"/>
      <c r="O12" s="782"/>
      <c r="P12" s="814"/>
      <c r="Q12" s="783"/>
      <c r="R12" s="814"/>
      <c r="S12" s="783"/>
    </row>
    <row r="13" spans="1:19">
      <c r="A13" s="815"/>
      <c r="B13" s="786" t="s">
        <v>462</v>
      </c>
      <c r="C13" s="817"/>
      <c r="D13" s="811"/>
      <c r="E13" s="812"/>
      <c r="F13" s="817"/>
      <c r="G13" s="60"/>
      <c r="H13" s="814"/>
      <c r="I13" s="783"/>
      <c r="J13" s="814"/>
      <c r="K13" s="783"/>
      <c r="L13" s="814"/>
      <c r="M13" s="783"/>
      <c r="N13" s="814"/>
      <c r="O13" s="782"/>
      <c r="P13" s="814"/>
      <c r="Q13" s="783"/>
      <c r="R13" s="814"/>
      <c r="S13" s="783"/>
    </row>
    <row r="14" spans="1:19">
      <c r="A14" s="815"/>
      <c r="B14" s="787" t="s">
        <v>463</v>
      </c>
      <c r="C14" s="817"/>
      <c r="D14" s="811"/>
      <c r="E14" s="812"/>
      <c r="F14" s="817"/>
      <c r="G14" s="60"/>
      <c r="H14" s="814"/>
      <c r="I14" s="783"/>
      <c r="J14" s="814"/>
      <c r="K14" s="783"/>
      <c r="L14" s="814"/>
      <c r="M14" s="783"/>
      <c r="N14" s="814"/>
      <c r="O14" s="782"/>
      <c r="P14" s="814"/>
      <c r="Q14" s="783"/>
      <c r="R14" s="814"/>
      <c r="S14" s="783"/>
    </row>
    <row r="15" spans="1:19">
      <c r="A15" s="815"/>
      <c r="B15" s="787" t="s">
        <v>464</v>
      </c>
      <c r="C15" s="817"/>
      <c r="D15" s="811"/>
      <c r="E15" s="812"/>
      <c r="F15" s="817"/>
      <c r="G15" s="60"/>
      <c r="H15" s="814"/>
      <c r="I15" s="782"/>
      <c r="J15" s="814"/>
      <c r="K15" s="782"/>
      <c r="L15" s="814"/>
      <c r="M15" s="782"/>
      <c r="N15" s="814"/>
      <c r="O15" s="782"/>
      <c r="P15" s="814"/>
      <c r="Q15" s="782"/>
      <c r="R15" s="814"/>
      <c r="S15" s="782"/>
    </row>
    <row r="16" spans="1:19">
      <c r="A16" s="815"/>
      <c r="B16" s="787" t="s">
        <v>465</v>
      </c>
      <c r="C16" s="817"/>
      <c r="D16" s="811"/>
      <c r="E16" s="812"/>
      <c r="F16" s="817"/>
      <c r="G16" s="60"/>
      <c r="H16" s="814"/>
      <c r="I16" s="783"/>
      <c r="J16" s="814"/>
      <c r="K16" s="783"/>
      <c r="L16" s="814"/>
      <c r="M16" s="783"/>
      <c r="N16" s="814"/>
      <c r="O16" s="782"/>
      <c r="P16" s="814"/>
      <c r="Q16" s="783"/>
      <c r="R16" s="814"/>
      <c r="S16" s="783"/>
    </row>
    <row r="17" spans="1:19">
      <c r="A17" s="815"/>
      <c r="B17" s="787" t="s">
        <v>466</v>
      </c>
      <c r="C17" s="817"/>
      <c r="D17" s="811"/>
      <c r="E17" s="812"/>
      <c r="F17" s="817"/>
      <c r="G17" s="60"/>
      <c r="H17" s="814"/>
      <c r="I17" s="783"/>
      <c r="J17" s="814"/>
      <c r="K17" s="783"/>
      <c r="L17" s="814"/>
      <c r="M17" s="783"/>
      <c r="N17" s="814"/>
      <c r="O17" s="782"/>
      <c r="P17" s="814"/>
      <c r="Q17" s="783"/>
      <c r="R17" s="814"/>
      <c r="S17" s="783"/>
    </row>
    <row r="18" spans="1:19">
      <c r="A18" s="815"/>
      <c r="B18" s="788" t="s">
        <v>467</v>
      </c>
      <c r="C18" s="817"/>
      <c r="D18" s="811"/>
      <c r="E18" s="812"/>
      <c r="F18" s="817"/>
      <c r="G18" s="60"/>
      <c r="H18" s="814"/>
      <c r="I18" s="783"/>
      <c r="J18" s="814"/>
      <c r="K18" s="783"/>
      <c r="L18" s="814"/>
      <c r="M18" s="783"/>
      <c r="N18" s="814"/>
      <c r="O18" s="782"/>
      <c r="P18" s="814"/>
      <c r="Q18" s="783"/>
      <c r="R18" s="814"/>
      <c r="S18" s="783"/>
    </row>
    <row r="19" spans="1:19">
      <c r="A19" s="815"/>
      <c r="B19" s="789" t="s">
        <v>468</v>
      </c>
      <c r="C19" s="896"/>
      <c r="D19" s="897"/>
      <c r="E19" s="898"/>
      <c r="F19" s="899"/>
      <c r="G19" s="463"/>
      <c r="H19" s="900"/>
      <c r="I19" s="791"/>
      <c r="J19" s="900"/>
      <c r="K19" s="791"/>
      <c r="L19" s="900"/>
      <c r="M19" s="791"/>
      <c r="N19" s="900"/>
      <c r="O19" s="790"/>
      <c r="P19" s="900"/>
      <c r="Q19" s="791"/>
      <c r="R19" s="900"/>
      <c r="S19" s="791"/>
    </row>
    <row r="20" spans="1:19">
      <c r="A20" s="815"/>
      <c r="B20" s="792"/>
      <c r="C20" s="817"/>
      <c r="D20" s="811"/>
      <c r="E20" s="812"/>
      <c r="F20" s="813"/>
      <c r="G20" s="60"/>
      <c r="H20" s="814"/>
      <c r="I20" s="793"/>
      <c r="J20" s="814"/>
      <c r="K20" s="794"/>
      <c r="L20" s="814"/>
      <c r="M20" s="794"/>
      <c r="N20" s="814"/>
      <c r="O20" s="793"/>
      <c r="P20" s="814"/>
      <c r="Q20" s="794"/>
      <c r="R20" s="814"/>
      <c r="S20" s="794"/>
    </row>
    <row r="21" spans="1:19">
      <c r="A21" s="815"/>
      <c r="B21" s="229" t="s">
        <v>519</v>
      </c>
      <c r="C21" s="817"/>
      <c r="D21" s="811">
        <f>2567*1.15</f>
        <v>2952.0499999999997</v>
      </c>
      <c r="E21" s="812" t="s">
        <v>179</v>
      </c>
      <c r="F21" s="822">
        <v>23</v>
      </c>
      <c r="G21" s="315">
        <f t="shared" ref="G21:G49" si="2">ROUND(D21*F21,0)</f>
        <v>67897</v>
      </c>
      <c r="H21" s="814"/>
      <c r="I21" s="793">
        <f>G21</f>
        <v>67897</v>
      </c>
      <c r="J21" s="814"/>
      <c r="K21" s="794"/>
      <c r="L21" s="814"/>
      <c r="M21" s="794"/>
      <c r="N21" s="814"/>
      <c r="O21" s="793"/>
      <c r="P21" s="814"/>
      <c r="Q21" s="794"/>
      <c r="R21" s="814"/>
      <c r="S21" s="794"/>
    </row>
    <row r="22" spans="1:19">
      <c r="A22" s="815"/>
      <c r="B22" s="229" t="s">
        <v>520</v>
      </c>
      <c r="C22" s="817"/>
      <c r="D22" s="820">
        <v>2567</v>
      </c>
      <c r="E22" s="812" t="s">
        <v>179</v>
      </c>
      <c r="F22" s="822">
        <v>25</v>
      </c>
      <c r="G22" s="315">
        <f t="shared" si="2"/>
        <v>64175</v>
      </c>
      <c r="H22" s="814"/>
      <c r="I22" s="793">
        <f>G22</f>
        <v>64175</v>
      </c>
      <c r="J22" s="814"/>
      <c r="K22" s="794"/>
      <c r="L22" s="814"/>
      <c r="M22" s="794"/>
      <c r="N22" s="814"/>
      <c r="O22" s="793"/>
      <c r="P22" s="814"/>
      <c r="Q22" s="794"/>
      <c r="R22" s="814"/>
      <c r="S22" s="794"/>
    </row>
    <row r="23" spans="1:19">
      <c r="A23" s="815"/>
      <c r="B23" s="823"/>
      <c r="C23" s="821"/>
      <c r="D23" s="820"/>
      <c r="E23" s="812"/>
      <c r="F23" s="822"/>
      <c r="G23" s="315">
        <f t="shared" si="2"/>
        <v>0</v>
      </c>
      <c r="H23" s="814"/>
      <c r="I23" s="793"/>
      <c r="J23" s="814"/>
      <c r="K23" s="794"/>
      <c r="L23" s="814"/>
      <c r="M23" s="794"/>
      <c r="N23" s="814"/>
      <c r="O23" s="793"/>
      <c r="P23" s="814"/>
      <c r="Q23" s="794"/>
      <c r="R23" s="814"/>
      <c r="S23" s="794"/>
    </row>
    <row r="24" spans="1:19">
      <c r="A24" s="815"/>
      <c r="B24" s="823"/>
      <c r="C24" s="821"/>
      <c r="D24" s="820"/>
      <c r="E24" s="812"/>
      <c r="F24" s="822"/>
      <c r="G24" s="315">
        <f t="shared" si="2"/>
        <v>0</v>
      </c>
      <c r="H24" s="814"/>
      <c r="I24" s="793"/>
      <c r="J24" s="814"/>
      <c r="K24" s="794"/>
      <c r="L24" s="814"/>
      <c r="M24" s="794"/>
      <c r="N24" s="814"/>
      <c r="O24" s="793"/>
      <c r="P24" s="814"/>
      <c r="Q24" s="794"/>
      <c r="R24" s="814"/>
      <c r="S24" s="794"/>
    </row>
    <row r="25" spans="1:19">
      <c r="A25" s="815"/>
      <c r="B25" s="823"/>
      <c r="C25" s="821"/>
      <c r="D25" s="820"/>
      <c r="E25" s="812"/>
      <c r="F25" s="822"/>
      <c r="G25" s="315">
        <f t="shared" si="2"/>
        <v>0</v>
      </c>
      <c r="H25" s="814"/>
      <c r="I25" s="793"/>
      <c r="J25" s="814"/>
      <c r="K25" s="794"/>
      <c r="L25" s="814"/>
      <c r="M25" s="794"/>
      <c r="N25" s="814"/>
      <c r="O25" s="793"/>
      <c r="P25" s="814"/>
      <c r="Q25" s="794"/>
      <c r="R25" s="814"/>
      <c r="S25" s="794"/>
    </row>
    <row r="26" spans="1:19">
      <c r="A26" s="815"/>
      <c r="B26" s="823"/>
      <c r="C26" s="821"/>
      <c r="D26" s="820"/>
      <c r="E26" s="812"/>
      <c r="F26" s="822"/>
      <c r="G26" s="315">
        <f t="shared" si="2"/>
        <v>0</v>
      </c>
      <c r="H26" s="814"/>
      <c r="I26" s="793"/>
      <c r="J26" s="814"/>
      <c r="K26" s="794"/>
      <c r="L26" s="814"/>
      <c r="M26" s="794"/>
      <c r="N26" s="814"/>
      <c r="O26" s="793"/>
      <c r="P26" s="814"/>
      <c r="Q26" s="794"/>
      <c r="R26" s="814"/>
      <c r="S26" s="794"/>
    </row>
    <row r="27" spans="1:19">
      <c r="A27" s="815"/>
      <c r="B27" s="823"/>
      <c r="C27" s="821"/>
      <c r="D27" s="820"/>
      <c r="E27" s="812"/>
      <c r="F27" s="822"/>
      <c r="G27" s="315">
        <f t="shared" si="2"/>
        <v>0</v>
      </c>
      <c r="H27" s="814"/>
      <c r="I27" s="793"/>
      <c r="J27" s="814"/>
      <c r="K27" s="794"/>
      <c r="L27" s="814"/>
      <c r="M27" s="794"/>
      <c r="N27" s="814"/>
      <c r="O27" s="793"/>
      <c r="P27" s="814"/>
      <c r="Q27" s="794"/>
      <c r="R27" s="814"/>
      <c r="S27" s="794"/>
    </row>
    <row r="28" spans="1:19">
      <c r="A28" s="815"/>
      <c r="B28" s="823"/>
      <c r="C28" s="821"/>
      <c r="D28" s="820"/>
      <c r="E28" s="812"/>
      <c r="F28" s="822"/>
      <c r="G28" s="315">
        <f t="shared" si="2"/>
        <v>0</v>
      </c>
      <c r="H28" s="814"/>
      <c r="I28" s="793"/>
      <c r="J28" s="814"/>
      <c r="K28" s="794"/>
      <c r="L28" s="814"/>
      <c r="M28" s="794"/>
      <c r="N28" s="814"/>
      <c r="O28" s="793"/>
      <c r="P28" s="814"/>
      <c r="Q28" s="794"/>
      <c r="R28" s="814"/>
      <c r="S28" s="794"/>
    </row>
    <row r="29" spans="1:19">
      <c r="A29" s="815"/>
      <c r="B29" s="823"/>
      <c r="C29" s="821"/>
      <c r="D29" s="820"/>
      <c r="E29" s="812"/>
      <c r="F29" s="822"/>
      <c r="G29" s="315">
        <f t="shared" si="2"/>
        <v>0</v>
      </c>
      <c r="H29" s="814"/>
      <c r="I29" s="793"/>
      <c r="J29" s="814"/>
      <c r="K29" s="794"/>
      <c r="L29" s="814"/>
      <c r="M29" s="794"/>
      <c r="N29" s="814"/>
      <c r="O29" s="793"/>
      <c r="P29" s="814"/>
      <c r="Q29" s="794"/>
      <c r="R29" s="814"/>
      <c r="S29" s="794"/>
    </row>
    <row r="30" spans="1:19">
      <c r="A30" s="815"/>
      <c r="B30" s="823"/>
      <c r="C30" s="821"/>
      <c r="D30" s="820"/>
      <c r="E30" s="812"/>
      <c r="F30" s="822"/>
      <c r="G30" s="315">
        <f t="shared" si="2"/>
        <v>0</v>
      </c>
      <c r="H30" s="814"/>
      <c r="I30" s="793"/>
      <c r="J30" s="814"/>
      <c r="K30" s="794"/>
      <c r="L30" s="814"/>
      <c r="M30" s="794"/>
      <c r="N30" s="814"/>
      <c r="O30" s="793"/>
      <c r="P30" s="814"/>
      <c r="Q30" s="794"/>
      <c r="R30" s="814"/>
      <c r="S30" s="794"/>
    </row>
    <row r="31" spans="1:19">
      <c r="A31" s="815"/>
      <c r="B31" s="823"/>
      <c r="C31" s="821"/>
      <c r="D31" s="820"/>
      <c r="E31" s="812"/>
      <c r="F31" s="822"/>
      <c r="G31" s="315">
        <f t="shared" si="2"/>
        <v>0</v>
      </c>
      <c r="H31" s="814"/>
      <c r="I31" s="793"/>
      <c r="J31" s="814"/>
      <c r="K31" s="794"/>
      <c r="L31" s="814"/>
      <c r="M31" s="794"/>
      <c r="N31" s="814"/>
      <c r="O31" s="793"/>
      <c r="P31" s="814"/>
      <c r="Q31" s="794"/>
      <c r="R31" s="814"/>
      <c r="S31" s="794"/>
    </row>
    <row r="32" spans="1:19">
      <c r="A32" s="815"/>
      <c r="B32" s="823"/>
      <c r="C32" s="821"/>
      <c r="D32" s="820"/>
      <c r="E32" s="812"/>
      <c r="F32" s="822"/>
      <c r="G32" s="315">
        <f t="shared" si="2"/>
        <v>0</v>
      </c>
      <c r="H32" s="814"/>
      <c r="I32" s="793"/>
      <c r="J32" s="814"/>
      <c r="K32" s="794"/>
      <c r="L32" s="814"/>
      <c r="M32" s="794"/>
      <c r="N32" s="814"/>
      <c r="O32" s="793"/>
      <c r="P32" s="814"/>
      <c r="Q32" s="794"/>
      <c r="R32" s="814"/>
      <c r="S32" s="794"/>
    </row>
    <row r="33" spans="1:19">
      <c r="A33" s="815"/>
      <c r="B33" s="823"/>
      <c r="C33" s="821"/>
      <c r="D33" s="820"/>
      <c r="E33" s="812"/>
      <c r="F33" s="822"/>
      <c r="G33" s="315">
        <f t="shared" si="2"/>
        <v>0</v>
      </c>
      <c r="H33" s="814"/>
      <c r="I33" s="793"/>
      <c r="J33" s="814"/>
      <c r="K33" s="794"/>
      <c r="L33" s="814"/>
      <c r="M33" s="794"/>
      <c r="N33" s="814"/>
      <c r="O33" s="793"/>
      <c r="P33" s="814"/>
      <c r="Q33" s="794"/>
      <c r="R33" s="814"/>
      <c r="S33" s="794"/>
    </row>
    <row r="34" spans="1:19">
      <c r="A34" s="815"/>
      <c r="B34" s="823"/>
      <c r="C34" s="821"/>
      <c r="D34" s="820"/>
      <c r="E34" s="812"/>
      <c r="F34" s="822"/>
      <c r="G34" s="315">
        <f t="shared" si="2"/>
        <v>0</v>
      </c>
      <c r="H34" s="814"/>
      <c r="I34" s="793"/>
      <c r="J34" s="814"/>
      <c r="K34" s="794"/>
      <c r="L34" s="814"/>
      <c r="M34" s="794"/>
      <c r="N34" s="814"/>
      <c r="O34" s="793"/>
      <c r="P34" s="814"/>
      <c r="Q34" s="794"/>
      <c r="R34" s="814"/>
      <c r="S34" s="794"/>
    </row>
    <row r="35" spans="1:19">
      <c r="A35" s="815"/>
      <c r="B35" s="823"/>
      <c r="C35" s="821"/>
      <c r="D35" s="820"/>
      <c r="E35" s="812"/>
      <c r="F35" s="822"/>
      <c r="G35" s="315">
        <f t="shared" si="2"/>
        <v>0</v>
      </c>
      <c r="H35" s="814"/>
      <c r="I35" s="793"/>
      <c r="J35" s="814"/>
      <c r="K35" s="794"/>
      <c r="L35" s="814"/>
      <c r="M35" s="794"/>
      <c r="N35" s="814"/>
      <c r="O35" s="793"/>
      <c r="P35" s="814"/>
      <c r="Q35" s="794"/>
      <c r="R35" s="814"/>
      <c r="S35" s="794"/>
    </row>
    <row r="36" spans="1:19">
      <c r="A36" s="815"/>
      <c r="B36" s="823"/>
      <c r="C36" s="821"/>
      <c r="D36" s="820"/>
      <c r="E36" s="812"/>
      <c r="F36" s="822"/>
      <c r="G36" s="315">
        <f t="shared" si="2"/>
        <v>0</v>
      </c>
      <c r="H36" s="814"/>
      <c r="I36" s="793"/>
      <c r="J36" s="814"/>
      <c r="K36" s="794"/>
      <c r="L36" s="814"/>
      <c r="M36" s="794"/>
      <c r="N36" s="814"/>
      <c r="O36" s="793"/>
      <c r="P36" s="814"/>
      <c r="Q36" s="794"/>
      <c r="R36" s="814"/>
      <c r="S36" s="794"/>
    </row>
    <row r="37" spans="1:19">
      <c r="A37" s="815"/>
      <c r="B37" s="823"/>
      <c r="C37" s="821"/>
      <c r="D37" s="820"/>
      <c r="E37" s="812"/>
      <c r="F37" s="822"/>
      <c r="G37" s="315">
        <f t="shared" si="2"/>
        <v>0</v>
      </c>
      <c r="H37" s="814"/>
      <c r="I37" s="793"/>
      <c r="J37" s="814"/>
      <c r="K37" s="794"/>
      <c r="L37" s="814"/>
      <c r="M37" s="794"/>
      <c r="N37" s="814"/>
      <c r="O37" s="793"/>
      <c r="P37" s="814"/>
      <c r="Q37" s="794"/>
      <c r="R37" s="814"/>
      <c r="S37" s="794"/>
    </row>
    <row r="38" spans="1:19">
      <c r="A38" s="815"/>
      <c r="B38" s="823"/>
      <c r="C38" s="821"/>
      <c r="D38" s="820"/>
      <c r="E38" s="812"/>
      <c r="F38" s="822"/>
      <c r="G38" s="315">
        <f t="shared" si="2"/>
        <v>0</v>
      </c>
      <c r="H38" s="814"/>
      <c r="I38" s="793"/>
      <c r="J38" s="814"/>
      <c r="K38" s="794"/>
      <c r="L38" s="814"/>
      <c r="M38" s="794"/>
      <c r="N38" s="814"/>
      <c r="O38" s="793"/>
      <c r="P38" s="814"/>
      <c r="Q38" s="794"/>
      <c r="R38" s="814"/>
      <c r="S38" s="794"/>
    </row>
    <row r="39" spans="1:19">
      <c r="A39" s="815"/>
      <c r="B39" s="823"/>
      <c r="C39" s="821"/>
      <c r="D39" s="820"/>
      <c r="E39" s="812"/>
      <c r="F39" s="822"/>
      <c r="G39" s="315">
        <f t="shared" si="2"/>
        <v>0</v>
      </c>
      <c r="H39" s="814"/>
      <c r="I39" s="793"/>
      <c r="J39" s="814"/>
      <c r="K39" s="794"/>
      <c r="L39" s="814"/>
      <c r="M39" s="794"/>
      <c r="N39" s="814"/>
      <c r="O39" s="793"/>
      <c r="P39" s="814"/>
      <c r="Q39" s="794"/>
      <c r="R39" s="814"/>
      <c r="S39" s="794"/>
    </row>
    <row r="40" spans="1:19">
      <c r="A40" s="815"/>
      <c r="B40" s="823"/>
      <c r="C40" s="821"/>
      <c r="D40" s="820"/>
      <c r="E40" s="812"/>
      <c r="F40" s="822"/>
      <c r="G40" s="315">
        <f t="shared" si="2"/>
        <v>0</v>
      </c>
      <c r="H40" s="814"/>
      <c r="I40" s="793"/>
      <c r="J40" s="814"/>
      <c r="K40" s="794"/>
      <c r="L40" s="814"/>
      <c r="M40" s="794"/>
      <c r="N40" s="814"/>
      <c r="O40" s="793"/>
      <c r="P40" s="814"/>
      <c r="Q40" s="794"/>
      <c r="R40" s="814"/>
      <c r="S40" s="794"/>
    </row>
    <row r="41" spans="1:19">
      <c r="A41" s="815"/>
      <c r="B41" s="823"/>
      <c r="C41" s="821"/>
      <c r="D41" s="820"/>
      <c r="E41" s="812"/>
      <c r="F41" s="822"/>
      <c r="G41" s="315">
        <f t="shared" si="2"/>
        <v>0</v>
      </c>
      <c r="H41" s="814"/>
      <c r="I41" s="793"/>
      <c r="J41" s="814"/>
      <c r="K41" s="794"/>
      <c r="L41" s="814"/>
      <c r="M41" s="794"/>
      <c r="N41" s="814"/>
      <c r="O41" s="793"/>
      <c r="P41" s="814"/>
      <c r="Q41" s="794"/>
      <c r="R41" s="814"/>
      <c r="S41" s="794"/>
    </row>
    <row r="42" spans="1:19">
      <c r="A42" s="815"/>
      <c r="B42" s="823"/>
      <c r="C42" s="821"/>
      <c r="D42" s="820"/>
      <c r="E42" s="812"/>
      <c r="F42" s="822"/>
      <c r="G42" s="315">
        <f t="shared" si="2"/>
        <v>0</v>
      </c>
      <c r="H42" s="814"/>
      <c r="I42" s="793"/>
      <c r="J42" s="814"/>
      <c r="K42" s="794"/>
      <c r="L42" s="814"/>
      <c r="M42" s="794"/>
      <c r="N42" s="814"/>
      <c r="O42" s="793"/>
      <c r="P42" s="814"/>
      <c r="Q42" s="794"/>
      <c r="R42" s="814"/>
      <c r="S42" s="794"/>
    </row>
    <row r="43" spans="1:19">
      <c r="A43" s="815"/>
      <c r="B43" s="823"/>
      <c r="C43" s="821"/>
      <c r="D43" s="820"/>
      <c r="E43" s="812"/>
      <c r="F43" s="822"/>
      <c r="G43" s="315">
        <f t="shared" si="2"/>
        <v>0</v>
      </c>
      <c r="H43" s="814"/>
      <c r="I43" s="793"/>
      <c r="J43" s="814"/>
      <c r="K43" s="794"/>
      <c r="L43" s="814"/>
      <c r="M43" s="794"/>
      <c r="N43" s="814"/>
      <c r="O43" s="793"/>
      <c r="P43" s="814"/>
      <c r="Q43" s="794"/>
      <c r="R43" s="814"/>
      <c r="S43" s="794"/>
    </row>
    <row r="44" spans="1:19">
      <c r="A44" s="815"/>
      <c r="B44" s="823"/>
      <c r="C44" s="821"/>
      <c r="D44" s="820"/>
      <c r="E44" s="812"/>
      <c r="F44" s="822"/>
      <c r="G44" s="315">
        <f t="shared" si="2"/>
        <v>0</v>
      </c>
      <c r="H44" s="814"/>
      <c r="I44" s="793"/>
      <c r="J44" s="814"/>
      <c r="K44" s="794"/>
      <c r="L44" s="814"/>
      <c r="M44" s="794"/>
      <c r="N44" s="814"/>
      <c r="O44" s="793"/>
      <c r="P44" s="814"/>
      <c r="Q44" s="794"/>
      <c r="R44" s="814"/>
      <c r="S44" s="794"/>
    </row>
    <row r="45" spans="1:19">
      <c r="A45" s="815"/>
      <c r="B45" s="823"/>
      <c r="C45" s="821"/>
      <c r="D45" s="820"/>
      <c r="E45" s="812"/>
      <c r="F45" s="822"/>
      <c r="G45" s="315">
        <f t="shared" si="2"/>
        <v>0</v>
      </c>
      <c r="H45" s="814"/>
      <c r="I45" s="793"/>
      <c r="J45" s="814"/>
      <c r="K45" s="794"/>
      <c r="L45" s="814"/>
      <c r="M45" s="794"/>
      <c r="N45" s="814"/>
      <c r="O45" s="793"/>
      <c r="P45" s="814"/>
      <c r="Q45" s="794"/>
      <c r="R45" s="814"/>
      <c r="S45" s="794"/>
    </row>
    <row r="46" spans="1:19">
      <c r="A46" s="815"/>
      <c r="B46" s="823"/>
      <c r="C46" s="821"/>
      <c r="D46" s="820"/>
      <c r="E46" s="812"/>
      <c r="F46" s="822"/>
      <c r="G46" s="315">
        <f t="shared" si="2"/>
        <v>0</v>
      </c>
      <c r="H46" s="814"/>
      <c r="I46" s="793"/>
      <c r="J46" s="814"/>
      <c r="K46" s="794"/>
      <c r="L46" s="814"/>
      <c r="M46" s="794"/>
      <c r="N46" s="814"/>
      <c r="O46" s="793"/>
      <c r="P46" s="814"/>
      <c r="Q46" s="794"/>
      <c r="R46" s="814"/>
      <c r="S46" s="794"/>
    </row>
    <row r="47" spans="1:19">
      <c r="A47" s="815"/>
      <c r="B47" s="823"/>
      <c r="C47" s="821"/>
      <c r="D47" s="820"/>
      <c r="E47" s="812"/>
      <c r="F47" s="822"/>
      <c r="G47" s="315">
        <f t="shared" si="2"/>
        <v>0</v>
      </c>
      <c r="H47" s="814"/>
      <c r="I47" s="793"/>
      <c r="J47" s="814"/>
      <c r="K47" s="794"/>
      <c r="L47" s="814"/>
      <c r="M47" s="794"/>
      <c r="N47" s="814"/>
      <c r="O47" s="793"/>
      <c r="P47" s="814"/>
      <c r="Q47" s="794"/>
      <c r="R47" s="814"/>
      <c r="S47" s="794"/>
    </row>
    <row r="48" spans="1:19">
      <c r="A48" s="815"/>
      <c r="B48" s="823"/>
      <c r="C48" s="821"/>
      <c r="D48" s="820"/>
      <c r="E48" s="812"/>
      <c r="F48" s="822"/>
      <c r="G48" s="315">
        <f t="shared" si="2"/>
        <v>0</v>
      </c>
      <c r="H48" s="814"/>
      <c r="I48" s="793"/>
      <c r="J48" s="814"/>
      <c r="K48" s="794"/>
      <c r="L48" s="814"/>
      <c r="M48" s="794"/>
      <c r="N48" s="814"/>
      <c r="O48" s="793"/>
      <c r="P48" s="814"/>
      <c r="Q48" s="794"/>
      <c r="R48" s="814"/>
      <c r="S48" s="794"/>
    </row>
    <row r="49" spans="1:34">
      <c r="A49" s="815"/>
      <c r="B49" s="823"/>
      <c r="C49" s="821"/>
      <c r="D49" s="820"/>
      <c r="E49" s="812"/>
      <c r="F49" s="822"/>
      <c r="G49" s="315">
        <f t="shared" si="2"/>
        <v>0</v>
      </c>
      <c r="H49" s="814"/>
      <c r="I49" s="793"/>
      <c r="J49" s="814"/>
      <c r="K49" s="794"/>
      <c r="L49" s="814"/>
      <c r="M49" s="794"/>
      <c r="N49" s="814"/>
      <c r="O49" s="793"/>
      <c r="P49" s="814"/>
      <c r="Q49" s="794"/>
      <c r="R49" s="814"/>
      <c r="S49" s="794"/>
    </row>
    <row r="50" spans="1:34" ht="15.75" thickBot="1">
      <c r="A50" s="815"/>
      <c r="B50" s="816"/>
      <c r="C50" s="821"/>
      <c r="D50" s="820"/>
      <c r="E50" s="812"/>
      <c r="F50" s="822"/>
      <c r="G50" s="315"/>
      <c r="H50" s="814"/>
      <c r="I50" s="793"/>
      <c r="J50" s="814"/>
      <c r="K50" s="794"/>
      <c r="L50" s="814"/>
      <c r="M50" s="794"/>
      <c r="N50" s="814"/>
      <c r="O50" s="793"/>
      <c r="P50" s="814"/>
      <c r="Q50" s="794"/>
      <c r="R50" s="814"/>
      <c r="S50" s="794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132072</v>
      </c>
      <c r="H51" s="21"/>
      <c r="I51" s="217">
        <f>SUBTOTAL(9,I21:I50)</f>
        <v>132072</v>
      </c>
      <c r="J51" s="21"/>
      <c r="K51" s="217">
        <f>SUBTOTAL(9,K21:K50)</f>
        <v>0</v>
      </c>
      <c r="L51" s="21"/>
      <c r="M51" s="217">
        <f>SUBTOTAL(9,M21:M50)</f>
        <v>0</v>
      </c>
      <c r="N51" s="21"/>
      <c r="O51" s="217">
        <f>SUBTOTAL(9,O21:O50)</f>
        <v>0</v>
      </c>
      <c r="P51" s="21"/>
      <c r="Q51" s="217">
        <f>SUBTOTAL(9,Q21:Q50)</f>
        <v>0</v>
      </c>
      <c r="R51" s="21"/>
      <c r="S51" s="217">
        <f>SUBTOTAL(9,S21:S50)</f>
        <v>0</v>
      </c>
    </row>
    <row r="52" spans="1:34">
      <c r="A52" s="826"/>
      <c r="B52" s="827" t="s">
        <v>471</v>
      </c>
      <c r="C52" s="828"/>
      <c r="D52" s="829"/>
      <c r="E52" s="830"/>
      <c r="F52" s="831"/>
      <c r="G52" s="901"/>
      <c r="H52" s="833">
        <v>0</v>
      </c>
      <c r="I52" s="163"/>
      <c r="J52" s="833">
        <v>0</v>
      </c>
      <c r="K52" s="163"/>
      <c r="L52" s="833">
        <v>0</v>
      </c>
      <c r="M52" s="163"/>
      <c r="N52" s="833">
        <v>0</v>
      </c>
      <c r="O52" s="163"/>
      <c r="P52" s="833">
        <v>0</v>
      </c>
      <c r="Q52" s="163"/>
      <c r="R52" s="833">
        <v>0</v>
      </c>
      <c r="S52" s="163"/>
    </row>
    <row r="53" spans="1:34">
      <c r="A53" s="826"/>
      <c r="B53" s="827" t="s">
        <v>472</v>
      </c>
      <c r="C53" s="828"/>
      <c r="D53" s="829"/>
      <c r="E53" s="830"/>
      <c r="F53" s="831"/>
      <c r="G53" s="901">
        <f>F52*G51</f>
        <v>0</v>
      </c>
      <c r="H53" s="836"/>
      <c r="I53" s="838">
        <f>H52*I51</f>
        <v>0</v>
      </c>
      <c r="J53" s="836"/>
      <c r="K53" s="838">
        <f>J52*K51</f>
        <v>0</v>
      </c>
      <c r="L53" s="836"/>
      <c r="M53" s="838">
        <f>L52*M51</f>
        <v>0</v>
      </c>
      <c r="N53" s="836"/>
      <c r="O53" s="838">
        <f>N52*O51</f>
        <v>0</v>
      </c>
      <c r="P53" s="836"/>
      <c r="Q53" s="838">
        <f>P52*Q51</f>
        <v>0</v>
      </c>
      <c r="R53" s="836"/>
      <c r="S53" s="838">
        <f>R52*S51</f>
        <v>0</v>
      </c>
    </row>
    <row r="54" spans="1:34">
      <c r="A54" s="826"/>
      <c r="B54" s="827"/>
      <c r="C54" s="828"/>
      <c r="D54" s="829"/>
      <c r="E54" s="830"/>
      <c r="F54" s="831"/>
      <c r="G54" s="901"/>
      <c r="H54" s="836"/>
      <c r="I54" s="838"/>
      <c r="J54" s="836"/>
      <c r="K54" s="838"/>
      <c r="L54" s="836"/>
      <c r="M54" s="838"/>
      <c r="N54" s="836"/>
      <c r="O54" s="838"/>
      <c r="P54" s="836"/>
      <c r="Q54" s="838"/>
      <c r="R54" s="836"/>
      <c r="S54" s="838"/>
    </row>
    <row r="55" spans="1:34">
      <c r="A55" s="826"/>
      <c r="B55" s="827" t="s">
        <v>473</v>
      </c>
      <c r="C55" s="828"/>
      <c r="D55" s="829"/>
      <c r="E55" s="830"/>
      <c r="F55" s="831"/>
      <c r="G55" s="901">
        <f>SUM(G51:G53)</f>
        <v>132072</v>
      </c>
      <c r="H55" s="839"/>
      <c r="I55" s="838">
        <f>SUM(I51:I53)</f>
        <v>132072</v>
      </c>
      <c r="J55" s="839"/>
      <c r="K55" s="838">
        <f>SUM(K51:K53)</f>
        <v>0</v>
      </c>
      <c r="L55" s="839"/>
      <c r="M55" s="838">
        <f>SUM(M51:M53)</f>
        <v>0</v>
      </c>
      <c r="N55" s="839"/>
      <c r="O55" s="838">
        <f>SUM(O51:O53)</f>
        <v>0</v>
      </c>
      <c r="P55" s="839"/>
      <c r="Q55" s="838">
        <f>SUM(Q51:Q53)</f>
        <v>0</v>
      </c>
      <c r="R55" s="839"/>
      <c r="S55" s="838">
        <f>SUM(S51:S53)</f>
        <v>0</v>
      </c>
    </row>
    <row r="56" spans="1:34">
      <c r="A56" s="826"/>
      <c r="B56" s="840" t="s">
        <v>474</v>
      </c>
      <c r="C56" s="828"/>
      <c r="D56" s="829"/>
      <c r="E56" s="830"/>
      <c r="F56" s="840"/>
      <c r="G56" s="902">
        <f>G55/'Area Calculations'!$G$5</f>
        <v>0.33923503106674918</v>
      </c>
      <c r="H56" s="842"/>
      <c r="I56" s="844">
        <f>I55/'Area Calculations'!$G$5</f>
        <v>0.33923503106674918</v>
      </c>
      <c r="J56" s="842"/>
      <c r="K56" s="844">
        <f>K55/'Area Calculations'!$G$5</f>
        <v>0</v>
      </c>
      <c r="L56" s="842"/>
      <c r="M56" s="844">
        <f>M55/'Area Calculations'!$G$5</f>
        <v>0</v>
      </c>
      <c r="N56" s="842"/>
      <c r="O56" s="844">
        <f>O55/'Area Calculations'!$G$5</f>
        <v>0</v>
      </c>
      <c r="P56" s="842"/>
      <c r="Q56" s="844">
        <f>Q55/'Area Calculations'!$G$5</f>
        <v>0</v>
      </c>
      <c r="R56" s="845"/>
      <c r="S56" s="844">
        <f>S55/'Area Calculations'!$G$5</f>
        <v>0</v>
      </c>
    </row>
    <row r="57" spans="1:34" ht="15.75" thickBot="1">
      <c r="A57" s="826"/>
      <c r="B57" s="846"/>
      <c r="C57" s="828"/>
      <c r="D57" s="829"/>
      <c r="E57" s="830"/>
      <c r="F57" s="831"/>
      <c r="G57" s="464"/>
      <c r="H57" s="847"/>
      <c r="I57" s="847"/>
      <c r="J57" s="847"/>
      <c r="K57" s="847"/>
      <c r="L57" s="847"/>
      <c r="M57" s="847"/>
      <c r="N57" s="847"/>
      <c r="O57" s="849"/>
      <c r="P57" s="847"/>
      <c r="Q57" s="847"/>
      <c r="R57" s="847"/>
      <c r="S57" s="847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850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850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850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850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850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850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850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855"/>
      <c r="B68" s="850"/>
      <c r="C68" s="817"/>
      <c r="D68" s="811"/>
      <c r="E68" s="812"/>
      <c r="F68" s="817"/>
      <c r="G68" s="903"/>
      <c r="H68" s="857"/>
      <c r="I68" s="857"/>
      <c r="J68" s="857"/>
      <c r="K68" s="857"/>
      <c r="L68" s="857"/>
      <c r="M68" s="857"/>
      <c r="N68" s="857"/>
      <c r="O68" s="857"/>
      <c r="P68" s="857"/>
      <c r="Q68" s="857"/>
      <c r="R68" s="857"/>
      <c r="S68" s="857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859"/>
      <c r="B69" s="860"/>
      <c r="C69" s="817"/>
      <c r="D69" s="811"/>
      <c r="E69" s="812"/>
      <c r="F69" s="817"/>
      <c r="G69" s="903"/>
      <c r="H69" s="861"/>
      <c r="I69" s="861"/>
      <c r="J69" s="861"/>
      <c r="K69" s="861"/>
      <c r="L69" s="861"/>
      <c r="M69" s="861"/>
      <c r="N69" s="861"/>
      <c r="O69" s="861"/>
      <c r="P69" s="861"/>
      <c r="Q69" s="861"/>
      <c r="R69" s="861"/>
      <c r="S69" s="861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859"/>
      <c r="B72" s="860"/>
      <c r="C72" s="817"/>
      <c r="D72" s="811"/>
      <c r="E72" s="812"/>
      <c r="F72" s="817"/>
      <c r="G72" s="903"/>
      <c r="H72" s="863"/>
      <c r="I72" s="863"/>
      <c r="J72" s="863"/>
      <c r="K72" s="863"/>
      <c r="L72" s="863"/>
      <c r="M72" s="863"/>
      <c r="N72" s="863"/>
      <c r="O72" s="863"/>
      <c r="P72" s="863"/>
      <c r="Q72" s="863"/>
      <c r="R72" s="863"/>
      <c r="S72" s="86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859"/>
      <c r="B73" s="860"/>
      <c r="C73" s="817"/>
      <c r="D73" s="811"/>
      <c r="E73" s="812"/>
      <c r="F73" s="817"/>
      <c r="G73" s="903"/>
      <c r="H73" s="863"/>
      <c r="I73" s="863"/>
      <c r="J73" s="863"/>
      <c r="K73" s="863"/>
      <c r="L73" s="863"/>
      <c r="M73" s="863"/>
      <c r="N73" s="863"/>
      <c r="O73" s="863"/>
      <c r="P73" s="863"/>
      <c r="Q73" s="863"/>
      <c r="R73" s="863"/>
      <c r="S73" s="86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855"/>
      <c r="B75" s="850" t="s">
        <v>480</v>
      </c>
      <c r="C75" s="817"/>
      <c r="D75" s="811"/>
      <c r="E75" s="812"/>
      <c r="F75" s="817"/>
      <c r="G75" s="903"/>
      <c r="H75" s="863"/>
      <c r="I75" s="863"/>
      <c r="J75" s="863"/>
      <c r="K75" s="863"/>
      <c r="L75" s="863"/>
      <c r="M75" s="863"/>
      <c r="N75" s="863"/>
      <c r="O75" s="863"/>
      <c r="P75" s="863"/>
      <c r="Q75" s="863"/>
      <c r="R75" s="863"/>
      <c r="S75" s="863"/>
    </row>
    <row r="76" spans="1:34">
      <c r="A76" s="855"/>
      <c r="B76" s="850" t="s">
        <v>481</v>
      </c>
      <c r="C76" s="817"/>
      <c r="D76" s="811"/>
      <c r="E76" s="812"/>
      <c r="F76" s="817"/>
      <c r="G76" s="903"/>
      <c r="H76" s="863"/>
      <c r="I76" s="863"/>
      <c r="J76" s="863"/>
      <c r="K76" s="863"/>
      <c r="L76" s="863"/>
      <c r="M76" s="863"/>
      <c r="N76" s="863"/>
      <c r="O76" s="863"/>
      <c r="P76" s="863"/>
      <c r="Q76" s="863"/>
      <c r="R76" s="863"/>
      <c r="S76" s="863"/>
    </row>
    <row r="77" spans="1:34">
      <c r="A77" s="855"/>
      <c r="B77" s="850" t="s">
        <v>482</v>
      </c>
      <c r="C77" s="817"/>
      <c r="D77" s="811"/>
      <c r="E77" s="812"/>
      <c r="F77" s="817"/>
      <c r="G77" s="903"/>
      <c r="H77" s="863"/>
      <c r="I77" s="863"/>
      <c r="J77" s="863"/>
      <c r="K77" s="863"/>
      <c r="L77" s="863"/>
      <c r="M77" s="863"/>
      <c r="N77" s="863"/>
      <c r="O77" s="863"/>
      <c r="P77" s="863"/>
      <c r="Q77" s="863"/>
      <c r="R77" s="863"/>
      <c r="S77" s="863"/>
    </row>
    <row r="78" spans="1:34">
      <c r="A78" s="855"/>
      <c r="B78" s="850" t="s">
        <v>483</v>
      </c>
      <c r="C78" s="817"/>
      <c r="D78" s="811"/>
      <c r="E78" s="812"/>
      <c r="F78" s="817"/>
      <c r="G78" s="903"/>
      <c r="H78" s="863"/>
      <c r="I78" s="863"/>
      <c r="J78" s="863"/>
      <c r="K78" s="863"/>
      <c r="L78" s="863"/>
      <c r="M78" s="863"/>
      <c r="N78" s="863"/>
      <c r="O78" s="863"/>
      <c r="P78" s="863"/>
      <c r="Q78" s="863"/>
      <c r="R78" s="863"/>
      <c r="S78" s="863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855"/>
      <c r="B82" s="850" t="s">
        <v>486</v>
      </c>
      <c r="C82" s="817"/>
      <c r="D82" s="811"/>
      <c r="E82" s="812"/>
      <c r="F82" s="817"/>
      <c r="G82" s="903"/>
      <c r="H82" s="864"/>
      <c r="I82" s="864"/>
      <c r="J82" s="864"/>
      <c r="K82" s="864"/>
      <c r="L82" s="864"/>
      <c r="M82" s="864"/>
      <c r="N82" s="864"/>
      <c r="O82" s="864"/>
      <c r="P82" s="864"/>
      <c r="Q82" s="864"/>
      <c r="R82" s="864"/>
      <c r="S82" s="864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873"/>
    </row>
    <row r="87" spans="1:19">
      <c r="A87" s="874" t="s">
        <v>446</v>
      </c>
      <c r="B87" s="873"/>
    </row>
    <row r="88" spans="1:19">
      <c r="A88" s="875" t="s">
        <v>448</v>
      </c>
      <c r="B88" s="876"/>
    </row>
    <row r="89" spans="1:19">
      <c r="A89" s="875" t="s">
        <v>450</v>
      </c>
      <c r="B89" s="877"/>
    </row>
    <row r="90" spans="1:19" ht="15.75" thickBot="1">
      <c r="A90" s="878" t="s">
        <v>489</v>
      </c>
      <c r="B90" s="879">
        <f>K$55</f>
        <v>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R5:S5"/>
    <mergeCell ref="H5:I5"/>
    <mergeCell ref="J5:K5"/>
    <mergeCell ref="L5:M5"/>
    <mergeCell ref="N5:O5"/>
    <mergeCell ref="P5:Q5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A58:B58"/>
    <mergeCell ref="A62:B62"/>
    <mergeCell ref="A66:B66"/>
    <mergeCell ref="A70:B70"/>
    <mergeCell ref="A74:B74"/>
  </mergeCells>
  <conditionalFormatting sqref="H11:H18 J11:J18 L11:L18 N11:N18 P11:P18 R11:R18 H20:H50 J20:J50 L20:L50 N20:N50 P20:P50 R20:R50">
    <cfRule type="cellIs" dxfId="143" priority="1" operator="equal">
      <formula>"X"</formula>
    </cfRule>
    <cfRule type="cellIs" dxfId="142" priority="2" operator="equal">
      <formula>"I"</formula>
    </cfRule>
  </conditionalFormatting>
  <hyperlinks>
    <hyperlink ref="B4" location="'Cost Summary'!A1" display="BACK TO SUMMARY SHEET" xr:uid="{E04C6BE1-A4B1-4CC8-B3E4-9EE93B6C1F9C}"/>
  </hyperlinks>
  <printOptions horizontalCentered="1"/>
  <pageMargins left="0.2" right="0.2" top="0.5" bottom="0.25" header="0.3" footer="0.3"/>
  <pageSetup paperSize="3" scale="79" fitToHeight="0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3E7B-2C90-44DB-B753-FE3D60E121CE}">
  <sheetPr>
    <tabColor rgb="FFFFFF00"/>
    <pageSetUpPr fitToPage="1"/>
  </sheetPr>
  <dimension ref="A1:AH93"/>
  <sheetViews>
    <sheetView zoomScale="90" zoomScaleNormal="90" workbookViewId="0">
      <pane ySplit="10" topLeftCell="D21" activePane="bottomLeft" state="frozen"/>
      <selection pane="bottomLeft" activeCell="D21" sqref="D21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223" customWidth="1"/>
    <col min="5" max="5" width="7.5703125" style="59" customWidth="1"/>
    <col min="6" max="6" width="16.42578125" style="2" bestFit="1" customWidth="1"/>
    <col min="7" max="7" width="15.28515625" style="300" bestFit="1" customWidth="1"/>
    <col min="8" max="8" width="7.42578125" style="2" bestFit="1" customWidth="1"/>
    <col min="9" max="9" width="14.85546875" style="300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299" t="s">
        <v>436</v>
      </c>
    </row>
    <row r="2" spans="1:19">
      <c r="F2" s="180" t="s">
        <v>437</v>
      </c>
      <c r="G2" s="299" t="s">
        <v>438</v>
      </c>
    </row>
    <row r="3" spans="1:19">
      <c r="F3" s="181" t="s">
        <v>439</v>
      </c>
      <c r="G3" s="299" t="s">
        <v>440</v>
      </c>
    </row>
    <row r="4" spans="1:19" ht="15.75" thickBot="1">
      <c r="B4" s="182" t="s">
        <v>441</v>
      </c>
      <c r="F4" s="170"/>
      <c r="G4" s="300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224"/>
      <c r="E5" s="171"/>
      <c r="F5" s="5"/>
      <c r="G5" s="301" t="s">
        <v>444</v>
      </c>
      <c r="H5" s="673"/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880" t="s">
        <v>445</v>
      </c>
      <c r="B6" s="850" t="s">
        <v>118</v>
      </c>
      <c r="C6" s="817"/>
      <c r="D6" s="905"/>
      <c r="E6" s="812"/>
      <c r="F6" s="817"/>
      <c r="G6" s="482" t="s">
        <v>446</v>
      </c>
      <c r="H6" s="882"/>
      <c r="I6" s="676"/>
      <c r="J6" s="882"/>
      <c r="K6" s="676"/>
      <c r="L6" s="882"/>
      <c r="M6" s="676"/>
      <c r="N6" s="882"/>
      <c r="O6" s="676"/>
      <c r="P6" s="882"/>
      <c r="Q6" s="676"/>
      <c r="R6" s="882"/>
      <c r="S6" s="676"/>
    </row>
    <row r="7" spans="1:19">
      <c r="A7" s="880" t="s">
        <v>447</v>
      </c>
      <c r="B7" s="883" t="s">
        <v>521</v>
      </c>
      <c r="C7" s="817"/>
      <c r="D7" s="905"/>
      <c r="E7" s="812"/>
      <c r="F7" s="817"/>
      <c r="G7" s="906" t="s">
        <v>448</v>
      </c>
      <c r="H7" s="886"/>
      <c r="I7" s="678"/>
      <c r="J7" s="886"/>
      <c r="K7" s="678"/>
      <c r="L7" s="886"/>
      <c r="M7" s="678"/>
      <c r="N7" s="886"/>
      <c r="O7" s="678"/>
      <c r="P7" s="886"/>
      <c r="Q7" s="678"/>
      <c r="R7" s="886"/>
      <c r="S7" s="678"/>
    </row>
    <row r="8" spans="1:19">
      <c r="A8" s="880" t="s">
        <v>449</v>
      </c>
      <c r="B8" s="887"/>
      <c r="C8" s="817"/>
      <c r="D8" s="905"/>
      <c r="E8" s="812"/>
      <c r="F8" s="817"/>
      <c r="G8" s="906" t="s">
        <v>450</v>
      </c>
      <c r="H8" s="889"/>
      <c r="I8" s="680"/>
      <c r="J8" s="889"/>
      <c r="K8" s="680"/>
      <c r="L8" s="889"/>
      <c r="M8" s="680"/>
      <c r="N8" s="889"/>
      <c r="O8" s="680"/>
      <c r="P8" s="889"/>
      <c r="Q8" s="680"/>
      <c r="R8" s="889"/>
      <c r="S8" s="680"/>
    </row>
    <row r="9" spans="1:19" ht="15.75" thickBot="1">
      <c r="A9" s="890"/>
      <c r="B9" s="866"/>
      <c r="C9" s="8"/>
      <c r="D9" s="225"/>
      <c r="E9" s="172"/>
      <c r="F9" s="867"/>
      <c r="G9" s="907" t="s">
        <v>451</v>
      </c>
      <c r="H9" s="908">
        <f>I$55</f>
        <v>11299290</v>
      </c>
      <c r="I9" s="908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302" t="s">
        <v>457</v>
      </c>
      <c r="H10" s="160" t="s">
        <v>458</v>
      </c>
      <c r="I10" s="308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905"/>
      <c r="E11" s="812"/>
      <c r="F11" s="817"/>
      <c r="G11" s="303"/>
      <c r="H11" s="814"/>
      <c r="I11" s="807"/>
      <c r="J11" s="814"/>
      <c r="K11" s="183"/>
      <c r="L11" s="814"/>
      <c r="M11" s="783"/>
      <c r="N11" s="814"/>
      <c r="O11" s="783"/>
      <c r="P11" s="814"/>
      <c r="Q11" s="783"/>
      <c r="R11" s="814"/>
      <c r="S11" s="783"/>
    </row>
    <row r="12" spans="1:19">
      <c r="A12" s="784"/>
      <c r="B12" s="785" t="s">
        <v>461</v>
      </c>
      <c r="C12" s="817"/>
      <c r="D12" s="905"/>
      <c r="E12" s="812"/>
      <c r="F12" s="817"/>
      <c r="G12" s="303"/>
      <c r="H12" s="814"/>
      <c r="I12" s="807"/>
      <c r="J12" s="814"/>
      <c r="K12" s="783"/>
      <c r="L12" s="814"/>
      <c r="M12" s="783"/>
      <c r="N12" s="814"/>
      <c r="O12" s="783"/>
      <c r="P12" s="814"/>
      <c r="Q12" s="783"/>
      <c r="R12" s="814"/>
      <c r="S12" s="783"/>
    </row>
    <row r="13" spans="1:19">
      <c r="A13" s="815"/>
      <c r="B13" s="786" t="s">
        <v>462</v>
      </c>
      <c r="C13" s="817"/>
      <c r="D13" s="905"/>
      <c r="E13" s="812"/>
      <c r="F13" s="817"/>
      <c r="G13" s="303"/>
      <c r="H13" s="814"/>
      <c r="I13" s="807"/>
      <c r="J13" s="814"/>
      <c r="K13" s="783"/>
      <c r="L13" s="814"/>
      <c r="M13" s="783"/>
      <c r="N13" s="814"/>
      <c r="O13" s="783"/>
      <c r="P13" s="814"/>
      <c r="Q13" s="783"/>
      <c r="R13" s="814"/>
      <c r="S13" s="783"/>
    </row>
    <row r="14" spans="1:19">
      <c r="A14" s="815"/>
      <c r="B14" s="787" t="s">
        <v>463</v>
      </c>
      <c r="C14" s="817"/>
      <c r="D14" s="905"/>
      <c r="E14" s="812"/>
      <c r="F14" s="817"/>
      <c r="G14" s="303"/>
      <c r="H14" s="814"/>
      <c r="I14" s="807"/>
      <c r="J14" s="814"/>
      <c r="K14" s="783"/>
      <c r="L14" s="814"/>
      <c r="M14" s="783"/>
      <c r="N14" s="814"/>
      <c r="O14" s="783"/>
      <c r="P14" s="814"/>
      <c r="Q14" s="783"/>
      <c r="R14" s="814"/>
      <c r="S14" s="783"/>
    </row>
    <row r="15" spans="1:19">
      <c r="A15" s="815"/>
      <c r="B15" s="787" t="s">
        <v>464</v>
      </c>
      <c r="C15" s="817"/>
      <c r="D15" s="905"/>
      <c r="E15" s="812"/>
      <c r="F15" s="817"/>
      <c r="G15" s="303"/>
      <c r="H15" s="814"/>
      <c r="I15" s="807"/>
      <c r="J15" s="814"/>
      <c r="K15" s="782"/>
      <c r="L15" s="814"/>
      <c r="M15" s="782"/>
      <c r="N15" s="814"/>
      <c r="O15" s="782"/>
      <c r="P15" s="814"/>
      <c r="Q15" s="782"/>
      <c r="R15" s="814"/>
      <c r="S15" s="782"/>
    </row>
    <row r="16" spans="1:19">
      <c r="A16" s="815"/>
      <c r="B16" s="787" t="s">
        <v>465</v>
      </c>
      <c r="C16" s="817"/>
      <c r="D16" s="905"/>
      <c r="E16" s="812"/>
      <c r="F16" s="817"/>
      <c r="G16" s="303"/>
      <c r="H16" s="814"/>
      <c r="I16" s="807"/>
      <c r="J16" s="814"/>
      <c r="K16" s="783"/>
      <c r="L16" s="814"/>
      <c r="M16" s="783"/>
      <c r="N16" s="814"/>
      <c r="O16" s="783"/>
      <c r="P16" s="814"/>
      <c r="Q16" s="783"/>
      <c r="R16" s="814"/>
      <c r="S16" s="783"/>
    </row>
    <row r="17" spans="1:19">
      <c r="A17" s="815"/>
      <c r="B17" s="787" t="s">
        <v>466</v>
      </c>
      <c r="C17" s="817"/>
      <c r="D17" s="905"/>
      <c r="E17" s="812"/>
      <c r="F17" s="817"/>
      <c r="G17" s="303"/>
      <c r="H17" s="814"/>
      <c r="I17" s="807"/>
      <c r="J17" s="814"/>
      <c r="K17" s="783"/>
      <c r="L17" s="814"/>
      <c r="M17" s="783"/>
      <c r="N17" s="814"/>
      <c r="O17" s="783"/>
      <c r="P17" s="814"/>
      <c r="Q17" s="783"/>
      <c r="R17" s="814"/>
      <c r="S17" s="783"/>
    </row>
    <row r="18" spans="1:19">
      <c r="A18" s="815"/>
      <c r="B18" s="788" t="s">
        <v>467</v>
      </c>
      <c r="C18" s="817"/>
      <c r="D18" s="905"/>
      <c r="E18" s="812"/>
      <c r="F18" s="817"/>
      <c r="G18" s="303"/>
      <c r="H18" s="814"/>
      <c r="I18" s="807"/>
      <c r="J18" s="814"/>
      <c r="K18" s="783"/>
      <c r="L18" s="814"/>
      <c r="M18" s="783"/>
      <c r="N18" s="814"/>
      <c r="O18" s="783"/>
      <c r="P18" s="814"/>
      <c r="Q18" s="783"/>
      <c r="R18" s="814"/>
      <c r="S18" s="783"/>
    </row>
    <row r="19" spans="1:19">
      <c r="A19" s="815"/>
      <c r="B19" s="789" t="s">
        <v>468</v>
      </c>
      <c r="C19" s="896"/>
      <c r="D19" s="909"/>
      <c r="E19" s="898"/>
      <c r="F19" s="899"/>
      <c r="G19" s="483"/>
      <c r="H19" s="900"/>
      <c r="I19" s="910"/>
      <c r="J19" s="900"/>
      <c r="K19" s="791"/>
      <c r="L19" s="900"/>
      <c r="M19" s="791"/>
      <c r="N19" s="900"/>
      <c r="O19" s="791"/>
      <c r="P19" s="900"/>
      <c r="Q19" s="791"/>
      <c r="R19" s="900"/>
      <c r="S19" s="791"/>
    </row>
    <row r="20" spans="1:19">
      <c r="A20" s="815"/>
      <c r="B20" s="792"/>
      <c r="C20" s="817"/>
      <c r="D20" s="905"/>
      <c r="E20" s="812"/>
      <c r="F20" s="813"/>
      <c r="G20" s="303"/>
      <c r="H20" s="814"/>
      <c r="I20" s="807"/>
      <c r="J20" s="814"/>
      <c r="K20" s="794"/>
      <c r="L20" s="814"/>
      <c r="M20" s="794"/>
      <c r="N20" s="814"/>
      <c r="O20" s="794"/>
      <c r="P20" s="814"/>
      <c r="Q20" s="794"/>
      <c r="R20" s="814"/>
      <c r="S20" s="794"/>
    </row>
    <row r="21" spans="1:19">
      <c r="A21" s="815"/>
      <c r="B21" s="229" t="s">
        <v>522</v>
      </c>
      <c r="C21" s="817"/>
      <c r="D21" s="905">
        <f>SUM('Area Calculations'!E15:E20)</f>
        <v>277214</v>
      </c>
      <c r="E21" s="812" t="s">
        <v>179</v>
      </c>
      <c r="F21" s="822">
        <v>35</v>
      </c>
      <c r="G21" s="303">
        <f t="shared" ref="G21:G49" si="5">ROUND(D21*F21,0)</f>
        <v>9702490</v>
      </c>
      <c r="H21" s="814"/>
      <c r="I21" s="807">
        <f>G21</f>
        <v>9702490</v>
      </c>
      <c r="J21" s="814"/>
      <c r="K21" s="794"/>
      <c r="L21" s="814"/>
      <c r="M21" s="794"/>
      <c r="N21" s="814"/>
      <c r="O21" s="794"/>
      <c r="P21" s="814"/>
      <c r="Q21" s="794"/>
      <c r="R21" s="814"/>
      <c r="S21" s="794"/>
    </row>
    <row r="22" spans="1:19">
      <c r="A22" s="815"/>
      <c r="B22" s="229"/>
      <c r="C22" s="817"/>
      <c r="D22" s="905"/>
      <c r="E22" s="812"/>
      <c r="F22" s="822"/>
      <c r="G22" s="303">
        <f t="shared" si="5"/>
        <v>0</v>
      </c>
      <c r="H22" s="814"/>
      <c r="I22" s="807">
        <f t="shared" ref="I22:I49" si="6">G22</f>
        <v>0</v>
      </c>
      <c r="J22" s="814"/>
      <c r="K22" s="794"/>
      <c r="L22" s="814"/>
      <c r="M22" s="794"/>
      <c r="N22" s="814"/>
      <c r="O22" s="794"/>
      <c r="P22" s="814"/>
      <c r="Q22" s="794"/>
      <c r="R22" s="814"/>
      <c r="S22" s="794"/>
    </row>
    <row r="23" spans="1:19">
      <c r="A23" s="815"/>
      <c r="B23" s="229" t="s">
        <v>523</v>
      </c>
      <c r="C23" s="817"/>
      <c r="D23" s="905">
        <v>3420</v>
      </c>
      <c r="E23" s="812" t="s">
        <v>179</v>
      </c>
      <c r="F23" s="822">
        <v>20</v>
      </c>
      <c r="G23" s="303">
        <f t="shared" si="5"/>
        <v>68400</v>
      </c>
      <c r="H23" s="814"/>
      <c r="I23" s="807">
        <f t="shared" si="6"/>
        <v>68400</v>
      </c>
      <c r="J23" s="814"/>
      <c r="K23" s="794"/>
      <c r="L23" s="814"/>
      <c r="M23" s="794"/>
      <c r="N23" s="814"/>
      <c r="O23" s="794"/>
      <c r="P23" s="814"/>
      <c r="Q23" s="794"/>
      <c r="R23" s="814"/>
      <c r="S23" s="794"/>
    </row>
    <row r="24" spans="1:19">
      <c r="A24" s="815"/>
      <c r="B24" s="229"/>
      <c r="C24" s="817"/>
      <c r="D24" s="905"/>
      <c r="E24" s="812"/>
      <c r="F24" s="822"/>
      <c r="G24" s="303">
        <f t="shared" si="5"/>
        <v>0</v>
      </c>
      <c r="H24" s="814"/>
      <c r="I24" s="807">
        <f t="shared" si="6"/>
        <v>0</v>
      </c>
      <c r="J24" s="814"/>
      <c r="K24" s="794"/>
      <c r="L24" s="814"/>
      <c r="M24" s="794"/>
      <c r="N24" s="814"/>
      <c r="O24" s="794"/>
      <c r="P24" s="814"/>
      <c r="Q24" s="794"/>
      <c r="R24" s="814"/>
      <c r="S24" s="794"/>
    </row>
    <row r="25" spans="1:19">
      <c r="A25" s="815"/>
      <c r="B25" s="229" t="s">
        <v>524</v>
      </c>
      <c r="C25" s="817"/>
      <c r="D25" s="905">
        <v>1</v>
      </c>
      <c r="E25" s="812" t="s">
        <v>286</v>
      </c>
      <c r="F25" s="822">
        <v>716900</v>
      </c>
      <c r="G25" s="303">
        <f>ROUND(D25*F25,0)</f>
        <v>716900</v>
      </c>
      <c r="H25" s="814"/>
      <c r="I25" s="807">
        <f>G25</f>
        <v>716900</v>
      </c>
      <c r="J25" s="814"/>
      <c r="K25" s="794"/>
      <c r="L25" s="814"/>
      <c r="M25" s="794"/>
      <c r="N25" s="814"/>
      <c r="O25" s="794"/>
      <c r="P25" s="814"/>
      <c r="Q25" s="794"/>
      <c r="R25" s="814"/>
      <c r="S25" s="794"/>
    </row>
    <row r="26" spans="1:19">
      <c r="A26" s="815"/>
      <c r="B26" s="229"/>
      <c r="C26" s="817"/>
      <c r="D26" s="905"/>
      <c r="E26" s="812"/>
      <c r="F26" s="822"/>
      <c r="G26" s="303">
        <f t="shared" si="5"/>
        <v>0</v>
      </c>
      <c r="H26" s="814"/>
      <c r="I26" s="807">
        <f t="shared" si="6"/>
        <v>0</v>
      </c>
      <c r="J26" s="814"/>
      <c r="K26" s="794"/>
      <c r="L26" s="814"/>
      <c r="M26" s="794"/>
      <c r="N26" s="814"/>
      <c r="O26" s="794"/>
      <c r="P26" s="814"/>
      <c r="Q26" s="794"/>
      <c r="R26" s="814"/>
      <c r="S26" s="794"/>
    </row>
    <row r="27" spans="1:19">
      <c r="A27" s="815"/>
      <c r="B27" s="229" t="s">
        <v>525</v>
      </c>
      <c r="C27" s="817"/>
      <c r="D27" s="905">
        <v>1082</v>
      </c>
      <c r="E27" s="812" t="s">
        <v>329</v>
      </c>
      <c r="F27" s="822">
        <f>150/2000*10000</f>
        <v>750</v>
      </c>
      <c r="G27" s="303">
        <f t="shared" si="5"/>
        <v>811500</v>
      </c>
      <c r="H27" s="814"/>
      <c r="I27" s="807">
        <f t="shared" si="6"/>
        <v>811500</v>
      </c>
      <c r="J27" s="814"/>
      <c r="K27" s="794"/>
      <c r="L27" s="814"/>
      <c r="M27" s="794"/>
      <c r="N27" s="814"/>
      <c r="O27" s="794"/>
      <c r="P27" s="814"/>
      <c r="Q27" s="794"/>
      <c r="R27" s="814"/>
      <c r="S27" s="794"/>
    </row>
    <row r="28" spans="1:19">
      <c r="A28" s="815"/>
      <c r="B28" s="229"/>
      <c r="C28" s="817"/>
      <c r="D28" s="905"/>
      <c r="E28" s="812"/>
      <c r="F28" s="822"/>
      <c r="G28" s="303">
        <f t="shared" si="5"/>
        <v>0</v>
      </c>
      <c r="H28" s="814"/>
      <c r="I28" s="807">
        <f t="shared" si="6"/>
        <v>0</v>
      </c>
      <c r="J28" s="814"/>
      <c r="K28" s="794"/>
      <c r="L28" s="814"/>
      <c r="M28" s="794"/>
      <c r="N28" s="814"/>
      <c r="O28" s="794"/>
      <c r="P28" s="814"/>
      <c r="Q28" s="794"/>
      <c r="R28" s="814"/>
      <c r="S28" s="794"/>
    </row>
    <row r="29" spans="1:19">
      <c r="A29" s="815"/>
      <c r="B29" s="229"/>
      <c r="C29" s="817"/>
      <c r="D29" s="905"/>
      <c r="E29" s="812"/>
      <c r="F29" s="822"/>
      <c r="G29" s="303">
        <f t="shared" si="5"/>
        <v>0</v>
      </c>
      <c r="H29" s="814"/>
      <c r="I29" s="807">
        <f t="shared" si="6"/>
        <v>0</v>
      </c>
      <c r="J29" s="814"/>
      <c r="K29" s="794"/>
      <c r="L29" s="814"/>
      <c r="M29" s="794"/>
      <c r="N29" s="814"/>
      <c r="O29" s="794"/>
      <c r="P29" s="814"/>
      <c r="Q29" s="794"/>
      <c r="R29" s="814"/>
      <c r="S29" s="794"/>
    </row>
    <row r="30" spans="1:19">
      <c r="A30" s="815"/>
      <c r="B30" s="229"/>
      <c r="C30" s="817"/>
      <c r="D30" s="905"/>
      <c r="E30" s="812"/>
      <c r="F30" s="822"/>
      <c r="G30" s="303">
        <f t="shared" si="5"/>
        <v>0</v>
      </c>
      <c r="H30" s="814"/>
      <c r="I30" s="807">
        <f t="shared" si="6"/>
        <v>0</v>
      </c>
      <c r="J30" s="814"/>
      <c r="K30" s="794"/>
      <c r="L30" s="814"/>
      <c r="M30" s="794"/>
      <c r="N30" s="814"/>
      <c r="O30" s="794"/>
      <c r="P30" s="814"/>
      <c r="Q30" s="794"/>
      <c r="R30" s="814"/>
      <c r="S30" s="794"/>
    </row>
    <row r="31" spans="1:19">
      <c r="A31" s="815"/>
      <c r="B31" s="229"/>
      <c r="C31" s="817"/>
      <c r="D31" s="905"/>
      <c r="E31" s="812"/>
      <c r="F31" s="822"/>
      <c r="G31" s="303">
        <f t="shared" si="5"/>
        <v>0</v>
      </c>
      <c r="H31" s="814"/>
      <c r="I31" s="807">
        <f t="shared" si="6"/>
        <v>0</v>
      </c>
      <c r="J31" s="814"/>
      <c r="K31" s="794"/>
      <c r="L31" s="814"/>
      <c r="M31" s="794"/>
      <c r="N31" s="814"/>
      <c r="O31" s="794"/>
      <c r="P31" s="814"/>
      <c r="Q31" s="794"/>
      <c r="R31" s="814"/>
      <c r="S31" s="794"/>
    </row>
    <row r="32" spans="1:19">
      <c r="A32" s="815"/>
      <c r="B32" s="229"/>
      <c r="C32" s="817"/>
      <c r="D32" s="905"/>
      <c r="E32" s="812"/>
      <c r="F32" s="822"/>
      <c r="G32" s="303">
        <f t="shared" si="5"/>
        <v>0</v>
      </c>
      <c r="H32" s="814"/>
      <c r="I32" s="807">
        <f t="shared" si="6"/>
        <v>0</v>
      </c>
      <c r="J32" s="814"/>
      <c r="K32" s="794"/>
      <c r="L32" s="814"/>
      <c r="M32" s="794"/>
      <c r="N32" s="814"/>
      <c r="O32" s="794"/>
      <c r="P32" s="814"/>
      <c r="Q32" s="794"/>
      <c r="R32" s="814"/>
      <c r="S32" s="794"/>
    </row>
    <row r="33" spans="1:19">
      <c r="A33" s="815"/>
      <c r="B33" s="229"/>
      <c r="C33" s="817"/>
      <c r="D33" s="905"/>
      <c r="E33" s="812"/>
      <c r="F33" s="822"/>
      <c r="G33" s="303">
        <f t="shared" si="5"/>
        <v>0</v>
      </c>
      <c r="H33" s="814"/>
      <c r="I33" s="807">
        <f t="shared" si="6"/>
        <v>0</v>
      </c>
      <c r="J33" s="814"/>
      <c r="K33" s="794"/>
      <c r="L33" s="814"/>
      <c r="M33" s="794"/>
      <c r="N33" s="814"/>
      <c r="O33" s="794"/>
      <c r="P33" s="814"/>
      <c r="Q33" s="794"/>
      <c r="R33" s="814"/>
      <c r="S33" s="794"/>
    </row>
    <row r="34" spans="1:19">
      <c r="A34" s="815"/>
      <c r="B34" s="229"/>
      <c r="C34" s="817"/>
      <c r="D34" s="905"/>
      <c r="E34" s="812"/>
      <c r="F34" s="822"/>
      <c r="G34" s="303">
        <f t="shared" si="5"/>
        <v>0</v>
      </c>
      <c r="H34" s="814"/>
      <c r="I34" s="807">
        <f t="shared" si="6"/>
        <v>0</v>
      </c>
      <c r="J34" s="814"/>
      <c r="K34" s="794"/>
      <c r="L34" s="814"/>
      <c r="M34" s="794"/>
      <c r="N34" s="814"/>
      <c r="O34" s="794"/>
      <c r="P34" s="814"/>
      <c r="Q34" s="794"/>
      <c r="R34" s="814"/>
      <c r="S34" s="794"/>
    </row>
    <row r="35" spans="1:19">
      <c r="A35" s="815"/>
      <c r="B35" s="229"/>
      <c r="C35" s="817"/>
      <c r="D35" s="905"/>
      <c r="E35" s="812"/>
      <c r="F35" s="822"/>
      <c r="G35" s="303">
        <f t="shared" si="5"/>
        <v>0</v>
      </c>
      <c r="H35" s="814"/>
      <c r="I35" s="807">
        <f t="shared" si="6"/>
        <v>0</v>
      </c>
      <c r="J35" s="814"/>
      <c r="K35" s="794"/>
      <c r="L35" s="814"/>
      <c r="M35" s="794"/>
      <c r="N35" s="814"/>
      <c r="O35" s="794"/>
      <c r="P35" s="814"/>
      <c r="Q35" s="794"/>
      <c r="R35" s="814"/>
      <c r="S35" s="794"/>
    </row>
    <row r="36" spans="1:19">
      <c r="A36" s="815"/>
      <c r="B36" s="229"/>
      <c r="C36" s="817"/>
      <c r="D36" s="905"/>
      <c r="E36" s="812"/>
      <c r="F36" s="822"/>
      <c r="G36" s="303">
        <f t="shared" si="5"/>
        <v>0</v>
      </c>
      <c r="H36" s="814"/>
      <c r="I36" s="807">
        <f t="shared" si="6"/>
        <v>0</v>
      </c>
      <c r="J36" s="814"/>
      <c r="K36" s="794"/>
      <c r="L36" s="814"/>
      <c r="M36" s="794"/>
      <c r="N36" s="814"/>
      <c r="O36" s="794"/>
      <c r="P36" s="814"/>
      <c r="Q36" s="794"/>
      <c r="R36" s="814"/>
      <c r="S36" s="794"/>
    </row>
    <row r="37" spans="1:19">
      <c r="A37" s="815"/>
      <c r="B37" s="229"/>
      <c r="C37" s="817"/>
      <c r="D37" s="905"/>
      <c r="E37" s="812"/>
      <c r="F37" s="822"/>
      <c r="G37" s="303">
        <f t="shared" si="5"/>
        <v>0</v>
      </c>
      <c r="H37" s="814"/>
      <c r="I37" s="807">
        <f t="shared" si="6"/>
        <v>0</v>
      </c>
      <c r="J37" s="814"/>
      <c r="K37" s="794"/>
      <c r="L37" s="814"/>
      <c r="M37" s="794"/>
      <c r="N37" s="814"/>
      <c r="O37" s="794"/>
      <c r="P37" s="814"/>
      <c r="Q37" s="794"/>
      <c r="R37" s="814"/>
      <c r="S37" s="794"/>
    </row>
    <row r="38" spans="1:19">
      <c r="A38" s="815"/>
      <c r="B38" s="229"/>
      <c r="C38" s="817"/>
      <c r="D38" s="905"/>
      <c r="E38" s="812"/>
      <c r="F38" s="822"/>
      <c r="G38" s="303">
        <f t="shared" si="5"/>
        <v>0</v>
      </c>
      <c r="H38" s="814"/>
      <c r="I38" s="807">
        <f t="shared" si="6"/>
        <v>0</v>
      </c>
      <c r="J38" s="814"/>
      <c r="K38" s="794"/>
      <c r="L38" s="814"/>
      <c r="M38" s="794"/>
      <c r="N38" s="814"/>
      <c r="O38" s="794"/>
      <c r="P38" s="814"/>
      <c r="Q38" s="794"/>
      <c r="R38" s="814"/>
      <c r="S38" s="794"/>
    </row>
    <row r="39" spans="1:19">
      <c r="A39" s="815"/>
      <c r="B39" s="229"/>
      <c r="C39" s="817"/>
      <c r="D39" s="905"/>
      <c r="E39" s="812"/>
      <c r="F39" s="822"/>
      <c r="G39" s="303">
        <f t="shared" si="5"/>
        <v>0</v>
      </c>
      <c r="H39" s="814"/>
      <c r="I39" s="807">
        <f t="shared" si="6"/>
        <v>0</v>
      </c>
      <c r="J39" s="814"/>
      <c r="K39" s="794"/>
      <c r="L39" s="814"/>
      <c r="M39" s="794"/>
      <c r="N39" s="814"/>
      <c r="O39" s="794"/>
      <c r="P39" s="814"/>
      <c r="Q39" s="794"/>
      <c r="R39" s="814"/>
      <c r="S39" s="794"/>
    </row>
    <row r="40" spans="1:19">
      <c r="A40" s="815"/>
      <c r="B40" s="229"/>
      <c r="C40" s="817"/>
      <c r="D40" s="905"/>
      <c r="E40" s="812"/>
      <c r="F40" s="822"/>
      <c r="G40" s="303">
        <f t="shared" si="5"/>
        <v>0</v>
      </c>
      <c r="H40" s="814"/>
      <c r="I40" s="807">
        <f t="shared" si="6"/>
        <v>0</v>
      </c>
      <c r="J40" s="814"/>
      <c r="K40" s="794"/>
      <c r="L40" s="814"/>
      <c r="M40" s="794"/>
      <c r="N40" s="814"/>
      <c r="O40" s="794"/>
      <c r="P40" s="814"/>
      <c r="Q40" s="794"/>
      <c r="R40" s="814"/>
      <c r="S40" s="794"/>
    </row>
    <row r="41" spans="1:19">
      <c r="A41" s="815"/>
      <c r="B41" s="229"/>
      <c r="C41" s="817"/>
      <c r="D41" s="905"/>
      <c r="E41" s="812"/>
      <c r="F41" s="822"/>
      <c r="G41" s="303">
        <f t="shared" si="5"/>
        <v>0</v>
      </c>
      <c r="H41" s="814"/>
      <c r="I41" s="807">
        <f t="shared" si="6"/>
        <v>0</v>
      </c>
      <c r="J41" s="814"/>
      <c r="K41" s="794"/>
      <c r="L41" s="814"/>
      <c r="M41" s="794"/>
      <c r="N41" s="814"/>
      <c r="O41" s="794"/>
      <c r="P41" s="814"/>
      <c r="Q41" s="794"/>
      <c r="R41" s="814"/>
      <c r="S41" s="794"/>
    </row>
    <row r="42" spans="1:19">
      <c r="A42" s="815"/>
      <c r="B42" s="229"/>
      <c r="C42" s="817"/>
      <c r="D42" s="905"/>
      <c r="E42" s="812"/>
      <c r="F42" s="822"/>
      <c r="G42" s="303">
        <f t="shared" si="5"/>
        <v>0</v>
      </c>
      <c r="H42" s="814"/>
      <c r="I42" s="807">
        <f t="shared" si="6"/>
        <v>0</v>
      </c>
      <c r="J42" s="814"/>
      <c r="K42" s="794"/>
      <c r="L42" s="814"/>
      <c r="M42" s="794"/>
      <c r="N42" s="814"/>
      <c r="O42" s="794"/>
      <c r="P42" s="814"/>
      <c r="Q42" s="794"/>
      <c r="R42" s="814"/>
      <c r="S42" s="794"/>
    </row>
    <row r="43" spans="1:19">
      <c r="A43" s="815"/>
      <c r="B43" s="229"/>
      <c r="C43" s="817"/>
      <c r="D43" s="905"/>
      <c r="E43" s="812"/>
      <c r="F43" s="822"/>
      <c r="G43" s="303">
        <f t="shared" si="5"/>
        <v>0</v>
      </c>
      <c r="H43" s="814"/>
      <c r="I43" s="807">
        <f t="shared" si="6"/>
        <v>0</v>
      </c>
      <c r="J43" s="814"/>
      <c r="K43" s="794"/>
      <c r="L43" s="814"/>
      <c r="M43" s="794"/>
      <c r="N43" s="814"/>
      <c r="O43" s="794"/>
      <c r="P43" s="814"/>
      <c r="Q43" s="794"/>
      <c r="R43" s="814"/>
      <c r="S43" s="794"/>
    </row>
    <row r="44" spans="1:19">
      <c r="A44" s="815"/>
      <c r="B44" s="229"/>
      <c r="C44" s="817"/>
      <c r="D44" s="905"/>
      <c r="E44" s="812"/>
      <c r="F44" s="822"/>
      <c r="G44" s="303">
        <f t="shared" si="5"/>
        <v>0</v>
      </c>
      <c r="H44" s="814"/>
      <c r="I44" s="807">
        <f t="shared" si="6"/>
        <v>0</v>
      </c>
      <c r="J44" s="814"/>
      <c r="K44" s="794"/>
      <c r="L44" s="814"/>
      <c r="M44" s="794"/>
      <c r="N44" s="814"/>
      <c r="O44" s="794"/>
      <c r="P44" s="814"/>
      <c r="Q44" s="794"/>
      <c r="R44" s="814"/>
      <c r="S44" s="794"/>
    </row>
    <row r="45" spans="1:19">
      <c r="A45" s="815"/>
      <c r="B45" s="229"/>
      <c r="C45" s="817"/>
      <c r="D45" s="905"/>
      <c r="E45" s="812"/>
      <c r="F45" s="822"/>
      <c r="G45" s="303">
        <f t="shared" si="5"/>
        <v>0</v>
      </c>
      <c r="H45" s="814"/>
      <c r="I45" s="807">
        <f t="shared" si="6"/>
        <v>0</v>
      </c>
      <c r="J45" s="814"/>
      <c r="K45" s="794"/>
      <c r="L45" s="814"/>
      <c r="M45" s="794"/>
      <c r="N45" s="814"/>
      <c r="O45" s="794"/>
      <c r="P45" s="814"/>
      <c r="Q45" s="794"/>
      <c r="R45" s="814"/>
      <c r="S45" s="794"/>
    </row>
    <row r="46" spans="1:19">
      <c r="A46" s="815"/>
      <c r="B46" s="229"/>
      <c r="C46" s="817"/>
      <c r="D46" s="905"/>
      <c r="E46" s="812"/>
      <c r="F46" s="822"/>
      <c r="G46" s="303">
        <f t="shared" si="5"/>
        <v>0</v>
      </c>
      <c r="H46" s="814"/>
      <c r="I46" s="807">
        <f t="shared" si="6"/>
        <v>0</v>
      </c>
      <c r="J46" s="814"/>
      <c r="K46" s="794"/>
      <c r="L46" s="814"/>
      <c r="M46" s="794"/>
      <c r="N46" s="814"/>
      <c r="O46" s="794"/>
      <c r="P46" s="814"/>
      <c r="Q46" s="794"/>
      <c r="R46" s="814"/>
      <c r="S46" s="794"/>
    </row>
    <row r="47" spans="1:19">
      <c r="A47" s="815"/>
      <c r="B47" s="229"/>
      <c r="C47" s="817"/>
      <c r="D47" s="905"/>
      <c r="E47" s="812"/>
      <c r="F47" s="822"/>
      <c r="G47" s="303">
        <f t="shared" si="5"/>
        <v>0</v>
      </c>
      <c r="H47" s="814"/>
      <c r="I47" s="807">
        <f t="shared" si="6"/>
        <v>0</v>
      </c>
      <c r="J47" s="814"/>
      <c r="K47" s="794"/>
      <c r="L47" s="814"/>
      <c r="M47" s="794"/>
      <c r="N47" s="814"/>
      <c r="O47" s="794"/>
      <c r="P47" s="814"/>
      <c r="Q47" s="794"/>
      <c r="R47" s="814"/>
      <c r="S47" s="794"/>
    </row>
    <row r="48" spans="1:19">
      <c r="A48" s="815"/>
      <c r="B48" s="229"/>
      <c r="C48" s="817"/>
      <c r="D48" s="905"/>
      <c r="E48" s="812"/>
      <c r="F48" s="822"/>
      <c r="G48" s="303">
        <f t="shared" si="5"/>
        <v>0</v>
      </c>
      <c r="H48" s="814"/>
      <c r="I48" s="807">
        <f t="shared" si="6"/>
        <v>0</v>
      </c>
      <c r="J48" s="814"/>
      <c r="K48" s="794"/>
      <c r="L48" s="814"/>
      <c r="M48" s="794"/>
      <c r="N48" s="814"/>
      <c r="O48" s="794"/>
      <c r="P48" s="814"/>
      <c r="Q48" s="794"/>
      <c r="R48" s="814"/>
      <c r="S48" s="794"/>
    </row>
    <row r="49" spans="1:34">
      <c r="A49" s="815"/>
      <c r="B49" s="229"/>
      <c r="C49" s="817"/>
      <c r="D49" s="905"/>
      <c r="E49" s="812"/>
      <c r="F49" s="822"/>
      <c r="G49" s="303">
        <f t="shared" si="5"/>
        <v>0</v>
      </c>
      <c r="H49" s="814"/>
      <c r="I49" s="807">
        <f t="shared" si="6"/>
        <v>0</v>
      </c>
      <c r="J49" s="814"/>
      <c r="K49" s="794"/>
      <c r="L49" s="814"/>
      <c r="M49" s="794"/>
      <c r="N49" s="814"/>
      <c r="O49" s="794"/>
      <c r="P49" s="814"/>
      <c r="Q49" s="794"/>
      <c r="R49" s="814"/>
      <c r="S49" s="794"/>
    </row>
    <row r="50" spans="1:34" ht="15.75" thickBot="1">
      <c r="A50" s="815"/>
      <c r="B50" s="816"/>
      <c r="C50" s="821"/>
      <c r="D50" s="911"/>
      <c r="E50" s="812"/>
      <c r="F50" s="822"/>
      <c r="G50" s="303"/>
      <c r="H50" s="814"/>
      <c r="I50" s="807"/>
      <c r="J50" s="814"/>
      <c r="K50" s="794"/>
      <c r="L50" s="814"/>
      <c r="M50" s="794"/>
      <c r="N50" s="814"/>
      <c r="O50" s="794"/>
      <c r="P50" s="814"/>
      <c r="Q50" s="794"/>
      <c r="R50" s="814"/>
      <c r="S50" s="794"/>
    </row>
    <row r="51" spans="1:34" ht="15.75" thickTop="1">
      <c r="A51" s="15"/>
      <c r="B51" s="218" t="s">
        <v>518</v>
      </c>
      <c r="C51" s="17"/>
      <c r="D51" s="226"/>
      <c r="E51" s="177"/>
      <c r="F51" s="19"/>
      <c r="G51" s="304">
        <f>SUBTOTAL(9,G21:G50)</f>
        <v>11299290</v>
      </c>
      <c r="H51" s="21"/>
      <c r="I51" s="309">
        <f>SUBTOTAL(9,I20:I50)</f>
        <v>11299290</v>
      </c>
      <c r="J51" s="21"/>
      <c r="K51" s="309">
        <f>SUBTOTAL(9,K20:K50)</f>
        <v>0</v>
      </c>
      <c r="L51" s="21"/>
      <c r="M51" s="309">
        <f>SUBTOTAL(9,M20:M50)</f>
        <v>0</v>
      </c>
      <c r="N51" s="21"/>
      <c r="O51" s="309">
        <f>SUBTOTAL(9,O20:O50)</f>
        <v>0</v>
      </c>
      <c r="P51" s="21"/>
      <c r="Q51" s="309">
        <f>SUBTOTAL(9,Q20:Q50)</f>
        <v>0</v>
      </c>
      <c r="R51" s="21"/>
      <c r="S51" s="309">
        <f>SUBTOTAL(9,S20:S50)</f>
        <v>0</v>
      </c>
    </row>
    <row r="52" spans="1:34">
      <c r="A52" s="826"/>
      <c r="B52" s="827" t="s">
        <v>471</v>
      </c>
      <c r="C52" s="828"/>
      <c r="D52" s="912"/>
      <c r="E52" s="830"/>
      <c r="F52" s="831"/>
      <c r="G52" s="913"/>
      <c r="H52" s="833">
        <v>0</v>
      </c>
      <c r="I52" s="310"/>
      <c r="J52" s="833">
        <v>0</v>
      </c>
      <c r="K52" s="163"/>
      <c r="L52" s="833">
        <v>0</v>
      </c>
      <c r="M52" s="163"/>
      <c r="N52" s="833">
        <v>0</v>
      </c>
      <c r="O52" s="163"/>
      <c r="P52" s="833">
        <v>0</v>
      </c>
      <c r="Q52" s="163"/>
      <c r="R52" s="833">
        <v>0</v>
      </c>
      <c r="S52" s="163"/>
    </row>
    <row r="53" spans="1:34">
      <c r="A53" s="826"/>
      <c r="B53" s="827" t="s">
        <v>472</v>
      </c>
      <c r="C53" s="828"/>
      <c r="D53" s="912"/>
      <c r="E53" s="830"/>
      <c r="F53" s="831"/>
      <c r="G53" s="913">
        <f>F52*G51</f>
        <v>0</v>
      </c>
      <c r="H53" s="836"/>
      <c r="I53" s="837">
        <f>H52*I51</f>
        <v>0</v>
      </c>
      <c r="J53" s="836"/>
      <c r="K53" s="838">
        <f>J52*K51</f>
        <v>0</v>
      </c>
      <c r="L53" s="836"/>
      <c r="M53" s="838">
        <f>L52*M51</f>
        <v>0</v>
      </c>
      <c r="N53" s="836"/>
      <c r="O53" s="838">
        <f>N52*O51</f>
        <v>0</v>
      </c>
      <c r="P53" s="836"/>
      <c r="Q53" s="838">
        <f>P52*Q51</f>
        <v>0</v>
      </c>
      <c r="R53" s="836"/>
      <c r="S53" s="838">
        <f>R52*S51</f>
        <v>0</v>
      </c>
    </row>
    <row r="54" spans="1:34">
      <c r="A54" s="826"/>
      <c r="B54" s="827"/>
      <c r="C54" s="828"/>
      <c r="D54" s="912"/>
      <c r="E54" s="830"/>
      <c r="F54" s="831"/>
      <c r="G54" s="913"/>
      <c r="H54" s="836"/>
      <c r="I54" s="837"/>
      <c r="J54" s="836"/>
      <c r="K54" s="838"/>
      <c r="L54" s="836"/>
      <c r="M54" s="838"/>
      <c r="N54" s="836"/>
      <c r="O54" s="838"/>
      <c r="P54" s="836"/>
      <c r="Q54" s="838"/>
      <c r="R54" s="836"/>
      <c r="S54" s="838"/>
    </row>
    <row r="55" spans="1:34">
      <c r="A55" s="826"/>
      <c r="B55" s="827" t="s">
        <v>473</v>
      </c>
      <c r="C55" s="828"/>
      <c r="D55" s="912"/>
      <c r="E55" s="830"/>
      <c r="F55" s="831"/>
      <c r="G55" s="913">
        <f>SUM(G51:G53)</f>
        <v>11299290</v>
      </c>
      <c r="H55" s="839"/>
      <c r="I55" s="837">
        <f>SUM(I51:I53)</f>
        <v>11299290</v>
      </c>
      <c r="J55" s="839"/>
      <c r="K55" s="838">
        <f>SUM(K51:K53)</f>
        <v>0</v>
      </c>
      <c r="L55" s="839"/>
      <c r="M55" s="838">
        <f>SUM(M51:M53)</f>
        <v>0</v>
      </c>
      <c r="N55" s="839"/>
      <c r="O55" s="838">
        <f>SUM(O51:O53)</f>
        <v>0</v>
      </c>
      <c r="P55" s="839"/>
      <c r="Q55" s="838">
        <f>SUM(Q51:Q53)</f>
        <v>0</v>
      </c>
      <c r="R55" s="839"/>
      <c r="S55" s="838">
        <f>SUM(S51:S53)</f>
        <v>0</v>
      </c>
    </row>
    <row r="56" spans="1:34">
      <c r="A56" s="826"/>
      <c r="B56" s="840" t="s">
        <v>474</v>
      </c>
      <c r="C56" s="828"/>
      <c r="D56" s="912"/>
      <c r="E56" s="830"/>
      <c r="F56" s="840"/>
      <c r="G56" s="914">
        <f>G55/'Area Calculations'!$G$5</f>
        <v>29.022919272686174</v>
      </c>
      <c r="H56" s="842"/>
      <c r="I56" s="843">
        <f>I55/'Area Calculations'!$G$5</f>
        <v>29.022919272686174</v>
      </c>
      <c r="J56" s="842"/>
      <c r="K56" s="844">
        <f>K55/'Area Calculations'!$G$5</f>
        <v>0</v>
      </c>
      <c r="L56" s="842"/>
      <c r="M56" s="844">
        <f>M55/'Area Calculations'!$G$5</f>
        <v>0</v>
      </c>
      <c r="N56" s="842"/>
      <c r="O56" s="844">
        <f>O55/'Area Calculations'!$G$5</f>
        <v>0</v>
      </c>
      <c r="P56" s="842"/>
      <c r="Q56" s="844">
        <f>Q55/'Area Calculations'!$G$5</f>
        <v>0</v>
      </c>
      <c r="R56" s="845"/>
      <c r="S56" s="844">
        <f>S55/'Area Calculations'!$G$5</f>
        <v>0</v>
      </c>
    </row>
    <row r="57" spans="1:34" ht="15.75" thickBot="1">
      <c r="A57" s="826"/>
      <c r="B57" s="846"/>
      <c r="C57" s="828"/>
      <c r="D57" s="912"/>
      <c r="E57" s="830"/>
      <c r="F57" s="831"/>
      <c r="G57" s="913"/>
      <c r="H57" s="847"/>
      <c r="I57" s="848"/>
      <c r="J57" s="847"/>
      <c r="K57" s="847"/>
      <c r="L57" s="847"/>
      <c r="M57" s="847"/>
      <c r="N57" s="847"/>
      <c r="O57" s="847"/>
      <c r="P57" s="847"/>
      <c r="Q57" s="847"/>
      <c r="R57" s="847"/>
      <c r="S57" s="847"/>
    </row>
    <row r="58" spans="1:34" ht="16.5" thickTop="1" thickBot="1">
      <c r="A58" s="691" t="s">
        <v>475</v>
      </c>
      <c r="B58" s="692"/>
      <c r="C58" s="14"/>
      <c r="D58" s="227"/>
      <c r="E58" s="178"/>
      <c r="F58" s="14"/>
      <c r="G58" s="305"/>
      <c r="H58" s="22"/>
      <c r="I58" s="311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850"/>
      <c r="C59" s="796"/>
      <c r="D59" s="797"/>
      <c r="E59" s="852"/>
      <c r="F59" s="796"/>
      <c r="G59" s="853"/>
      <c r="H59" s="799"/>
      <c r="I59" s="854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850"/>
      <c r="C60" s="796"/>
      <c r="D60" s="797"/>
      <c r="E60" s="852"/>
      <c r="F60" s="796"/>
      <c r="G60" s="853"/>
      <c r="H60" s="799"/>
      <c r="I60" s="854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850"/>
      <c r="C61" s="796"/>
      <c r="D61" s="797"/>
      <c r="E61" s="852"/>
      <c r="F61" s="796"/>
      <c r="G61" s="853"/>
      <c r="H61" s="799"/>
      <c r="I61" s="854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227"/>
      <c r="E62" s="178"/>
      <c r="F62" s="14"/>
      <c r="G62" s="305"/>
      <c r="H62" s="22"/>
      <c r="I62" s="311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850"/>
      <c r="C63" s="796"/>
      <c r="D63" s="797"/>
      <c r="E63" s="852"/>
      <c r="F63" s="796"/>
      <c r="G63" s="853"/>
      <c r="H63" s="799"/>
      <c r="I63" s="854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850"/>
      <c r="C64" s="796"/>
      <c r="D64" s="797"/>
      <c r="E64" s="852"/>
      <c r="F64" s="796"/>
      <c r="G64" s="853"/>
      <c r="H64" s="799"/>
      <c r="I64" s="854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850"/>
      <c r="C65" s="796"/>
      <c r="D65" s="797"/>
      <c r="E65" s="852"/>
      <c r="F65" s="796"/>
      <c r="G65" s="853"/>
      <c r="H65" s="799"/>
      <c r="I65" s="854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227"/>
      <c r="E66" s="178"/>
      <c r="F66" s="14"/>
      <c r="G66" s="305"/>
      <c r="H66" s="22"/>
      <c r="I66" s="311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850"/>
      <c r="C67" s="796"/>
      <c r="D67" s="797"/>
      <c r="E67" s="852"/>
      <c r="F67" s="796"/>
      <c r="G67" s="853"/>
      <c r="H67" s="799"/>
      <c r="I67" s="854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855"/>
      <c r="B68" s="850"/>
      <c r="C68" s="817"/>
      <c r="D68" s="905"/>
      <c r="E68" s="812"/>
      <c r="F68" s="817"/>
      <c r="G68" s="856"/>
      <c r="H68" s="857"/>
      <c r="I68" s="858"/>
      <c r="J68" s="857"/>
      <c r="K68" s="857"/>
      <c r="L68" s="857"/>
      <c r="M68" s="857"/>
      <c r="N68" s="857"/>
      <c r="O68" s="857"/>
      <c r="P68" s="857"/>
      <c r="Q68" s="857"/>
      <c r="R68" s="857"/>
      <c r="S68" s="857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859"/>
      <c r="B69" s="860"/>
      <c r="C69" s="817"/>
      <c r="D69" s="905"/>
      <c r="E69" s="812"/>
      <c r="F69" s="817"/>
      <c r="G69" s="856"/>
      <c r="H69" s="861"/>
      <c r="I69" s="862"/>
      <c r="J69" s="861"/>
      <c r="K69" s="861"/>
      <c r="L69" s="861"/>
      <c r="M69" s="861"/>
      <c r="N69" s="861"/>
      <c r="O69" s="861"/>
      <c r="P69" s="861"/>
      <c r="Q69" s="861"/>
      <c r="R69" s="861"/>
      <c r="S69" s="861"/>
    </row>
    <row r="70" spans="1:34" s="2" customFormat="1" ht="16.5" thickTop="1" thickBot="1">
      <c r="A70" s="691" t="s">
        <v>478</v>
      </c>
      <c r="B70" s="692"/>
      <c r="C70" s="14"/>
      <c r="D70" s="227"/>
      <c r="E70" s="178"/>
      <c r="F70" s="14"/>
      <c r="G70" s="305"/>
      <c r="H70" s="22"/>
      <c r="I70" s="311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797"/>
      <c r="E71" s="852"/>
      <c r="F71" s="796"/>
      <c r="G71" s="853"/>
      <c r="H71" s="799"/>
      <c r="I71" s="854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859"/>
      <c r="B72" s="860"/>
      <c r="C72" s="817"/>
      <c r="D72" s="905"/>
      <c r="E72" s="812"/>
      <c r="F72" s="817"/>
      <c r="G72" s="856"/>
      <c r="H72" s="863"/>
      <c r="I72" s="862"/>
      <c r="J72" s="863"/>
      <c r="K72" s="863"/>
      <c r="L72" s="863"/>
      <c r="M72" s="863"/>
      <c r="N72" s="863"/>
      <c r="O72" s="863"/>
      <c r="P72" s="863"/>
      <c r="Q72" s="863"/>
      <c r="R72" s="863"/>
      <c r="S72" s="86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859"/>
      <c r="B73" s="860"/>
      <c r="C73" s="817"/>
      <c r="D73" s="905"/>
      <c r="E73" s="812"/>
      <c r="F73" s="817"/>
      <c r="G73" s="856"/>
      <c r="H73" s="863"/>
      <c r="I73" s="862"/>
      <c r="J73" s="863"/>
      <c r="K73" s="863"/>
      <c r="L73" s="863"/>
      <c r="M73" s="863"/>
      <c r="N73" s="863"/>
      <c r="O73" s="863"/>
      <c r="P73" s="863"/>
      <c r="Q73" s="863"/>
      <c r="R73" s="863"/>
      <c r="S73" s="86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227"/>
      <c r="E74" s="178"/>
      <c r="F74" s="14"/>
      <c r="G74" s="305"/>
      <c r="H74" s="22"/>
      <c r="I74" s="311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855"/>
      <c r="B75" s="850" t="s">
        <v>480</v>
      </c>
      <c r="C75" s="817"/>
      <c r="D75" s="905"/>
      <c r="E75" s="812"/>
      <c r="F75" s="817"/>
      <c r="G75" s="856"/>
      <c r="H75" s="863"/>
      <c r="I75" s="862"/>
      <c r="J75" s="863"/>
      <c r="K75" s="863"/>
      <c r="L75" s="863"/>
      <c r="M75" s="863"/>
      <c r="N75" s="863"/>
      <c r="O75" s="863"/>
      <c r="P75" s="863"/>
      <c r="Q75" s="863"/>
      <c r="R75" s="863"/>
      <c r="S75" s="863"/>
    </row>
    <row r="76" spans="1:34">
      <c r="A76" s="855"/>
      <c r="B76" s="850" t="s">
        <v>481</v>
      </c>
      <c r="C76" s="817"/>
      <c r="D76" s="905"/>
      <c r="E76" s="812"/>
      <c r="F76" s="817"/>
      <c r="G76" s="856"/>
      <c r="H76" s="863"/>
      <c r="I76" s="862"/>
      <c r="J76" s="863"/>
      <c r="K76" s="863"/>
      <c r="L76" s="863"/>
      <c r="M76" s="863"/>
      <c r="N76" s="863"/>
      <c r="O76" s="863"/>
      <c r="P76" s="863"/>
      <c r="Q76" s="863"/>
      <c r="R76" s="863"/>
      <c r="S76" s="863"/>
    </row>
    <row r="77" spans="1:34">
      <c r="A77" s="855"/>
      <c r="B77" s="850" t="s">
        <v>482</v>
      </c>
      <c r="C77" s="817"/>
      <c r="D77" s="905"/>
      <c r="E77" s="812"/>
      <c r="F77" s="817"/>
      <c r="G77" s="856"/>
      <c r="H77" s="863"/>
      <c r="I77" s="862"/>
      <c r="J77" s="863"/>
      <c r="K77" s="863"/>
      <c r="L77" s="863"/>
      <c r="M77" s="863"/>
      <c r="N77" s="863"/>
      <c r="O77" s="863"/>
      <c r="P77" s="863"/>
      <c r="Q77" s="863"/>
      <c r="R77" s="863"/>
      <c r="S77" s="863"/>
    </row>
    <row r="78" spans="1:34">
      <c r="A78" s="855"/>
      <c r="B78" s="850" t="s">
        <v>483</v>
      </c>
      <c r="C78" s="817"/>
      <c r="D78" s="905"/>
      <c r="E78" s="812"/>
      <c r="F78" s="817"/>
      <c r="G78" s="856"/>
      <c r="H78" s="863"/>
      <c r="I78" s="862"/>
      <c r="J78" s="863"/>
      <c r="K78" s="863"/>
      <c r="L78" s="863"/>
      <c r="M78" s="863"/>
      <c r="N78" s="863"/>
      <c r="O78" s="863"/>
      <c r="P78" s="863"/>
      <c r="Q78" s="863"/>
      <c r="R78" s="863"/>
      <c r="S78" s="863"/>
    </row>
    <row r="79" spans="1:34" ht="15.75" thickBot="1">
      <c r="A79" s="23"/>
      <c r="B79" s="7"/>
      <c r="C79" s="8"/>
      <c r="D79" s="225"/>
      <c r="E79" s="172"/>
      <c r="F79" s="8"/>
      <c r="G79" s="306"/>
      <c r="H79" s="24"/>
      <c r="I79" s="312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227"/>
      <c r="E80" s="178"/>
      <c r="F80" s="14"/>
      <c r="G80" s="305"/>
      <c r="H80" s="22"/>
      <c r="I80" s="311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797"/>
      <c r="E81" s="852"/>
      <c r="F81" s="796"/>
      <c r="G81" s="853"/>
      <c r="H81" s="803"/>
      <c r="I81" s="854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855"/>
      <c r="B82" s="850" t="s">
        <v>486</v>
      </c>
      <c r="C82" s="817"/>
      <c r="D82" s="905"/>
      <c r="E82" s="812"/>
      <c r="F82" s="817"/>
      <c r="G82" s="856"/>
      <c r="H82" s="864"/>
      <c r="I82" s="862"/>
      <c r="J82" s="864"/>
      <c r="K82" s="864"/>
      <c r="L82" s="864"/>
      <c r="M82" s="864"/>
      <c r="N82" s="864"/>
      <c r="O82" s="864"/>
      <c r="P82" s="864"/>
      <c r="Q82" s="864"/>
      <c r="R82" s="864"/>
      <c r="S82" s="864"/>
    </row>
    <row r="83" spans="1:19" ht="15.75" thickBot="1">
      <c r="A83" s="865"/>
      <c r="B83" s="866" t="s">
        <v>487</v>
      </c>
      <c r="C83" s="867"/>
      <c r="D83" s="915"/>
      <c r="E83" s="869"/>
      <c r="F83" s="867"/>
      <c r="G83" s="870"/>
      <c r="H83" s="871"/>
      <c r="I83" s="872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873"/>
    </row>
    <row r="87" spans="1:19">
      <c r="A87" s="874" t="s">
        <v>446</v>
      </c>
      <c r="B87" s="873"/>
    </row>
    <row r="88" spans="1:19">
      <c r="A88" s="875" t="s">
        <v>448</v>
      </c>
      <c r="B88" s="876"/>
    </row>
    <row r="89" spans="1:19">
      <c r="A89" s="875" t="s">
        <v>450</v>
      </c>
      <c r="B89" s="877"/>
    </row>
    <row r="90" spans="1:19" ht="15.75" thickBot="1">
      <c r="A90" s="878" t="s">
        <v>489</v>
      </c>
      <c r="B90" s="879">
        <f>$I$55</f>
        <v>11299290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A58:B58"/>
    <mergeCell ref="A62:B62"/>
    <mergeCell ref="A66:B66"/>
    <mergeCell ref="A70:B70"/>
    <mergeCell ref="A74:B74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5:S5"/>
    <mergeCell ref="H5:I5"/>
    <mergeCell ref="J5:K5"/>
    <mergeCell ref="L5:M5"/>
    <mergeCell ref="N5:O5"/>
    <mergeCell ref="P5:Q5"/>
  </mergeCells>
  <conditionalFormatting sqref="H11:H18 J11:J18 L11:L18 N11:N18 P11:P18 R11:R18 H20:H50 J20:J50 L20:L50 N20:N50 P20:P50 R20:R50">
    <cfRule type="cellIs" dxfId="141" priority="1" operator="equal">
      <formula>"X"</formula>
    </cfRule>
    <cfRule type="cellIs" dxfId="140" priority="2" operator="equal">
      <formula>"I"</formula>
    </cfRule>
  </conditionalFormatting>
  <hyperlinks>
    <hyperlink ref="B4" location="'Cost Summary'!A1" display="BACK TO SUMMARY SHEET" xr:uid="{FD879F5E-AAD1-4137-94AF-14649BEA19AA}"/>
  </hyperlinks>
  <pageMargins left="0.2" right="0.2" top="0.5" bottom="0.75" header="0.3" footer="0.3"/>
  <pageSetup paperSize="3" scale="7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784E-E9F9-4035-BD88-B068C0780A74}">
  <sheetPr>
    <tabColor rgb="FFFFFF00"/>
    <pageSetUpPr fitToPage="1"/>
  </sheetPr>
  <dimension ref="A1:AH97"/>
  <sheetViews>
    <sheetView zoomScale="90" zoomScaleNormal="90" workbookViewId="0">
      <pane ySplit="10" topLeftCell="G38" activePane="bottomLeft" state="frozen"/>
      <selection pane="bottomLeft" activeCell="G38" sqref="G38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223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224"/>
      <c r="E5" s="171"/>
      <c r="F5" s="5"/>
      <c r="G5" s="6" t="s">
        <v>444</v>
      </c>
      <c r="H5" s="673"/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880" t="s">
        <v>445</v>
      </c>
      <c r="B6" s="850" t="s">
        <v>120</v>
      </c>
      <c r="C6" s="817"/>
      <c r="D6" s="905"/>
      <c r="E6" s="812"/>
      <c r="F6" s="817"/>
      <c r="G6" s="462" t="s">
        <v>446</v>
      </c>
      <c r="H6" s="882"/>
      <c r="I6" s="676"/>
      <c r="J6" s="882"/>
      <c r="K6" s="676"/>
      <c r="L6" s="882"/>
      <c r="M6" s="676"/>
      <c r="N6" s="882"/>
      <c r="O6" s="676"/>
      <c r="P6" s="882"/>
      <c r="Q6" s="676"/>
      <c r="R6" s="882"/>
      <c r="S6" s="676"/>
    </row>
    <row r="7" spans="1:19">
      <c r="A7" s="880" t="s">
        <v>447</v>
      </c>
      <c r="B7" s="883" t="s">
        <v>119</v>
      </c>
      <c r="C7" s="817"/>
      <c r="D7" s="905"/>
      <c r="E7" s="812"/>
      <c r="F7" s="817"/>
      <c r="G7" s="884" t="s">
        <v>448</v>
      </c>
      <c r="H7" s="886"/>
      <c r="I7" s="678"/>
      <c r="J7" s="886"/>
      <c r="K7" s="678"/>
      <c r="L7" s="886"/>
      <c r="M7" s="678"/>
      <c r="N7" s="886"/>
      <c r="O7" s="678"/>
      <c r="P7" s="886"/>
      <c r="Q7" s="678"/>
      <c r="R7" s="886"/>
      <c r="S7" s="678"/>
    </row>
    <row r="8" spans="1:19">
      <c r="A8" s="880" t="s">
        <v>449</v>
      </c>
      <c r="B8" s="887"/>
      <c r="C8" s="817"/>
      <c r="D8" s="905"/>
      <c r="E8" s="812"/>
      <c r="F8" s="817"/>
      <c r="G8" s="884" t="s">
        <v>450</v>
      </c>
      <c r="H8" s="889"/>
      <c r="I8" s="680"/>
      <c r="J8" s="889"/>
      <c r="K8" s="680"/>
      <c r="L8" s="889"/>
      <c r="M8" s="680"/>
      <c r="N8" s="889"/>
      <c r="O8" s="680"/>
      <c r="P8" s="889"/>
      <c r="Q8" s="680"/>
      <c r="R8" s="889"/>
      <c r="S8" s="680"/>
    </row>
    <row r="9" spans="1:19" ht="15.75" thickBot="1">
      <c r="A9" s="890"/>
      <c r="B9" s="866"/>
      <c r="C9" s="8"/>
      <c r="D9" s="225"/>
      <c r="E9" s="172"/>
      <c r="F9" s="867"/>
      <c r="G9" s="891" t="s">
        <v>451</v>
      </c>
      <c r="H9" s="894">
        <f>I$59</f>
        <v>1259600</v>
      </c>
      <c r="I9" s="895"/>
      <c r="J9" s="892">
        <f t="shared" ref="J9" si="0">K$59</f>
        <v>0</v>
      </c>
      <c r="K9" s="893"/>
      <c r="L9" s="892">
        <f t="shared" ref="L9" si="1">M$59</f>
        <v>0</v>
      </c>
      <c r="M9" s="893"/>
      <c r="N9" s="892">
        <f t="shared" ref="N9" si="2">O$59</f>
        <v>0</v>
      </c>
      <c r="O9" s="893"/>
      <c r="P9" s="892">
        <f t="shared" ref="P9" si="3">Q$59</f>
        <v>0</v>
      </c>
      <c r="Q9" s="893"/>
      <c r="R9" s="892">
        <f t="shared" ref="R9" si="4">S$59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905"/>
      <c r="E11" s="812"/>
      <c r="F11" s="817"/>
      <c r="G11" s="60"/>
      <c r="H11" s="814"/>
      <c r="I11" s="782"/>
      <c r="J11" s="814"/>
      <c r="K11" s="183"/>
      <c r="L11" s="814"/>
      <c r="M11" s="783"/>
      <c r="N11" s="814"/>
      <c r="O11" s="783"/>
      <c r="P11" s="814"/>
      <c r="Q11" s="783"/>
      <c r="R11" s="814"/>
      <c r="S11" s="783"/>
    </row>
    <row r="12" spans="1:19">
      <c r="A12" s="784"/>
      <c r="B12" s="785" t="s">
        <v>461</v>
      </c>
      <c r="C12" s="817"/>
      <c r="D12" s="905"/>
      <c r="E12" s="812"/>
      <c r="F12" s="817"/>
      <c r="G12" s="60"/>
      <c r="H12" s="814"/>
      <c r="I12" s="782"/>
      <c r="J12" s="814"/>
      <c r="K12" s="783"/>
      <c r="L12" s="814"/>
      <c r="M12" s="783"/>
      <c r="N12" s="814"/>
      <c r="O12" s="783"/>
      <c r="P12" s="814"/>
      <c r="Q12" s="783"/>
      <c r="R12" s="814"/>
      <c r="S12" s="783"/>
    </row>
    <row r="13" spans="1:19">
      <c r="A13" s="815"/>
      <c r="B13" s="786" t="s">
        <v>462</v>
      </c>
      <c r="C13" s="817"/>
      <c r="D13" s="905"/>
      <c r="E13" s="812"/>
      <c r="F13" s="817"/>
      <c r="G13" s="60"/>
      <c r="H13" s="814"/>
      <c r="I13" s="782"/>
      <c r="J13" s="814"/>
      <c r="K13" s="783"/>
      <c r="L13" s="814"/>
      <c r="M13" s="783"/>
      <c r="N13" s="814"/>
      <c r="O13" s="783"/>
      <c r="P13" s="814"/>
      <c r="Q13" s="783"/>
      <c r="R13" s="814"/>
      <c r="S13" s="783"/>
    </row>
    <row r="14" spans="1:19">
      <c r="A14" s="815"/>
      <c r="B14" s="787" t="s">
        <v>463</v>
      </c>
      <c r="C14" s="817"/>
      <c r="D14" s="905"/>
      <c r="E14" s="812"/>
      <c r="F14" s="817"/>
      <c r="G14" s="60"/>
      <c r="H14" s="814"/>
      <c r="I14" s="782"/>
      <c r="J14" s="814"/>
      <c r="K14" s="783"/>
      <c r="L14" s="814"/>
      <c r="M14" s="783"/>
      <c r="N14" s="814"/>
      <c r="O14" s="783"/>
      <c r="P14" s="814"/>
      <c r="Q14" s="783"/>
      <c r="R14" s="814"/>
      <c r="S14" s="783"/>
    </row>
    <row r="15" spans="1:19">
      <c r="A15" s="815"/>
      <c r="B15" s="787" t="s">
        <v>464</v>
      </c>
      <c r="C15" s="817"/>
      <c r="D15" s="905"/>
      <c r="E15" s="812"/>
      <c r="F15" s="817"/>
      <c r="G15" s="60"/>
      <c r="H15" s="814"/>
      <c r="I15" s="782"/>
      <c r="J15" s="814"/>
      <c r="K15" s="782"/>
      <c r="L15" s="814"/>
      <c r="M15" s="782"/>
      <c r="N15" s="814"/>
      <c r="O15" s="782"/>
      <c r="P15" s="814"/>
      <c r="Q15" s="782"/>
      <c r="R15" s="814"/>
      <c r="S15" s="782"/>
    </row>
    <row r="16" spans="1:19">
      <c r="A16" s="815"/>
      <c r="B16" s="787" t="s">
        <v>465</v>
      </c>
      <c r="C16" s="817"/>
      <c r="D16" s="905"/>
      <c r="E16" s="812"/>
      <c r="F16" s="817"/>
      <c r="G16" s="60"/>
      <c r="H16" s="814"/>
      <c r="I16" s="782"/>
      <c r="J16" s="814"/>
      <c r="K16" s="783"/>
      <c r="L16" s="814"/>
      <c r="M16" s="783"/>
      <c r="N16" s="814"/>
      <c r="O16" s="783"/>
      <c r="P16" s="814"/>
      <c r="Q16" s="783"/>
      <c r="R16" s="814"/>
      <c r="S16" s="783"/>
    </row>
    <row r="17" spans="1:19">
      <c r="A17" s="815"/>
      <c r="B17" s="787" t="s">
        <v>466</v>
      </c>
      <c r="C17" s="817"/>
      <c r="D17" s="905"/>
      <c r="E17" s="812"/>
      <c r="F17" s="817"/>
      <c r="G17" s="60"/>
      <c r="H17" s="814"/>
      <c r="I17" s="782"/>
      <c r="J17" s="814"/>
      <c r="K17" s="783"/>
      <c r="L17" s="814"/>
      <c r="M17" s="783"/>
      <c r="N17" s="814"/>
      <c r="O17" s="783"/>
      <c r="P17" s="814"/>
      <c r="Q17" s="783"/>
      <c r="R17" s="814"/>
      <c r="S17" s="783"/>
    </row>
    <row r="18" spans="1:19">
      <c r="A18" s="815"/>
      <c r="B18" s="788" t="s">
        <v>467</v>
      </c>
      <c r="C18" s="817"/>
      <c r="D18" s="905"/>
      <c r="E18" s="812"/>
      <c r="F18" s="817"/>
      <c r="G18" s="60"/>
      <c r="H18" s="814"/>
      <c r="I18" s="782"/>
      <c r="J18" s="814"/>
      <c r="K18" s="783"/>
      <c r="L18" s="814"/>
      <c r="M18" s="783"/>
      <c r="N18" s="814"/>
      <c r="O18" s="783"/>
      <c r="P18" s="814"/>
      <c r="Q18" s="783"/>
      <c r="R18" s="814"/>
      <c r="S18" s="783"/>
    </row>
    <row r="19" spans="1:19">
      <c r="A19" s="815"/>
      <c r="B19" s="789" t="s">
        <v>468</v>
      </c>
      <c r="C19" s="896"/>
      <c r="D19" s="909"/>
      <c r="E19" s="898"/>
      <c r="F19" s="899"/>
      <c r="G19" s="463"/>
      <c r="H19" s="900"/>
      <c r="I19" s="790"/>
      <c r="J19" s="900"/>
      <c r="K19" s="791"/>
      <c r="L19" s="900"/>
      <c r="M19" s="791"/>
      <c r="N19" s="900"/>
      <c r="O19" s="791"/>
      <c r="P19" s="900"/>
      <c r="Q19" s="791"/>
      <c r="R19" s="900"/>
      <c r="S19" s="791"/>
    </row>
    <row r="20" spans="1:19">
      <c r="A20" s="815"/>
      <c r="B20" s="792"/>
      <c r="C20" s="817"/>
      <c r="D20" s="905"/>
      <c r="E20" s="812"/>
      <c r="F20" s="813"/>
      <c r="G20" s="60"/>
      <c r="H20" s="814"/>
      <c r="I20" s="793"/>
      <c r="J20" s="814"/>
      <c r="K20" s="794"/>
      <c r="L20" s="814"/>
      <c r="M20" s="794"/>
      <c r="N20" s="814"/>
      <c r="O20" s="794"/>
      <c r="P20" s="814"/>
      <c r="Q20" s="794"/>
      <c r="R20" s="814"/>
      <c r="S20" s="794"/>
    </row>
    <row r="21" spans="1:19">
      <c r="A21" s="815"/>
      <c r="B21" s="229" t="s">
        <v>526</v>
      </c>
      <c r="C21" s="817"/>
      <c r="D21" s="905"/>
      <c r="E21" s="812"/>
      <c r="F21" s="822"/>
      <c r="G21" s="315">
        <f t="shared" ref="G21" si="5">ROUND(D21*F21,0)</f>
        <v>0</v>
      </c>
      <c r="H21" s="814"/>
      <c r="I21" s="793">
        <f>G21</f>
        <v>0</v>
      </c>
      <c r="J21" s="814"/>
      <c r="K21" s="794"/>
      <c r="L21" s="814"/>
      <c r="M21" s="794"/>
      <c r="N21" s="814"/>
      <c r="O21" s="794"/>
      <c r="P21" s="814"/>
      <c r="Q21" s="794"/>
      <c r="R21" s="814"/>
      <c r="S21" s="794"/>
    </row>
    <row r="22" spans="1:19">
      <c r="A22" s="815"/>
      <c r="B22" s="314" t="s">
        <v>527</v>
      </c>
      <c r="C22" s="817"/>
      <c r="D22" s="905">
        <f>8*2*2</f>
        <v>32</v>
      </c>
      <c r="E22" s="812" t="s">
        <v>528</v>
      </c>
      <c r="F22" s="822">
        <v>12000</v>
      </c>
      <c r="G22" s="315">
        <f t="shared" ref="G22:G24" si="6">ROUND(D22*F22,0)</f>
        <v>384000</v>
      </c>
      <c r="H22" s="814"/>
      <c r="I22" s="793">
        <f t="shared" ref="I22:I24" si="7">G22</f>
        <v>384000</v>
      </c>
      <c r="J22" s="814"/>
      <c r="K22" s="794"/>
      <c r="L22" s="814"/>
      <c r="M22" s="794"/>
      <c r="N22" s="814"/>
      <c r="O22" s="794"/>
      <c r="P22" s="814"/>
      <c r="Q22" s="794"/>
      <c r="R22" s="814"/>
      <c r="S22" s="794"/>
    </row>
    <row r="23" spans="1:19">
      <c r="A23" s="815"/>
      <c r="B23" s="314" t="s">
        <v>529</v>
      </c>
      <c r="C23" s="817"/>
      <c r="D23" s="905">
        <f>4*2*1</f>
        <v>8</v>
      </c>
      <c r="E23" s="812" t="s">
        <v>528</v>
      </c>
      <c r="F23" s="822">
        <v>12000</v>
      </c>
      <c r="G23" s="315">
        <f t="shared" si="6"/>
        <v>96000</v>
      </c>
      <c r="H23" s="814"/>
      <c r="I23" s="793">
        <f t="shared" si="7"/>
        <v>96000</v>
      </c>
      <c r="J23" s="814"/>
      <c r="K23" s="794"/>
      <c r="L23" s="814"/>
      <c r="M23" s="794"/>
      <c r="N23" s="814"/>
      <c r="O23" s="794"/>
      <c r="P23" s="814"/>
      <c r="Q23" s="794"/>
      <c r="R23" s="814"/>
      <c r="S23" s="794"/>
    </row>
    <row r="24" spans="1:19">
      <c r="A24" s="815"/>
      <c r="B24" s="314" t="s">
        <v>530</v>
      </c>
      <c r="C24" s="817"/>
      <c r="D24" s="905">
        <f>7*2*1</f>
        <v>14</v>
      </c>
      <c r="E24" s="812" t="s">
        <v>528</v>
      </c>
      <c r="F24" s="822">
        <v>12000</v>
      </c>
      <c r="G24" s="315">
        <f t="shared" si="6"/>
        <v>168000</v>
      </c>
      <c r="H24" s="814"/>
      <c r="I24" s="793">
        <f t="shared" si="7"/>
        <v>168000</v>
      </c>
      <c r="J24" s="814"/>
      <c r="K24" s="794"/>
      <c r="L24" s="814"/>
      <c r="M24" s="794"/>
      <c r="N24" s="814"/>
      <c r="O24" s="794"/>
      <c r="P24" s="814"/>
      <c r="Q24" s="794"/>
      <c r="R24" s="814"/>
      <c r="S24" s="794"/>
    </row>
    <row r="25" spans="1:19">
      <c r="A25" s="815"/>
      <c r="B25" s="314" t="s">
        <v>531</v>
      </c>
      <c r="C25" s="817"/>
      <c r="D25" s="905">
        <f>4*2*1</f>
        <v>8</v>
      </c>
      <c r="E25" s="812" t="s">
        <v>528</v>
      </c>
      <c r="F25" s="822">
        <v>12000</v>
      </c>
      <c r="G25" s="315">
        <f t="shared" ref="G25:G26" si="8">ROUND(D25*F25,0)</f>
        <v>96000</v>
      </c>
      <c r="H25" s="814"/>
      <c r="I25" s="793">
        <f t="shared" ref="I25:I26" si="9">G25</f>
        <v>96000</v>
      </c>
      <c r="J25" s="814"/>
      <c r="K25" s="794"/>
      <c r="L25" s="814"/>
      <c r="M25" s="794"/>
      <c r="N25" s="814"/>
      <c r="O25" s="794"/>
      <c r="P25" s="814"/>
      <c r="Q25" s="794"/>
      <c r="R25" s="814"/>
      <c r="S25" s="794"/>
    </row>
    <row r="26" spans="1:19">
      <c r="A26" s="815"/>
      <c r="B26" s="229" t="s">
        <v>532</v>
      </c>
      <c r="C26" s="817"/>
      <c r="D26" s="905">
        <f>SUM(D22:D25)*18</f>
        <v>1116</v>
      </c>
      <c r="E26" s="812" t="s">
        <v>329</v>
      </c>
      <c r="F26" s="822">
        <v>150</v>
      </c>
      <c r="G26" s="315">
        <f t="shared" si="8"/>
        <v>167400</v>
      </c>
      <c r="H26" s="814"/>
      <c r="I26" s="793">
        <f t="shared" si="9"/>
        <v>167400</v>
      </c>
      <c r="J26" s="814"/>
      <c r="K26" s="794"/>
      <c r="L26" s="814"/>
      <c r="M26" s="794"/>
      <c r="N26" s="814"/>
      <c r="O26" s="794"/>
      <c r="P26" s="814"/>
      <c r="Q26" s="794"/>
      <c r="R26" s="814"/>
      <c r="S26" s="794"/>
    </row>
    <row r="27" spans="1:19">
      <c r="A27" s="815"/>
      <c r="B27" s="229" t="s">
        <v>533</v>
      </c>
      <c r="C27" s="817"/>
      <c r="D27" s="905">
        <f>SUM(D22:D25)*18</f>
        <v>1116</v>
      </c>
      <c r="E27" s="812" t="s">
        <v>329</v>
      </c>
      <c r="F27" s="822">
        <v>200</v>
      </c>
      <c r="G27" s="315">
        <f t="shared" ref="G27:G53" si="10">ROUND(D27*F27,0)</f>
        <v>223200</v>
      </c>
      <c r="H27" s="814"/>
      <c r="I27" s="793">
        <f t="shared" ref="I27:I53" si="11">G27</f>
        <v>223200</v>
      </c>
      <c r="J27" s="814"/>
      <c r="K27" s="794"/>
      <c r="L27" s="814"/>
      <c r="M27" s="794"/>
      <c r="N27" s="814"/>
      <c r="O27" s="794"/>
      <c r="P27" s="814"/>
      <c r="Q27" s="794"/>
      <c r="R27" s="814"/>
      <c r="S27" s="794"/>
    </row>
    <row r="28" spans="1:19">
      <c r="A28" s="815"/>
      <c r="B28" s="229"/>
      <c r="C28" s="817"/>
      <c r="D28" s="905"/>
      <c r="E28" s="812"/>
      <c r="F28" s="822"/>
      <c r="G28" s="315">
        <f t="shared" si="10"/>
        <v>0</v>
      </c>
      <c r="H28" s="814"/>
      <c r="I28" s="793">
        <f t="shared" si="11"/>
        <v>0</v>
      </c>
      <c r="J28" s="814"/>
      <c r="K28" s="794"/>
      <c r="L28" s="814"/>
      <c r="M28" s="794"/>
      <c r="N28" s="814"/>
      <c r="O28" s="794"/>
      <c r="P28" s="814"/>
      <c r="Q28" s="794"/>
      <c r="R28" s="814"/>
      <c r="S28" s="794"/>
    </row>
    <row r="29" spans="1:19">
      <c r="A29" s="815"/>
      <c r="B29" s="313" t="s">
        <v>534</v>
      </c>
      <c r="C29" s="817"/>
      <c r="D29" s="905">
        <v>8</v>
      </c>
      <c r="E29" s="812" t="s">
        <v>271</v>
      </c>
      <c r="F29" s="822">
        <v>2500</v>
      </c>
      <c r="G29" s="315">
        <f t="shared" si="10"/>
        <v>20000</v>
      </c>
      <c r="H29" s="814"/>
      <c r="I29" s="793">
        <f t="shared" si="11"/>
        <v>20000</v>
      </c>
      <c r="J29" s="814"/>
      <c r="K29" s="794"/>
      <c r="L29" s="814"/>
      <c r="M29" s="794"/>
      <c r="N29" s="814"/>
      <c r="O29" s="794"/>
      <c r="P29" s="814"/>
      <c r="Q29" s="794"/>
      <c r="R29" s="814"/>
      <c r="S29" s="794"/>
    </row>
    <row r="30" spans="1:19">
      <c r="A30" s="815"/>
      <c r="B30" s="313" t="s">
        <v>535</v>
      </c>
      <c r="C30" s="817"/>
      <c r="D30" s="905">
        <v>70</v>
      </c>
      <c r="E30" s="812" t="s">
        <v>271</v>
      </c>
      <c r="F30" s="822">
        <v>1500</v>
      </c>
      <c r="G30" s="315">
        <f t="shared" si="10"/>
        <v>105000</v>
      </c>
      <c r="H30" s="814"/>
      <c r="I30" s="793">
        <f t="shared" si="11"/>
        <v>105000</v>
      </c>
      <c r="J30" s="814"/>
      <c r="K30" s="794"/>
      <c r="L30" s="814"/>
      <c r="M30" s="794"/>
      <c r="N30" s="814"/>
      <c r="O30" s="794"/>
      <c r="P30" s="814"/>
      <c r="Q30" s="794"/>
      <c r="R30" s="814"/>
      <c r="S30" s="794"/>
    </row>
    <row r="31" spans="1:19">
      <c r="A31" s="815"/>
      <c r="B31" s="229"/>
      <c r="C31" s="817"/>
      <c r="D31" s="905"/>
      <c r="E31" s="812"/>
      <c r="F31" s="822"/>
      <c r="G31" s="315">
        <f t="shared" si="10"/>
        <v>0</v>
      </c>
      <c r="H31" s="814"/>
      <c r="I31" s="793">
        <f t="shared" si="11"/>
        <v>0</v>
      </c>
      <c r="J31" s="814"/>
      <c r="K31" s="794"/>
      <c r="L31" s="814"/>
      <c r="M31" s="794"/>
      <c r="N31" s="814"/>
      <c r="O31" s="794"/>
      <c r="P31" s="814"/>
      <c r="Q31" s="794"/>
      <c r="R31" s="814"/>
      <c r="S31" s="794"/>
    </row>
    <row r="32" spans="1:19">
      <c r="A32" s="815"/>
      <c r="B32" s="229"/>
      <c r="C32" s="817"/>
      <c r="D32" s="905"/>
      <c r="E32" s="812"/>
      <c r="F32" s="822"/>
      <c r="G32" s="315">
        <f t="shared" si="10"/>
        <v>0</v>
      </c>
      <c r="H32" s="814"/>
      <c r="I32" s="793">
        <f t="shared" si="11"/>
        <v>0</v>
      </c>
      <c r="J32" s="814"/>
      <c r="K32" s="794"/>
      <c r="L32" s="814"/>
      <c r="M32" s="794"/>
      <c r="N32" s="814"/>
      <c r="O32" s="794"/>
      <c r="P32" s="814"/>
      <c r="Q32" s="794"/>
      <c r="R32" s="814"/>
      <c r="S32" s="794"/>
    </row>
    <row r="33" spans="1:19">
      <c r="A33" s="815"/>
      <c r="B33" s="229"/>
      <c r="C33" s="817"/>
      <c r="D33" s="905"/>
      <c r="E33" s="812"/>
      <c r="F33" s="822"/>
      <c r="G33" s="315">
        <f t="shared" si="10"/>
        <v>0</v>
      </c>
      <c r="H33" s="814"/>
      <c r="I33" s="793">
        <f t="shared" si="11"/>
        <v>0</v>
      </c>
      <c r="J33" s="814"/>
      <c r="K33" s="794"/>
      <c r="L33" s="814"/>
      <c r="M33" s="794"/>
      <c r="N33" s="814"/>
      <c r="O33" s="794"/>
      <c r="P33" s="814"/>
      <c r="Q33" s="794"/>
      <c r="R33" s="814"/>
      <c r="S33" s="794"/>
    </row>
    <row r="34" spans="1:19">
      <c r="A34" s="815"/>
      <c r="B34" s="229"/>
      <c r="C34" s="817"/>
      <c r="D34" s="905"/>
      <c r="E34" s="812"/>
      <c r="F34" s="822"/>
      <c r="G34" s="315">
        <f t="shared" si="10"/>
        <v>0</v>
      </c>
      <c r="H34" s="814"/>
      <c r="I34" s="793">
        <f t="shared" si="11"/>
        <v>0</v>
      </c>
      <c r="J34" s="814"/>
      <c r="K34" s="794"/>
      <c r="L34" s="814"/>
      <c r="M34" s="794"/>
      <c r="N34" s="814"/>
      <c r="O34" s="794"/>
      <c r="P34" s="814"/>
      <c r="Q34" s="794"/>
      <c r="R34" s="814"/>
      <c r="S34" s="794"/>
    </row>
    <row r="35" spans="1:19">
      <c r="A35" s="815"/>
      <c r="B35" s="229"/>
      <c r="C35" s="817"/>
      <c r="D35" s="905"/>
      <c r="E35" s="812"/>
      <c r="F35" s="822"/>
      <c r="G35" s="315">
        <f t="shared" si="10"/>
        <v>0</v>
      </c>
      <c r="H35" s="814"/>
      <c r="I35" s="793">
        <f t="shared" si="11"/>
        <v>0</v>
      </c>
      <c r="J35" s="814"/>
      <c r="K35" s="794"/>
      <c r="L35" s="814"/>
      <c r="M35" s="794"/>
      <c r="N35" s="814"/>
      <c r="O35" s="794"/>
      <c r="P35" s="814"/>
      <c r="Q35" s="794"/>
      <c r="R35" s="814"/>
      <c r="S35" s="794"/>
    </row>
    <row r="36" spans="1:19">
      <c r="A36" s="815"/>
      <c r="B36" s="229"/>
      <c r="C36" s="817"/>
      <c r="D36" s="905"/>
      <c r="E36" s="812"/>
      <c r="F36" s="822"/>
      <c r="G36" s="315">
        <f t="shared" si="10"/>
        <v>0</v>
      </c>
      <c r="H36" s="814"/>
      <c r="I36" s="793">
        <f t="shared" si="11"/>
        <v>0</v>
      </c>
      <c r="J36" s="814"/>
      <c r="K36" s="794"/>
      <c r="L36" s="814"/>
      <c r="M36" s="794"/>
      <c r="N36" s="814"/>
      <c r="O36" s="794"/>
      <c r="P36" s="814"/>
      <c r="Q36" s="794"/>
      <c r="R36" s="814"/>
      <c r="S36" s="794"/>
    </row>
    <row r="37" spans="1:19">
      <c r="A37" s="815"/>
      <c r="B37" s="229"/>
      <c r="C37" s="817"/>
      <c r="D37" s="905"/>
      <c r="E37" s="812"/>
      <c r="F37" s="822"/>
      <c r="G37" s="315">
        <f t="shared" si="10"/>
        <v>0</v>
      </c>
      <c r="H37" s="814"/>
      <c r="I37" s="793">
        <f t="shared" si="11"/>
        <v>0</v>
      </c>
      <c r="J37" s="814"/>
      <c r="K37" s="794"/>
      <c r="L37" s="814"/>
      <c r="M37" s="794"/>
      <c r="N37" s="814"/>
      <c r="O37" s="794"/>
      <c r="P37" s="814"/>
      <c r="Q37" s="794"/>
      <c r="R37" s="814"/>
      <c r="S37" s="794"/>
    </row>
    <row r="38" spans="1:19">
      <c r="A38" s="815"/>
      <c r="B38" s="229"/>
      <c r="C38" s="817"/>
      <c r="D38" s="905"/>
      <c r="E38" s="812"/>
      <c r="F38" s="822"/>
      <c r="G38" s="315">
        <f t="shared" si="10"/>
        <v>0</v>
      </c>
      <c r="H38" s="814"/>
      <c r="I38" s="793">
        <f t="shared" si="11"/>
        <v>0</v>
      </c>
      <c r="J38" s="814"/>
      <c r="K38" s="794"/>
      <c r="L38" s="814"/>
      <c r="M38" s="794"/>
      <c r="N38" s="814"/>
      <c r="O38" s="794"/>
      <c r="P38" s="814"/>
      <c r="Q38" s="794"/>
      <c r="R38" s="814"/>
      <c r="S38" s="794"/>
    </row>
    <row r="39" spans="1:19">
      <c r="A39" s="815"/>
      <c r="B39" s="229"/>
      <c r="C39" s="817"/>
      <c r="D39" s="905"/>
      <c r="E39" s="812"/>
      <c r="F39" s="822"/>
      <c r="G39" s="315">
        <f t="shared" si="10"/>
        <v>0</v>
      </c>
      <c r="H39" s="814"/>
      <c r="I39" s="793">
        <f t="shared" si="11"/>
        <v>0</v>
      </c>
      <c r="J39" s="814"/>
      <c r="K39" s="794"/>
      <c r="L39" s="814"/>
      <c r="M39" s="794"/>
      <c r="N39" s="814"/>
      <c r="O39" s="794"/>
      <c r="P39" s="814"/>
      <c r="Q39" s="794"/>
      <c r="R39" s="814"/>
      <c r="S39" s="794"/>
    </row>
    <row r="40" spans="1:19">
      <c r="A40" s="815"/>
      <c r="B40" s="229"/>
      <c r="C40" s="817"/>
      <c r="D40" s="905"/>
      <c r="E40" s="812"/>
      <c r="F40" s="822"/>
      <c r="G40" s="315">
        <f t="shared" si="10"/>
        <v>0</v>
      </c>
      <c r="H40" s="814"/>
      <c r="I40" s="793">
        <f t="shared" si="11"/>
        <v>0</v>
      </c>
      <c r="J40" s="814"/>
      <c r="K40" s="794"/>
      <c r="L40" s="814"/>
      <c r="M40" s="794"/>
      <c r="N40" s="814"/>
      <c r="O40" s="794"/>
      <c r="P40" s="814"/>
      <c r="Q40" s="794"/>
      <c r="R40" s="814"/>
      <c r="S40" s="794"/>
    </row>
    <row r="41" spans="1:19">
      <c r="A41" s="815"/>
      <c r="B41" s="229"/>
      <c r="C41" s="817"/>
      <c r="D41" s="905"/>
      <c r="E41" s="812"/>
      <c r="F41" s="822"/>
      <c r="G41" s="315">
        <f t="shared" si="10"/>
        <v>0</v>
      </c>
      <c r="H41" s="814"/>
      <c r="I41" s="793">
        <f t="shared" si="11"/>
        <v>0</v>
      </c>
      <c r="J41" s="814"/>
      <c r="K41" s="794"/>
      <c r="L41" s="814"/>
      <c r="M41" s="794"/>
      <c r="N41" s="814"/>
      <c r="O41" s="794"/>
      <c r="P41" s="814"/>
      <c r="Q41" s="794"/>
      <c r="R41" s="814"/>
      <c r="S41" s="794"/>
    </row>
    <row r="42" spans="1:19">
      <c r="A42" s="815"/>
      <c r="B42" s="229"/>
      <c r="C42" s="817"/>
      <c r="D42" s="905"/>
      <c r="E42" s="812"/>
      <c r="F42" s="822"/>
      <c r="G42" s="315">
        <f t="shared" si="10"/>
        <v>0</v>
      </c>
      <c r="H42" s="814"/>
      <c r="I42" s="793">
        <f t="shared" si="11"/>
        <v>0</v>
      </c>
      <c r="J42" s="814"/>
      <c r="K42" s="794"/>
      <c r="L42" s="814"/>
      <c r="M42" s="794"/>
      <c r="N42" s="814"/>
      <c r="O42" s="794"/>
      <c r="P42" s="814"/>
      <c r="Q42" s="794"/>
      <c r="R42" s="814"/>
      <c r="S42" s="794"/>
    </row>
    <row r="43" spans="1:19">
      <c r="A43" s="815"/>
      <c r="B43" s="229"/>
      <c r="C43" s="817"/>
      <c r="D43" s="905"/>
      <c r="E43" s="812"/>
      <c r="F43" s="822"/>
      <c r="G43" s="315">
        <f t="shared" si="10"/>
        <v>0</v>
      </c>
      <c r="H43" s="814"/>
      <c r="I43" s="793">
        <f t="shared" si="11"/>
        <v>0</v>
      </c>
      <c r="J43" s="814"/>
      <c r="K43" s="794"/>
      <c r="L43" s="814"/>
      <c r="M43" s="794"/>
      <c r="N43" s="814"/>
      <c r="O43" s="794"/>
      <c r="P43" s="814"/>
      <c r="Q43" s="794"/>
      <c r="R43" s="814"/>
      <c r="S43" s="794"/>
    </row>
    <row r="44" spans="1:19">
      <c r="A44" s="815"/>
      <c r="B44" s="229"/>
      <c r="C44" s="817"/>
      <c r="D44" s="905"/>
      <c r="E44" s="812"/>
      <c r="F44" s="822"/>
      <c r="G44" s="315">
        <f t="shared" si="10"/>
        <v>0</v>
      </c>
      <c r="H44" s="814"/>
      <c r="I44" s="793">
        <f t="shared" si="11"/>
        <v>0</v>
      </c>
      <c r="J44" s="814"/>
      <c r="K44" s="794"/>
      <c r="L44" s="814"/>
      <c r="M44" s="794"/>
      <c r="N44" s="814"/>
      <c r="O44" s="794"/>
      <c r="P44" s="814"/>
      <c r="Q44" s="794"/>
      <c r="R44" s="814"/>
      <c r="S44" s="794"/>
    </row>
    <row r="45" spans="1:19">
      <c r="A45" s="815"/>
      <c r="B45" s="229"/>
      <c r="C45" s="817"/>
      <c r="D45" s="905"/>
      <c r="E45" s="812"/>
      <c r="F45" s="822"/>
      <c r="G45" s="315">
        <f t="shared" si="10"/>
        <v>0</v>
      </c>
      <c r="H45" s="814"/>
      <c r="I45" s="793">
        <f t="shared" si="11"/>
        <v>0</v>
      </c>
      <c r="J45" s="814"/>
      <c r="K45" s="794"/>
      <c r="L45" s="814"/>
      <c r="M45" s="794"/>
      <c r="N45" s="814"/>
      <c r="O45" s="794"/>
      <c r="P45" s="814"/>
      <c r="Q45" s="794"/>
      <c r="R45" s="814"/>
      <c r="S45" s="794"/>
    </row>
    <row r="46" spans="1:19">
      <c r="A46" s="815"/>
      <c r="B46" s="229"/>
      <c r="C46" s="817"/>
      <c r="D46" s="905"/>
      <c r="E46" s="812"/>
      <c r="F46" s="822"/>
      <c r="G46" s="315">
        <f t="shared" si="10"/>
        <v>0</v>
      </c>
      <c r="H46" s="814"/>
      <c r="I46" s="793">
        <f t="shared" si="11"/>
        <v>0</v>
      </c>
      <c r="J46" s="814"/>
      <c r="K46" s="794"/>
      <c r="L46" s="814"/>
      <c r="M46" s="794"/>
      <c r="N46" s="814"/>
      <c r="O46" s="794"/>
      <c r="P46" s="814"/>
      <c r="Q46" s="794"/>
      <c r="R46" s="814"/>
      <c r="S46" s="794"/>
    </row>
    <row r="47" spans="1:19">
      <c r="A47" s="815"/>
      <c r="B47" s="229"/>
      <c r="C47" s="817"/>
      <c r="D47" s="905"/>
      <c r="E47" s="812"/>
      <c r="F47" s="822"/>
      <c r="G47" s="315">
        <f t="shared" ref="G47:G49" si="12">ROUND(D47*F47,0)</f>
        <v>0</v>
      </c>
      <c r="H47" s="814"/>
      <c r="I47" s="793">
        <f t="shared" ref="I47:I49" si="13">G47</f>
        <v>0</v>
      </c>
      <c r="J47" s="814"/>
      <c r="K47" s="794"/>
      <c r="L47" s="814"/>
      <c r="M47" s="794"/>
      <c r="N47" s="814"/>
      <c r="O47" s="794"/>
      <c r="P47" s="814"/>
      <c r="Q47" s="794"/>
      <c r="R47" s="814"/>
      <c r="S47" s="794"/>
    </row>
    <row r="48" spans="1:19">
      <c r="A48" s="815"/>
      <c r="B48" s="229"/>
      <c r="C48" s="817"/>
      <c r="D48" s="905"/>
      <c r="E48" s="812"/>
      <c r="F48" s="822"/>
      <c r="G48" s="315">
        <f t="shared" si="12"/>
        <v>0</v>
      </c>
      <c r="H48" s="814"/>
      <c r="I48" s="793">
        <f t="shared" si="13"/>
        <v>0</v>
      </c>
      <c r="J48" s="814"/>
      <c r="K48" s="794"/>
      <c r="L48" s="814"/>
      <c r="M48" s="794"/>
      <c r="N48" s="814"/>
      <c r="O48" s="794"/>
      <c r="P48" s="814"/>
      <c r="Q48" s="794"/>
      <c r="R48" s="814"/>
      <c r="S48" s="794"/>
    </row>
    <row r="49" spans="1:19">
      <c r="A49" s="815"/>
      <c r="B49" s="229"/>
      <c r="C49" s="817"/>
      <c r="D49" s="905"/>
      <c r="E49" s="812"/>
      <c r="F49" s="822"/>
      <c r="G49" s="315">
        <f t="shared" si="12"/>
        <v>0</v>
      </c>
      <c r="H49" s="814"/>
      <c r="I49" s="793">
        <f t="shared" si="13"/>
        <v>0</v>
      </c>
      <c r="J49" s="814"/>
      <c r="K49" s="794"/>
      <c r="L49" s="814"/>
      <c r="M49" s="794"/>
      <c r="N49" s="814"/>
      <c r="O49" s="794"/>
      <c r="P49" s="814"/>
      <c r="Q49" s="794"/>
      <c r="R49" s="814"/>
      <c r="S49" s="794"/>
    </row>
    <row r="50" spans="1:19">
      <c r="A50" s="815"/>
      <c r="B50" s="229"/>
      <c r="C50" s="817"/>
      <c r="D50" s="905"/>
      <c r="E50" s="812"/>
      <c r="F50" s="822"/>
      <c r="G50" s="315">
        <f t="shared" si="10"/>
        <v>0</v>
      </c>
      <c r="H50" s="814"/>
      <c r="I50" s="793">
        <f t="shared" si="11"/>
        <v>0</v>
      </c>
      <c r="J50" s="814"/>
      <c r="K50" s="794"/>
      <c r="L50" s="814"/>
      <c r="M50" s="794"/>
      <c r="N50" s="814"/>
      <c r="O50" s="794"/>
      <c r="P50" s="814"/>
      <c r="Q50" s="794"/>
      <c r="R50" s="814"/>
      <c r="S50" s="794"/>
    </row>
    <row r="51" spans="1:19">
      <c r="A51" s="815"/>
      <c r="B51" s="229"/>
      <c r="C51" s="817"/>
      <c r="D51" s="905"/>
      <c r="E51" s="812"/>
      <c r="F51" s="822"/>
      <c r="G51" s="315">
        <f t="shared" si="10"/>
        <v>0</v>
      </c>
      <c r="H51" s="814"/>
      <c r="I51" s="793">
        <f t="shared" si="11"/>
        <v>0</v>
      </c>
      <c r="J51" s="814"/>
      <c r="K51" s="794"/>
      <c r="L51" s="814"/>
      <c r="M51" s="794"/>
      <c r="N51" s="814"/>
      <c r="O51" s="794"/>
      <c r="P51" s="814"/>
      <c r="Q51" s="794"/>
      <c r="R51" s="814"/>
      <c r="S51" s="794"/>
    </row>
    <row r="52" spans="1:19">
      <c r="A52" s="815"/>
      <c r="B52" s="229"/>
      <c r="C52" s="817"/>
      <c r="D52" s="905"/>
      <c r="E52" s="812"/>
      <c r="F52" s="822"/>
      <c r="G52" s="315">
        <f t="shared" si="10"/>
        <v>0</v>
      </c>
      <c r="H52" s="814"/>
      <c r="I52" s="793">
        <f t="shared" si="11"/>
        <v>0</v>
      </c>
      <c r="J52" s="814"/>
      <c r="K52" s="794"/>
      <c r="L52" s="814"/>
      <c r="M52" s="794"/>
      <c r="N52" s="814"/>
      <c r="O52" s="794"/>
      <c r="P52" s="814"/>
      <c r="Q52" s="794"/>
      <c r="R52" s="814"/>
      <c r="S52" s="794"/>
    </row>
    <row r="53" spans="1:19">
      <c r="A53" s="815"/>
      <c r="B53" s="229"/>
      <c r="C53" s="817"/>
      <c r="D53" s="905"/>
      <c r="E53" s="812"/>
      <c r="F53" s="822"/>
      <c r="G53" s="315">
        <f t="shared" si="10"/>
        <v>0</v>
      </c>
      <c r="H53" s="814"/>
      <c r="I53" s="793">
        <f t="shared" si="11"/>
        <v>0</v>
      </c>
      <c r="J53" s="814"/>
      <c r="K53" s="794"/>
      <c r="L53" s="814"/>
      <c r="M53" s="794"/>
      <c r="N53" s="814"/>
      <c r="O53" s="794"/>
      <c r="P53" s="814"/>
      <c r="Q53" s="794"/>
      <c r="R53" s="814"/>
      <c r="S53" s="794"/>
    </row>
    <row r="54" spans="1:19" ht="15.75" thickBot="1">
      <c r="A54" s="815"/>
      <c r="B54" s="816"/>
      <c r="C54" s="821"/>
      <c r="D54" s="911"/>
      <c r="E54" s="812"/>
      <c r="F54" s="822"/>
      <c r="G54" s="315"/>
      <c r="H54" s="814"/>
      <c r="I54" s="793"/>
      <c r="J54" s="814"/>
      <c r="K54" s="794"/>
      <c r="L54" s="814"/>
      <c r="M54" s="794"/>
      <c r="N54" s="814"/>
      <c r="O54" s="794"/>
      <c r="P54" s="814"/>
      <c r="Q54" s="794"/>
      <c r="R54" s="814"/>
      <c r="S54" s="794"/>
    </row>
    <row r="55" spans="1:19" ht="15.75" thickTop="1">
      <c r="A55" s="15"/>
      <c r="B55" s="218" t="s">
        <v>518</v>
      </c>
      <c r="C55" s="17"/>
      <c r="D55" s="226"/>
      <c r="E55" s="177"/>
      <c r="F55" s="19"/>
      <c r="G55" s="219">
        <f>SUBTOTAL(9,G21:G54)</f>
        <v>1259600</v>
      </c>
      <c r="H55" s="21"/>
      <c r="I55" s="217">
        <f>SUBTOTAL(9,I21:I54)</f>
        <v>1259600</v>
      </c>
      <c r="J55" s="21"/>
      <c r="K55" s="162">
        <f>SUM(K19:K54)</f>
        <v>0</v>
      </c>
      <c r="L55" s="21"/>
      <c r="M55" s="162">
        <f>SUM(M19:M54)</f>
        <v>0</v>
      </c>
      <c r="N55" s="21"/>
      <c r="O55" s="162">
        <f>SUM(O19:O54)</f>
        <v>0</v>
      </c>
      <c r="P55" s="21"/>
      <c r="Q55" s="162">
        <f>SUM(Q19:Q54)</f>
        <v>0</v>
      </c>
      <c r="R55" s="21"/>
      <c r="S55" s="162">
        <f>SUM(S19:S54)</f>
        <v>0</v>
      </c>
    </row>
    <row r="56" spans="1:19">
      <c r="A56" s="826"/>
      <c r="B56" s="827" t="s">
        <v>471</v>
      </c>
      <c r="C56" s="828"/>
      <c r="D56" s="912"/>
      <c r="E56" s="830"/>
      <c r="F56" s="831"/>
      <c r="G56" s="901"/>
      <c r="H56" s="833">
        <v>0</v>
      </c>
      <c r="I56" s="163"/>
      <c r="J56" s="833">
        <v>0</v>
      </c>
      <c r="K56" s="163"/>
      <c r="L56" s="833">
        <v>0</v>
      </c>
      <c r="M56" s="163"/>
      <c r="N56" s="833">
        <v>0</v>
      </c>
      <c r="O56" s="163"/>
      <c r="P56" s="833">
        <v>0</v>
      </c>
      <c r="Q56" s="163"/>
      <c r="R56" s="833">
        <v>0</v>
      </c>
      <c r="S56" s="163"/>
    </row>
    <row r="57" spans="1:19">
      <c r="A57" s="826"/>
      <c r="B57" s="827" t="s">
        <v>472</v>
      </c>
      <c r="C57" s="828"/>
      <c r="D57" s="912"/>
      <c r="E57" s="830"/>
      <c r="F57" s="831"/>
      <c r="G57" s="901">
        <f>F56*G55</f>
        <v>0</v>
      </c>
      <c r="H57" s="836"/>
      <c r="I57" s="838">
        <f>H56*I55</f>
        <v>0</v>
      </c>
      <c r="J57" s="836"/>
      <c r="K57" s="838">
        <f>J56*K55</f>
        <v>0</v>
      </c>
      <c r="L57" s="836"/>
      <c r="M57" s="838">
        <f>L56*M55</f>
        <v>0</v>
      </c>
      <c r="N57" s="836"/>
      <c r="O57" s="838">
        <f>N56*O55</f>
        <v>0</v>
      </c>
      <c r="P57" s="836"/>
      <c r="Q57" s="838">
        <f>P56*Q55</f>
        <v>0</v>
      </c>
      <c r="R57" s="836"/>
      <c r="S57" s="838">
        <f>R56*S55</f>
        <v>0</v>
      </c>
    </row>
    <row r="58" spans="1:19">
      <c r="A58" s="826"/>
      <c r="B58" s="827"/>
      <c r="C58" s="828"/>
      <c r="D58" s="912"/>
      <c r="E58" s="830"/>
      <c r="F58" s="831"/>
      <c r="G58" s="901"/>
      <c r="H58" s="836"/>
      <c r="I58" s="838"/>
      <c r="J58" s="836"/>
      <c r="K58" s="838"/>
      <c r="L58" s="836"/>
      <c r="M58" s="838"/>
      <c r="N58" s="836"/>
      <c r="O58" s="838"/>
      <c r="P58" s="836"/>
      <c r="Q58" s="838"/>
      <c r="R58" s="836"/>
      <c r="S58" s="838"/>
    </row>
    <row r="59" spans="1:19">
      <c r="A59" s="826"/>
      <c r="B59" s="827" t="s">
        <v>473</v>
      </c>
      <c r="C59" s="828"/>
      <c r="D59" s="912"/>
      <c r="E59" s="830"/>
      <c r="F59" s="831"/>
      <c r="G59" s="901">
        <f>SUM(G55:G57)</f>
        <v>1259600</v>
      </c>
      <c r="H59" s="839"/>
      <c r="I59" s="838">
        <f>SUM(I55:I57)</f>
        <v>1259600</v>
      </c>
      <c r="J59" s="839"/>
      <c r="K59" s="838">
        <f>SUM(K55:K57)</f>
        <v>0</v>
      </c>
      <c r="L59" s="839"/>
      <c r="M59" s="838">
        <f>SUM(M55:M57)</f>
        <v>0</v>
      </c>
      <c r="N59" s="839"/>
      <c r="O59" s="838">
        <f>SUM(O55:O57)</f>
        <v>0</v>
      </c>
      <c r="P59" s="839"/>
      <c r="Q59" s="838">
        <f>SUM(Q55:Q57)</f>
        <v>0</v>
      </c>
      <c r="R59" s="839"/>
      <c r="S59" s="838">
        <f>SUM(S55:S57)</f>
        <v>0</v>
      </c>
    </row>
    <row r="60" spans="1:19">
      <c r="A60" s="826"/>
      <c r="B60" s="840" t="s">
        <v>474</v>
      </c>
      <c r="C60" s="828"/>
      <c r="D60" s="912"/>
      <c r="E60" s="830"/>
      <c r="F60" s="840"/>
      <c r="G60" s="902">
        <f>G59/'Area Calculations'!$G$5</f>
        <v>3.2353598425985619</v>
      </c>
      <c r="H60" s="842"/>
      <c r="I60" s="844">
        <f>I59/'Area Calculations'!$G$5</f>
        <v>3.2353598425985619</v>
      </c>
      <c r="J60" s="842"/>
      <c r="K60" s="844">
        <f>K59/'Area Calculations'!$G$5</f>
        <v>0</v>
      </c>
      <c r="L60" s="842"/>
      <c r="M60" s="844">
        <f>M59/'Area Calculations'!$G$5</f>
        <v>0</v>
      </c>
      <c r="N60" s="842"/>
      <c r="O60" s="844">
        <f>O59/'Area Calculations'!$G$5</f>
        <v>0</v>
      </c>
      <c r="P60" s="842"/>
      <c r="Q60" s="844">
        <f>Q59/'Area Calculations'!$G$5</f>
        <v>0</v>
      </c>
      <c r="R60" s="845"/>
      <c r="S60" s="844">
        <f>S59/'Area Calculations'!$G$5</f>
        <v>0</v>
      </c>
    </row>
    <row r="61" spans="1:19" ht="15.75" thickBot="1">
      <c r="A61" s="826"/>
      <c r="B61" s="846"/>
      <c r="C61" s="828"/>
      <c r="D61" s="912"/>
      <c r="E61" s="830"/>
      <c r="F61" s="831"/>
      <c r="G61" s="464"/>
      <c r="H61" s="847"/>
      <c r="I61" s="849"/>
      <c r="J61" s="847"/>
      <c r="K61" s="847"/>
      <c r="L61" s="847"/>
      <c r="M61" s="847"/>
      <c r="N61" s="847"/>
      <c r="O61" s="847"/>
      <c r="P61" s="847"/>
      <c r="Q61" s="847"/>
      <c r="R61" s="847"/>
      <c r="S61" s="847"/>
    </row>
    <row r="62" spans="1:19" ht="16.5" thickTop="1" thickBot="1">
      <c r="A62" s="691" t="s">
        <v>475</v>
      </c>
      <c r="B62" s="692"/>
      <c r="C62" s="14"/>
      <c r="D62" s="227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 spans="1:19" ht="15.75" thickTop="1">
      <c r="A63" s="795"/>
      <c r="B63" s="850"/>
      <c r="C63" s="796"/>
      <c r="D63" s="797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</row>
    <row r="64" spans="1:19">
      <c r="A64" s="795"/>
      <c r="B64" s="850"/>
      <c r="C64" s="796"/>
      <c r="D64" s="797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</row>
    <row r="65" spans="1:34" ht="15.75" thickBot="1">
      <c r="A65" s="795"/>
      <c r="B65" s="850"/>
      <c r="C65" s="796"/>
      <c r="D65" s="797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476</v>
      </c>
      <c r="B66" s="692"/>
      <c r="C66" s="14"/>
      <c r="D66" s="227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850"/>
      <c r="C67" s="796"/>
      <c r="D67" s="797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795"/>
      <c r="B68" s="850"/>
      <c r="C68" s="796"/>
      <c r="D68" s="797"/>
      <c r="E68" s="852"/>
      <c r="F68" s="796"/>
      <c r="G68" s="798"/>
      <c r="H68" s="799"/>
      <c r="I68" s="799"/>
      <c r="J68" s="799"/>
      <c r="K68" s="799"/>
      <c r="L68" s="799"/>
      <c r="M68" s="799"/>
      <c r="N68" s="799"/>
      <c r="O68" s="799"/>
      <c r="P68" s="799"/>
      <c r="Q68" s="799"/>
      <c r="R68" s="799"/>
      <c r="S68" s="799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5.75" thickBot="1">
      <c r="A69" s="795"/>
      <c r="B69" s="850"/>
      <c r="C69" s="796"/>
      <c r="D69" s="797"/>
      <c r="E69" s="852"/>
      <c r="F69" s="796"/>
      <c r="G69" s="798"/>
      <c r="H69" s="799"/>
      <c r="I69" s="799"/>
      <c r="J69" s="799"/>
      <c r="K69" s="799"/>
      <c r="L69" s="799"/>
      <c r="M69" s="799"/>
      <c r="N69" s="799"/>
      <c r="O69" s="799"/>
      <c r="P69" s="799"/>
      <c r="Q69" s="799"/>
      <c r="R69" s="799"/>
      <c r="S69" s="799"/>
    </row>
    <row r="70" spans="1:34" s="2" customFormat="1" ht="16.5" thickTop="1" thickBot="1">
      <c r="A70" s="691" t="s">
        <v>477</v>
      </c>
      <c r="B70" s="692"/>
      <c r="C70" s="14"/>
      <c r="D70" s="227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s="2" customFormat="1" ht="15.75" thickTop="1">
      <c r="A71" s="795"/>
      <c r="B71" s="850"/>
      <c r="C71" s="796"/>
      <c r="D71" s="797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s="2" customFormat="1">
      <c r="A72" s="855"/>
      <c r="B72" s="850"/>
      <c r="C72" s="817"/>
      <c r="D72" s="905"/>
      <c r="E72" s="812"/>
      <c r="F72" s="817"/>
      <c r="G72" s="903"/>
      <c r="H72" s="857"/>
      <c r="I72" s="857"/>
      <c r="J72" s="857"/>
      <c r="K72" s="857"/>
      <c r="L72" s="857"/>
      <c r="M72" s="857"/>
      <c r="N72" s="857"/>
      <c r="O72" s="857"/>
      <c r="P72" s="857"/>
      <c r="Q72" s="857"/>
      <c r="R72" s="857"/>
      <c r="S72" s="857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s="2" customFormat="1" ht="15.75" thickBot="1">
      <c r="A73" s="859"/>
      <c r="B73" s="860"/>
      <c r="C73" s="817"/>
      <c r="D73" s="905"/>
      <c r="E73" s="812"/>
      <c r="F73" s="817"/>
      <c r="G73" s="903"/>
      <c r="H73" s="861"/>
      <c r="I73" s="861"/>
      <c r="J73" s="861"/>
      <c r="K73" s="861"/>
      <c r="L73" s="861"/>
      <c r="M73" s="861"/>
      <c r="N73" s="861"/>
      <c r="O73" s="861"/>
      <c r="P73" s="861"/>
      <c r="Q73" s="861"/>
      <c r="R73" s="861"/>
      <c r="S73" s="861"/>
    </row>
    <row r="74" spans="1:34" s="2" customFormat="1" ht="16.5" thickTop="1" thickBot="1">
      <c r="A74" s="691" t="s">
        <v>478</v>
      </c>
      <c r="B74" s="692"/>
      <c r="C74" s="14"/>
      <c r="D74" s="227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5.75" thickTop="1">
      <c r="A75" s="800"/>
      <c r="B75" s="801"/>
      <c r="C75" s="796"/>
      <c r="D75" s="797"/>
      <c r="E75" s="852"/>
      <c r="F75" s="796"/>
      <c r="G75" s="798"/>
      <c r="H75" s="799"/>
      <c r="I75" s="799"/>
      <c r="J75" s="799"/>
      <c r="K75" s="799"/>
      <c r="L75" s="799"/>
      <c r="M75" s="799"/>
      <c r="N75" s="799"/>
      <c r="O75" s="799"/>
      <c r="P75" s="799"/>
      <c r="Q75" s="799"/>
      <c r="R75" s="799"/>
      <c r="S75" s="799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>
      <c r="A76" s="859"/>
      <c r="B76" s="860"/>
      <c r="C76" s="817"/>
      <c r="D76" s="905"/>
      <c r="E76" s="812"/>
      <c r="F76" s="817"/>
      <c r="G76" s="903"/>
      <c r="H76" s="863"/>
      <c r="I76" s="863"/>
      <c r="J76" s="863"/>
      <c r="K76" s="863"/>
      <c r="L76" s="863"/>
      <c r="M76" s="863"/>
      <c r="N76" s="863"/>
      <c r="O76" s="863"/>
      <c r="P76" s="863"/>
      <c r="Q76" s="863"/>
      <c r="R76" s="863"/>
      <c r="S76" s="86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5.75" thickBot="1">
      <c r="A77" s="859"/>
      <c r="B77" s="860"/>
      <c r="C77" s="817"/>
      <c r="D77" s="905"/>
      <c r="E77" s="812"/>
      <c r="F77" s="817"/>
      <c r="G77" s="903"/>
      <c r="H77" s="863"/>
      <c r="I77" s="863"/>
      <c r="J77" s="863"/>
      <c r="K77" s="863"/>
      <c r="L77" s="863"/>
      <c r="M77" s="863"/>
      <c r="N77" s="863"/>
      <c r="O77" s="863"/>
      <c r="P77" s="863"/>
      <c r="Q77" s="863"/>
      <c r="R77" s="863"/>
      <c r="S77" s="86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6.5" thickTop="1" thickBot="1">
      <c r="A78" s="691" t="s">
        <v>479</v>
      </c>
      <c r="B78" s="692"/>
      <c r="C78" s="14"/>
      <c r="D78" s="227"/>
      <c r="E78" s="178"/>
      <c r="F78" s="14"/>
      <c r="G78" s="220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34" ht="15.75" thickTop="1">
      <c r="A79" s="855"/>
      <c r="B79" s="850" t="s">
        <v>480</v>
      </c>
      <c r="C79" s="817"/>
      <c r="D79" s="905"/>
      <c r="E79" s="812"/>
      <c r="F79" s="817"/>
      <c r="G79" s="903"/>
      <c r="H79" s="863"/>
      <c r="I79" s="863"/>
      <c r="J79" s="863"/>
      <c r="K79" s="863"/>
      <c r="L79" s="863"/>
      <c r="M79" s="863"/>
      <c r="N79" s="863"/>
      <c r="O79" s="863"/>
      <c r="P79" s="863"/>
      <c r="Q79" s="863"/>
      <c r="R79" s="863"/>
      <c r="S79" s="863"/>
    </row>
    <row r="80" spans="1:34">
      <c r="A80" s="855"/>
      <c r="B80" s="850" t="s">
        <v>481</v>
      </c>
      <c r="C80" s="817"/>
      <c r="D80" s="905"/>
      <c r="E80" s="812"/>
      <c r="F80" s="817"/>
      <c r="G80" s="903"/>
      <c r="H80" s="863"/>
      <c r="I80" s="863"/>
      <c r="J80" s="863"/>
      <c r="K80" s="863"/>
      <c r="L80" s="863"/>
      <c r="M80" s="863"/>
      <c r="N80" s="863"/>
      <c r="O80" s="863"/>
      <c r="P80" s="863"/>
      <c r="Q80" s="863"/>
      <c r="R80" s="863"/>
      <c r="S80" s="863"/>
    </row>
    <row r="81" spans="1:19">
      <c r="A81" s="855"/>
      <c r="B81" s="850" t="s">
        <v>482</v>
      </c>
      <c r="C81" s="817"/>
      <c r="D81" s="905"/>
      <c r="E81" s="812"/>
      <c r="F81" s="817"/>
      <c r="G81" s="903"/>
      <c r="H81" s="863"/>
      <c r="I81" s="863"/>
      <c r="J81" s="863"/>
      <c r="K81" s="863"/>
      <c r="L81" s="863"/>
      <c r="M81" s="863"/>
      <c r="N81" s="863"/>
      <c r="O81" s="863"/>
      <c r="P81" s="863"/>
      <c r="Q81" s="863"/>
      <c r="R81" s="863"/>
      <c r="S81" s="863"/>
    </row>
    <row r="82" spans="1:19">
      <c r="A82" s="855"/>
      <c r="B82" s="850" t="s">
        <v>483</v>
      </c>
      <c r="C82" s="817"/>
      <c r="D82" s="905"/>
      <c r="E82" s="812"/>
      <c r="F82" s="817"/>
      <c r="G82" s="903"/>
      <c r="H82" s="863"/>
      <c r="I82" s="863"/>
      <c r="J82" s="863"/>
      <c r="K82" s="863"/>
      <c r="L82" s="863"/>
      <c r="M82" s="863"/>
      <c r="N82" s="863"/>
      <c r="O82" s="863"/>
      <c r="P82" s="863"/>
      <c r="Q82" s="863"/>
      <c r="R82" s="863"/>
      <c r="S82" s="863"/>
    </row>
    <row r="83" spans="1:19" ht="15.75" thickBot="1">
      <c r="A83" s="23"/>
      <c r="B83" s="7"/>
      <c r="C83" s="8"/>
      <c r="D83" s="225"/>
      <c r="E83" s="172"/>
      <c r="F83" s="8"/>
      <c r="G83" s="221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</row>
    <row r="84" spans="1:19" ht="16.5" thickTop="1" thickBot="1">
      <c r="A84" s="9" t="s">
        <v>484</v>
      </c>
      <c r="B84" s="10"/>
      <c r="C84" s="14"/>
      <c r="D84" s="227"/>
      <c r="E84" s="178"/>
      <c r="F84" s="14"/>
      <c r="G84" s="220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 spans="1:19" ht="15.75" thickTop="1">
      <c r="A85" s="795"/>
      <c r="B85" s="802" t="s">
        <v>485</v>
      </c>
      <c r="C85" s="796"/>
      <c r="D85" s="797"/>
      <c r="E85" s="852"/>
      <c r="F85" s="796"/>
      <c r="G85" s="798"/>
      <c r="H85" s="803"/>
      <c r="I85" s="803"/>
      <c r="J85" s="803"/>
      <c r="K85" s="803"/>
      <c r="L85" s="803"/>
      <c r="M85" s="803"/>
      <c r="N85" s="803"/>
      <c r="O85" s="803"/>
      <c r="P85" s="803"/>
      <c r="Q85" s="803"/>
      <c r="R85" s="803"/>
      <c r="S85" s="803"/>
    </row>
    <row r="86" spans="1:19">
      <c r="A86" s="855"/>
      <c r="B86" s="850" t="s">
        <v>486</v>
      </c>
      <c r="C86" s="817"/>
      <c r="D86" s="905"/>
      <c r="E86" s="812"/>
      <c r="F86" s="817"/>
      <c r="G86" s="903"/>
      <c r="H86" s="864"/>
      <c r="I86" s="864"/>
      <c r="J86" s="864"/>
      <c r="K86" s="864"/>
      <c r="L86" s="864"/>
      <c r="M86" s="864"/>
      <c r="N86" s="864"/>
      <c r="O86" s="864"/>
      <c r="P86" s="864"/>
      <c r="Q86" s="864"/>
      <c r="R86" s="864"/>
      <c r="S86" s="864"/>
    </row>
    <row r="87" spans="1:19" ht="15.75" thickBot="1">
      <c r="A87" s="865"/>
      <c r="B87" s="866" t="s">
        <v>487</v>
      </c>
      <c r="C87" s="867"/>
      <c r="D87" s="915"/>
      <c r="E87" s="869"/>
      <c r="F87" s="867"/>
      <c r="G87" s="904"/>
      <c r="H87" s="871"/>
      <c r="I87" s="871"/>
      <c r="J87" s="871"/>
      <c r="K87" s="871"/>
      <c r="L87" s="871"/>
      <c r="M87" s="871"/>
      <c r="N87" s="871"/>
      <c r="O87" s="871"/>
      <c r="P87" s="871"/>
      <c r="Q87" s="871"/>
      <c r="R87" s="871"/>
      <c r="S87" s="871"/>
    </row>
    <row r="88" spans="1:19" ht="16.5" thickTop="1" thickBot="1"/>
    <row r="89" spans="1:19" ht="16.5" thickTop="1" thickBot="1">
      <c r="A89" s="42" t="s">
        <v>488</v>
      </c>
      <c r="B89" s="44"/>
    </row>
    <row r="90" spans="1:19" ht="15.75" thickTop="1">
      <c r="A90" s="43" t="s">
        <v>444</v>
      </c>
      <c r="B90" s="873"/>
    </row>
    <row r="91" spans="1:19">
      <c r="A91" s="874" t="s">
        <v>446</v>
      </c>
      <c r="B91" s="873"/>
    </row>
    <row r="92" spans="1:19">
      <c r="A92" s="875" t="s">
        <v>448</v>
      </c>
      <c r="B92" s="876"/>
    </row>
    <row r="93" spans="1:19">
      <c r="A93" s="875" t="s">
        <v>450</v>
      </c>
      <c r="B93" s="877"/>
    </row>
    <row r="94" spans="1:19" ht="15.75" thickBot="1">
      <c r="A94" s="878" t="s">
        <v>489</v>
      </c>
      <c r="B94" s="879">
        <f>$I$59</f>
        <v>1259600</v>
      </c>
    </row>
    <row r="95" spans="1:19" ht="15.75" thickTop="1"/>
    <row r="96" spans="1:19">
      <c r="A96" s="45"/>
      <c r="B96" s="1" t="s">
        <v>490</v>
      </c>
    </row>
    <row r="97" spans="1:2">
      <c r="A97" s="46"/>
      <c r="B97" s="1" t="s">
        <v>491</v>
      </c>
    </row>
  </sheetData>
  <mergeCells count="35">
    <mergeCell ref="A62:B62"/>
    <mergeCell ref="A66:B66"/>
    <mergeCell ref="A70:B70"/>
    <mergeCell ref="A74:B74"/>
    <mergeCell ref="A78:B78"/>
    <mergeCell ref="R6:S6"/>
    <mergeCell ref="H5:I5"/>
    <mergeCell ref="J5:K5"/>
    <mergeCell ref="L5:M5"/>
    <mergeCell ref="N5:O5"/>
    <mergeCell ref="P5:Q5"/>
    <mergeCell ref="R5:S5"/>
    <mergeCell ref="H6:I6"/>
    <mergeCell ref="J6:K6"/>
    <mergeCell ref="L6:M6"/>
    <mergeCell ref="N6:O6"/>
    <mergeCell ref="P6:Q6"/>
    <mergeCell ref="R8:S8"/>
    <mergeCell ref="H7:I7"/>
    <mergeCell ref="J7:K7"/>
    <mergeCell ref="L7:M7"/>
    <mergeCell ref="N7:O7"/>
    <mergeCell ref="P7:Q7"/>
    <mergeCell ref="R7:S7"/>
    <mergeCell ref="H8:I8"/>
    <mergeCell ref="J8:K8"/>
    <mergeCell ref="L8:M8"/>
    <mergeCell ref="N8:O8"/>
    <mergeCell ref="P8:Q8"/>
    <mergeCell ref="R9:S9"/>
    <mergeCell ref="H9:I9"/>
    <mergeCell ref="J9:K9"/>
    <mergeCell ref="L9:M9"/>
    <mergeCell ref="N9:O9"/>
    <mergeCell ref="P9:Q9"/>
  </mergeCells>
  <conditionalFormatting sqref="H11:H18 J11:J18 L11:L18 N11:N18 P11:P18 R11:R18 H20:H54 J20:J54 L20:L54 N20:N54 P20:P54 R20:R54">
    <cfRule type="cellIs" dxfId="139" priority="3" operator="equal">
      <formula>"X"</formula>
    </cfRule>
    <cfRule type="cellIs" dxfId="138" priority="4" operator="equal">
      <formula>"I"</formula>
    </cfRule>
  </conditionalFormatting>
  <hyperlinks>
    <hyperlink ref="B4" location="'Cost Summary'!A1" display="BACK TO SUMMARY SHEET" xr:uid="{E749A671-46B0-48A2-B8A8-ABE8318F219E}"/>
  </hyperlinks>
  <pageMargins left="0.2" right="0.2" top="0.5" bottom="0.75" header="0.3" footer="0.3"/>
  <pageSetup paperSize="3" scale="7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C146-1E3E-4800-AE0D-E20B538B612B}">
  <sheetPr>
    <tabColor rgb="FFFFFF00"/>
    <pageSetUpPr fitToPage="1"/>
  </sheetPr>
  <dimension ref="A1:AH93"/>
  <sheetViews>
    <sheetView zoomScale="90" zoomScaleNormal="90" workbookViewId="0">
      <pane ySplit="10" topLeftCell="M30" activePane="bottomLeft" state="frozen"/>
      <selection pane="bottomLeft" activeCell="M30" sqref="M30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223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224"/>
      <c r="E5" s="171"/>
      <c r="F5" s="5"/>
      <c r="G5" s="6" t="s">
        <v>444</v>
      </c>
      <c r="H5" s="673"/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880" t="s">
        <v>445</v>
      </c>
      <c r="B6" s="850" t="s">
        <v>121</v>
      </c>
      <c r="C6" s="817"/>
      <c r="D6" s="905"/>
      <c r="E6" s="812"/>
      <c r="F6" s="817"/>
      <c r="G6" s="462" t="s">
        <v>446</v>
      </c>
      <c r="H6" s="882"/>
      <c r="I6" s="676"/>
      <c r="J6" s="882"/>
      <c r="K6" s="676"/>
      <c r="L6" s="882"/>
      <c r="M6" s="676"/>
      <c r="N6" s="882"/>
      <c r="O6" s="676"/>
      <c r="P6" s="882"/>
      <c r="Q6" s="676"/>
      <c r="R6" s="882"/>
      <c r="S6" s="676"/>
    </row>
    <row r="7" spans="1:19">
      <c r="A7" s="880" t="s">
        <v>447</v>
      </c>
      <c r="B7" s="883" t="s">
        <v>536</v>
      </c>
      <c r="C7" s="817"/>
      <c r="D7" s="905"/>
      <c r="E7" s="812"/>
      <c r="F7" s="817"/>
      <c r="G7" s="884" t="s">
        <v>448</v>
      </c>
      <c r="H7" s="886"/>
      <c r="I7" s="678"/>
      <c r="J7" s="886"/>
      <c r="K7" s="678"/>
      <c r="L7" s="886"/>
      <c r="M7" s="678"/>
      <c r="N7" s="886"/>
      <c r="O7" s="678"/>
      <c r="P7" s="886"/>
      <c r="Q7" s="678"/>
      <c r="R7" s="886"/>
      <c r="S7" s="678"/>
    </row>
    <row r="8" spans="1:19">
      <c r="A8" s="880" t="s">
        <v>449</v>
      </c>
      <c r="B8" s="887"/>
      <c r="C8" s="817"/>
      <c r="D8" s="905"/>
      <c r="E8" s="812"/>
      <c r="F8" s="817"/>
      <c r="G8" s="884" t="s">
        <v>450</v>
      </c>
      <c r="H8" s="889"/>
      <c r="I8" s="680"/>
      <c r="J8" s="889"/>
      <c r="K8" s="680"/>
      <c r="L8" s="889"/>
      <c r="M8" s="680"/>
      <c r="N8" s="889"/>
      <c r="O8" s="680"/>
      <c r="P8" s="889"/>
      <c r="Q8" s="680"/>
      <c r="R8" s="889"/>
      <c r="S8" s="680"/>
    </row>
    <row r="9" spans="1:19" ht="15.75" thickBot="1">
      <c r="A9" s="890"/>
      <c r="B9" s="866"/>
      <c r="C9" s="8"/>
      <c r="D9" s="225"/>
      <c r="E9" s="172"/>
      <c r="F9" s="867"/>
      <c r="G9" s="891" t="s">
        <v>451</v>
      </c>
      <c r="H9" s="894">
        <f>I$55</f>
        <v>698400</v>
      </c>
      <c r="I9" s="895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905"/>
      <c r="E11" s="812"/>
      <c r="F11" s="817"/>
      <c r="G11" s="60"/>
      <c r="H11" s="814"/>
      <c r="I11" s="782"/>
      <c r="J11" s="814"/>
      <c r="K11" s="183"/>
      <c r="L11" s="814"/>
      <c r="M11" s="783"/>
      <c r="N11" s="814"/>
      <c r="O11" s="783"/>
      <c r="P11" s="814"/>
      <c r="Q11" s="783"/>
      <c r="R11" s="814"/>
      <c r="S11" s="783"/>
    </row>
    <row r="12" spans="1:19">
      <c r="A12" s="784"/>
      <c r="B12" s="785" t="s">
        <v>461</v>
      </c>
      <c r="C12" s="817"/>
      <c r="D12" s="905"/>
      <c r="E12" s="812"/>
      <c r="F12" s="817"/>
      <c r="G12" s="60"/>
      <c r="H12" s="814"/>
      <c r="I12" s="782"/>
      <c r="J12" s="814"/>
      <c r="K12" s="783"/>
      <c r="L12" s="814"/>
      <c r="M12" s="783"/>
      <c r="N12" s="814"/>
      <c r="O12" s="783"/>
      <c r="P12" s="814"/>
      <c r="Q12" s="783"/>
      <c r="R12" s="814"/>
      <c r="S12" s="783"/>
    </row>
    <row r="13" spans="1:19">
      <c r="A13" s="815"/>
      <c r="B13" s="786" t="s">
        <v>462</v>
      </c>
      <c r="C13" s="817"/>
      <c r="D13" s="905"/>
      <c r="E13" s="812"/>
      <c r="F13" s="817"/>
      <c r="G13" s="60"/>
      <c r="H13" s="814"/>
      <c r="I13" s="782"/>
      <c r="J13" s="814"/>
      <c r="K13" s="783"/>
      <c r="L13" s="814"/>
      <c r="M13" s="783"/>
      <c r="N13" s="814"/>
      <c r="O13" s="783"/>
      <c r="P13" s="814"/>
      <c r="Q13" s="783"/>
      <c r="R13" s="814"/>
      <c r="S13" s="783"/>
    </row>
    <row r="14" spans="1:19">
      <c r="A14" s="815"/>
      <c r="B14" s="787" t="s">
        <v>463</v>
      </c>
      <c r="C14" s="817"/>
      <c r="D14" s="905"/>
      <c r="E14" s="812"/>
      <c r="F14" s="817"/>
      <c r="G14" s="60"/>
      <c r="H14" s="814"/>
      <c r="I14" s="782"/>
      <c r="J14" s="814"/>
      <c r="K14" s="783"/>
      <c r="L14" s="814"/>
      <c r="M14" s="783"/>
      <c r="N14" s="814"/>
      <c r="O14" s="783"/>
      <c r="P14" s="814"/>
      <c r="Q14" s="783"/>
      <c r="R14" s="814"/>
      <c r="S14" s="783"/>
    </row>
    <row r="15" spans="1:19">
      <c r="A15" s="815"/>
      <c r="B15" s="787" t="s">
        <v>464</v>
      </c>
      <c r="C15" s="817"/>
      <c r="D15" s="905"/>
      <c r="E15" s="812"/>
      <c r="F15" s="817"/>
      <c r="G15" s="60"/>
      <c r="H15" s="814"/>
      <c r="I15" s="782"/>
      <c r="J15" s="814"/>
      <c r="K15" s="782"/>
      <c r="L15" s="814"/>
      <c r="M15" s="782"/>
      <c r="N15" s="814"/>
      <c r="O15" s="782"/>
      <c r="P15" s="814"/>
      <c r="Q15" s="782"/>
      <c r="R15" s="814"/>
      <c r="S15" s="782"/>
    </row>
    <row r="16" spans="1:19">
      <c r="A16" s="815"/>
      <c r="B16" s="787" t="s">
        <v>465</v>
      </c>
      <c r="C16" s="817"/>
      <c r="D16" s="905"/>
      <c r="E16" s="812"/>
      <c r="F16" s="817"/>
      <c r="G16" s="60"/>
      <c r="H16" s="814"/>
      <c r="I16" s="782"/>
      <c r="J16" s="814"/>
      <c r="K16" s="783"/>
      <c r="L16" s="814"/>
      <c r="M16" s="783"/>
      <c r="N16" s="814"/>
      <c r="O16" s="783"/>
      <c r="P16" s="814"/>
      <c r="Q16" s="783"/>
      <c r="R16" s="814"/>
      <c r="S16" s="783"/>
    </row>
    <row r="17" spans="1:19">
      <c r="A17" s="815"/>
      <c r="B17" s="787" t="s">
        <v>466</v>
      </c>
      <c r="C17" s="817"/>
      <c r="D17" s="905"/>
      <c r="E17" s="812"/>
      <c r="F17" s="817"/>
      <c r="G17" s="60"/>
      <c r="H17" s="814"/>
      <c r="I17" s="782"/>
      <c r="J17" s="814"/>
      <c r="K17" s="783"/>
      <c r="L17" s="814"/>
      <c r="M17" s="783"/>
      <c r="N17" s="814"/>
      <c r="O17" s="783"/>
      <c r="P17" s="814"/>
      <c r="Q17" s="783"/>
      <c r="R17" s="814"/>
      <c r="S17" s="783"/>
    </row>
    <row r="18" spans="1:19">
      <c r="A18" s="815"/>
      <c r="B18" s="788" t="s">
        <v>467</v>
      </c>
      <c r="C18" s="817"/>
      <c r="D18" s="905"/>
      <c r="E18" s="812"/>
      <c r="F18" s="817"/>
      <c r="G18" s="60"/>
      <c r="H18" s="814"/>
      <c r="I18" s="782"/>
      <c r="J18" s="814"/>
      <c r="K18" s="783"/>
      <c r="L18" s="814"/>
      <c r="M18" s="783"/>
      <c r="N18" s="814"/>
      <c r="O18" s="783"/>
      <c r="P18" s="814"/>
      <c r="Q18" s="783"/>
      <c r="R18" s="814"/>
      <c r="S18" s="783"/>
    </row>
    <row r="19" spans="1:19">
      <c r="A19" s="815"/>
      <c r="B19" s="789" t="s">
        <v>468</v>
      </c>
      <c r="C19" s="896"/>
      <c r="D19" s="909"/>
      <c r="E19" s="898"/>
      <c r="F19" s="899"/>
      <c r="G19" s="463"/>
      <c r="H19" s="900"/>
      <c r="I19" s="790"/>
      <c r="J19" s="900"/>
      <c r="K19" s="791"/>
      <c r="L19" s="900"/>
      <c r="M19" s="791"/>
      <c r="N19" s="900"/>
      <c r="O19" s="791"/>
      <c r="P19" s="900"/>
      <c r="Q19" s="791"/>
      <c r="R19" s="900"/>
      <c r="S19" s="791"/>
    </row>
    <row r="20" spans="1:19">
      <c r="A20" s="815"/>
      <c r="B20" s="792"/>
      <c r="C20" s="817"/>
      <c r="D20" s="905"/>
      <c r="E20" s="812"/>
      <c r="F20" s="813"/>
      <c r="G20" s="60"/>
      <c r="H20" s="814"/>
      <c r="I20" s="793"/>
      <c r="J20" s="814"/>
      <c r="K20" s="794"/>
      <c r="L20" s="814"/>
      <c r="M20" s="794"/>
      <c r="N20" s="814"/>
      <c r="O20" s="794"/>
      <c r="P20" s="814"/>
      <c r="Q20" s="794"/>
      <c r="R20" s="814"/>
      <c r="S20" s="794"/>
    </row>
    <row r="21" spans="1:19">
      <c r="A21" s="815"/>
      <c r="B21" s="229" t="s">
        <v>537</v>
      </c>
      <c r="C21" s="817"/>
      <c r="D21" s="905">
        <v>875</v>
      </c>
      <c r="E21" s="812" t="s">
        <v>329</v>
      </c>
      <c r="F21" s="822">
        <v>450</v>
      </c>
      <c r="G21" s="315">
        <f t="shared" ref="G21:G49" si="5">ROUND(D21*F21,0)</f>
        <v>393750</v>
      </c>
      <c r="H21" s="814"/>
      <c r="I21" s="793">
        <f>G21</f>
        <v>393750</v>
      </c>
      <c r="J21" s="814"/>
      <c r="K21" s="794"/>
      <c r="L21" s="814"/>
      <c r="M21" s="794"/>
      <c r="N21" s="814"/>
      <c r="O21" s="794"/>
      <c r="P21" s="814"/>
      <c r="Q21" s="794"/>
      <c r="R21" s="814"/>
      <c r="S21" s="794"/>
    </row>
    <row r="22" spans="1:19">
      <c r="A22" s="815"/>
      <c r="B22" s="229" t="s">
        <v>538</v>
      </c>
      <c r="C22" s="817"/>
      <c r="D22" s="905">
        <v>677</v>
      </c>
      <c r="E22" s="812" t="s">
        <v>329</v>
      </c>
      <c r="F22" s="822">
        <v>450</v>
      </c>
      <c r="G22" s="315">
        <f t="shared" si="5"/>
        <v>304650</v>
      </c>
      <c r="H22" s="814"/>
      <c r="I22" s="793">
        <f t="shared" ref="I22:I49" si="6">G22</f>
        <v>304650</v>
      </c>
      <c r="J22" s="814"/>
      <c r="K22" s="794"/>
      <c r="L22" s="814"/>
      <c r="M22" s="794"/>
      <c r="N22" s="814"/>
      <c r="O22" s="794"/>
      <c r="P22" s="814"/>
      <c r="Q22" s="794"/>
      <c r="R22" s="814"/>
      <c r="S22" s="794"/>
    </row>
    <row r="23" spans="1:19">
      <c r="A23" s="815"/>
      <c r="B23" s="229"/>
      <c r="C23" s="817"/>
      <c r="D23" s="905"/>
      <c r="E23" s="812"/>
      <c r="F23" s="822"/>
      <c r="G23" s="315">
        <f t="shared" si="5"/>
        <v>0</v>
      </c>
      <c r="H23" s="814"/>
      <c r="I23" s="793">
        <f t="shared" si="6"/>
        <v>0</v>
      </c>
      <c r="J23" s="814"/>
      <c r="K23" s="794"/>
      <c r="L23" s="814"/>
      <c r="M23" s="794"/>
      <c r="N23" s="814"/>
      <c r="O23" s="794"/>
      <c r="P23" s="814"/>
      <c r="Q23" s="794"/>
      <c r="R23" s="814"/>
      <c r="S23" s="794"/>
    </row>
    <row r="24" spans="1:19">
      <c r="A24" s="815"/>
      <c r="B24" s="229"/>
      <c r="C24" s="817"/>
      <c r="D24" s="905"/>
      <c r="E24" s="812"/>
      <c r="F24" s="822"/>
      <c r="G24" s="315">
        <f t="shared" si="5"/>
        <v>0</v>
      </c>
      <c r="H24" s="814"/>
      <c r="I24" s="793">
        <f t="shared" si="6"/>
        <v>0</v>
      </c>
      <c r="J24" s="814"/>
      <c r="K24" s="794"/>
      <c r="L24" s="814"/>
      <c r="M24" s="794"/>
      <c r="N24" s="814"/>
      <c r="O24" s="794"/>
      <c r="P24" s="814"/>
      <c r="Q24" s="794"/>
      <c r="R24" s="814"/>
      <c r="S24" s="794"/>
    </row>
    <row r="25" spans="1:19">
      <c r="A25" s="815"/>
      <c r="B25" s="229"/>
      <c r="C25" s="817"/>
      <c r="D25" s="905"/>
      <c r="E25" s="812"/>
      <c r="F25" s="822"/>
      <c r="G25" s="315">
        <f t="shared" si="5"/>
        <v>0</v>
      </c>
      <c r="H25" s="814"/>
      <c r="I25" s="793">
        <f t="shared" si="6"/>
        <v>0</v>
      </c>
      <c r="J25" s="814"/>
      <c r="K25" s="794"/>
      <c r="L25" s="814"/>
      <c r="M25" s="794"/>
      <c r="N25" s="814"/>
      <c r="O25" s="794"/>
      <c r="P25" s="814"/>
      <c r="Q25" s="794"/>
      <c r="R25" s="814"/>
      <c r="S25" s="794"/>
    </row>
    <row r="26" spans="1:19">
      <c r="A26" s="815"/>
      <c r="B26" s="229"/>
      <c r="C26" s="817"/>
      <c r="D26" s="905"/>
      <c r="E26" s="812"/>
      <c r="F26" s="822"/>
      <c r="G26" s="315">
        <f t="shared" si="5"/>
        <v>0</v>
      </c>
      <c r="H26" s="814"/>
      <c r="I26" s="793">
        <f t="shared" si="6"/>
        <v>0</v>
      </c>
      <c r="J26" s="814"/>
      <c r="K26" s="794"/>
      <c r="L26" s="814"/>
      <c r="M26" s="794"/>
      <c r="N26" s="814"/>
      <c r="O26" s="794"/>
      <c r="P26" s="814"/>
      <c r="Q26" s="794"/>
      <c r="R26" s="814"/>
      <c r="S26" s="794"/>
    </row>
    <row r="27" spans="1:19">
      <c r="A27" s="815"/>
      <c r="B27" s="229"/>
      <c r="C27" s="817"/>
      <c r="D27" s="905"/>
      <c r="E27" s="812"/>
      <c r="F27" s="822"/>
      <c r="G27" s="315">
        <f t="shared" si="5"/>
        <v>0</v>
      </c>
      <c r="H27" s="814"/>
      <c r="I27" s="793">
        <f t="shared" si="6"/>
        <v>0</v>
      </c>
      <c r="J27" s="814"/>
      <c r="K27" s="794"/>
      <c r="L27" s="814"/>
      <c r="M27" s="794"/>
      <c r="N27" s="814"/>
      <c r="O27" s="794"/>
      <c r="P27" s="814"/>
      <c r="Q27" s="794"/>
      <c r="R27" s="814"/>
      <c r="S27" s="794"/>
    </row>
    <row r="28" spans="1:19">
      <c r="A28" s="815"/>
      <c r="B28" s="229"/>
      <c r="C28" s="817"/>
      <c r="D28" s="905"/>
      <c r="E28" s="812"/>
      <c r="F28" s="822"/>
      <c r="G28" s="315">
        <f t="shared" si="5"/>
        <v>0</v>
      </c>
      <c r="H28" s="814"/>
      <c r="I28" s="793">
        <f t="shared" si="6"/>
        <v>0</v>
      </c>
      <c r="J28" s="814"/>
      <c r="K28" s="794"/>
      <c r="L28" s="814"/>
      <c r="M28" s="794"/>
      <c r="N28" s="814"/>
      <c r="O28" s="794"/>
      <c r="P28" s="814"/>
      <c r="Q28" s="794"/>
      <c r="R28" s="814"/>
      <c r="S28" s="794"/>
    </row>
    <row r="29" spans="1:19">
      <c r="A29" s="815"/>
      <c r="B29" s="229"/>
      <c r="C29" s="817"/>
      <c r="D29" s="905"/>
      <c r="E29" s="812"/>
      <c r="F29" s="822"/>
      <c r="G29" s="315">
        <f t="shared" si="5"/>
        <v>0</v>
      </c>
      <c r="H29" s="814"/>
      <c r="I29" s="793">
        <f t="shared" si="6"/>
        <v>0</v>
      </c>
      <c r="J29" s="814"/>
      <c r="K29" s="794"/>
      <c r="L29" s="814"/>
      <c r="M29" s="794"/>
      <c r="N29" s="814"/>
      <c r="O29" s="794"/>
      <c r="P29" s="814"/>
      <c r="Q29" s="794"/>
      <c r="R29" s="814"/>
      <c r="S29" s="794"/>
    </row>
    <row r="30" spans="1:19">
      <c r="A30" s="815"/>
      <c r="B30" s="229"/>
      <c r="C30" s="817"/>
      <c r="D30" s="905"/>
      <c r="E30" s="812"/>
      <c r="F30" s="822"/>
      <c r="G30" s="315">
        <f t="shared" si="5"/>
        <v>0</v>
      </c>
      <c r="H30" s="814"/>
      <c r="I30" s="793">
        <f t="shared" si="6"/>
        <v>0</v>
      </c>
      <c r="J30" s="814"/>
      <c r="K30" s="794"/>
      <c r="L30" s="814"/>
      <c r="M30" s="794"/>
      <c r="N30" s="814"/>
      <c r="O30" s="794"/>
      <c r="P30" s="814"/>
      <c r="Q30" s="794"/>
      <c r="R30" s="814"/>
      <c r="S30" s="794"/>
    </row>
    <row r="31" spans="1:19">
      <c r="A31" s="815"/>
      <c r="B31" s="229"/>
      <c r="C31" s="817"/>
      <c r="D31" s="905"/>
      <c r="E31" s="812"/>
      <c r="F31" s="822"/>
      <c r="G31" s="315">
        <f t="shared" si="5"/>
        <v>0</v>
      </c>
      <c r="H31" s="814"/>
      <c r="I31" s="793">
        <f t="shared" si="6"/>
        <v>0</v>
      </c>
      <c r="J31" s="814"/>
      <c r="K31" s="794"/>
      <c r="L31" s="814"/>
      <c r="M31" s="794"/>
      <c r="N31" s="814"/>
      <c r="O31" s="794"/>
      <c r="P31" s="814"/>
      <c r="Q31" s="794"/>
      <c r="R31" s="814"/>
      <c r="S31" s="794"/>
    </row>
    <row r="32" spans="1:19">
      <c r="A32" s="815"/>
      <c r="B32" s="229"/>
      <c r="C32" s="817"/>
      <c r="D32" s="905"/>
      <c r="E32" s="812"/>
      <c r="F32" s="822"/>
      <c r="G32" s="315">
        <f t="shared" si="5"/>
        <v>0</v>
      </c>
      <c r="H32" s="814"/>
      <c r="I32" s="793">
        <f t="shared" si="6"/>
        <v>0</v>
      </c>
      <c r="J32" s="814"/>
      <c r="K32" s="794"/>
      <c r="L32" s="814"/>
      <c r="M32" s="794"/>
      <c r="N32" s="814"/>
      <c r="O32" s="794"/>
      <c r="P32" s="814"/>
      <c r="Q32" s="794"/>
      <c r="R32" s="814"/>
      <c r="S32" s="794"/>
    </row>
    <row r="33" spans="1:19">
      <c r="A33" s="815"/>
      <c r="B33" s="229"/>
      <c r="C33" s="817"/>
      <c r="D33" s="905"/>
      <c r="E33" s="812"/>
      <c r="F33" s="822"/>
      <c r="G33" s="315">
        <f t="shared" si="5"/>
        <v>0</v>
      </c>
      <c r="H33" s="814"/>
      <c r="I33" s="793">
        <f t="shared" si="6"/>
        <v>0</v>
      </c>
      <c r="J33" s="814"/>
      <c r="K33" s="794"/>
      <c r="L33" s="814"/>
      <c r="M33" s="794"/>
      <c r="N33" s="814"/>
      <c r="O33" s="794"/>
      <c r="P33" s="814"/>
      <c r="Q33" s="794"/>
      <c r="R33" s="814"/>
      <c r="S33" s="794"/>
    </row>
    <row r="34" spans="1:19">
      <c r="A34" s="815"/>
      <c r="B34" s="229"/>
      <c r="C34" s="817"/>
      <c r="D34" s="905"/>
      <c r="E34" s="812"/>
      <c r="F34" s="822"/>
      <c r="G34" s="315">
        <f t="shared" si="5"/>
        <v>0</v>
      </c>
      <c r="H34" s="814"/>
      <c r="I34" s="793">
        <f t="shared" si="6"/>
        <v>0</v>
      </c>
      <c r="J34" s="814"/>
      <c r="K34" s="794"/>
      <c r="L34" s="814"/>
      <c r="M34" s="794"/>
      <c r="N34" s="814"/>
      <c r="O34" s="794"/>
      <c r="P34" s="814"/>
      <c r="Q34" s="794"/>
      <c r="R34" s="814"/>
      <c r="S34" s="794"/>
    </row>
    <row r="35" spans="1:19">
      <c r="A35" s="815"/>
      <c r="B35" s="229"/>
      <c r="C35" s="817"/>
      <c r="D35" s="905"/>
      <c r="E35" s="812"/>
      <c r="F35" s="822"/>
      <c r="G35" s="315">
        <f t="shared" si="5"/>
        <v>0</v>
      </c>
      <c r="H35" s="814"/>
      <c r="I35" s="793">
        <f t="shared" si="6"/>
        <v>0</v>
      </c>
      <c r="J35" s="814"/>
      <c r="K35" s="794"/>
      <c r="L35" s="814"/>
      <c r="M35" s="794"/>
      <c r="N35" s="814"/>
      <c r="O35" s="794"/>
      <c r="P35" s="814"/>
      <c r="Q35" s="794"/>
      <c r="R35" s="814"/>
      <c r="S35" s="794"/>
    </row>
    <row r="36" spans="1:19">
      <c r="A36" s="815"/>
      <c r="B36" s="229"/>
      <c r="C36" s="817"/>
      <c r="D36" s="905"/>
      <c r="E36" s="812"/>
      <c r="F36" s="822"/>
      <c r="G36" s="315">
        <f t="shared" si="5"/>
        <v>0</v>
      </c>
      <c r="H36" s="814"/>
      <c r="I36" s="793">
        <f t="shared" si="6"/>
        <v>0</v>
      </c>
      <c r="J36" s="814"/>
      <c r="K36" s="794"/>
      <c r="L36" s="814"/>
      <c r="M36" s="794"/>
      <c r="N36" s="814"/>
      <c r="O36" s="794"/>
      <c r="P36" s="814"/>
      <c r="Q36" s="794"/>
      <c r="R36" s="814"/>
      <c r="S36" s="794"/>
    </row>
    <row r="37" spans="1:19">
      <c r="A37" s="815"/>
      <c r="B37" s="229"/>
      <c r="C37" s="817"/>
      <c r="D37" s="905"/>
      <c r="E37" s="812"/>
      <c r="F37" s="822"/>
      <c r="G37" s="315">
        <f t="shared" si="5"/>
        <v>0</v>
      </c>
      <c r="H37" s="814"/>
      <c r="I37" s="793">
        <f t="shared" si="6"/>
        <v>0</v>
      </c>
      <c r="J37" s="814"/>
      <c r="K37" s="794"/>
      <c r="L37" s="814"/>
      <c r="M37" s="794"/>
      <c r="N37" s="814"/>
      <c r="O37" s="794"/>
      <c r="P37" s="814"/>
      <c r="Q37" s="794"/>
      <c r="R37" s="814"/>
      <c r="S37" s="794"/>
    </row>
    <row r="38" spans="1:19">
      <c r="A38" s="815"/>
      <c r="B38" s="229"/>
      <c r="C38" s="817"/>
      <c r="D38" s="905"/>
      <c r="E38" s="812"/>
      <c r="F38" s="822"/>
      <c r="G38" s="315">
        <f t="shared" si="5"/>
        <v>0</v>
      </c>
      <c r="H38" s="814"/>
      <c r="I38" s="793">
        <f t="shared" si="6"/>
        <v>0</v>
      </c>
      <c r="J38" s="814"/>
      <c r="K38" s="794"/>
      <c r="L38" s="814"/>
      <c r="M38" s="794"/>
      <c r="N38" s="814"/>
      <c r="O38" s="794"/>
      <c r="P38" s="814"/>
      <c r="Q38" s="794"/>
      <c r="R38" s="814"/>
      <c r="S38" s="794"/>
    </row>
    <row r="39" spans="1:19">
      <c r="A39" s="815"/>
      <c r="B39" s="229"/>
      <c r="C39" s="817"/>
      <c r="D39" s="905"/>
      <c r="E39" s="812"/>
      <c r="F39" s="822"/>
      <c r="G39" s="315">
        <f t="shared" si="5"/>
        <v>0</v>
      </c>
      <c r="H39" s="814"/>
      <c r="I39" s="793">
        <f t="shared" si="6"/>
        <v>0</v>
      </c>
      <c r="J39" s="814"/>
      <c r="K39" s="794"/>
      <c r="L39" s="814"/>
      <c r="M39" s="794"/>
      <c r="N39" s="814"/>
      <c r="O39" s="794"/>
      <c r="P39" s="814"/>
      <c r="Q39" s="794"/>
      <c r="R39" s="814"/>
      <c r="S39" s="794"/>
    </row>
    <row r="40" spans="1:19">
      <c r="A40" s="815"/>
      <c r="B40" s="229"/>
      <c r="C40" s="817"/>
      <c r="D40" s="905"/>
      <c r="E40" s="812"/>
      <c r="F40" s="822"/>
      <c r="G40" s="315">
        <f t="shared" si="5"/>
        <v>0</v>
      </c>
      <c r="H40" s="814"/>
      <c r="I40" s="793">
        <f t="shared" si="6"/>
        <v>0</v>
      </c>
      <c r="J40" s="814"/>
      <c r="K40" s="794"/>
      <c r="L40" s="814"/>
      <c r="M40" s="794"/>
      <c r="N40" s="814"/>
      <c r="O40" s="794"/>
      <c r="P40" s="814"/>
      <c r="Q40" s="794"/>
      <c r="R40" s="814"/>
      <c r="S40" s="794"/>
    </row>
    <row r="41" spans="1:19">
      <c r="A41" s="815"/>
      <c r="B41" s="229"/>
      <c r="C41" s="817"/>
      <c r="D41" s="905"/>
      <c r="E41" s="812"/>
      <c r="F41" s="822"/>
      <c r="G41" s="315">
        <f t="shared" si="5"/>
        <v>0</v>
      </c>
      <c r="H41" s="814"/>
      <c r="I41" s="793">
        <f t="shared" si="6"/>
        <v>0</v>
      </c>
      <c r="J41" s="814"/>
      <c r="K41" s="794"/>
      <c r="L41" s="814"/>
      <c r="M41" s="794"/>
      <c r="N41" s="814"/>
      <c r="O41" s="794"/>
      <c r="P41" s="814"/>
      <c r="Q41" s="794"/>
      <c r="R41" s="814"/>
      <c r="S41" s="794"/>
    </row>
    <row r="42" spans="1:19">
      <c r="A42" s="815"/>
      <c r="B42" s="229"/>
      <c r="C42" s="817"/>
      <c r="D42" s="905"/>
      <c r="E42" s="812"/>
      <c r="F42" s="822"/>
      <c r="G42" s="315">
        <f t="shared" si="5"/>
        <v>0</v>
      </c>
      <c r="H42" s="814"/>
      <c r="I42" s="793">
        <f t="shared" si="6"/>
        <v>0</v>
      </c>
      <c r="J42" s="814"/>
      <c r="K42" s="794"/>
      <c r="L42" s="814"/>
      <c r="M42" s="794"/>
      <c r="N42" s="814"/>
      <c r="O42" s="794"/>
      <c r="P42" s="814"/>
      <c r="Q42" s="794"/>
      <c r="R42" s="814"/>
      <c r="S42" s="794"/>
    </row>
    <row r="43" spans="1:19">
      <c r="A43" s="815"/>
      <c r="B43" s="229"/>
      <c r="C43" s="817"/>
      <c r="D43" s="905"/>
      <c r="E43" s="812"/>
      <c r="F43" s="822"/>
      <c r="G43" s="315">
        <f t="shared" si="5"/>
        <v>0</v>
      </c>
      <c r="H43" s="814"/>
      <c r="I43" s="793">
        <f t="shared" si="6"/>
        <v>0</v>
      </c>
      <c r="J43" s="814"/>
      <c r="K43" s="794"/>
      <c r="L43" s="814"/>
      <c r="M43" s="794"/>
      <c r="N43" s="814"/>
      <c r="O43" s="794"/>
      <c r="P43" s="814"/>
      <c r="Q43" s="794"/>
      <c r="R43" s="814"/>
      <c r="S43" s="794"/>
    </row>
    <row r="44" spans="1:19">
      <c r="A44" s="815"/>
      <c r="B44" s="229"/>
      <c r="C44" s="817"/>
      <c r="D44" s="905"/>
      <c r="E44" s="812"/>
      <c r="F44" s="822"/>
      <c r="G44" s="315">
        <f t="shared" si="5"/>
        <v>0</v>
      </c>
      <c r="H44" s="814"/>
      <c r="I44" s="793">
        <f t="shared" si="6"/>
        <v>0</v>
      </c>
      <c r="J44" s="814"/>
      <c r="K44" s="794"/>
      <c r="L44" s="814"/>
      <c r="M44" s="794"/>
      <c r="N44" s="814"/>
      <c r="O44" s="794"/>
      <c r="P44" s="814"/>
      <c r="Q44" s="794"/>
      <c r="R44" s="814"/>
      <c r="S44" s="794"/>
    </row>
    <row r="45" spans="1:19">
      <c r="A45" s="815"/>
      <c r="B45" s="229"/>
      <c r="C45" s="817"/>
      <c r="D45" s="905"/>
      <c r="E45" s="812"/>
      <c r="F45" s="822"/>
      <c r="G45" s="315">
        <f t="shared" si="5"/>
        <v>0</v>
      </c>
      <c r="H45" s="814"/>
      <c r="I45" s="793">
        <f t="shared" si="6"/>
        <v>0</v>
      </c>
      <c r="J45" s="814"/>
      <c r="K45" s="794"/>
      <c r="L45" s="814"/>
      <c r="M45" s="794"/>
      <c r="N45" s="814"/>
      <c r="O45" s="794"/>
      <c r="P45" s="814"/>
      <c r="Q45" s="794"/>
      <c r="R45" s="814"/>
      <c r="S45" s="794"/>
    </row>
    <row r="46" spans="1:19">
      <c r="A46" s="815"/>
      <c r="B46" s="229"/>
      <c r="C46" s="817"/>
      <c r="D46" s="905"/>
      <c r="E46" s="812"/>
      <c r="F46" s="822"/>
      <c r="G46" s="315">
        <f t="shared" si="5"/>
        <v>0</v>
      </c>
      <c r="H46" s="814"/>
      <c r="I46" s="793">
        <f t="shared" si="6"/>
        <v>0</v>
      </c>
      <c r="J46" s="814"/>
      <c r="K46" s="794"/>
      <c r="L46" s="814"/>
      <c r="M46" s="794"/>
      <c r="N46" s="814"/>
      <c r="O46" s="794"/>
      <c r="P46" s="814"/>
      <c r="Q46" s="794"/>
      <c r="R46" s="814"/>
      <c r="S46" s="794"/>
    </row>
    <row r="47" spans="1:19">
      <c r="A47" s="815"/>
      <c r="B47" s="229"/>
      <c r="C47" s="817"/>
      <c r="D47" s="905"/>
      <c r="E47" s="812"/>
      <c r="F47" s="822"/>
      <c r="G47" s="315">
        <f t="shared" si="5"/>
        <v>0</v>
      </c>
      <c r="H47" s="814"/>
      <c r="I47" s="793">
        <f t="shared" si="6"/>
        <v>0</v>
      </c>
      <c r="J47" s="814"/>
      <c r="K47" s="794"/>
      <c r="L47" s="814"/>
      <c r="M47" s="794"/>
      <c r="N47" s="814"/>
      <c r="O47" s="794"/>
      <c r="P47" s="814"/>
      <c r="Q47" s="794"/>
      <c r="R47" s="814"/>
      <c r="S47" s="794"/>
    </row>
    <row r="48" spans="1:19">
      <c r="A48" s="815"/>
      <c r="B48" s="229"/>
      <c r="C48" s="817"/>
      <c r="D48" s="905"/>
      <c r="E48" s="812"/>
      <c r="F48" s="822"/>
      <c r="G48" s="315">
        <f t="shared" si="5"/>
        <v>0</v>
      </c>
      <c r="H48" s="814"/>
      <c r="I48" s="793">
        <f t="shared" si="6"/>
        <v>0</v>
      </c>
      <c r="J48" s="814"/>
      <c r="K48" s="794"/>
      <c r="L48" s="814"/>
      <c r="M48" s="794"/>
      <c r="N48" s="814"/>
      <c r="O48" s="794"/>
      <c r="P48" s="814"/>
      <c r="Q48" s="794"/>
      <c r="R48" s="814"/>
      <c r="S48" s="794"/>
    </row>
    <row r="49" spans="1:34">
      <c r="A49" s="815"/>
      <c r="B49" s="229"/>
      <c r="C49" s="817"/>
      <c r="D49" s="905"/>
      <c r="E49" s="812"/>
      <c r="F49" s="822"/>
      <c r="G49" s="315">
        <f t="shared" si="5"/>
        <v>0</v>
      </c>
      <c r="H49" s="814"/>
      <c r="I49" s="793">
        <f t="shared" si="6"/>
        <v>0</v>
      </c>
      <c r="J49" s="814"/>
      <c r="K49" s="794"/>
      <c r="L49" s="814"/>
      <c r="M49" s="794"/>
      <c r="N49" s="814"/>
      <c r="O49" s="794"/>
      <c r="P49" s="814"/>
      <c r="Q49" s="794"/>
      <c r="R49" s="814"/>
      <c r="S49" s="794"/>
    </row>
    <row r="50" spans="1:34" ht="15.75" thickBot="1">
      <c r="A50" s="815"/>
      <c r="B50" s="816"/>
      <c r="C50" s="821"/>
      <c r="D50" s="911"/>
      <c r="E50" s="812"/>
      <c r="F50" s="822"/>
      <c r="G50" s="315"/>
      <c r="H50" s="814"/>
      <c r="I50" s="793"/>
      <c r="J50" s="814"/>
      <c r="K50" s="794"/>
      <c r="L50" s="814"/>
      <c r="M50" s="794"/>
      <c r="N50" s="814"/>
      <c r="O50" s="794"/>
      <c r="P50" s="814"/>
      <c r="Q50" s="794"/>
      <c r="R50" s="814"/>
      <c r="S50" s="794"/>
    </row>
    <row r="51" spans="1:34" ht="15.75" thickTop="1">
      <c r="A51" s="15"/>
      <c r="B51" s="218" t="s">
        <v>518</v>
      </c>
      <c r="C51" s="17"/>
      <c r="D51" s="226"/>
      <c r="E51" s="177"/>
      <c r="F51" s="19"/>
      <c r="G51" s="219">
        <f>SUBTOTAL(9,G21:G50)</f>
        <v>698400</v>
      </c>
      <c r="H51" s="21"/>
      <c r="I51" s="217">
        <f>SUBTOTAL(9,I21:I50)</f>
        <v>698400</v>
      </c>
      <c r="J51" s="21"/>
      <c r="K51" s="162">
        <f>SUM(K19:K50)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826"/>
      <c r="B52" s="827" t="s">
        <v>471</v>
      </c>
      <c r="C52" s="828"/>
      <c r="D52" s="912"/>
      <c r="E52" s="830"/>
      <c r="F52" s="831"/>
      <c r="G52" s="901"/>
      <c r="H52" s="833">
        <v>0</v>
      </c>
      <c r="I52" s="163"/>
      <c r="J52" s="833">
        <v>0</v>
      </c>
      <c r="K52" s="163"/>
      <c r="L52" s="833">
        <v>0</v>
      </c>
      <c r="M52" s="163"/>
      <c r="N52" s="833">
        <v>0</v>
      </c>
      <c r="O52" s="163"/>
      <c r="P52" s="833">
        <v>0</v>
      </c>
      <c r="Q52" s="163"/>
      <c r="R52" s="833">
        <v>0</v>
      </c>
      <c r="S52" s="163"/>
    </row>
    <row r="53" spans="1:34">
      <c r="A53" s="826"/>
      <c r="B53" s="827" t="s">
        <v>472</v>
      </c>
      <c r="C53" s="828"/>
      <c r="D53" s="912"/>
      <c r="E53" s="830"/>
      <c r="F53" s="831"/>
      <c r="G53" s="901">
        <f>F52*G51</f>
        <v>0</v>
      </c>
      <c r="H53" s="836"/>
      <c r="I53" s="838">
        <f>H52*I51</f>
        <v>0</v>
      </c>
      <c r="J53" s="836"/>
      <c r="K53" s="838">
        <f>J52*K51</f>
        <v>0</v>
      </c>
      <c r="L53" s="836"/>
      <c r="M53" s="838">
        <f>L52*M51</f>
        <v>0</v>
      </c>
      <c r="N53" s="836"/>
      <c r="O53" s="838">
        <f>N52*O51</f>
        <v>0</v>
      </c>
      <c r="P53" s="836"/>
      <c r="Q53" s="838">
        <f>P52*Q51</f>
        <v>0</v>
      </c>
      <c r="R53" s="836"/>
      <c r="S53" s="838">
        <f>R52*S51</f>
        <v>0</v>
      </c>
    </row>
    <row r="54" spans="1:34">
      <c r="A54" s="826"/>
      <c r="B54" s="827"/>
      <c r="C54" s="828"/>
      <c r="D54" s="912"/>
      <c r="E54" s="830"/>
      <c r="F54" s="831"/>
      <c r="G54" s="901"/>
      <c r="H54" s="836"/>
      <c r="I54" s="838"/>
      <c r="J54" s="836"/>
      <c r="K54" s="838"/>
      <c r="L54" s="836"/>
      <c r="M54" s="838"/>
      <c r="N54" s="836"/>
      <c r="O54" s="838"/>
      <c r="P54" s="836"/>
      <c r="Q54" s="838"/>
      <c r="R54" s="836"/>
      <c r="S54" s="838"/>
    </row>
    <row r="55" spans="1:34">
      <c r="A55" s="826"/>
      <c r="B55" s="827" t="s">
        <v>473</v>
      </c>
      <c r="C55" s="828"/>
      <c r="D55" s="912"/>
      <c r="E55" s="830"/>
      <c r="F55" s="831"/>
      <c r="G55" s="901">
        <f>SUM(G51:G53)</f>
        <v>698400</v>
      </c>
      <c r="H55" s="839"/>
      <c r="I55" s="838">
        <f>SUM(I51:I53)</f>
        <v>698400</v>
      </c>
      <c r="J55" s="839"/>
      <c r="K55" s="838">
        <f>SUM(K51:K53)</f>
        <v>0</v>
      </c>
      <c r="L55" s="839"/>
      <c r="M55" s="838">
        <f>SUM(M51:M53)</f>
        <v>0</v>
      </c>
      <c r="N55" s="839"/>
      <c r="O55" s="838">
        <f>SUM(O51:O53)</f>
        <v>0</v>
      </c>
      <c r="P55" s="839"/>
      <c r="Q55" s="838">
        <f>SUM(Q51:Q53)</f>
        <v>0</v>
      </c>
      <c r="R55" s="839"/>
      <c r="S55" s="838">
        <f>SUM(S51:S53)</f>
        <v>0</v>
      </c>
    </row>
    <row r="56" spans="1:34">
      <c r="A56" s="826"/>
      <c r="B56" s="840" t="s">
        <v>474</v>
      </c>
      <c r="C56" s="828"/>
      <c r="D56" s="912"/>
      <c r="E56" s="830"/>
      <c r="F56" s="840"/>
      <c r="G56" s="902">
        <f>G55/'Area Calculations'!$G$5</f>
        <v>1.7938832280651285</v>
      </c>
      <c r="H56" s="842"/>
      <c r="I56" s="844">
        <f>I55/'Area Calculations'!$G$5</f>
        <v>1.7938832280651285</v>
      </c>
      <c r="J56" s="842"/>
      <c r="K56" s="844">
        <f>K55/'Area Calculations'!$G$5</f>
        <v>0</v>
      </c>
      <c r="L56" s="842"/>
      <c r="M56" s="844">
        <f>M55/'Area Calculations'!$G$5</f>
        <v>0</v>
      </c>
      <c r="N56" s="842"/>
      <c r="O56" s="844">
        <f>O55/'Area Calculations'!$G$5</f>
        <v>0</v>
      </c>
      <c r="P56" s="842"/>
      <c r="Q56" s="844">
        <f>Q55/'Area Calculations'!$G$5</f>
        <v>0</v>
      </c>
      <c r="R56" s="845"/>
      <c r="S56" s="844">
        <f>S55/'Area Calculations'!$G$5</f>
        <v>0</v>
      </c>
    </row>
    <row r="57" spans="1:34" ht="15.75" thickBot="1">
      <c r="A57" s="826"/>
      <c r="B57" s="846"/>
      <c r="C57" s="828"/>
      <c r="D57" s="912"/>
      <c r="E57" s="830"/>
      <c r="F57" s="831"/>
      <c r="G57" s="464"/>
      <c r="H57" s="847"/>
      <c r="I57" s="849"/>
      <c r="J57" s="847"/>
      <c r="K57" s="847"/>
      <c r="L57" s="847"/>
      <c r="M57" s="847"/>
      <c r="N57" s="847"/>
      <c r="O57" s="847"/>
      <c r="P57" s="847"/>
      <c r="Q57" s="847"/>
      <c r="R57" s="847"/>
      <c r="S57" s="847"/>
    </row>
    <row r="58" spans="1:34" ht="16.5" thickTop="1" thickBot="1">
      <c r="A58" s="691" t="s">
        <v>475</v>
      </c>
      <c r="B58" s="692"/>
      <c r="C58" s="14"/>
      <c r="D58" s="227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850"/>
      <c r="C59" s="796"/>
      <c r="D59" s="797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850"/>
      <c r="C60" s="796"/>
      <c r="D60" s="797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850"/>
      <c r="C61" s="796"/>
      <c r="D61" s="797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227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850"/>
      <c r="C63" s="796"/>
      <c r="D63" s="797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850"/>
      <c r="C64" s="796"/>
      <c r="D64" s="797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850"/>
      <c r="C65" s="796"/>
      <c r="D65" s="797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227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850"/>
      <c r="C67" s="796"/>
      <c r="D67" s="797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855"/>
      <c r="B68" s="850"/>
      <c r="C68" s="817"/>
      <c r="D68" s="905"/>
      <c r="E68" s="812"/>
      <c r="F68" s="817"/>
      <c r="G68" s="903"/>
      <c r="H68" s="857"/>
      <c r="I68" s="857"/>
      <c r="J68" s="857"/>
      <c r="K68" s="857"/>
      <c r="L68" s="857"/>
      <c r="M68" s="857"/>
      <c r="N68" s="857"/>
      <c r="O68" s="857"/>
      <c r="P68" s="857"/>
      <c r="Q68" s="857"/>
      <c r="R68" s="857"/>
      <c r="S68" s="857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859"/>
      <c r="B69" s="860"/>
      <c r="C69" s="817"/>
      <c r="D69" s="905"/>
      <c r="E69" s="812"/>
      <c r="F69" s="817"/>
      <c r="G69" s="903"/>
      <c r="H69" s="861"/>
      <c r="I69" s="861"/>
      <c r="J69" s="861"/>
      <c r="K69" s="861"/>
      <c r="L69" s="861"/>
      <c r="M69" s="861"/>
      <c r="N69" s="861"/>
      <c r="O69" s="861"/>
      <c r="P69" s="861"/>
      <c r="Q69" s="861"/>
      <c r="R69" s="861"/>
      <c r="S69" s="861"/>
    </row>
    <row r="70" spans="1:34" s="2" customFormat="1" ht="16.5" thickTop="1" thickBot="1">
      <c r="A70" s="691" t="s">
        <v>478</v>
      </c>
      <c r="B70" s="692"/>
      <c r="C70" s="14"/>
      <c r="D70" s="227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797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859"/>
      <c r="B72" s="860"/>
      <c r="C72" s="817"/>
      <c r="D72" s="905"/>
      <c r="E72" s="812"/>
      <c r="F72" s="817"/>
      <c r="G72" s="903"/>
      <c r="H72" s="863"/>
      <c r="I72" s="863"/>
      <c r="J72" s="863"/>
      <c r="K72" s="863"/>
      <c r="L72" s="863"/>
      <c r="M72" s="863"/>
      <c r="N72" s="863"/>
      <c r="O72" s="863"/>
      <c r="P72" s="863"/>
      <c r="Q72" s="863"/>
      <c r="R72" s="863"/>
      <c r="S72" s="86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859"/>
      <c r="B73" s="860"/>
      <c r="C73" s="817"/>
      <c r="D73" s="905"/>
      <c r="E73" s="812"/>
      <c r="F73" s="817"/>
      <c r="G73" s="903"/>
      <c r="H73" s="863"/>
      <c r="I73" s="863"/>
      <c r="J73" s="863"/>
      <c r="K73" s="863"/>
      <c r="L73" s="863"/>
      <c r="M73" s="863"/>
      <c r="N73" s="863"/>
      <c r="O73" s="863"/>
      <c r="P73" s="863"/>
      <c r="Q73" s="863"/>
      <c r="R73" s="863"/>
      <c r="S73" s="86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227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855"/>
      <c r="B75" s="850" t="s">
        <v>480</v>
      </c>
      <c r="C75" s="817"/>
      <c r="D75" s="905"/>
      <c r="E75" s="812"/>
      <c r="F75" s="817"/>
      <c r="G75" s="903"/>
      <c r="H75" s="863"/>
      <c r="I75" s="863"/>
      <c r="J75" s="863"/>
      <c r="K75" s="863"/>
      <c r="L75" s="863"/>
      <c r="M75" s="863"/>
      <c r="N75" s="863"/>
      <c r="O75" s="863"/>
      <c r="P75" s="863"/>
      <c r="Q75" s="863"/>
      <c r="R75" s="863"/>
      <c r="S75" s="863"/>
    </row>
    <row r="76" spans="1:34">
      <c r="A76" s="855"/>
      <c r="B76" s="850" t="s">
        <v>481</v>
      </c>
      <c r="C76" s="817"/>
      <c r="D76" s="905"/>
      <c r="E76" s="812"/>
      <c r="F76" s="817"/>
      <c r="G76" s="903"/>
      <c r="H76" s="863"/>
      <c r="I76" s="863"/>
      <c r="J76" s="863"/>
      <c r="K76" s="863"/>
      <c r="L76" s="863"/>
      <c r="M76" s="863"/>
      <c r="N76" s="863"/>
      <c r="O76" s="863"/>
      <c r="P76" s="863"/>
      <c r="Q76" s="863"/>
      <c r="R76" s="863"/>
      <c r="S76" s="863"/>
    </row>
    <row r="77" spans="1:34">
      <c r="A77" s="855"/>
      <c r="B77" s="850" t="s">
        <v>482</v>
      </c>
      <c r="C77" s="817"/>
      <c r="D77" s="905"/>
      <c r="E77" s="812"/>
      <c r="F77" s="817"/>
      <c r="G77" s="903"/>
      <c r="H77" s="863"/>
      <c r="I77" s="863"/>
      <c r="J77" s="863"/>
      <c r="K77" s="863"/>
      <c r="L77" s="863"/>
      <c r="M77" s="863"/>
      <c r="N77" s="863"/>
      <c r="O77" s="863"/>
      <c r="P77" s="863"/>
      <c r="Q77" s="863"/>
      <c r="R77" s="863"/>
      <c r="S77" s="863"/>
    </row>
    <row r="78" spans="1:34">
      <c r="A78" s="855"/>
      <c r="B78" s="850" t="s">
        <v>483</v>
      </c>
      <c r="C78" s="817"/>
      <c r="D78" s="905"/>
      <c r="E78" s="812"/>
      <c r="F78" s="817"/>
      <c r="G78" s="903"/>
      <c r="H78" s="863"/>
      <c r="I78" s="863"/>
      <c r="J78" s="863"/>
      <c r="K78" s="863"/>
      <c r="L78" s="863"/>
      <c r="M78" s="863"/>
      <c r="N78" s="863"/>
      <c r="O78" s="863"/>
      <c r="P78" s="863"/>
      <c r="Q78" s="863"/>
      <c r="R78" s="863"/>
      <c r="S78" s="863"/>
    </row>
    <row r="79" spans="1:34" ht="15.75" thickBot="1">
      <c r="A79" s="23"/>
      <c r="B79" s="7"/>
      <c r="C79" s="8"/>
      <c r="D79" s="225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227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797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855"/>
      <c r="B82" s="850" t="s">
        <v>486</v>
      </c>
      <c r="C82" s="817"/>
      <c r="D82" s="905"/>
      <c r="E82" s="812"/>
      <c r="F82" s="817"/>
      <c r="G82" s="903"/>
      <c r="H82" s="864"/>
      <c r="I82" s="864"/>
      <c r="J82" s="864"/>
      <c r="K82" s="864"/>
      <c r="L82" s="864"/>
      <c r="M82" s="864"/>
      <c r="N82" s="864"/>
      <c r="O82" s="864"/>
      <c r="P82" s="864"/>
      <c r="Q82" s="864"/>
      <c r="R82" s="864"/>
      <c r="S82" s="864"/>
    </row>
    <row r="83" spans="1:19" ht="15.75" thickBot="1">
      <c r="A83" s="865"/>
      <c r="B83" s="866" t="s">
        <v>487</v>
      </c>
      <c r="C83" s="867"/>
      <c r="D83" s="915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873"/>
    </row>
    <row r="87" spans="1:19">
      <c r="A87" s="874" t="s">
        <v>446</v>
      </c>
      <c r="B87" s="873"/>
    </row>
    <row r="88" spans="1:19">
      <c r="A88" s="875" t="s">
        <v>448</v>
      </c>
      <c r="B88" s="876"/>
    </row>
    <row r="89" spans="1:19">
      <c r="A89" s="875" t="s">
        <v>450</v>
      </c>
      <c r="B89" s="877"/>
    </row>
    <row r="90" spans="1:19" ht="15.75" thickBot="1">
      <c r="A90" s="878" t="s">
        <v>489</v>
      </c>
      <c r="B90" s="879">
        <f>$I$55</f>
        <v>698400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A58:B58"/>
    <mergeCell ref="A62:B62"/>
    <mergeCell ref="A66:B66"/>
    <mergeCell ref="A70:B70"/>
    <mergeCell ref="A74:B74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5:S5"/>
    <mergeCell ref="H5:I5"/>
    <mergeCell ref="J5:K5"/>
    <mergeCell ref="L5:M5"/>
    <mergeCell ref="N5:O5"/>
    <mergeCell ref="P5:Q5"/>
  </mergeCells>
  <conditionalFormatting sqref="H11:H18 J11:J18 L11:L18 N11:N18 P11:P18 R11:R18 H20:H50 J20:J50 L20:L50 N20:N50 P20:P50 R20:R50">
    <cfRule type="cellIs" dxfId="137" priority="1" operator="equal">
      <formula>"X"</formula>
    </cfRule>
    <cfRule type="cellIs" dxfId="136" priority="2" operator="equal">
      <formula>"I"</formula>
    </cfRule>
  </conditionalFormatting>
  <hyperlinks>
    <hyperlink ref="B4" location="'Cost Summary'!A1" display="BACK TO SUMMARY SHEET" xr:uid="{D88D4152-766E-4E8C-9184-D9868C0D68F7}"/>
  </hyperlinks>
  <pageMargins left="0.2" right="0.2" top="0.5" bottom="0.75" header="0.3" footer="0.3"/>
  <pageSetup paperSize="3" scale="77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FA88-1782-4707-8620-B9366DC54E8A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O31" sqref="O31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/>
      <c r="I5" s="684"/>
      <c r="J5" s="683"/>
      <c r="K5" s="684"/>
      <c r="L5" s="683"/>
      <c r="M5" s="684"/>
      <c r="N5" s="683"/>
      <c r="O5" s="684"/>
      <c r="P5" s="683"/>
      <c r="Q5" s="684"/>
      <c r="R5" s="683"/>
      <c r="S5" s="684"/>
    </row>
    <row r="6" spans="1:19">
      <c r="A6" s="880" t="s">
        <v>445</v>
      </c>
      <c r="B6" s="850" t="s">
        <v>123</v>
      </c>
      <c r="C6" s="817"/>
      <c r="D6" s="811"/>
      <c r="E6" s="812"/>
      <c r="F6" s="817"/>
      <c r="G6" s="462" t="s">
        <v>446</v>
      </c>
      <c r="H6" s="881"/>
      <c r="I6" s="686"/>
      <c r="J6" s="881"/>
      <c r="K6" s="686"/>
      <c r="L6" s="881"/>
      <c r="M6" s="686"/>
      <c r="N6" s="881"/>
      <c r="O6" s="686"/>
      <c r="P6" s="881"/>
      <c r="Q6" s="686"/>
      <c r="R6" s="881"/>
      <c r="S6" s="686"/>
    </row>
    <row r="7" spans="1:19">
      <c r="A7" s="880" t="s">
        <v>447</v>
      </c>
      <c r="B7" s="883" t="s">
        <v>122</v>
      </c>
      <c r="C7" s="817"/>
      <c r="D7" s="811"/>
      <c r="E7" s="812"/>
      <c r="F7" s="817"/>
      <c r="G7" s="884" t="s">
        <v>448</v>
      </c>
      <c r="H7" s="885"/>
      <c r="I7" s="688"/>
      <c r="J7" s="885"/>
      <c r="K7" s="688"/>
      <c r="L7" s="885"/>
      <c r="M7" s="688"/>
      <c r="N7" s="885"/>
      <c r="O7" s="688"/>
      <c r="P7" s="885"/>
      <c r="Q7" s="688"/>
      <c r="R7" s="885"/>
      <c r="S7" s="688"/>
    </row>
    <row r="8" spans="1:19">
      <c r="A8" s="880" t="s">
        <v>449</v>
      </c>
      <c r="B8" s="887"/>
      <c r="C8" s="817"/>
      <c r="D8" s="811"/>
      <c r="E8" s="812"/>
      <c r="F8" s="817"/>
      <c r="G8" s="884" t="s">
        <v>450</v>
      </c>
      <c r="H8" s="888"/>
      <c r="I8" s="690"/>
      <c r="J8" s="888"/>
      <c r="K8" s="690"/>
      <c r="L8" s="888"/>
      <c r="M8" s="690"/>
      <c r="N8" s="888"/>
      <c r="O8" s="690"/>
      <c r="P8" s="888"/>
      <c r="Q8" s="690"/>
      <c r="R8" s="888"/>
      <c r="S8" s="69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2">
        <f>I$55</f>
        <v>236980</v>
      </c>
      <c r="I9" s="893"/>
      <c r="J9" s="894">
        <f>K$55</f>
        <v>0</v>
      </c>
      <c r="K9" s="895"/>
      <c r="L9" s="892">
        <f>M$55</f>
        <v>0</v>
      </c>
      <c r="M9" s="893"/>
      <c r="N9" s="892">
        <f t="shared" ref="N9" si="0">O$55</f>
        <v>0</v>
      </c>
      <c r="O9" s="893"/>
      <c r="P9" s="892">
        <f t="shared" ref="P9" si="1">Q$55</f>
        <v>0</v>
      </c>
      <c r="Q9" s="893"/>
      <c r="R9" s="892">
        <f t="shared" ref="R9" si="2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811"/>
      <c r="E11" s="812"/>
      <c r="F11" s="817"/>
      <c r="G11" s="60"/>
      <c r="H11" s="814"/>
      <c r="I11" s="783"/>
      <c r="J11" s="814"/>
      <c r="K11" s="782"/>
      <c r="L11" s="814"/>
      <c r="M11" s="783"/>
      <c r="N11" s="814"/>
      <c r="O11" s="183"/>
      <c r="P11" s="814"/>
      <c r="Q11" s="783"/>
      <c r="R11" s="814"/>
      <c r="S11" s="783"/>
    </row>
    <row r="12" spans="1:19">
      <c r="A12" s="784"/>
      <c r="B12" s="785" t="s">
        <v>461</v>
      </c>
      <c r="C12" s="817"/>
      <c r="D12" s="811"/>
      <c r="E12" s="812"/>
      <c r="F12" s="817"/>
      <c r="G12" s="60"/>
      <c r="H12" s="814"/>
      <c r="I12" s="783"/>
      <c r="J12" s="814"/>
      <c r="K12" s="782"/>
      <c r="L12" s="814"/>
      <c r="M12" s="783"/>
      <c r="N12" s="814"/>
      <c r="O12" s="783"/>
      <c r="P12" s="814"/>
      <c r="Q12" s="783"/>
      <c r="R12" s="814"/>
      <c r="S12" s="783"/>
    </row>
    <row r="13" spans="1:19">
      <c r="A13" s="815"/>
      <c r="B13" s="786" t="s">
        <v>462</v>
      </c>
      <c r="C13" s="817"/>
      <c r="D13" s="811"/>
      <c r="E13" s="812"/>
      <c r="F13" s="817"/>
      <c r="G13" s="60"/>
      <c r="H13" s="814"/>
      <c r="I13" s="783"/>
      <c r="J13" s="814"/>
      <c r="K13" s="782"/>
      <c r="L13" s="814"/>
      <c r="M13" s="783"/>
      <c r="N13" s="814"/>
      <c r="O13" s="783"/>
      <c r="P13" s="814"/>
      <c r="Q13" s="783"/>
      <c r="R13" s="814"/>
      <c r="S13" s="783"/>
    </row>
    <row r="14" spans="1:19">
      <c r="A14" s="815"/>
      <c r="B14" s="787" t="s">
        <v>463</v>
      </c>
      <c r="C14" s="817"/>
      <c r="D14" s="811"/>
      <c r="E14" s="812"/>
      <c r="F14" s="817"/>
      <c r="G14" s="60"/>
      <c r="H14" s="814"/>
      <c r="I14" s="783"/>
      <c r="J14" s="814"/>
      <c r="K14" s="782"/>
      <c r="L14" s="814"/>
      <c r="M14" s="783"/>
      <c r="N14" s="814"/>
      <c r="O14" s="783"/>
      <c r="P14" s="814"/>
      <c r="Q14" s="783"/>
      <c r="R14" s="814"/>
      <c r="S14" s="783"/>
    </row>
    <row r="15" spans="1:19">
      <c r="A15" s="815"/>
      <c r="B15" s="787" t="s">
        <v>464</v>
      </c>
      <c r="C15" s="817"/>
      <c r="D15" s="811"/>
      <c r="E15" s="812"/>
      <c r="F15" s="817"/>
      <c r="G15" s="60"/>
      <c r="H15" s="814"/>
      <c r="I15" s="782"/>
      <c r="J15" s="814"/>
      <c r="K15" s="782"/>
      <c r="L15" s="814"/>
      <c r="M15" s="782"/>
      <c r="N15" s="814"/>
      <c r="O15" s="782"/>
      <c r="P15" s="814"/>
      <c r="Q15" s="782"/>
      <c r="R15" s="814"/>
      <c r="S15" s="782"/>
    </row>
    <row r="16" spans="1:19">
      <c r="A16" s="815"/>
      <c r="B16" s="787" t="s">
        <v>465</v>
      </c>
      <c r="C16" s="817"/>
      <c r="D16" s="811"/>
      <c r="E16" s="812"/>
      <c r="F16" s="817"/>
      <c r="G16" s="60"/>
      <c r="H16" s="814"/>
      <c r="I16" s="783"/>
      <c r="J16" s="814"/>
      <c r="K16" s="782"/>
      <c r="L16" s="814"/>
      <c r="M16" s="783"/>
      <c r="N16" s="814"/>
      <c r="O16" s="783"/>
      <c r="P16" s="814"/>
      <c r="Q16" s="783"/>
      <c r="R16" s="814"/>
      <c r="S16" s="783"/>
    </row>
    <row r="17" spans="1:19">
      <c r="A17" s="815"/>
      <c r="B17" s="787" t="s">
        <v>466</v>
      </c>
      <c r="C17" s="817"/>
      <c r="D17" s="811"/>
      <c r="E17" s="812"/>
      <c r="F17" s="817"/>
      <c r="G17" s="60"/>
      <c r="H17" s="814"/>
      <c r="I17" s="783"/>
      <c r="J17" s="814"/>
      <c r="K17" s="782"/>
      <c r="L17" s="814"/>
      <c r="M17" s="783"/>
      <c r="N17" s="814"/>
      <c r="O17" s="783"/>
      <c r="P17" s="814"/>
      <c r="Q17" s="783"/>
      <c r="R17" s="814"/>
      <c r="S17" s="783"/>
    </row>
    <row r="18" spans="1:19">
      <c r="A18" s="815"/>
      <c r="B18" s="788" t="s">
        <v>467</v>
      </c>
      <c r="C18" s="817"/>
      <c r="D18" s="811"/>
      <c r="E18" s="812"/>
      <c r="F18" s="817"/>
      <c r="G18" s="60"/>
      <c r="H18" s="814"/>
      <c r="I18" s="783"/>
      <c r="J18" s="814"/>
      <c r="K18" s="782"/>
      <c r="L18" s="814"/>
      <c r="M18" s="783"/>
      <c r="N18" s="814"/>
      <c r="O18" s="783"/>
      <c r="P18" s="814"/>
      <c r="Q18" s="783"/>
      <c r="R18" s="814"/>
      <c r="S18" s="783"/>
    </row>
    <row r="19" spans="1:19">
      <c r="A19" s="815"/>
      <c r="B19" s="789" t="s">
        <v>468</v>
      </c>
      <c r="C19" s="896"/>
      <c r="D19" s="897"/>
      <c r="E19" s="898"/>
      <c r="F19" s="899"/>
      <c r="G19" s="463"/>
      <c r="H19" s="900"/>
      <c r="I19" s="791"/>
      <c r="J19" s="900"/>
      <c r="K19" s="790"/>
      <c r="L19" s="900"/>
      <c r="M19" s="791"/>
      <c r="N19" s="900"/>
      <c r="O19" s="791"/>
      <c r="P19" s="900"/>
      <c r="Q19" s="791"/>
      <c r="R19" s="900"/>
      <c r="S19" s="791"/>
    </row>
    <row r="20" spans="1:19">
      <c r="A20" s="815"/>
      <c r="B20" s="792"/>
      <c r="C20" s="817"/>
      <c r="D20" s="811"/>
      <c r="E20" s="812"/>
      <c r="F20" s="813"/>
      <c r="G20" s="60"/>
      <c r="H20" s="814"/>
      <c r="I20" s="794"/>
      <c r="J20" s="814"/>
      <c r="K20" s="793"/>
      <c r="L20" s="814"/>
      <c r="M20" s="794"/>
      <c r="N20" s="814"/>
      <c r="O20" s="794"/>
      <c r="P20" s="814"/>
      <c r="Q20" s="794"/>
      <c r="R20" s="814"/>
      <c r="S20" s="794"/>
    </row>
    <row r="21" spans="1:19">
      <c r="A21" s="815"/>
      <c r="B21" s="792" t="s">
        <v>539</v>
      </c>
      <c r="C21" s="817"/>
      <c r="D21" s="811">
        <f>SUM('Area Calculations'!E15:E21)</f>
        <v>279298</v>
      </c>
      <c r="E21" s="812" t="s">
        <v>179</v>
      </c>
      <c r="F21" s="813">
        <v>0.75</v>
      </c>
      <c r="G21" s="315">
        <f t="shared" ref="G21:G22" si="3">ROUND(D21*F21,0)</f>
        <v>209474</v>
      </c>
      <c r="H21" s="814"/>
      <c r="I21" s="793">
        <f t="shared" ref="I21:I22" si="4">G21</f>
        <v>209474</v>
      </c>
      <c r="J21" s="814"/>
      <c r="K21" s="793"/>
      <c r="L21" s="814"/>
      <c r="M21" s="794"/>
      <c r="N21" s="814"/>
      <c r="O21" s="794"/>
      <c r="P21" s="814"/>
      <c r="Q21" s="794"/>
      <c r="R21" s="814"/>
      <c r="S21" s="794"/>
    </row>
    <row r="22" spans="1:19">
      <c r="A22" s="815"/>
      <c r="B22" s="792" t="s">
        <v>29</v>
      </c>
      <c r="C22" s="817"/>
      <c r="D22" s="811">
        <f>'Area Calculations'!E14</f>
        <v>110025</v>
      </c>
      <c r="E22" s="812" t="s">
        <v>179</v>
      </c>
      <c r="F22" s="813">
        <v>0.25</v>
      </c>
      <c r="G22" s="315">
        <f t="shared" si="3"/>
        <v>27506</v>
      </c>
      <c r="H22" s="814"/>
      <c r="I22" s="793">
        <f t="shared" si="4"/>
        <v>27506</v>
      </c>
      <c r="J22" s="814"/>
      <c r="K22" s="793"/>
      <c r="L22" s="814"/>
      <c r="M22" s="794"/>
      <c r="N22" s="814"/>
      <c r="O22" s="794"/>
      <c r="P22" s="814"/>
      <c r="Q22" s="794"/>
      <c r="R22" s="814"/>
      <c r="S22" s="794"/>
    </row>
    <row r="23" spans="1:19">
      <c r="A23" s="815"/>
      <c r="B23" s="792"/>
      <c r="C23" s="817"/>
      <c r="D23" s="811"/>
      <c r="E23" s="812"/>
      <c r="F23" s="813"/>
      <c r="G23" s="315">
        <f t="shared" ref="G23:G49" si="5">ROUND(D23*F23,0)</f>
        <v>0</v>
      </c>
      <c r="H23" s="814"/>
      <c r="I23" s="793">
        <f t="shared" ref="I23:I49" si="6">G23</f>
        <v>0</v>
      </c>
      <c r="J23" s="814"/>
      <c r="K23" s="793"/>
      <c r="L23" s="814"/>
      <c r="M23" s="794"/>
      <c r="N23" s="814"/>
      <c r="O23" s="794"/>
      <c r="P23" s="814"/>
      <c r="Q23" s="794"/>
      <c r="R23" s="814"/>
      <c r="S23" s="794"/>
    </row>
    <row r="24" spans="1:19">
      <c r="A24" s="815"/>
      <c r="B24" s="792"/>
      <c r="C24" s="817"/>
      <c r="D24" s="811"/>
      <c r="E24" s="812"/>
      <c r="F24" s="813"/>
      <c r="G24" s="315">
        <f t="shared" si="5"/>
        <v>0</v>
      </c>
      <c r="H24" s="814"/>
      <c r="I24" s="793">
        <f t="shared" si="6"/>
        <v>0</v>
      </c>
      <c r="J24" s="814"/>
      <c r="K24" s="793"/>
      <c r="L24" s="814"/>
      <c r="M24" s="794"/>
      <c r="N24" s="814"/>
      <c r="O24" s="794"/>
      <c r="P24" s="814"/>
      <c r="Q24" s="794"/>
      <c r="R24" s="814"/>
      <c r="S24" s="794"/>
    </row>
    <row r="25" spans="1:19">
      <c r="A25" s="815"/>
      <c r="B25" s="792"/>
      <c r="C25" s="817"/>
      <c r="D25" s="811"/>
      <c r="E25" s="812"/>
      <c r="F25" s="813"/>
      <c r="G25" s="315">
        <f t="shared" si="5"/>
        <v>0</v>
      </c>
      <c r="H25" s="814"/>
      <c r="I25" s="793">
        <f t="shared" si="6"/>
        <v>0</v>
      </c>
      <c r="J25" s="814"/>
      <c r="K25" s="793"/>
      <c r="L25" s="814"/>
      <c r="M25" s="794"/>
      <c r="N25" s="814"/>
      <c r="O25" s="794"/>
      <c r="P25" s="814"/>
      <c r="Q25" s="794"/>
      <c r="R25" s="814"/>
      <c r="S25" s="794"/>
    </row>
    <row r="26" spans="1:19">
      <c r="A26" s="815"/>
      <c r="B26" s="792"/>
      <c r="C26" s="817"/>
      <c r="D26" s="811"/>
      <c r="E26" s="812"/>
      <c r="F26" s="813"/>
      <c r="G26" s="315">
        <f t="shared" si="5"/>
        <v>0</v>
      </c>
      <c r="H26" s="814"/>
      <c r="I26" s="793">
        <f t="shared" si="6"/>
        <v>0</v>
      </c>
      <c r="J26" s="814"/>
      <c r="K26" s="793"/>
      <c r="L26" s="814"/>
      <c r="M26" s="794"/>
      <c r="N26" s="814"/>
      <c r="O26" s="794"/>
      <c r="P26" s="814"/>
      <c r="Q26" s="794"/>
      <c r="R26" s="814"/>
      <c r="S26" s="794"/>
    </row>
    <row r="27" spans="1:19">
      <c r="A27" s="815"/>
      <c r="B27" s="792"/>
      <c r="C27" s="817"/>
      <c r="D27" s="811"/>
      <c r="E27" s="812"/>
      <c r="F27" s="813"/>
      <c r="G27" s="315">
        <f t="shared" si="5"/>
        <v>0</v>
      </c>
      <c r="H27" s="814"/>
      <c r="I27" s="793">
        <f t="shared" si="6"/>
        <v>0</v>
      </c>
      <c r="J27" s="814"/>
      <c r="K27" s="793"/>
      <c r="L27" s="814"/>
      <c r="M27" s="794"/>
      <c r="N27" s="814"/>
      <c r="O27" s="794"/>
      <c r="P27" s="814"/>
      <c r="Q27" s="794"/>
      <c r="R27" s="814"/>
      <c r="S27" s="794"/>
    </row>
    <row r="28" spans="1:19">
      <c r="A28" s="815"/>
      <c r="B28" s="792"/>
      <c r="C28" s="817"/>
      <c r="D28" s="811"/>
      <c r="E28" s="812"/>
      <c r="F28" s="813"/>
      <c r="G28" s="315">
        <f t="shared" si="5"/>
        <v>0</v>
      </c>
      <c r="H28" s="814"/>
      <c r="I28" s="793">
        <f t="shared" si="6"/>
        <v>0</v>
      </c>
      <c r="J28" s="814"/>
      <c r="K28" s="793"/>
      <c r="L28" s="814"/>
      <c r="M28" s="794"/>
      <c r="N28" s="814"/>
      <c r="O28" s="794"/>
      <c r="P28" s="814"/>
      <c r="Q28" s="794"/>
      <c r="R28" s="814"/>
      <c r="S28" s="794"/>
    </row>
    <row r="29" spans="1:19">
      <c r="A29" s="815"/>
      <c r="B29" s="792"/>
      <c r="C29" s="817"/>
      <c r="D29" s="811"/>
      <c r="E29" s="812"/>
      <c r="F29" s="813"/>
      <c r="G29" s="315">
        <f t="shared" si="5"/>
        <v>0</v>
      </c>
      <c r="H29" s="814"/>
      <c r="I29" s="793">
        <f t="shared" si="6"/>
        <v>0</v>
      </c>
      <c r="J29" s="814"/>
      <c r="K29" s="793"/>
      <c r="L29" s="814"/>
      <c r="M29" s="794"/>
      <c r="N29" s="814"/>
      <c r="O29" s="794"/>
      <c r="P29" s="814"/>
      <c r="Q29" s="794"/>
      <c r="R29" s="814"/>
      <c r="S29" s="794"/>
    </row>
    <row r="30" spans="1:19">
      <c r="A30" s="815"/>
      <c r="B30" s="792"/>
      <c r="C30" s="817"/>
      <c r="D30" s="811"/>
      <c r="E30" s="812"/>
      <c r="F30" s="813"/>
      <c r="G30" s="315">
        <f t="shared" si="5"/>
        <v>0</v>
      </c>
      <c r="H30" s="814"/>
      <c r="I30" s="793">
        <f t="shared" si="6"/>
        <v>0</v>
      </c>
      <c r="J30" s="814"/>
      <c r="K30" s="793"/>
      <c r="L30" s="814"/>
      <c r="M30" s="794"/>
      <c r="N30" s="814"/>
      <c r="O30" s="794"/>
      <c r="P30" s="814"/>
      <c r="Q30" s="794"/>
      <c r="R30" s="814"/>
      <c r="S30" s="794"/>
    </row>
    <row r="31" spans="1:19">
      <c r="A31" s="815"/>
      <c r="B31" s="792"/>
      <c r="C31" s="817"/>
      <c r="D31" s="811"/>
      <c r="E31" s="812"/>
      <c r="F31" s="813"/>
      <c r="G31" s="315">
        <f t="shared" si="5"/>
        <v>0</v>
      </c>
      <c r="H31" s="814"/>
      <c r="I31" s="793">
        <f t="shared" si="6"/>
        <v>0</v>
      </c>
      <c r="J31" s="814"/>
      <c r="K31" s="793"/>
      <c r="L31" s="814"/>
      <c r="M31" s="794"/>
      <c r="N31" s="814"/>
      <c r="O31" s="794"/>
      <c r="P31" s="814"/>
      <c r="Q31" s="794"/>
      <c r="R31" s="814"/>
      <c r="S31" s="794"/>
    </row>
    <row r="32" spans="1:19">
      <c r="A32" s="815"/>
      <c r="B32" s="792"/>
      <c r="C32" s="817"/>
      <c r="D32" s="811"/>
      <c r="E32" s="812"/>
      <c r="F32" s="813"/>
      <c r="G32" s="315">
        <f t="shared" si="5"/>
        <v>0</v>
      </c>
      <c r="H32" s="814"/>
      <c r="I32" s="793">
        <f t="shared" si="6"/>
        <v>0</v>
      </c>
      <c r="J32" s="814"/>
      <c r="K32" s="793"/>
      <c r="L32" s="814"/>
      <c r="M32" s="794"/>
      <c r="N32" s="814"/>
      <c r="O32" s="794"/>
      <c r="P32" s="814"/>
      <c r="Q32" s="794"/>
      <c r="R32" s="814"/>
      <c r="S32" s="794"/>
    </row>
    <row r="33" spans="1:19">
      <c r="A33" s="815"/>
      <c r="B33" s="792"/>
      <c r="C33" s="817"/>
      <c r="D33" s="811"/>
      <c r="E33" s="812"/>
      <c r="F33" s="813"/>
      <c r="G33" s="315">
        <f t="shared" si="5"/>
        <v>0</v>
      </c>
      <c r="H33" s="814"/>
      <c r="I33" s="793">
        <f t="shared" si="6"/>
        <v>0</v>
      </c>
      <c r="J33" s="814"/>
      <c r="K33" s="793"/>
      <c r="L33" s="814"/>
      <c r="M33" s="794"/>
      <c r="N33" s="814"/>
      <c r="O33" s="794"/>
      <c r="P33" s="814"/>
      <c r="Q33" s="794"/>
      <c r="R33" s="814"/>
      <c r="S33" s="794"/>
    </row>
    <row r="34" spans="1:19">
      <c r="A34" s="815"/>
      <c r="B34" s="792"/>
      <c r="C34" s="817"/>
      <c r="D34" s="811"/>
      <c r="E34" s="812"/>
      <c r="F34" s="813"/>
      <c r="G34" s="315">
        <f t="shared" si="5"/>
        <v>0</v>
      </c>
      <c r="H34" s="814"/>
      <c r="I34" s="793">
        <f t="shared" si="6"/>
        <v>0</v>
      </c>
      <c r="J34" s="814"/>
      <c r="K34" s="793"/>
      <c r="L34" s="814"/>
      <c r="M34" s="794"/>
      <c r="N34" s="814"/>
      <c r="O34" s="794"/>
      <c r="P34" s="814"/>
      <c r="Q34" s="794"/>
      <c r="R34" s="814"/>
      <c r="S34" s="794"/>
    </row>
    <row r="35" spans="1:19">
      <c r="A35" s="815"/>
      <c r="B35" s="792"/>
      <c r="C35" s="817"/>
      <c r="D35" s="811"/>
      <c r="E35" s="812"/>
      <c r="F35" s="813"/>
      <c r="G35" s="315">
        <f t="shared" si="5"/>
        <v>0</v>
      </c>
      <c r="H35" s="814"/>
      <c r="I35" s="793">
        <f t="shared" si="6"/>
        <v>0</v>
      </c>
      <c r="J35" s="814"/>
      <c r="K35" s="793"/>
      <c r="L35" s="814"/>
      <c r="M35" s="794"/>
      <c r="N35" s="814"/>
      <c r="O35" s="794"/>
      <c r="P35" s="814"/>
      <c r="Q35" s="794"/>
      <c r="R35" s="814"/>
      <c r="S35" s="794"/>
    </row>
    <row r="36" spans="1:19">
      <c r="A36" s="815"/>
      <c r="B36" s="792"/>
      <c r="C36" s="817"/>
      <c r="D36" s="811"/>
      <c r="E36" s="812"/>
      <c r="F36" s="813"/>
      <c r="G36" s="315">
        <f t="shared" si="5"/>
        <v>0</v>
      </c>
      <c r="H36" s="814"/>
      <c r="I36" s="793">
        <f t="shared" si="6"/>
        <v>0</v>
      </c>
      <c r="J36" s="814"/>
      <c r="K36" s="793"/>
      <c r="L36" s="814"/>
      <c r="M36" s="794"/>
      <c r="N36" s="814"/>
      <c r="O36" s="794"/>
      <c r="P36" s="814"/>
      <c r="Q36" s="794"/>
      <c r="R36" s="814"/>
      <c r="S36" s="794"/>
    </row>
    <row r="37" spans="1:19">
      <c r="A37" s="815"/>
      <c r="B37" s="792"/>
      <c r="C37" s="817"/>
      <c r="D37" s="811"/>
      <c r="E37" s="812"/>
      <c r="F37" s="813"/>
      <c r="G37" s="315">
        <f t="shared" si="5"/>
        <v>0</v>
      </c>
      <c r="H37" s="814"/>
      <c r="I37" s="793">
        <f t="shared" si="6"/>
        <v>0</v>
      </c>
      <c r="J37" s="814"/>
      <c r="K37" s="793"/>
      <c r="L37" s="814"/>
      <c r="M37" s="794"/>
      <c r="N37" s="814"/>
      <c r="O37" s="794"/>
      <c r="P37" s="814"/>
      <c r="Q37" s="794"/>
      <c r="R37" s="814"/>
      <c r="S37" s="794"/>
    </row>
    <row r="38" spans="1:19">
      <c r="A38" s="815"/>
      <c r="B38" s="792"/>
      <c r="C38" s="817"/>
      <c r="D38" s="811"/>
      <c r="E38" s="812"/>
      <c r="F38" s="813"/>
      <c r="G38" s="315">
        <f t="shared" si="5"/>
        <v>0</v>
      </c>
      <c r="H38" s="814"/>
      <c r="I38" s="793">
        <f t="shared" si="6"/>
        <v>0</v>
      </c>
      <c r="J38" s="814"/>
      <c r="K38" s="793"/>
      <c r="L38" s="814"/>
      <c r="M38" s="794"/>
      <c r="N38" s="814"/>
      <c r="O38" s="794"/>
      <c r="P38" s="814"/>
      <c r="Q38" s="794"/>
      <c r="R38" s="814"/>
      <c r="S38" s="794"/>
    </row>
    <row r="39" spans="1:19">
      <c r="A39" s="815"/>
      <c r="B39" s="792"/>
      <c r="C39" s="817"/>
      <c r="D39" s="811"/>
      <c r="E39" s="812"/>
      <c r="F39" s="813"/>
      <c r="G39" s="315">
        <f t="shared" si="5"/>
        <v>0</v>
      </c>
      <c r="H39" s="814"/>
      <c r="I39" s="793">
        <f t="shared" si="6"/>
        <v>0</v>
      </c>
      <c r="J39" s="814"/>
      <c r="K39" s="793"/>
      <c r="L39" s="814"/>
      <c r="M39" s="794"/>
      <c r="N39" s="814"/>
      <c r="O39" s="794"/>
      <c r="P39" s="814"/>
      <c r="Q39" s="794"/>
      <c r="R39" s="814"/>
      <c r="S39" s="794"/>
    </row>
    <row r="40" spans="1:19">
      <c r="A40" s="815"/>
      <c r="B40" s="792"/>
      <c r="C40" s="817"/>
      <c r="D40" s="811"/>
      <c r="E40" s="812"/>
      <c r="F40" s="813"/>
      <c r="G40" s="315">
        <f t="shared" si="5"/>
        <v>0</v>
      </c>
      <c r="H40" s="814"/>
      <c r="I40" s="793">
        <f t="shared" si="6"/>
        <v>0</v>
      </c>
      <c r="J40" s="814"/>
      <c r="K40" s="793"/>
      <c r="L40" s="814"/>
      <c r="M40" s="794"/>
      <c r="N40" s="814"/>
      <c r="O40" s="794"/>
      <c r="P40" s="814"/>
      <c r="Q40" s="794"/>
      <c r="R40" s="814"/>
      <c r="S40" s="794"/>
    </row>
    <row r="41" spans="1:19">
      <c r="A41" s="815"/>
      <c r="B41" s="792"/>
      <c r="C41" s="817"/>
      <c r="D41" s="811"/>
      <c r="E41" s="812"/>
      <c r="F41" s="813"/>
      <c r="G41" s="315">
        <f t="shared" si="5"/>
        <v>0</v>
      </c>
      <c r="H41" s="814"/>
      <c r="I41" s="793">
        <f t="shared" si="6"/>
        <v>0</v>
      </c>
      <c r="J41" s="814"/>
      <c r="K41" s="793"/>
      <c r="L41" s="814"/>
      <c r="M41" s="794"/>
      <c r="N41" s="814"/>
      <c r="O41" s="794"/>
      <c r="P41" s="814"/>
      <c r="Q41" s="794"/>
      <c r="R41" s="814"/>
      <c r="S41" s="794"/>
    </row>
    <row r="42" spans="1:19">
      <c r="A42" s="815"/>
      <c r="B42" s="792"/>
      <c r="C42" s="817"/>
      <c r="D42" s="811"/>
      <c r="E42" s="812"/>
      <c r="F42" s="813"/>
      <c r="G42" s="315">
        <f t="shared" si="5"/>
        <v>0</v>
      </c>
      <c r="H42" s="814"/>
      <c r="I42" s="793">
        <f t="shared" si="6"/>
        <v>0</v>
      </c>
      <c r="J42" s="814"/>
      <c r="K42" s="793"/>
      <c r="L42" s="814"/>
      <c r="M42" s="794"/>
      <c r="N42" s="814"/>
      <c r="O42" s="794"/>
      <c r="P42" s="814"/>
      <c r="Q42" s="794"/>
      <c r="R42" s="814"/>
      <c r="S42" s="794"/>
    </row>
    <row r="43" spans="1:19">
      <c r="A43" s="815"/>
      <c r="B43" s="792"/>
      <c r="C43" s="817"/>
      <c r="D43" s="811"/>
      <c r="E43" s="812"/>
      <c r="F43" s="813"/>
      <c r="G43" s="315">
        <f t="shared" si="5"/>
        <v>0</v>
      </c>
      <c r="H43" s="814"/>
      <c r="I43" s="793">
        <f t="shared" si="6"/>
        <v>0</v>
      </c>
      <c r="J43" s="814"/>
      <c r="K43" s="793"/>
      <c r="L43" s="814"/>
      <c r="M43" s="794"/>
      <c r="N43" s="814"/>
      <c r="O43" s="794"/>
      <c r="P43" s="814"/>
      <c r="Q43" s="794"/>
      <c r="R43" s="814"/>
      <c r="S43" s="794"/>
    </row>
    <row r="44" spans="1:19">
      <c r="A44" s="815"/>
      <c r="B44" s="792"/>
      <c r="C44" s="817"/>
      <c r="D44" s="811"/>
      <c r="E44" s="812"/>
      <c r="F44" s="813"/>
      <c r="G44" s="315">
        <f t="shared" si="5"/>
        <v>0</v>
      </c>
      <c r="H44" s="814"/>
      <c r="I44" s="793">
        <f t="shared" si="6"/>
        <v>0</v>
      </c>
      <c r="J44" s="814"/>
      <c r="K44" s="793"/>
      <c r="L44" s="814"/>
      <c r="M44" s="794"/>
      <c r="N44" s="814"/>
      <c r="O44" s="794"/>
      <c r="P44" s="814"/>
      <c r="Q44" s="794"/>
      <c r="R44" s="814"/>
      <c r="S44" s="794"/>
    </row>
    <row r="45" spans="1:19">
      <c r="A45" s="815"/>
      <c r="B45" s="792"/>
      <c r="C45" s="817"/>
      <c r="D45" s="811"/>
      <c r="E45" s="812"/>
      <c r="F45" s="813"/>
      <c r="G45" s="315">
        <f t="shared" si="5"/>
        <v>0</v>
      </c>
      <c r="H45" s="814"/>
      <c r="I45" s="793">
        <f t="shared" si="6"/>
        <v>0</v>
      </c>
      <c r="J45" s="814"/>
      <c r="K45" s="793"/>
      <c r="L45" s="814"/>
      <c r="M45" s="794"/>
      <c r="N45" s="814"/>
      <c r="O45" s="794"/>
      <c r="P45" s="814"/>
      <c r="Q45" s="794"/>
      <c r="R45" s="814"/>
      <c r="S45" s="794"/>
    </row>
    <row r="46" spans="1:19">
      <c r="A46" s="815"/>
      <c r="B46" s="792"/>
      <c r="C46" s="817"/>
      <c r="D46" s="811"/>
      <c r="E46" s="812"/>
      <c r="F46" s="813"/>
      <c r="G46" s="315">
        <f t="shared" si="5"/>
        <v>0</v>
      </c>
      <c r="H46" s="814"/>
      <c r="I46" s="793">
        <f t="shared" si="6"/>
        <v>0</v>
      </c>
      <c r="J46" s="814"/>
      <c r="K46" s="793"/>
      <c r="L46" s="814"/>
      <c r="M46" s="794"/>
      <c r="N46" s="814"/>
      <c r="O46" s="794"/>
      <c r="P46" s="814"/>
      <c r="Q46" s="794"/>
      <c r="R46" s="814"/>
      <c r="S46" s="794"/>
    </row>
    <row r="47" spans="1:19">
      <c r="A47" s="815"/>
      <c r="B47" s="792"/>
      <c r="C47" s="817"/>
      <c r="D47" s="811"/>
      <c r="E47" s="812"/>
      <c r="F47" s="813"/>
      <c r="G47" s="315">
        <f t="shared" si="5"/>
        <v>0</v>
      </c>
      <c r="H47" s="814"/>
      <c r="I47" s="793">
        <f t="shared" si="6"/>
        <v>0</v>
      </c>
      <c r="J47" s="814"/>
      <c r="K47" s="793"/>
      <c r="L47" s="814"/>
      <c r="M47" s="794"/>
      <c r="N47" s="814"/>
      <c r="O47" s="794"/>
      <c r="P47" s="814"/>
      <c r="Q47" s="794"/>
      <c r="R47" s="814"/>
      <c r="S47" s="794"/>
    </row>
    <row r="48" spans="1:19">
      <c r="A48" s="815"/>
      <c r="B48" s="792"/>
      <c r="C48" s="817"/>
      <c r="D48" s="811"/>
      <c r="E48" s="812"/>
      <c r="F48" s="813"/>
      <c r="G48" s="315">
        <f t="shared" si="5"/>
        <v>0</v>
      </c>
      <c r="H48" s="814"/>
      <c r="I48" s="793">
        <f t="shared" si="6"/>
        <v>0</v>
      </c>
      <c r="J48" s="814"/>
      <c r="K48" s="793"/>
      <c r="L48" s="814"/>
      <c r="M48" s="794"/>
      <c r="N48" s="814"/>
      <c r="O48" s="794"/>
      <c r="P48" s="814"/>
      <c r="Q48" s="794"/>
      <c r="R48" s="814"/>
      <c r="S48" s="794"/>
    </row>
    <row r="49" spans="1:34">
      <c r="A49" s="815"/>
      <c r="B49" s="792"/>
      <c r="C49" s="817"/>
      <c r="D49" s="811"/>
      <c r="E49" s="812"/>
      <c r="F49" s="813"/>
      <c r="G49" s="315">
        <f t="shared" si="5"/>
        <v>0</v>
      </c>
      <c r="H49" s="814"/>
      <c r="I49" s="793">
        <f t="shared" si="6"/>
        <v>0</v>
      </c>
      <c r="J49" s="814"/>
      <c r="K49" s="793"/>
      <c r="L49" s="814"/>
      <c r="M49" s="794"/>
      <c r="N49" s="814"/>
      <c r="O49" s="794"/>
      <c r="P49" s="814"/>
      <c r="Q49" s="794"/>
      <c r="R49" s="814"/>
      <c r="S49" s="794"/>
    </row>
    <row r="50" spans="1:34" ht="15.75" thickBot="1">
      <c r="A50" s="815"/>
      <c r="B50" s="816"/>
      <c r="C50" s="821"/>
      <c r="D50" s="820"/>
      <c r="E50" s="812"/>
      <c r="F50" s="822"/>
      <c r="G50" s="315"/>
      <c r="H50" s="814"/>
      <c r="I50" s="793"/>
      <c r="J50" s="814"/>
      <c r="K50" s="793"/>
      <c r="L50" s="814"/>
      <c r="M50" s="793"/>
      <c r="N50" s="814"/>
      <c r="O50" s="793"/>
      <c r="P50" s="814"/>
      <c r="Q50" s="793"/>
      <c r="R50" s="814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236980</v>
      </c>
      <c r="H51" s="21"/>
      <c r="I51" s="217">
        <f>SUBTOTAL(9,I21:I50)</f>
        <v>236980</v>
      </c>
      <c r="J51" s="21"/>
      <c r="K51" s="217">
        <f>SUBTOTAL(9,K21:K50)</f>
        <v>0</v>
      </c>
      <c r="L51" s="21"/>
      <c r="M51" s="217">
        <f>SUBTOTAL(9,M21:M50)</f>
        <v>0</v>
      </c>
      <c r="N51" s="21"/>
      <c r="O51" s="217">
        <f>SUBTOTAL(9,O21:O50)</f>
        <v>0</v>
      </c>
      <c r="P51" s="21"/>
      <c r="Q51" s="217">
        <f>SUBTOTAL(9,Q21:Q50)</f>
        <v>0</v>
      </c>
      <c r="R51" s="21"/>
      <c r="S51" s="217">
        <f>SUBTOTAL(9,S21:S50)</f>
        <v>0</v>
      </c>
    </row>
    <row r="52" spans="1:34">
      <c r="A52" s="826"/>
      <c r="B52" s="827" t="s">
        <v>471</v>
      </c>
      <c r="C52" s="828"/>
      <c r="D52" s="829"/>
      <c r="E52" s="830"/>
      <c r="F52" s="831"/>
      <c r="G52" s="901"/>
      <c r="H52" s="833">
        <v>0</v>
      </c>
      <c r="I52" s="163"/>
      <c r="J52" s="833">
        <v>0</v>
      </c>
      <c r="K52" s="163"/>
      <c r="L52" s="833">
        <v>0</v>
      </c>
      <c r="M52" s="163"/>
      <c r="N52" s="833">
        <v>0</v>
      </c>
      <c r="O52" s="163"/>
      <c r="P52" s="833">
        <v>0</v>
      </c>
      <c r="Q52" s="163"/>
      <c r="R52" s="833">
        <v>0</v>
      </c>
      <c r="S52" s="163"/>
    </row>
    <row r="53" spans="1:34">
      <c r="A53" s="826"/>
      <c r="B53" s="827" t="s">
        <v>472</v>
      </c>
      <c r="C53" s="828"/>
      <c r="D53" s="829"/>
      <c r="E53" s="830"/>
      <c r="F53" s="831"/>
      <c r="G53" s="901">
        <f>F52*G51</f>
        <v>0</v>
      </c>
      <c r="H53" s="836"/>
      <c r="I53" s="838">
        <f>H52*I51</f>
        <v>0</v>
      </c>
      <c r="J53" s="836"/>
      <c r="K53" s="838">
        <f>J52*K51</f>
        <v>0</v>
      </c>
      <c r="L53" s="836"/>
      <c r="M53" s="838">
        <f>L52*M51</f>
        <v>0</v>
      </c>
      <c r="N53" s="836"/>
      <c r="O53" s="838">
        <f>N52*O51</f>
        <v>0</v>
      </c>
      <c r="P53" s="836"/>
      <c r="Q53" s="838">
        <f>P52*Q51</f>
        <v>0</v>
      </c>
      <c r="R53" s="836"/>
      <c r="S53" s="838">
        <f>R52*S51</f>
        <v>0</v>
      </c>
    </row>
    <row r="54" spans="1:34">
      <c r="A54" s="826"/>
      <c r="B54" s="827"/>
      <c r="C54" s="828"/>
      <c r="D54" s="829"/>
      <c r="E54" s="830"/>
      <c r="F54" s="831"/>
      <c r="G54" s="901"/>
      <c r="H54" s="836"/>
      <c r="I54" s="838"/>
      <c r="J54" s="836"/>
      <c r="K54" s="838"/>
      <c r="L54" s="836"/>
      <c r="M54" s="838"/>
      <c r="N54" s="836"/>
      <c r="O54" s="838"/>
      <c r="P54" s="836"/>
      <c r="Q54" s="838"/>
      <c r="R54" s="836"/>
      <c r="S54" s="838"/>
    </row>
    <row r="55" spans="1:34">
      <c r="A55" s="826"/>
      <c r="B55" s="827" t="s">
        <v>473</v>
      </c>
      <c r="C55" s="828"/>
      <c r="D55" s="829"/>
      <c r="E55" s="830"/>
      <c r="F55" s="831"/>
      <c r="G55" s="901">
        <f>SUM(G51:G53)</f>
        <v>236980</v>
      </c>
      <c r="H55" s="839"/>
      <c r="I55" s="838">
        <f>SUM(I51:I53)</f>
        <v>236980</v>
      </c>
      <c r="J55" s="839"/>
      <c r="K55" s="838">
        <f>SUM(K51:K53)</f>
        <v>0</v>
      </c>
      <c r="L55" s="839"/>
      <c r="M55" s="838">
        <f>SUM(M51:M53)</f>
        <v>0</v>
      </c>
      <c r="N55" s="839"/>
      <c r="O55" s="838">
        <f>SUM(O51:O53)</f>
        <v>0</v>
      </c>
      <c r="P55" s="839"/>
      <c r="Q55" s="838">
        <f>SUM(Q51:Q53)</f>
        <v>0</v>
      </c>
      <c r="R55" s="839"/>
      <c r="S55" s="838">
        <f>SUM(S51:S53)</f>
        <v>0</v>
      </c>
    </row>
    <row r="56" spans="1:34">
      <c r="A56" s="826"/>
      <c r="B56" s="840" t="s">
        <v>474</v>
      </c>
      <c r="C56" s="828"/>
      <c r="D56" s="829"/>
      <c r="E56" s="830"/>
      <c r="F56" s="840"/>
      <c r="G56" s="902">
        <f>G55/'Area Calculations'!$G$5</f>
        <v>0.6086976623523398</v>
      </c>
      <c r="H56" s="842"/>
      <c r="I56" s="844">
        <f>I55/'Area Calculations'!$G$5</f>
        <v>0.6086976623523398</v>
      </c>
      <c r="J56" s="842"/>
      <c r="K56" s="844">
        <f>K55/'Area Calculations'!$G$5</f>
        <v>0</v>
      </c>
      <c r="L56" s="842"/>
      <c r="M56" s="844">
        <f>M55/'Area Calculations'!$G$5</f>
        <v>0</v>
      </c>
      <c r="N56" s="842"/>
      <c r="O56" s="844">
        <f>O55/'Area Calculations'!$G$5</f>
        <v>0</v>
      </c>
      <c r="P56" s="842"/>
      <c r="Q56" s="844">
        <f>Q55/'Area Calculations'!$G$5</f>
        <v>0</v>
      </c>
      <c r="R56" s="845"/>
      <c r="S56" s="844">
        <f>S55/'Area Calculations'!$G$5</f>
        <v>0</v>
      </c>
    </row>
    <row r="57" spans="1:34" ht="15.75" thickBot="1">
      <c r="A57" s="826"/>
      <c r="B57" s="846"/>
      <c r="C57" s="828"/>
      <c r="D57" s="829"/>
      <c r="E57" s="830"/>
      <c r="F57" s="831"/>
      <c r="G57" s="464"/>
      <c r="H57" s="847"/>
      <c r="I57" s="847"/>
      <c r="J57" s="847"/>
      <c r="K57" s="849"/>
      <c r="L57" s="847"/>
      <c r="M57" s="847"/>
      <c r="N57" s="847"/>
      <c r="O57" s="847"/>
      <c r="P57" s="847"/>
      <c r="Q57" s="847"/>
      <c r="R57" s="847"/>
      <c r="S57" s="847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850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850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850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850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850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850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850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855"/>
      <c r="B68" s="850"/>
      <c r="C68" s="817"/>
      <c r="D68" s="811"/>
      <c r="E68" s="812"/>
      <c r="F68" s="817"/>
      <c r="G68" s="903"/>
      <c r="H68" s="857"/>
      <c r="I68" s="857"/>
      <c r="J68" s="857"/>
      <c r="K68" s="857"/>
      <c r="L68" s="857"/>
      <c r="M68" s="857"/>
      <c r="N68" s="857"/>
      <c r="O68" s="857"/>
      <c r="P68" s="857"/>
      <c r="Q68" s="857"/>
      <c r="R68" s="857"/>
      <c r="S68" s="857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859"/>
      <c r="B69" s="860"/>
      <c r="C69" s="817"/>
      <c r="D69" s="811"/>
      <c r="E69" s="812"/>
      <c r="F69" s="817"/>
      <c r="G69" s="903"/>
      <c r="H69" s="861"/>
      <c r="I69" s="861"/>
      <c r="J69" s="861"/>
      <c r="K69" s="861"/>
      <c r="L69" s="861"/>
      <c r="M69" s="861"/>
      <c r="N69" s="861"/>
      <c r="O69" s="861"/>
      <c r="P69" s="861"/>
      <c r="Q69" s="861"/>
      <c r="R69" s="861"/>
      <c r="S69" s="861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859"/>
      <c r="B72" s="860"/>
      <c r="C72" s="817"/>
      <c r="D72" s="811"/>
      <c r="E72" s="812"/>
      <c r="F72" s="817"/>
      <c r="G72" s="903"/>
      <c r="H72" s="863"/>
      <c r="I72" s="863"/>
      <c r="J72" s="863"/>
      <c r="K72" s="863"/>
      <c r="L72" s="863"/>
      <c r="M72" s="863"/>
      <c r="N72" s="863"/>
      <c r="O72" s="863"/>
      <c r="P72" s="863"/>
      <c r="Q72" s="863"/>
      <c r="R72" s="863"/>
      <c r="S72" s="86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859"/>
      <c r="B73" s="860"/>
      <c r="C73" s="817"/>
      <c r="D73" s="811"/>
      <c r="E73" s="812"/>
      <c r="F73" s="817"/>
      <c r="G73" s="903"/>
      <c r="H73" s="863"/>
      <c r="I73" s="863"/>
      <c r="J73" s="863"/>
      <c r="K73" s="863"/>
      <c r="L73" s="863"/>
      <c r="M73" s="863"/>
      <c r="N73" s="863"/>
      <c r="O73" s="863"/>
      <c r="P73" s="863"/>
      <c r="Q73" s="863"/>
      <c r="R73" s="863"/>
      <c r="S73" s="86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855"/>
      <c r="B75" s="850" t="s">
        <v>480</v>
      </c>
      <c r="C75" s="817"/>
      <c r="D75" s="811"/>
      <c r="E75" s="812"/>
      <c r="F75" s="817"/>
      <c r="G75" s="903"/>
      <c r="H75" s="863"/>
      <c r="I75" s="863"/>
      <c r="J75" s="863"/>
      <c r="K75" s="863"/>
      <c r="L75" s="863"/>
      <c r="M75" s="863"/>
      <c r="N75" s="863"/>
      <c r="O75" s="863"/>
      <c r="P75" s="863"/>
      <c r="Q75" s="863"/>
      <c r="R75" s="863"/>
      <c r="S75" s="863"/>
    </row>
    <row r="76" spans="1:34">
      <c r="A76" s="855"/>
      <c r="B76" s="850" t="s">
        <v>481</v>
      </c>
      <c r="C76" s="817"/>
      <c r="D76" s="811"/>
      <c r="E76" s="812"/>
      <c r="F76" s="817"/>
      <c r="G76" s="903"/>
      <c r="H76" s="863"/>
      <c r="I76" s="863"/>
      <c r="J76" s="863"/>
      <c r="K76" s="863"/>
      <c r="L76" s="863"/>
      <c r="M76" s="863"/>
      <c r="N76" s="863"/>
      <c r="O76" s="863"/>
      <c r="P76" s="863"/>
      <c r="Q76" s="863"/>
      <c r="R76" s="863"/>
      <c r="S76" s="863"/>
    </row>
    <row r="77" spans="1:34">
      <c r="A77" s="855"/>
      <c r="B77" s="850" t="s">
        <v>482</v>
      </c>
      <c r="C77" s="817"/>
      <c r="D77" s="811"/>
      <c r="E77" s="812"/>
      <c r="F77" s="817"/>
      <c r="G77" s="903"/>
      <c r="H77" s="863"/>
      <c r="I77" s="863"/>
      <c r="J77" s="863"/>
      <c r="K77" s="863"/>
      <c r="L77" s="863"/>
      <c r="M77" s="863"/>
      <c r="N77" s="863"/>
      <c r="O77" s="863"/>
      <c r="P77" s="863"/>
      <c r="Q77" s="863"/>
      <c r="R77" s="863"/>
      <c r="S77" s="863"/>
    </row>
    <row r="78" spans="1:34">
      <c r="A78" s="855"/>
      <c r="B78" s="850" t="s">
        <v>483</v>
      </c>
      <c r="C78" s="817"/>
      <c r="D78" s="811"/>
      <c r="E78" s="812"/>
      <c r="F78" s="817"/>
      <c r="G78" s="903"/>
      <c r="H78" s="863"/>
      <c r="I78" s="863"/>
      <c r="J78" s="863"/>
      <c r="K78" s="863"/>
      <c r="L78" s="863"/>
      <c r="M78" s="863"/>
      <c r="N78" s="863"/>
      <c r="O78" s="863"/>
      <c r="P78" s="863"/>
      <c r="Q78" s="863"/>
      <c r="R78" s="863"/>
      <c r="S78" s="863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855"/>
      <c r="B82" s="850" t="s">
        <v>486</v>
      </c>
      <c r="C82" s="817"/>
      <c r="D82" s="811"/>
      <c r="E82" s="812"/>
      <c r="F82" s="817"/>
      <c r="G82" s="903"/>
      <c r="H82" s="864"/>
      <c r="I82" s="864"/>
      <c r="J82" s="864"/>
      <c r="K82" s="864"/>
      <c r="L82" s="864"/>
      <c r="M82" s="864"/>
      <c r="N82" s="864"/>
      <c r="O82" s="864"/>
      <c r="P82" s="864"/>
      <c r="Q82" s="864"/>
      <c r="R82" s="864"/>
      <c r="S82" s="864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873"/>
    </row>
    <row r="87" spans="1:19">
      <c r="A87" s="874" t="s">
        <v>446</v>
      </c>
      <c r="B87" s="873"/>
    </row>
    <row r="88" spans="1:19">
      <c r="A88" s="875" t="s">
        <v>448</v>
      </c>
      <c r="B88" s="876"/>
    </row>
    <row r="89" spans="1:19">
      <c r="A89" s="875" t="s">
        <v>450</v>
      </c>
      <c r="B89" s="877"/>
    </row>
    <row r="90" spans="1:19" ht="15.75" thickBot="1">
      <c r="A90" s="878" t="s">
        <v>489</v>
      </c>
      <c r="B90" s="879">
        <f>I$55</f>
        <v>236980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A70:B70"/>
    <mergeCell ref="A74:B74"/>
    <mergeCell ref="R6:S6"/>
    <mergeCell ref="J5:K5"/>
    <mergeCell ref="N5:O5"/>
    <mergeCell ref="L5:M5"/>
    <mergeCell ref="H5:I5"/>
    <mergeCell ref="P5:Q5"/>
    <mergeCell ref="R5:S5"/>
    <mergeCell ref="J6:K6"/>
    <mergeCell ref="N6:O6"/>
    <mergeCell ref="L6:M6"/>
    <mergeCell ref="H6:I6"/>
    <mergeCell ref="P6:Q6"/>
    <mergeCell ref="R8:S8"/>
    <mergeCell ref="J7:K7"/>
    <mergeCell ref="N7:O7"/>
    <mergeCell ref="L7:M7"/>
    <mergeCell ref="H7:I7"/>
    <mergeCell ref="P7:Q7"/>
    <mergeCell ref="R7:S7"/>
    <mergeCell ref="J8:K8"/>
    <mergeCell ref="N8:O8"/>
    <mergeCell ref="L8:M8"/>
    <mergeCell ref="H8:I8"/>
    <mergeCell ref="P8:Q8"/>
    <mergeCell ref="R9:S9"/>
    <mergeCell ref="A58:B58"/>
    <mergeCell ref="A62:B62"/>
    <mergeCell ref="A66:B66"/>
    <mergeCell ref="J9:K9"/>
    <mergeCell ref="N9:O9"/>
    <mergeCell ref="L9:M9"/>
    <mergeCell ref="H9:I9"/>
    <mergeCell ref="P9:Q9"/>
  </mergeCells>
  <conditionalFormatting sqref="H11:H18 J11:J18 L11:L18 N11:N18 P11:P18 R11:R18 J20:J50 L20:L50 N20:N50 P20:P50 R20:R50">
    <cfRule type="cellIs" dxfId="135" priority="5" operator="equal">
      <formula>"X"</formula>
    </cfRule>
    <cfRule type="cellIs" dxfId="134" priority="6" operator="equal">
      <formula>"I"</formula>
    </cfRule>
  </conditionalFormatting>
  <conditionalFormatting sqref="H20:H50">
    <cfRule type="cellIs" dxfId="133" priority="1" operator="equal">
      <formula>"X"</formula>
    </cfRule>
    <cfRule type="cellIs" dxfId="132" priority="2" operator="equal">
      <formula>"I"</formula>
    </cfRule>
  </conditionalFormatting>
  <hyperlinks>
    <hyperlink ref="B4" location="'Cost Summary'!A1" display="BACK TO SUMMARY SHEET" xr:uid="{6D37EAED-4E91-46F6-8FCD-5A654011D8CF}"/>
  </hyperlinks>
  <pageMargins left="0.2" right="0.2" top="0.5" bottom="0.75" header="0.3" footer="0.3"/>
  <pageSetup paperSize="3" scale="77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F04F9-EF73-4087-88D6-34037737A2B6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O31" sqref="O31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73" t="s">
        <v>540</v>
      </c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880" t="s">
        <v>445</v>
      </c>
      <c r="B6" s="916" t="s">
        <v>125</v>
      </c>
      <c r="C6" s="817"/>
      <c r="D6" s="811"/>
      <c r="E6" s="812"/>
      <c r="F6" s="817"/>
      <c r="G6" s="462" t="s">
        <v>446</v>
      </c>
      <c r="H6" s="882" t="s">
        <v>541</v>
      </c>
      <c r="I6" s="676"/>
      <c r="J6" s="882"/>
      <c r="K6" s="676"/>
      <c r="L6" s="882"/>
      <c r="M6" s="676"/>
      <c r="N6" s="882"/>
      <c r="O6" s="676"/>
      <c r="P6" s="882"/>
      <c r="Q6" s="676"/>
      <c r="R6" s="882"/>
      <c r="S6" s="676"/>
    </row>
    <row r="7" spans="1:19">
      <c r="A7" s="880" t="s">
        <v>447</v>
      </c>
      <c r="B7" s="917" t="s">
        <v>124</v>
      </c>
      <c r="C7" s="817"/>
      <c r="D7" s="811"/>
      <c r="E7" s="812"/>
      <c r="F7" s="817"/>
      <c r="G7" s="884" t="s">
        <v>448</v>
      </c>
      <c r="H7" s="886"/>
      <c r="I7" s="678"/>
      <c r="J7" s="886"/>
      <c r="K7" s="678"/>
      <c r="L7" s="886"/>
      <c r="M7" s="678"/>
      <c r="N7" s="886"/>
      <c r="O7" s="678"/>
      <c r="P7" s="886"/>
      <c r="Q7" s="678"/>
      <c r="R7" s="886"/>
      <c r="S7" s="678"/>
    </row>
    <row r="8" spans="1:19">
      <c r="A8" s="880" t="s">
        <v>449</v>
      </c>
      <c r="B8" s="887"/>
      <c r="C8" s="817"/>
      <c r="D8" s="811"/>
      <c r="E8" s="812"/>
      <c r="F8" s="817"/>
      <c r="G8" s="884" t="s">
        <v>450</v>
      </c>
      <c r="H8" s="889"/>
      <c r="I8" s="680"/>
      <c r="J8" s="889"/>
      <c r="K8" s="680"/>
      <c r="L8" s="889"/>
      <c r="M8" s="680"/>
      <c r="N8" s="889"/>
      <c r="O8" s="680"/>
      <c r="P8" s="889"/>
      <c r="Q8" s="680"/>
      <c r="R8" s="88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0</v>
      </c>
      <c r="I9" s="895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811"/>
      <c r="E11" s="812"/>
      <c r="F11" s="817"/>
      <c r="G11" s="60"/>
      <c r="H11" s="814"/>
      <c r="I11" s="782"/>
      <c r="J11" s="814"/>
      <c r="K11" s="183"/>
      <c r="L11" s="814"/>
      <c r="M11" s="783"/>
      <c r="N11" s="814"/>
      <c r="O11" s="783"/>
      <c r="P11" s="814"/>
      <c r="Q11" s="783"/>
      <c r="R11" s="814"/>
      <c r="S11" s="783"/>
    </row>
    <row r="12" spans="1:19">
      <c r="A12" s="784"/>
      <c r="B12" s="785" t="s">
        <v>461</v>
      </c>
      <c r="C12" s="817"/>
      <c r="D12" s="811"/>
      <c r="E12" s="812"/>
      <c r="F12" s="817"/>
      <c r="G12" s="60"/>
      <c r="H12" s="814"/>
      <c r="I12" s="782"/>
      <c r="J12" s="814"/>
      <c r="K12" s="783"/>
      <c r="L12" s="814"/>
      <c r="M12" s="783"/>
      <c r="N12" s="814"/>
      <c r="O12" s="783"/>
      <c r="P12" s="814"/>
      <c r="Q12" s="783"/>
      <c r="R12" s="814"/>
      <c r="S12" s="783"/>
    </row>
    <row r="13" spans="1:19">
      <c r="A13" s="815"/>
      <c r="B13" s="786" t="s">
        <v>462</v>
      </c>
      <c r="C13" s="817"/>
      <c r="D13" s="811"/>
      <c r="E13" s="812"/>
      <c r="F13" s="817"/>
      <c r="G13" s="60"/>
      <c r="H13" s="814"/>
      <c r="I13" s="782"/>
      <c r="J13" s="814"/>
      <c r="K13" s="783"/>
      <c r="L13" s="814"/>
      <c r="M13" s="783"/>
      <c r="N13" s="814"/>
      <c r="O13" s="783"/>
      <c r="P13" s="814"/>
      <c r="Q13" s="783"/>
      <c r="R13" s="814"/>
      <c r="S13" s="783"/>
    </row>
    <row r="14" spans="1:19">
      <c r="A14" s="815"/>
      <c r="B14" s="787" t="s">
        <v>463</v>
      </c>
      <c r="C14" s="817"/>
      <c r="D14" s="811"/>
      <c r="E14" s="812"/>
      <c r="F14" s="817"/>
      <c r="G14" s="60"/>
      <c r="H14" s="814"/>
      <c r="I14" s="782"/>
      <c r="J14" s="814"/>
      <c r="K14" s="783"/>
      <c r="L14" s="814"/>
      <c r="M14" s="783"/>
      <c r="N14" s="814"/>
      <c r="O14" s="783"/>
      <c r="P14" s="814"/>
      <c r="Q14" s="783"/>
      <c r="R14" s="814"/>
      <c r="S14" s="783"/>
    </row>
    <row r="15" spans="1:19">
      <c r="A15" s="815"/>
      <c r="B15" s="787" t="s">
        <v>464</v>
      </c>
      <c r="C15" s="817"/>
      <c r="D15" s="811"/>
      <c r="E15" s="812"/>
      <c r="F15" s="817"/>
      <c r="G15" s="60"/>
      <c r="H15" s="814"/>
      <c r="I15" s="782"/>
      <c r="J15" s="814"/>
      <c r="K15" s="782"/>
      <c r="L15" s="814"/>
      <c r="M15" s="782"/>
      <c r="N15" s="814"/>
      <c r="O15" s="782"/>
      <c r="P15" s="814"/>
      <c r="Q15" s="782"/>
      <c r="R15" s="814"/>
      <c r="S15" s="782"/>
    </row>
    <row r="16" spans="1:19">
      <c r="A16" s="815"/>
      <c r="B16" s="787" t="s">
        <v>465</v>
      </c>
      <c r="C16" s="817"/>
      <c r="D16" s="811"/>
      <c r="E16" s="812"/>
      <c r="F16" s="817"/>
      <c r="G16" s="60"/>
      <c r="H16" s="814"/>
      <c r="I16" s="782"/>
      <c r="J16" s="814"/>
      <c r="K16" s="783"/>
      <c r="L16" s="814"/>
      <c r="M16" s="783"/>
      <c r="N16" s="814"/>
      <c r="O16" s="783"/>
      <c r="P16" s="814"/>
      <c r="Q16" s="783"/>
      <c r="R16" s="814"/>
      <c r="S16" s="783"/>
    </row>
    <row r="17" spans="1:19">
      <c r="A17" s="815"/>
      <c r="B17" s="787" t="s">
        <v>466</v>
      </c>
      <c r="C17" s="817"/>
      <c r="D17" s="811"/>
      <c r="E17" s="812"/>
      <c r="F17" s="817"/>
      <c r="G17" s="60"/>
      <c r="H17" s="814"/>
      <c r="I17" s="782"/>
      <c r="J17" s="814"/>
      <c r="K17" s="783"/>
      <c r="L17" s="814"/>
      <c r="M17" s="783"/>
      <c r="N17" s="814"/>
      <c r="O17" s="783"/>
      <c r="P17" s="814"/>
      <c r="Q17" s="783"/>
      <c r="R17" s="814"/>
      <c r="S17" s="783"/>
    </row>
    <row r="18" spans="1:19">
      <c r="A18" s="815"/>
      <c r="B18" s="788" t="s">
        <v>467</v>
      </c>
      <c r="C18" s="817"/>
      <c r="D18" s="811"/>
      <c r="E18" s="812"/>
      <c r="F18" s="817"/>
      <c r="G18" s="60"/>
      <c r="H18" s="814"/>
      <c r="I18" s="782"/>
      <c r="J18" s="814"/>
      <c r="K18" s="783"/>
      <c r="L18" s="814"/>
      <c r="M18" s="783"/>
      <c r="N18" s="814"/>
      <c r="O18" s="783"/>
      <c r="P18" s="814"/>
      <c r="Q18" s="783"/>
      <c r="R18" s="814"/>
      <c r="S18" s="783"/>
    </row>
    <row r="19" spans="1:19">
      <c r="A19" s="815"/>
      <c r="B19" s="789" t="s">
        <v>468</v>
      </c>
      <c r="C19" s="896"/>
      <c r="D19" s="897"/>
      <c r="E19" s="898"/>
      <c r="F19" s="899"/>
      <c r="G19" s="463"/>
      <c r="H19" s="900"/>
      <c r="I19" s="790"/>
      <c r="J19" s="900"/>
      <c r="K19" s="791"/>
      <c r="L19" s="900"/>
      <c r="M19" s="791"/>
      <c r="N19" s="900"/>
      <c r="O19" s="791"/>
      <c r="P19" s="900"/>
      <c r="Q19" s="791"/>
      <c r="R19" s="900"/>
      <c r="S19" s="791"/>
    </row>
    <row r="20" spans="1:19">
      <c r="A20" s="815"/>
      <c r="B20" s="792"/>
      <c r="C20" s="817"/>
      <c r="D20" s="811"/>
      <c r="E20" s="812"/>
      <c r="F20" s="813"/>
      <c r="G20" s="60"/>
      <c r="H20" s="814"/>
      <c r="I20" s="794"/>
      <c r="J20" s="814"/>
      <c r="K20" s="793"/>
      <c r="L20" s="814"/>
      <c r="M20" s="794"/>
      <c r="N20" s="814"/>
      <c r="O20" s="794"/>
      <c r="P20" s="814"/>
      <c r="Q20" s="794"/>
      <c r="R20" s="814"/>
      <c r="S20" s="794"/>
    </row>
    <row r="21" spans="1:19">
      <c r="A21" s="815"/>
      <c r="B21" s="792"/>
      <c r="C21" s="817"/>
      <c r="D21" s="811"/>
      <c r="E21" s="812"/>
      <c r="F21" s="813"/>
      <c r="G21" s="315">
        <f t="shared" ref="G21:G49" si="5">ROUND(D21*F21,0)</f>
        <v>0</v>
      </c>
      <c r="H21" s="814"/>
      <c r="I21" s="793">
        <f>G21</f>
        <v>0</v>
      </c>
      <c r="J21" s="814"/>
      <c r="K21" s="793"/>
      <c r="L21" s="814"/>
      <c r="M21" s="794"/>
      <c r="N21" s="814"/>
      <c r="O21" s="794"/>
      <c r="P21" s="814"/>
      <c r="Q21" s="794"/>
      <c r="R21" s="814"/>
      <c r="S21" s="794"/>
    </row>
    <row r="22" spans="1:19">
      <c r="A22" s="815"/>
      <c r="B22" s="792"/>
      <c r="C22" s="817"/>
      <c r="D22" s="811"/>
      <c r="E22" s="812"/>
      <c r="F22" s="813"/>
      <c r="G22" s="315">
        <f t="shared" si="5"/>
        <v>0</v>
      </c>
      <c r="H22" s="814"/>
      <c r="I22" s="793">
        <f t="shared" ref="I22:I49" si="6">G22</f>
        <v>0</v>
      </c>
      <c r="J22" s="814"/>
      <c r="K22" s="793"/>
      <c r="L22" s="814"/>
      <c r="M22" s="794"/>
      <c r="N22" s="814"/>
      <c r="O22" s="794"/>
      <c r="P22" s="814"/>
      <c r="Q22" s="794"/>
      <c r="R22" s="814"/>
      <c r="S22" s="794"/>
    </row>
    <row r="23" spans="1:19">
      <c r="A23" s="815"/>
      <c r="B23" s="792"/>
      <c r="C23" s="817"/>
      <c r="D23" s="811"/>
      <c r="E23" s="812"/>
      <c r="F23" s="813"/>
      <c r="G23" s="315">
        <f t="shared" si="5"/>
        <v>0</v>
      </c>
      <c r="H23" s="814"/>
      <c r="I23" s="793">
        <f t="shared" si="6"/>
        <v>0</v>
      </c>
      <c r="J23" s="814"/>
      <c r="K23" s="793"/>
      <c r="L23" s="814"/>
      <c r="M23" s="794"/>
      <c r="N23" s="814"/>
      <c r="O23" s="794"/>
      <c r="P23" s="814"/>
      <c r="Q23" s="794"/>
      <c r="R23" s="814"/>
      <c r="S23" s="794"/>
    </row>
    <row r="24" spans="1:19">
      <c r="A24" s="815"/>
      <c r="B24" s="792"/>
      <c r="C24" s="817"/>
      <c r="D24" s="811"/>
      <c r="E24" s="812"/>
      <c r="F24" s="813"/>
      <c r="G24" s="315">
        <f t="shared" si="5"/>
        <v>0</v>
      </c>
      <c r="H24" s="814"/>
      <c r="I24" s="793">
        <f t="shared" si="6"/>
        <v>0</v>
      </c>
      <c r="J24" s="814"/>
      <c r="K24" s="793"/>
      <c r="L24" s="814"/>
      <c r="M24" s="794"/>
      <c r="N24" s="814"/>
      <c r="O24" s="794"/>
      <c r="P24" s="814"/>
      <c r="Q24" s="794"/>
      <c r="R24" s="814"/>
      <c r="S24" s="794"/>
    </row>
    <row r="25" spans="1:19">
      <c r="A25" s="815"/>
      <c r="B25" s="792"/>
      <c r="C25" s="817"/>
      <c r="D25" s="811"/>
      <c r="E25" s="812"/>
      <c r="F25" s="813"/>
      <c r="G25" s="315">
        <f t="shared" si="5"/>
        <v>0</v>
      </c>
      <c r="H25" s="814"/>
      <c r="I25" s="793">
        <f t="shared" si="6"/>
        <v>0</v>
      </c>
      <c r="J25" s="814"/>
      <c r="K25" s="793"/>
      <c r="L25" s="814"/>
      <c r="M25" s="794"/>
      <c r="N25" s="814"/>
      <c r="O25" s="794"/>
      <c r="P25" s="814"/>
      <c r="Q25" s="794"/>
      <c r="R25" s="814"/>
      <c r="S25" s="794"/>
    </row>
    <row r="26" spans="1:19">
      <c r="A26" s="815"/>
      <c r="B26" s="792"/>
      <c r="C26" s="817"/>
      <c r="D26" s="811"/>
      <c r="E26" s="812"/>
      <c r="F26" s="813"/>
      <c r="G26" s="315">
        <f t="shared" si="5"/>
        <v>0</v>
      </c>
      <c r="H26" s="814"/>
      <c r="I26" s="793">
        <f t="shared" si="6"/>
        <v>0</v>
      </c>
      <c r="J26" s="814"/>
      <c r="K26" s="793"/>
      <c r="L26" s="814"/>
      <c r="M26" s="794"/>
      <c r="N26" s="814"/>
      <c r="O26" s="794"/>
      <c r="P26" s="814"/>
      <c r="Q26" s="794"/>
      <c r="R26" s="814"/>
      <c r="S26" s="794"/>
    </row>
    <row r="27" spans="1:19">
      <c r="A27" s="815"/>
      <c r="B27" s="792"/>
      <c r="C27" s="817"/>
      <c r="D27" s="811"/>
      <c r="E27" s="812"/>
      <c r="F27" s="813"/>
      <c r="G27" s="315">
        <f t="shared" si="5"/>
        <v>0</v>
      </c>
      <c r="H27" s="814"/>
      <c r="I27" s="793">
        <f t="shared" si="6"/>
        <v>0</v>
      </c>
      <c r="J27" s="814"/>
      <c r="K27" s="793"/>
      <c r="L27" s="814"/>
      <c r="M27" s="794"/>
      <c r="N27" s="814"/>
      <c r="O27" s="794"/>
      <c r="P27" s="814"/>
      <c r="Q27" s="794"/>
      <c r="R27" s="814"/>
      <c r="S27" s="794"/>
    </row>
    <row r="28" spans="1:19">
      <c r="A28" s="815"/>
      <c r="B28" s="792"/>
      <c r="C28" s="817"/>
      <c r="D28" s="811"/>
      <c r="E28" s="812"/>
      <c r="F28" s="813"/>
      <c r="G28" s="315">
        <f t="shared" si="5"/>
        <v>0</v>
      </c>
      <c r="H28" s="814"/>
      <c r="I28" s="793">
        <f t="shared" si="6"/>
        <v>0</v>
      </c>
      <c r="J28" s="814"/>
      <c r="K28" s="793"/>
      <c r="L28" s="814"/>
      <c r="M28" s="794"/>
      <c r="N28" s="814"/>
      <c r="O28" s="794"/>
      <c r="P28" s="814"/>
      <c r="Q28" s="794"/>
      <c r="R28" s="814"/>
      <c r="S28" s="794"/>
    </row>
    <row r="29" spans="1:19">
      <c r="A29" s="815"/>
      <c r="B29" s="792"/>
      <c r="C29" s="817"/>
      <c r="D29" s="811"/>
      <c r="E29" s="812"/>
      <c r="F29" s="813"/>
      <c r="G29" s="315">
        <f t="shared" si="5"/>
        <v>0</v>
      </c>
      <c r="H29" s="814"/>
      <c r="I29" s="793">
        <f t="shared" si="6"/>
        <v>0</v>
      </c>
      <c r="J29" s="814"/>
      <c r="K29" s="793"/>
      <c r="L29" s="814"/>
      <c r="M29" s="794"/>
      <c r="N29" s="814"/>
      <c r="O29" s="794"/>
      <c r="P29" s="814"/>
      <c r="Q29" s="794"/>
      <c r="R29" s="814"/>
      <c r="S29" s="794"/>
    </row>
    <row r="30" spans="1:19">
      <c r="A30" s="815"/>
      <c r="B30" s="792"/>
      <c r="C30" s="817"/>
      <c r="D30" s="811"/>
      <c r="E30" s="812"/>
      <c r="F30" s="813"/>
      <c r="G30" s="315">
        <f t="shared" si="5"/>
        <v>0</v>
      </c>
      <c r="H30" s="814"/>
      <c r="I30" s="793">
        <f t="shared" si="6"/>
        <v>0</v>
      </c>
      <c r="J30" s="814"/>
      <c r="K30" s="793"/>
      <c r="L30" s="814"/>
      <c r="M30" s="794"/>
      <c r="N30" s="814"/>
      <c r="O30" s="794"/>
      <c r="P30" s="814"/>
      <c r="Q30" s="794"/>
      <c r="R30" s="814"/>
      <c r="S30" s="794"/>
    </row>
    <row r="31" spans="1:19">
      <c r="A31" s="815"/>
      <c r="B31" s="792"/>
      <c r="C31" s="817"/>
      <c r="D31" s="811"/>
      <c r="E31" s="812"/>
      <c r="F31" s="813"/>
      <c r="G31" s="315">
        <f t="shared" si="5"/>
        <v>0</v>
      </c>
      <c r="H31" s="814"/>
      <c r="I31" s="793">
        <f t="shared" si="6"/>
        <v>0</v>
      </c>
      <c r="J31" s="814"/>
      <c r="K31" s="793"/>
      <c r="L31" s="814"/>
      <c r="M31" s="794"/>
      <c r="N31" s="814"/>
      <c r="O31" s="794"/>
      <c r="P31" s="814"/>
      <c r="Q31" s="794"/>
      <c r="R31" s="814"/>
      <c r="S31" s="794"/>
    </row>
    <row r="32" spans="1:19">
      <c r="A32" s="815"/>
      <c r="B32" s="792"/>
      <c r="C32" s="817"/>
      <c r="D32" s="811"/>
      <c r="E32" s="812"/>
      <c r="F32" s="813"/>
      <c r="G32" s="315">
        <f t="shared" si="5"/>
        <v>0</v>
      </c>
      <c r="H32" s="814"/>
      <c r="I32" s="793">
        <f t="shared" si="6"/>
        <v>0</v>
      </c>
      <c r="J32" s="814"/>
      <c r="K32" s="793"/>
      <c r="L32" s="814"/>
      <c r="M32" s="794"/>
      <c r="N32" s="814"/>
      <c r="O32" s="794"/>
      <c r="P32" s="814"/>
      <c r="Q32" s="794"/>
      <c r="R32" s="814"/>
      <c r="S32" s="794"/>
    </row>
    <row r="33" spans="1:19">
      <c r="A33" s="815"/>
      <c r="B33" s="792"/>
      <c r="C33" s="817"/>
      <c r="D33" s="811"/>
      <c r="E33" s="812"/>
      <c r="F33" s="813"/>
      <c r="G33" s="315">
        <f t="shared" si="5"/>
        <v>0</v>
      </c>
      <c r="H33" s="814"/>
      <c r="I33" s="793">
        <f t="shared" si="6"/>
        <v>0</v>
      </c>
      <c r="J33" s="814"/>
      <c r="K33" s="793"/>
      <c r="L33" s="814"/>
      <c r="M33" s="794"/>
      <c r="N33" s="814"/>
      <c r="O33" s="794"/>
      <c r="P33" s="814"/>
      <c r="Q33" s="794"/>
      <c r="R33" s="814"/>
      <c r="S33" s="794"/>
    </row>
    <row r="34" spans="1:19">
      <c r="A34" s="815"/>
      <c r="B34" s="792"/>
      <c r="C34" s="817"/>
      <c r="D34" s="811"/>
      <c r="E34" s="812"/>
      <c r="F34" s="813"/>
      <c r="G34" s="315">
        <f t="shared" si="5"/>
        <v>0</v>
      </c>
      <c r="H34" s="814"/>
      <c r="I34" s="793">
        <f t="shared" si="6"/>
        <v>0</v>
      </c>
      <c r="J34" s="814"/>
      <c r="K34" s="793"/>
      <c r="L34" s="814"/>
      <c r="M34" s="794"/>
      <c r="N34" s="814"/>
      <c r="O34" s="794"/>
      <c r="P34" s="814"/>
      <c r="Q34" s="794"/>
      <c r="R34" s="814"/>
      <c r="S34" s="794"/>
    </row>
    <row r="35" spans="1:19">
      <c r="A35" s="815"/>
      <c r="B35" s="792"/>
      <c r="C35" s="817"/>
      <c r="D35" s="811"/>
      <c r="E35" s="812"/>
      <c r="F35" s="813"/>
      <c r="G35" s="315">
        <f t="shared" si="5"/>
        <v>0</v>
      </c>
      <c r="H35" s="814"/>
      <c r="I35" s="793">
        <f t="shared" si="6"/>
        <v>0</v>
      </c>
      <c r="J35" s="814"/>
      <c r="K35" s="793"/>
      <c r="L35" s="814"/>
      <c r="M35" s="794"/>
      <c r="N35" s="814"/>
      <c r="O35" s="794"/>
      <c r="P35" s="814"/>
      <c r="Q35" s="794"/>
      <c r="R35" s="814"/>
      <c r="S35" s="794"/>
    </row>
    <row r="36" spans="1:19">
      <c r="A36" s="815"/>
      <c r="B36" s="792"/>
      <c r="C36" s="817"/>
      <c r="D36" s="811"/>
      <c r="E36" s="812"/>
      <c r="F36" s="813"/>
      <c r="G36" s="315">
        <f t="shared" si="5"/>
        <v>0</v>
      </c>
      <c r="H36" s="814"/>
      <c r="I36" s="793">
        <f t="shared" si="6"/>
        <v>0</v>
      </c>
      <c r="J36" s="814"/>
      <c r="K36" s="793"/>
      <c r="L36" s="814"/>
      <c r="M36" s="794"/>
      <c r="N36" s="814"/>
      <c r="O36" s="794"/>
      <c r="P36" s="814"/>
      <c r="Q36" s="794"/>
      <c r="R36" s="814"/>
      <c r="S36" s="794"/>
    </row>
    <row r="37" spans="1:19">
      <c r="A37" s="815"/>
      <c r="B37" s="792"/>
      <c r="C37" s="817"/>
      <c r="D37" s="811"/>
      <c r="E37" s="812"/>
      <c r="F37" s="813"/>
      <c r="G37" s="315">
        <f t="shared" si="5"/>
        <v>0</v>
      </c>
      <c r="H37" s="814"/>
      <c r="I37" s="793">
        <f t="shared" si="6"/>
        <v>0</v>
      </c>
      <c r="J37" s="814"/>
      <c r="K37" s="793"/>
      <c r="L37" s="814"/>
      <c r="M37" s="794"/>
      <c r="N37" s="814"/>
      <c r="O37" s="794"/>
      <c r="P37" s="814"/>
      <c r="Q37" s="794"/>
      <c r="R37" s="814"/>
      <c r="S37" s="794"/>
    </row>
    <row r="38" spans="1:19">
      <c r="A38" s="815"/>
      <c r="B38" s="792"/>
      <c r="C38" s="817"/>
      <c r="D38" s="811"/>
      <c r="E38" s="812"/>
      <c r="F38" s="813"/>
      <c r="G38" s="315">
        <f t="shared" si="5"/>
        <v>0</v>
      </c>
      <c r="H38" s="814"/>
      <c r="I38" s="793">
        <f t="shared" si="6"/>
        <v>0</v>
      </c>
      <c r="J38" s="814"/>
      <c r="K38" s="793"/>
      <c r="L38" s="814"/>
      <c r="M38" s="794"/>
      <c r="N38" s="814"/>
      <c r="O38" s="794"/>
      <c r="P38" s="814"/>
      <c r="Q38" s="794"/>
      <c r="R38" s="814"/>
      <c r="S38" s="794"/>
    </row>
    <row r="39" spans="1:19">
      <c r="A39" s="815"/>
      <c r="B39" s="792"/>
      <c r="C39" s="817"/>
      <c r="D39" s="811"/>
      <c r="E39" s="812"/>
      <c r="F39" s="813"/>
      <c r="G39" s="315">
        <f t="shared" si="5"/>
        <v>0</v>
      </c>
      <c r="H39" s="814"/>
      <c r="I39" s="793">
        <f t="shared" si="6"/>
        <v>0</v>
      </c>
      <c r="J39" s="814"/>
      <c r="K39" s="793"/>
      <c r="L39" s="814"/>
      <c r="M39" s="794"/>
      <c r="N39" s="814"/>
      <c r="O39" s="794"/>
      <c r="P39" s="814"/>
      <c r="Q39" s="794"/>
      <c r="R39" s="814"/>
      <c r="S39" s="794"/>
    </row>
    <row r="40" spans="1:19">
      <c r="A40" s="815"/>
      <c r="B40" s="792"/>
      <c r="C40" s="817"/>
      <c r="D40" s="811"/>
      <c r="E40" s="812"/>
      <c r="F40" s="813"/>
      <c r="G40" s="315">
        <f t="shared" si="5"/>
        <v>0</v>
      </c>
      <c r="H40" s="814"/>
      <c r="I40" s="793">
        <f t="shared" si="6"/>
        <v>0</v>
      </c>
      <c r="J40" s="814"/>
      <c r="K40" s="793"/>
      <c r="L40" s="814"/>
      <c r="M40" s="794"/>
      <c r="N40" s="814"/>
      <c r="O40" s="794"/>
      <c r="P40" s="814"/>
      <c r="Q40" s="794"/>
      <c r="R40" s="814"/>
      <c r="S40" s="794"/>
    </row>
    <row r="41" spans="1:19">
      <c r="A41" s="815"/>
      <c r="B41" s="792"/>
      <c r="C41" s="817"/>
      <c r="D41" s="811"/>
      <c r="E41" s="812"/>
      <c r="F41" s="813"/>
      <c r="G41" s="315">
        <f t="shared" si="5"/>
        <v>0</v>
      </c>
      <c r="H41" s="814"/>
      <c r="I41" s="793">
        <f t="shared" si="6"/>
        <v>0</v>
      </c>
      <c r="J41" s="814"/>
      <c r="K41" s="793"/>
      <c r="L41" s="814"/>
      <c r="M41" s="794"/>
      <c r="N41" s="814"/>
      <c r="O41" s="794"/>
      <c r="P41" s="814"/>
      <c r="Q41" s="794"/>
      <c r="R41" s="814"/>
      <c r="S41" s="794"/>
    </row>
    <row r="42" spans="1:19">
      <c r="A42" s="815"/>
      <c r="B42" s="792"/>
      <c r="C42" s="817"/>
      <c r="D42" s="811"/>
      <c r="E42" s="812"/>
      <c r="F42" s="813"/>
      <c r="G42" s="315">
        <f t="shared" si="5"/>
        <v>0</v>
      </c>
      <c r="H42" s="814"/>
      <c r="I42" s="793">
        <f t="shared" si="6"/>
        <v>0</v>
      </c>
      <c r="J42" s="814"/>
      <c r="K42" s="793"/>
      <c r="L42" s="814"/>
      <c r="M42" s="794"/>
      <c r="N42" s="814"/>
      <c r="O42" s="794"/>
      <c r="P42" s="814"/>
      <c r="Q42" s="794"/>
      <c r="R42" s="814"/>
      <c r="S42" s="794"/>
    </row>
    <row r="43" spans="1:19">
      <c r="A43" s="815"/>
      <c r="B43" s="792"/>
      <c r="C43" s="817"/>
      <c r="D43" s="811"/>
      <c r="E43" s="812"/>
      <c r="F43" s="813"/>
      <c r="G43" s="315">
        <f t="shared" si="5"/>
        <v>0</v>
      </c>
      <c r="H43" s="814"/>
      <c r="I43" s="793">
        <f t="shared" si="6"/>
        <v>0</v>
      </c>
      <c r="J43" s="814"/>
      <c r="K43" s="793"/>
      <c r="L43" s="814"/>
      <c r="M43" s="794"/>
      <c r="N43" s="814"/>
      <c r="O43" s="794"/>
      <c r="P43" s="814"/>
      <c r="Q43" s="794"/>
      <c r="R43" s="814"/>
      <c r="S43" s="794"/>
    </row>
    <row r="44" spans="1:19">
      <c r="A44" s="815"/>
      <c r="B44" s="792"/>
      <c r="C44" s="817"/>
      <c r="D44" s="811"/>
      <c r="E44" s="812"/>
      <c r="F44" s="813"/>
      <c r="G44" s="315">
        <f t="shared" si="5"/>
        <v>0</v>
      </c>
      <c r="H44" s="814"/>
      <c r="I44" s="793">
        <f t="shared" si="6"/>
        <v>0</v>
      </c>
      <c r="J44" s="814"/>
      <c r="K44" s="793"/>
      <c r="L44" s="814"/>
      <c r="M44" s="794"/>
      <c r="N44" s="814"/>
      <c r="O44" s="794"/>
      <c r="P44" s="814"/>
      <c r="Q44" s="794"/>
      <c r="R44" s="814"/>
      <c r="S44" s="794"/>
    </row>
    <row r="45" spans="1:19">
      <c r="A45" s="815"/>
      <c r="B45" s="792"/>
      <c r="C45" s="817"/>
      <c r="D45" s="811"/>
      <c r="E45" s="812"/>
      <c r="F45" s="813"/>
      <c r="G45" s="315">
        <f t="shared" si="5"/>
        <v>0</v>
      </c>
      <c r="H45" s="814"/>
      <c r="I45" s="793">
        <f t="shared" si="6"/>
        <v>0</v>
      </c>
      <c r="J45" s="814"/>
      <c r="K45" s="793"/>
      <c r="L45" s="814"/>
      <c r="M45" s="794"/>
      <c r="N45" s="814"/>
      <c r="O45" s="794"/>
      <c r="P45" s="814"/>
      <c r="Q45" s="794"/>
      <c r="R45" s="814"/>
      <c r="S45" s="794"/>
    </row>
    <row r="46" spans="1:19">
      <c r="A46" s="815"/>
      <c r="B46" s="792"/>
      <c r="C46" s="817"/>
      <c r="D46" s="811"/>
      <c r="E46" s="812"/>
      <c r="F46" s="813"/>
      <c r="G46" s="315">
        <f t="shared" si="5"/>
        <v>0</v>
      </c>
      <c r="H46" s="814"/>
      <c r="I46" s="793">
        <f t="shared" si="6"/>
        <v>0</v>
      </c>
      <c r="J46" s="814"/>
      <c r="K46" s="793"/>
      <c r="L46" s="814"/>
      <c r="M46" s="794"/>
      <c r="N46" s="814"/>
      <c r="O46" s="794"/>
      <c r="P46" s="814"/>
      <c r="Q46" s="794"/>
      <c r="R46" s="814"/>
      <c r="S46" s="794"/>
    </row>
    <row r="47" spans="1:19">
      <c r="A47" s="815"/>
      <c r="B47" s="792"/>
      <c r="C47" s="817"/>
      <c r="D47" s="811"/>
      <c r="E47" s="812"/>
      <c r="F47" s="813"/>
      <c r="G47" s="315">
        <f t="shared" si="5"/>
        <v>0</v>
      </c>
      <c r="H47" s="814"/>
      <c r="I47" s="793">
        <f t="shared" si="6"/>
        <v>0</v>
      </c>
      <c r="J47" s="814"/>
      <c r="K47" s="793"/>
      <c r="L47" s="814"/>
      <c r="M47" s="794"/>
      <c r="N47" s="814"/>
      <c r="O47" s="794"/>
      <c r="P47" s="814"/>
      <c r="Q47" s="794"/>
      <c r="R47" s="814"/>
      <c r="S47" s="794"/>
    </row>
    <row r="48" spans="1:19">
      <c r="A48" s="815"/>
      <c r="B48" s="792"/>
      <c r="C48" s="817"/>
      <c r="D48" s="811"/>
      <c r="E48" s="812"/>
      <c r="F48" s="813"/>
      <c r="G48" s="315">
        <f t="shared" si="5"/>
        <v>0</v>
      </c>
      <c r="H48" s="814"/>
      <c r="I48" s="793">
        <f t="shared" si="6"/>
        <v>0</v>
      </c>
      <c r="J48" s="814"/>
      <c r="K48" s="793"/>
      <c r="L48" s="814"/>
      <c r="M48" s="794"/>
      <c r="N48" s="814"/>
      <c r="O48" s="794"/>
      <c r="P48" s="814"/>
      <c r="Q48" s="794"/>
      <c r="R48" s="814"/>
      <c r="S48" s="794"/>
    </row>
    <row r="49" spans="1:34">
      <c r="A49" s="815"/>
      <c r="B49" s="792"/>
      <c r="C49" s="817"/>
      <c r="D49" s="811"/>
      <c r="E49" s="812"/>
      <c r="F49" s="813"/>
      <c r="G49" s="315">
        <f t="shared" si="5"/>
        <v>0</v>
      </c>
      <c r="H49" s="814"/>
      <c r="I49" s="793">
        <f t="shared" si="6"/>
        <v>0</v>
      </c>
      <c r="J49" s="814"/>
      <c r="K49" s="793"/>
      <c r="L49" s="814"/>
      <c r="M49" s="794"/>
      <c r="N49" s="814"/>
      <c r="O49" s="794"/>
      <c r="P49" s="814"/>
      <c r="Q49" s="794"/>
      <c r="R49" s="814"/>
      <c r="S49" s="794"/>
    </row>
    <row r="50" spans="1:34" ht="15.75" thickBot="1">
      <c r="A50" s="815"/>
      <c r="B50" s="816"/>
      <c r="C50" s="821"/>
      <c r="D50" s="820"/>
      <c r="E50" s="812"/>
      <c r="F50" s="822"/>
      <c r="G50" s="315"/>
      <c r="H50" s="814"/>
      <c r="I50" s="793"/>
      <c r="J50" s="814"/>
      <c r="K50" s="793"/>
      <c r="L50" s="814"/>
      <c r="M50" s="793"/>
      <c r="N50" s="814"/>
      <c r="O50" s="793"/>
      <c r="P50" s="814"/>
      <c r="Q50" s="793"/>
      <c r="R50" s="814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0</v>
      </c>
      <c r="H51" s="21"/>
      <c r="I51" s="217">
        <f>SUBTOTAL(9,I21:I50)</f>
        <v>0</v>
      </c>
      <c r="J51" s="21"/>
      <c r="K51" s="162">
        <f>SUM(K19:K50)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826"/>
      <c r="B52" s="827" t="s">
        <v>471</v>
      </c>
      <c r="C52" s="828"/>
      <c r="D52" s="829"/>
      <c r="E52" s="830"/>
      <c r="F52" s="831"/>
      <c r="G52" s="901"/>
      <c r="H52" s="833">
        <v>0</v>
      </c>
      <c r="I52" s="163"/>
      <c r="J52" s="833">
        <v>0</v>
      </c>
      <c r="K52" s="163"/>
      <c r="L52" s="833">
        <v>0</v>
      </c>
      <c r="M52" s="163"/>
      <c r="N52" s="833">
        <v>0</v>
      </c>
      <c r="O52" s="163"/>
      <c r="P52" s="833">
        <v>0</v>
      </c>
      <c r="Q52" s="163"/>
      <c r="R52" s="833">
        <v>0</v>
      </c>
      <c r="S52" s="163"/>
    </row>
    <row r="53" spans="1:34">
      <c r="A53" s="826"/>
      <c r="B53" s="827" t="s">
        <v>472</v>
      </c>
      <c r="C53" s="828"/>
      <c r="D53" s="829"/>
      <c r="E53" s="830"/>
      <c r="F53" s="831"/>
      <c r="G53" s="901">
        <f>F52*G51</f>
        <v>0</v>
      </c>
      <c r="H53" s="836"/>
      <c r="I53" s="838">
        <f>H52*I51</f>
        <v>0</v>
      </c>
      <c r="J53" s="836"/>
      <c r="K53" s="838">
        <f>J52*K51</f>
        <v>0</v>
      </c>
      <c r="L53" s="836"/>
      <c r="M53" s="838">
        <f>L52*M51</f>
        <v>0</v>
      </c>
      <c r="N53" s="836"/>
      <c r="O53" s="838">
        <f>N52*O51</f>
        <v>0</v>
      </c>
      <c r="P53" s="836"/>
      <c r="Q53" s="838">
        <f>P52*Q51</f>
        <v>0</v>
      </c>
      <c r="R53" s="836"/>
      <c r="S53" s="838">
        <f>R52*S51</f>
        <v>0</v>
      </c>
    </row>
    <row r="54" spans="1:34">
      <c r="A54" s="826"/>
      <c r="B54" s="827"/>
      <c r="C54" s="828"/>
      <c r="D54" s="829"/>
      <c r="E54" s="830"/>
      <c r="F54" s="831"/>
      <c r="G54" s="901"/>
      <c r="H54" s="836"/>
      <c r="I54" s="838"/>
      <c r="J54" s="836"/>
      <c r="K54" s="838"/>
      <c r="L54" s="836"/>
      <c r="M54" s="838"/>
      <c r="N54" s="836"/>
      <c r="O54" s="838"/>
      <c r="P54" s="836"/>
      <c r="Q54" s="838"/>
      <c r="R54" s="836"/>
      <c r="S54" s="838"/>
    </row>
    <row r="55" spans="1:34">
      <c r="A55" s="826"/>
      <c r="B55" s="827" t="s">
        <v>473</v>
      </c>
      <c r="C55" s="828"/>
      <c r="D55" s="829"/>
      <c r="E55" s="830"/>
      <c r="F55" s="831"/>
      <c r="G55" s="901">
        <f>SUM(G51:G53)</f>
        <v>0</v>
      </c>
      <c r="H55" s="839"/>
      <c r="I55" s="838">
        <f>SUM(I51:I53)</f>
        <v>0</v>
      </c>
      <c r="J55" s="839"/>
      <c r="K55" s="838">
        <f>SUM(K51:K53)</f>
        <v>0</v>
      </c>
      <c r="L55" s="839"/>
      <c r="M55" s="838">
        <f>SUM(M51:M53)</f>
        <v>0</v>
      </c>
      <c r="N55" s="839"/>
      <c r="O55" s="838">
        <f>SUM(O51:O53)</f>
        <v>0</v>
      </c>
      <c r="P55" s="839"/>
      <c r="Q55" s="838">
        <f>SUM(Q51:Q53)</f>
        <v>0</v>
      </c>
      <c r="R55" s="839"/>
      <c r="S55" s="838">
        <f>SUM(S51:S53)</f>
        <v>0</v>
      </c>
    </row>
    <row r="56" spans="1:34">
      <c r="A56" s="826"/>
      <c r="B56" s="840" t="s">
        <v>474</v>
      </c>
      <c r="C56" s="828"/>
      <c r="D56" s="829"/>
      <c r="E56" s="830"/>
      <c r="F56" s="840"/>
      <c r="G56" s="902">
        <f>G55/'Area Calculations'!$G$5</f>
        <v>0</v>
      </c>
      <c r="H56" s="842"/>
      <c r="I56" s="844">
        <f>I55/'Area Calculations'!$G$5</f>
        <v>0</v>
      </c>
      <c r="J56" s="842"/>
      <c r="K56" s="844">
        <f>K55/'Area Calculations'!$G$5</f>
        <v>0</v>
      </c>
      <c r="L56" s="842"/>
      <c r="M56" s="844">
        <f>M55/'Area Calculations'!$G$5</f>
        <v>0</v>
      </c>
      <c r="N56" s="842"/>
      <c r="O56" s="844">
        <f>O55/'Area Calculations'!$G$5</f>
        <v>0</v>
      </c>
      <c r="P56" s="842"/>
      <c r="Q56" s="844">
        <f>Q55/'Area Calculations'!$G$5</f>
        <v>0</v>
      </c>
      <c r="R56" s="845"/>
      <c r="S56" s="844">
        <f>S55/'Area Calculations'!$G$5</f>
        <v>0</v>
      </c>
    </row>
    <row r="57" spans="1:34" ht="15.75" thickBot="1">
      <c r="A57" s="826"/>
      <c r="B57" s="846"/>
      <c r="C57" s="828"/>
      <c r="D57" s="829"/>
      <c r="E57" s="830"/>
      <c r="F57" s="831"/>
      <c r="G57" s="464"/>
      <c r="H57" s="847"/>
      <c r="I57" s="849"/>
      <c r="J57" s="847"/>
      <c r="K57" s="847"/>
      <c r="L57" s="847"/>
      <c r="M57" s="847"/>
      <c r="N57" s="847"/>
      <c r="O57" s="847"/>
      <c r="P57" s="847"/>
      <c r="Q57" s="847"/>
      <c r="R57" s="847"/>
      <c r="S57" s="847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850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850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850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850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850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850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850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855"/>
      <c r="B68" s="850"/>
      <c r="C68" s="817"/>
      <c r="D68" s="811"/>
      <c r="E68" s="812"/>
      <c r="F68" s="817"/>
      <c r="G68" s="903"/>
      <c r="H68" s="857"/>
      <c r="I68" s="857"/>
      <c r="J68" s="857"/>
      <c r="K68" s="857"/>
      <c r="L68" s="857"/>
      <c r="M68" s="857"/>
      <c r="N68" s="857"/>
      <c r="O68" s="857"/>
      <c r="P68" s="857"/>
      <c r="Q68" s="857"/>
      <c r="R68" s="857"/>
      <c r="S68" s="857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859"/>
      <c r="B69" s="860"/>
      <c r="C69" s="817"/>
      <c r="D69" s="811"/>
      <c r="E69" s="812"/>
      <c r="F69" s="817"/>
      <c r="G69" s="903"/>
      <c r="H69" s="861"/>
      <c r="I69" s="861"/>
      <c r="J69" s="861"/>
      <c r="K69" s="861"/>
      <c r="L69" s="861"/>
      <c r="M69" s="861"/>
      <c r="N69" s="861"/>
      <c r="O69" s="861"/>
      <c r="P69" s="861"/>
      <c r="Q69" s="861"/>
      <c r="R69" s="861"/>
      <c r="S69" s="861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859"/>
      <c r="B72" s="860"/>
      <c r="C72" s="817"/>
      <c r="D72" s="811"/>
      <c r="E72" s="812"/>
      <c r="F72" s="817"/>
      <c r="G72" s="903"/>
      <c r="H72" s="863"/>
      <c r="I72" s="863"/>
      <c r="J72" s="863"/>
      <c r="K72" s="863"/>
      <c r="L72" s="863"/>
      <c r="M72" s="863"/>
      <c r="N72" s="863"/>
      <c r="O72" s="863"/>
      <c r="P72" s="863"/>
      <c r="Q72" s="863"/>
      <c r="R72" s="863"/>
      <c r="S72" s="86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859"/>
      <c r="B73" s="860"/>
      <c r="C73" s="817"/>
      <c r="D73" s="811"/>
      <c r="E73" s="812"/>
      <c r="F73" s="817"/>
      <c r="G73" s="903"/>
      <c r="H73" s="863"/>
      <c r="I73" s="863"/>
      <c r="J73" s="863"/>
      <c r="K73" s="863"/>
      <c r="L73" s="863"/>
      <c r="M73" s="863"/>
      <c r="N73" s="863"/>
      <c r="O73" s="863"/>
      <c r="P73" s="863"/>
      <c r="Q73" s="863"/>
      <c r="R73" s="863"/>
      <c r="S73" s="86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855"/>
      <c r="B75" s="850" t="s">
        <v>480</v>
      </c>
      <c r="C75" s="817"/>
      <c r="D75" s="811"/>
      <c r="E75" s="812"/>
      <c r="F75" s="817"/>
      <c r="G75" s="903"/>
      <c r="H75" s="863"/>
      <c r="I75" s="863"/>
      <c r="J75" s="863"/>
      <c r="K75" s="863"/>
      <c r="L75" s="863"/>
      <c r="M75" s="863"/>
      <c r="N75" s="863"/>
      <c r="O75" s="863"/>
      <c r="P75" s="863"/>
      <c r="Q75" s="863"/>
      <c r="R75" s="863"/>
      <c r="S75" s="863"/>
    </row>
    <row r="76" spans="1:34">
      <c r="A76" s="855"/>
      <c r="B76" s="850" t="s">
        <v>481</v>
      </c>
      <c r="C76" s="817"/>
      <c r="D76" s="811"/>
      <c r="E76" s="812"/>
      <c r="F76" s="817"/>
      <c r="G76" s="903"/>
      <c r="H76" s="863"/>
      <c r="I76" s="863"/>
      <c r="J76" s="863"/>
      <c r="K76" s="863"/>
      <c r="L76" s="863"/>
      <c r="M76" s="863"/>
      <c r="N76" s="863"/>
      <c r="O76" s="863"/>
      <c r="P76" s="863"/>
      <c r="Q76" s="863"/>
      <c r="R76" s="863"/>
      <c r="S76" s="863"/>
    </row>
    <row r="77" spans="1:34">
      <c r="A77" s="855"/>
      <c r="B77" s="850" t="s">
        <v>482</v>
      </c>
      <c r="C77" s="817"/>
      <c r="D77" s="811"/>
      <c r="E77" s="812"/>
      <c r="F77" s="817"/>
      <c r="G77" s="903"/>
      <c r="H77" s="863"/>
      <c r="I77" s="863"/>
      <c r="J77" s="863"/>
      <c r="K77" s="863"/>
      <c r="L77" s="863"/>
      <c r="M77" s="863"/>
      <c r="N77" s="863"/>
      <c r="O77" s="863"/>
      <c r="P77" s="863"/>
      <c r="Q77" s="863"/>
      <c r="R77" s="863"/>
      <c r="S77" s="863"/>
    </row>
    <row r="78" spans="1:34">
      <c r="A78" s="855"/>
      <c r="B78" s="850" t="s">
        <v>483</v>
      </c>
      <c r="C78" s="817"/>
      <c r="D78" s="811"/>
      <c r="E78" s="812"/>
      <c r="F78" s="817"/>
      <c r="G78" s="903"/>
      <c r="H78" s="863"/>
      <c r="I78" s="863"/>
      <c r="J78" s="863"/>
      <c r="K78" s="863"/>
      <c r="L78" s="863"/>
      <c r="M78" s="863"/>
      <c r="N78" s="863"/>
      <c r="O78" s="863"/>
      <c r="P78" s="863"/>
      <c r="Q78" s="863"/>
      <c r="R78" s="863"/>
      <c r="S78" s="863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855"/>
      <c r="B82" s="850" t="s">
        <v>486</v>
      </c>
      <c r="C82" s="817"/>
      <c r="D82" s="811"/>
      <c r="E82" s="812"/>
      <c r="F82" s="817"/>
      <c r="G82" s="903"/>
      <c r="H82" s="864"/>
      <c r="I82" s="864"/>
      <c r="J82" s="864"/>
      <c r="K82" s="864"/>
      <c r="L82" s="864"/>
      <c r="M82" s="864"/>
      <c r="N82" s="864"/>
      <c r="O82" s="864"/>
      <c r="P82" s="864"/>
      <c r="Q82" s="864"/>
      <c r="R82" s="864"/>
      <c r="S82" s="864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873"/>
    </row>
    <row r="87" spans="1:19">
      <c r="A87" s="874" t="s">
        <v>446</v>
      </c>
      <c r="B87" s="873"/>
    </row>
    <row r="88" spans="1:19">
      <c r="A88" s="875" t="s">
        <v>448</v>
      </c>
      <c r="B88" s="876"/>
    </row>
    <row r="89" spans="1:19">
      <c r="A89" s="875" t="s">
        <v>450</v>
      </c>
      <c r="B89" s="877"/>
    </row>
    <row r="90" spans="1:19" ht="15.75" thickBot="1">
      <c r="A90" s="878" t="s">
        <v>489</v>
      </c>
      <c r="B90" s="879">
        <f>$I$55</f>
        <v>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R5:S5"/>
    <mergeCell ref="H5:I5"/>
    <mergeCell ref="J5:K5"/>
    <mergeCell ref="L5:M5"/>
    <mergeCell ref="N5:O5"/>
    <mergeCell ref="P5:Q5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A58:B58"/>
    <mergeCell ref="A62:B62"/>
    <mergeCell ref="A66:B66"/>
    <mergeCell ref="A70:B70"/>
    <mergeCell ref="A74:B74"/>
  </mergeCells>
  <conditionalFormatting sqref="H11:H18 J11:J18 L11:L18 N11:N18 P11:P18 R11:R18">
    <cfRule type="cellIs" dxfId="131" priority="7" operator="equal">
      <formula>"X"</formula>
    </cfRule>
    <cfRule type="cellIs" dxfId="130" priority="8" operator="equal">
      <formula>"I"</formula>
    </cfRule>
  </conditionalFormatting>
  <conditionalFormatting sqref="H20:H50">
    <cfRule type="cellIs" dxfId="129" priority="1" operator="equal">
      <formula>"X"</formula>
    </cfRule>
    <cfRule type="cellIs" dxfId="128" priority="2" operator="equal">
      <formula>"I"</formula>
    </cfRule>
  </conditionalFormatting>
  <conditionalFormatting sqref="J20:J50 L20:L50 N20:N50 P20:P50 R20:R50">
    <cfRule type="cellIs" dxfId="127" priority="3" operator="equal">
      <formula>"X"</formula>
    </cfRule>
    <cfRule type="cellIs" dxfId="126" priority="4" operator="equal">
      <formula>"I"</formula>
    </cfRule>
  </conditionalFormatting>
  <hyperlinks>
    <hyperlink ref="B4" location="'Cost Summary'!A1" display="BACK TO SUMMARY SHEET" xr:uid="{AC7BE44B-682A-44C7-83C7-28312E823208}"/>
  </hyperlinks>
  <pageMargins left="0.2" right="0.2" top="0.5" bottom="0.75" header="0.3" footer="0.3"/>
  <pageSetup paperSize="3" scale="77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2775-A828-4BDD-8172-4E1531FFE3C1}">
  <sheetPr>
    <tabColor rgb="FFFFFF00"/>
    <pageSetUpPr fitToPage="1"/>
  </sheetPr>
  <dimension ref="A1:AH98"/>
  <sheetViews>
    <sheetView zoomScale="90" zoomScaleNormal="90" workbookViewId="0">
      <pane ySplit="10" topLeftCell="A11" activePane="bottomLeft" state="frozen"/>
      <selection pane="bottomLeft" activeCell="B4" sqref="B4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73"/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880" t="s">
        <v>445</v>
      </c>
      <c r="B6" s="850" t="s">
        <v>128</v>
      </c>
      <c r="C6" s="817"/>
      <c r="D6" s="811"/>
      <c r="E6" s="812"/>
      <c r="F6" s="817"/>
      <c r="G6" s="462" t="s">
        <v>446</v>
      </c>
      <c r="H6" s="882"/>
      <c r="I6" s="676"/>
      <c r="J6" s="882"/>
      <c r="K6" s="676"/>
      <c r="L6" s="882"/>
      <c r="M6" s="676"/>
      <c r="N6" s="882"/>
      <c r="O6" s="676"/>
      <c r="P6" s="882"/>
      <c r="Q6" s="676"/>
      <c r="R6" s="882"/>
      <c r="S6" s="676"/>
    </row>
    <row r="7" spans="1:19">
      <c r="A7" s="880" t="s">
        <v>447</v>
      </c>
      <c r="B7" s="883" t="s">
        <v>127</v>
      </c>
      <c r="C7" s="817"/>
      <c r="D7" s="811"/>
      <c r="E7" s="812"/>
      <c r="F7" s="817"/>
      <c r="G7" s="884" t="s">
        <v>448</v>
      </c>
      <c r="H7" s="886"/>
      <c r="I7" s="678"/>
      <c r="J7" s="886"/>
      <c r="K7" s="678"/>
      <c r="L7" s="886"/>
      <c r="M7" s="678"/>
      <c r="N7" s="886"/>
      <c r="O7" s="678"/>
      <c r="P7" s="886"/>
      <c r="Q7" s="678"/>
      <c r="R7" s="886"/>
      <c r="S7" s="678"/>
    </row>
    <row r="8" spans="1:19">
      <c r="A8" s="880" t="s">
        <v>449</v>
      </c>
      <c r="B8" s="887"/>
      <c r="C8" s="817"/>
      <c r="D8" s="811"/>
      <c r="E8" s="812"/>
      <c r="F8" s="817"/>
      <c r="G8" s="884" t="s">
        <v>450</v>
      </c>
      <c r="H8" s="889"/>
      <c r="I8" s="680"/>
      <c r="J8" s="889"/>
      <c r="K8" s="680"/>
      <c r="L8" s="889"/>
      <c r="M8" s="680"/>
      <c r="N8" s="889"/>
      <c r="O8" s="680"/>
      <c r="P8" s="889"/>
      <c r="Q8" s="680"/>
      <c r="R8" s="88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I$60</f>
        <v>6411905</v>
      </c>
      <c r="I9" s="895"/>
      <c r="J9" s="892">
        <f t="shared" ref="J9" si="0">K$60</f>
        <v>0</v>
      </c>
      <c r="K9" s="893"/>
      <c r="L9" s="892">
        <f t="shared" ref="L9" si="1">M$60</f>
        <v>0</v>
      </c>
      <c r="M9" s="893"/>
      <c r="N9" s="892">
        <f t="shared" ref="N9" si="2">O$60</f>
        <v>0</v>
      </c>
      <c r="O9" s="893"/>
      <c r="P9" s="892">
        <f t="shared" ref="P9" si="3">Q$60</f>
        <v>0</v>
      </c>
      <c r="Q9" s="893"/>
      <c r="R9" s="892">
        <f t="shared" ref="R9" si="4">S$60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811"/>
      <c r="E11" s="812"/>
      <c r="F11" s="817"/>
      <c r="G11" s="60"/>
      <c r="H11" s="814"/>
      <c r="I11" s="782"/>
      <c r="J11" s="814"/>
      <c r="K11" s="183"/>
      <c r="L11" s="814"/>
      <c r="M11" s="783"/>
      <c r="N11" s="814"/>
      <c r="O11" s="783"/>
      <c r="P11" s="814"/>
      <c r="Q11" s="783"/>
      <c r="R11" s="814"/>
      <c r="S11" s="783"/>
    </row>
    <row r="12" spans="1:19">
      <c r="A12" s="784"/>
      <c r="B12" s="785" t="s">
        <v>461</v>
      </c>
      <c r="C12" s="817"/>
      <c r="D12" s="811"/>
      <c r="E12" s="812"/>
      <c r="F12" s="817"/>
      <c r="G12" s="60"/>
      <c r="H12" s="814"/>
      <c r="I12" s="782"/>
      <c r="J12" s="814"/>
      <c r="K12" s="783"/>
      <c r="L12" s="814"/>
      <c r="M12" s="783"/>
      <c r="N12" s="814"/>
      <c r="O12" s="783"/>
      <c r="P12" s="814"/>
      <c r="Q12" s="783"/>
      <c r="R12" s="814"/>
      <c r="S12" s="783"/>
    </row>
    <row r="13" spans="1:19">
      <c r="A13" s="815"/>
      <c r="B13" s="786" t="s">
        <v>462</v>
      </c>
      <c r="C13" s="817"/>
      <c r="D13" s="811"/>
      <c r="E13" s="812"/>
      <c r="F13" s="817"/>
      <c r="G13" s="60"/>
      <c r="H13" s="814"/>
      <c r="I13" s="782"/>
      <c r="J13" s="814"/>
      <c r="K13" s="783"/>
      <c r="L13" s="814"/>
      <c r="M13" s="783"/>
      <c r="N13" s="814"/>
      <c r="O13" s="783"/>
      <c r="P13" s="814"/>
      <c r="Q13" s="783"/>
      <c r="R13" s="814"/>
      <c r="S13" s="783"/>
    </row>
    <row r="14" spans="1:19">
      <c r="A14" s="815"/>
      <c r="B14" s="787" t="s">
        <v>463</v>
      </c>
      <c r="C14" s="817"/>
      <c r="D14" s="811"/>
      <c r="E14" s="812"/>
      <c r="F14" s="817"/>
      <c r="G14" s="60"/>
      <c r="H14" s="814"/>
      <c r="I14" s="782"/>
      <c r="J14" s="814"/>
      <c r="K14" s="783"/>
      <c r="L14" s="814"/>
      <c r="M14" s="783"/>
      <c r="N14" s="814"/>
      <c r="O14" s="783"/>
      <c r="P14" s="814"/>
      <c r="Q14" s="783"/>
      <c r="R14" s="814"/>
      <c r="S14" s="783"/>
    </row>
    <row r="15" spans="1:19">
      <c r="A15" s="815"/>
      <c r="B15" s="787" t="s">
        <v>464</v>
      </c>
      <c r="C15" s="817"/>
      <c r="D15" s="811"/>
      <c r="E15" s="812"/>
      <c r="F15" s="817"/>
      <c r="G15" s="60"/>
      <c r="H15" s="814"/>
      <c r="I15" s="782"/>
      <c r="J15" s="814"/>
      <c r="K15" s="782"/>
      <c r="L15" s="814"/>
      <c r="M15" s="782"/>
      <c r="N15" s="814"/>
      <c r="O15" s="782"/>
      <c r="P15" s="814"/>
      <c r="Q15" s="782"/>
      <c r="R15" s="814"/>
      <c r="S15" s="782"/>
    </row>
    <row r="16" spans="1:19">
      <c r="A16" s="815"/>
      <c r="B16" s="787" t="s">
        <v>465</v>
      </c>
      <c r="C16" s="817"/>
      <c r="D16" s="811"/>
      <c r="E16" s="812"/>
      <c r="F16" s="817"/>
      <c r="G16" s="60"/>
      <c r="H16" s="814"/>
      <c r="I16" s="782"/>
      <c r="J16" s="814"/>
      <c r="K16" s="783"/>
      <c r="L16" s="814"/>
      <c r="M16" s="783"/>
      <c r="N16" s="814"/>
      <c r="O16" s="783"/>
      <c r="P16" s="814"/>
      <c r="Q16" s="783"/>
      <c r="R16" s="814"/>
      <c r="S16" s="783"/>
    </row>
    <row r="17" spans="1:19">
      <c r="A17" s="815"/>
      <c r="B17" s="787" t="s">
        <v>466</v>
      </c>
      <c r="C17" s="817"/>
      <c r="D17" s="811"/>
      <c r="E17" s="812"/>
      <c r="F17" s="817"/>
      <c r="G17" s="60"/>
      <c r="H17" s="814"/>
      <c r="I17" s="782"/>
      <c r="J17" s="814"/>
      <c r="K17" s="783"/>
      <c r="L17" s="814"/>
      <c r="M17" s="783"/>
      <c r="N17" s="814"/>
      <c r="O17" s="783"/>
      <c r="P17" s="814"/>
      <c r="Q17" s="783"/>
      <c r="R17" s="814"/>
      <c r="S17" s="783"/>
    </row>
    <row r="18" spans="1:19">
      <c r="A18" s="815"/>
      <c r="B18" s="788" t="s">
        <v>467</v>
      </c>
      <c r="C18" s="817"/>
      <c r="D18" s="811"/>
      <c r="E18" s="812"/>
      <c r="F18" s="817"/>
      <c r="G18" s="60"/>
      <c r="H18" s="814"/>
      <c r="I18" s="782"/>
      <c r="J18" s="814"/>
      <c r="K18" s="783"/>
      <c r="L18" s="814"/>
      <c r="M18" s="783"/>
      <c r="N18" s="814"/>
      <c r="O18" s="783"/>
      <c r="P18" s="814"/>
      <c r="Q18" s="783"/>
      <c r="R18" s="814"/>
      <c r="S18" s="783"/>
    </row>
    <row r="19" spans="1:19">
      <c r="A19" s="815"/>
      <c r="B19" s="789" t="s">
        <v>468</v>
      </c>
      <c r="C19" s="896"/>
      <c r="D19" s="897"/>
      <c r="E19" s="898"/>
      <c r="F19" s="899"/>
      <c r="G19" s="463"/>
      <c r="H19" s="900"/>
      <c r="I19" s="790"/>
      <c r="J19" s="900"/>
      <c r="K19" s="791"/>
      <c r="L19" s="900"/>
      <c r="M19" s="791"/>
      <c r="N19" s="900"/>
      <c r="O19" s="791"/>
      <c r="P19" s="900"/>
      <c r="Q19" s="791"/>
      <c r="R19" s="900"/>
      <c r="S19" s="791"/>
    </row>
    <row r="20" spans="1:19">
      <c r="A20" s="815"/>
      <c r="B20" s="792"/>
      <c r="C20" s="817"/>
      <c r="D20" s="811"/>
      <c r="E20" s="812"/>
      <c r="F20" s="813"/>
      <c r="G20" s="60"/>
      <c r="H20" s="814"/>
      <c r="I20" s="794"/>
      <c r="J20" s="814"/>
      <c r="K20" s="793"/>
      <c r="L20" s="814"/>
      <c r="M20" s="794"/>
      <c r="N20" s="814"/>
      <c r="O20" s="794"/>
      <c r="P20" s="814"/>
      <c r="Q20" s="794"/>
      <c r="R20" s="814"/>
      <c r="S20" s="794"/>
    </row>
    <row r="21" spans="1:19">
      <c r="A21" s="815"/>
      <c r="B21" s="792" t="s">
        <v>542</v>
      </c>
      <c r="C21" s="817"/>
      <c r="D21" s="811"/>
      <c r="E21" s="812"/>
      <c r="F21" s="813"/>
      <c r="G21" s="315">
        <f t="shared" ref="G21:G54" si="5">ROUND(D21*F21,0)</f>
        <v>0</v>
      </c>
      <c r="H21" s="814"/>
      <c r="I21" s="793">
        <f>G21</f>
        <v>0</v>
      </c>
      <c r="J21" s="814"/>
      <c r="K21" s="793"/>
      <c r="L21" s="814"/>
      <c r="M21" s="794"/>
      <c r="N21" s="814"/>
      <c r="O21" s="794"/>
      <c r="P21" s="814"/>
      <c r="Q21" s="794"/>
      <c r="R21" s="814"/>
      <c r="S21" s="794"/>
    </row>
    <row r="22" spans="1:19">
      <c r="A22" s="815"/>
      <c r="B22" s="918" t="s">
        <v>543</v>
      </c>
      <c r="C22" s="817"/>
      <c r="D22" s="811">
        <f>1514.36*24</f>
        <v>36344.639999999999</v>
      </c>
      <c r="E22" s="812" t="s">
        <v>179</v>
      </c>
      <c r="F22" s="813">
        <v>10.5</v>
      </c>
      <c r="G22" s="315">
        <f t="shared" si="5"/>
        <v>381619</v>
      </c>
      <c r="H22" s="814"/>
      <c r="I22" s="793">
        <f t="shared" ref="I22:I54" si="6">G22</f>
        <v>381619</v>
      </c>
      <c r="J22" s="814"/>
      <c r="K22" s="793"/>
      <c r="L22" s="814"/>
      <c r="M22" s="794"/>
      <c r="N22" s="814"/>
      <c r="O22" s="794"/>
      <c r="P22" s="814"/>
      <c r="Q22" s="794"/>
      <c r="R22" s="814"/>
      <c r="S22" s="794"/>
    </row>
    <row r="23" spans="1:19">
      <c r="A23" s="815"/>
      <c r="B23" s="919" t="s">
        <v>544</v>
      </c>
      <c r="C23" s="817"/>
      <c r="D23" s="811">
        <v>110792</v>
      </c>
      <c r="E23" s="812" t="s">
        <v>179</v>
      </c>
      <c r="F23" s="813">
        <v>9</v>
      </c>
      <c r="G23" s="315">
        <f t="shared" si="5"/>
        <v>997128</v>
      </c>
      <c r="H23" s="814"/>
      <c r="I23" s="793">
        <f t="shared" si="6"/>
        <v>997128</v>
      </c>
      <c r="J23" s="814"/>
      <c r="K23" s="793"/>
      <c r="L23" s="814"/>
      <c r="M23" s="794"/>
      <c r="N23" s="814"/>
      <c r="O23" s="794"/>
      <c r="P23" s="814"/>
      <c r="Q23" s="794"/>
      <c r="R23" s="814"/>
      <c r="S23" s="794"/>
    </row>
    <row r="24" spans="1:19">
      <c r="A24" s="815"/>
      <c r="B24" s="919" t="s">
        <v>545</v>
      </c>
      <c r="C24" s="817"/>
      <c r="D24" s="811">
        <f>1514.36*5</f>
        <v>7571.7999999999993</v>
      </c>
      <c r="E24" s="812" t="s">
        <v>179</v>
      </c>
      <c r="F24" s="813">
        <v>10</v>
      </c>
      <c r="G24" s="315">
        <f t="shared" si="5"/>
        <v>75718</v>
      </c>
      <c r="H24" s="814"/>
      <c r="I24" s="793">
        <f t="shared" si="6"/>
        <v>75718</v>
      </c>
      <c r="J24" s="814"/>
      <c r="K24" s="793"/>
      <c r="L24" s="814"/>
      <c r="M24" s="794"/>
      <c r="N24" s="814"/>
      <c r="O24" s="794"/>
      <c r="P24" s="814"/>
      <c r="Q24" s="794"/>
      <c r="R24" s="814"/>
      <c r="S24" s="794"/>
    </row>
    <row r="25" spans="1:19">
      <c r="A25" s="815"/>
      <c r="B25" s="919" t="s">
        <v>546</v>
      </c>
      <c r="C25" s="817"/>
      <c r="D25" s="811">
        <v>5</v>
      </c>
      <c r="E25" s="812" t="s">
        <v>271</v>
      </c>
      <c r="F25" s="813">
        <v>15000</v>
      </c>
      <c r="G25" s="315">
        <f t="shared" si="5"/>
        <v>75000</v>
      </c>
      <c r="H25" s="814"/>
      <c r="I25" s="793">
        <f t="shared" si="6"/>
        <v>75000</v>
      </c>
      <c r="J25" s="814"/>
      <c r="K25" s="793"/>
      <c r="L25" s="814"/>
      <c r="M25" s="794"/>
      <c r="N25" s="814"/>
      <c r="O25" s="794"/>
      <c r="P25" s="814"/>
      <c r="Q25" s="794"/>
      <c r="R25" s="814"/>
      <c r="S25" s="794"/>
    </row>
    <row r="26" spans="1:19">
      <c r="A26" s="815"/>
      <c r="B26" s="792"/>
      <c r="C26" s="817"/>
      <c r="D26" s="811"/>
      <c r="E26" s="812"/>
      <c r="F26" s="813"/>
      <c r="G26" s="315">
        <f t="shared" si="5"/>
        <v>0</v>
      </c>
      <c r="H26" s="814"/>
      <c r="I26" s="793">
        <f t="shared" si="6"/>
        <v>0</v>
      </c>
      <c r="J26" s="814"/>
      <c r="K26" s="793"/>
      <c r="L26" s="814"/>
      <c r="M26" s="794"/>
      <c r="N26" s="814"/>
      <c r="O26" s="794"/>
      <c r="P26" s="814"/>
      <c r="Q26" s="794"/>
      <c r="R26" s="814"/>
      <c r="S26" s="794"/>
    </row>
    <row r="27" spans="1:19">
      <c r="A27" s="815"/>
      <c r="B27" s="920" t="s">
        <v>547</v>
      </c>
      <c r="C27" s="817"/>
      <c r="D27" s="811"/>
      <c r="E27" s="812" t="s">
        <v>179</v>
      </c>
      <c r="F27" s="813"/>
      <c r="G27" s="315">
        <f t="shared" si="5"/>
        <v>0</v>
      </c>
      <c r="H27" s="814"/>
      <c r="I27" s="793">
        <f t="shared" si="6"/>
        <v>0</v>
      </c>
      <c r="J27" s="814"/>
      <c r="K27" s="793"/>
      <c r="L27" s="814"/>
      <c r="M27" s="794"/>
      <c r="N27" s="814"/>
      <c r="O27" s="794"/>
      <c r="P27" s="814"/>
      <c r="Q27" s="794"/>
      <c r="R27" s="814"/>
      <c r="S27" s="794"/>
    </row>
    <row r="28" spans="1:19">
      <c r="A28" s="815"/>
      <c r="B28" s="918" t="s">
        <v>548</v>
      </c>
      <c r="C28" s="817"/>
      <c r="D28" s="811">
        <f>'07 42 Metal Panel'!D21</f>
        <v>19200</v>
      </c>
      <c r="E28" s="812" t="s">
        <v>179</v>
      </c>
      <c r="F28" s="813">
        <v>7.25</v>
      </c>
      <c r="G28" s="315">
        <f t="shared" si="5"/>
        <v>139200</v>
      </c>
      <c r="H28" s="814"/>
      <c r="I28" s="793">
        <f t="shared" si="6"/>
        <v>139200</v>
      </c>
      <c r="J28" s="814"/>
      <c r="K28" s="793"/>
      <c r="L28" s="814"/>
      <c r="M28" s="794"/>
      <c r="N28" s="814"/>
      <c r="O28" s="794"/>
      <c r="P28" s="814"/>
      <c r="Q28" s="794"/>
      <c r="R28" s="814"/>
      <c r="S28" s="794"/>
    </row>
    <row r="29" spans="1:19">
      <c r="A29" s="815"/>
      <c r="B29" s="918" t="s">
        <v>549</v>
      </c>
      <c r="C29" s="817"/>
      <c r="D29" s="811">
        <f>'04 40 Stone Cladding'!D22</f>
        <v>2567</v>
      </c>
      <c r="E29" s="812" t="s">
        <v>179</v>
      </c>
      <c r="F29" s="813">
        <v>7.25</v>
      </c>
      <c r="G29" s="315">
        <f t="shared" si="5"/>
        <v>18611</v>
      </c>
      <c r="H29" s="814"/>
      <c r="I29" s="793">
        <f t="shared" si="6"/>
        <v>18611</v>
      </c>
      <c r="J29" s="814"/>
      <c r="K29" s="793"/>
      <c r="L29" s="814"/>
      <c r="M29" s="794"/>
      <c r="N29" s="814"/>
      <c r="O29" s="794"/>
      <c r="P29" s="814"/>
      <c r="Q29" s="794"/>
      <c r="R29" s="814"/>
      <c r="S29" s="794"/>
    </row>
    <row r="30" spans="1:19">
      <c r="A30" s="512"/>
      <c r="B30" s="918"/>
      <c r="C30" s="506"/>
      <c r="D30" s="507"/>
      <c r="E30" s="508"/>
      <c r="F30" s="517"/>
      <c r="G30" s="315">
        <f t="shared" ref="G30:G35" si="7">ROUND(D30*F30,0)</f>
        <v>0</v>
      </c>
      <c r="H30" s="814"/>
      <c r="I30" s="793">
        <f t="shared" ref="I30:I35" si="8">G30</f>
        <v>0</v>
      </c>
      <c r="J30" s="561"/>
      <c r="K30" s="793"/>
      <c r="L30" s="561"/>
      <c r="M30" s="794"/>
      <c r="N30" s="561"/>
      <c r="O30" s="794"/>
      <c r="P30" s="561"/>
      <c r="Q30" s="794"/>
      <c r="R30" s="561"/>
      <c r="S30" s="794"/>
    </row>
    <row r="31" spans="1:19">
      <c r="A31" s="512"/>
      <c r="B31" s="918" t="s">
        <v>550</v>
      </c>
      <c r="C31" s="506"/>
      <c r="D31" s="507">
        <v>110025</v>
      </c>
      <c r="E31" s="508" t="s">
        <v>179</v>
      </c>
      <c r="F31" s="517">
        <v>35</v>
      </c>
      <c r="G31" s="315">
        <f t="shared" si="7"/>
        <v>3850875</v>
      </c>
      <c r="H31" s="814"/>
      <c r="I31" s="793">
        <f t="shared" si="8"/>
        <v>3850875</v>
      </c>
      <c r="J31" s="561"/>
      <c r="K31" s="793"/>
      <c r="L31" s="561"/>
      <c r="M31" s="794"/>
      <c r="N31" s="561"/>
      <c r="O31" s="794"/>
      <c r="P31" s="561"/>
      <c r="Q31" s="794"/>
      <c r="R31" s="561"/>
      <c r="S31" s="794"/>
    </row>
    <row r="32" spans="1:19">
      <c r="A32" s="512"/>
      <c r="B32" s="918" t="s">
        <v>551</v>
      </c>
      <c r="C32" s="506"/>
      <c r="D32" s="507">
        <v>7081</v>
      </c>
      <c r="E32" s="508" t="s">
        <v>179</v>
      </c>
      <c r="F32" s="517">
        <v>35</v>
      </c>
      <c r="G32" s="315">
        <f t="shared" ref="G32" si="9">ROUND(D32*F32,0)</f>
        <v>247835</v>
      </c>
      <c r="H32" s="814"/>
      <c r="I32" s="793">
        <f t="shared" ref="I32" si="10">G32</f>
        <v>247835</v>
      </c>
      <c r="J32" s="561"/>
      <c r="K32" s="793"/>
      <c r="L32" s="561"/>
      <c r="M32" s="794"/>
      <c r="N32" s="561"/>
      <c r="O32" s="794"/>
      <c r="P32" s="561"/>
      <c r="Q32" s="794"/>
      <c r="R32" s="561"/>
      <c r="S32" s="794"/>
    </row>
    <row r="33" spans="1:19">
      <c r="A33" s="512"/>
      <c r="B33" s="921" t="s">
        <v>552</v>
      </c>
      <c r="C33" s="506"/>
      <c r="D33" s="507">
        <v>8569</v>
      </c>
      <c r="E33" s="508" t="s">
        <v>179</v>
      </c>
      <c r="F33" s="517">
        <v>28</v>
      </c>
      <c r="G33" s="315">
        <f t="shared" si="7"/>
        <v>239932</v>
      </c>
      <c r="H33" s="814"/>
      <c r="I33" s="793">
        <f t="shared" si="8"/>
        <v>239932</v>
      </c>
      <c r="J33" s="561"/>
      <c r="K33" s="793"/>
      <c r="L33" s="561"/>
      <c r="M33" s="794"/>
      <c r="N33" s="561"/>
      <c r="O33" s="794"/>
      <c r="P33" s="561"/>
      <c r="Q33" s="794"/>
      <c r="R33" s="561"/>
      <c r="S33" s="794"/>
    </row>
    <row r="34" spans="1:19">
      <c r="A34" s="512"/>
      <c r="B34" s="921" t="s">
        <v>553</v>
      </c>
      <c r="C34" s="506"/>
      <c r="D34" s="507">
        <f>12272-2404</f>
        <v>9868</v>
      </c>
      <c r="E34" s="508" t="s">
        <v>179</v>
      </c>
      <c r="F34" s="517">
        <v>28</v>
      </c>
      <c r="G34" s="315">
        <f t="shared" si="7"/>
        <v>276304</v>
      </c>
      <c r="H34" s="814"/>
      <c r="I34" s="793">
        <f t="shared" si="8"/>
        <v>276304</v>
      </c>
      <c r="J34" s="561"/>
      <c r="K34" s="793"/>
      <c r="L34" s="561"/>
      <c r="M34" s="794"/>
      <c r="N34" s="561"/>
      <c r="O34" s="794"/>
      <c r="P34" s="561"/>
      <c r="Q34" s="794"/>
      <c r="R34" s="561"/>
      <c r="S34" s="794"/>
    </row>
    <row r="35" spans="1:19">
      <c r="A35" s="815"/>
      <c r="B35" s="792"/>
      <c r="C35" s="817"/>
      <c r="D35" s="811"/>
      <c r="E35" s="812"/>
      <c r="F35" s="813"/>
      <c r="G35" s="315">
        <f t="shared" si="7"/>
        <v>0</v>
      </c>
      <c r="H35" s="814"/>
      <c r="I35" s="793">
        <f t="shared" si="8"/>
        <v>0</v>
      </c>
      <c r="J35" s="814"/>
      <c r="K35" s="793"/>
      <c r="L35" s="814"/>
      <c r="M35" s="794"/>
      <c r="N35" s="814"/>
      <c r="O35" s="794"/>
      <c r="P35" s="814"/>
      <c r="Q35" s="794"/>
      <c r="R35" s="814"/>
      <c r="S35" s="794"/>
    </row>
    <row r="36" spans="1:19">
      <c r="A36" s="815"/>
      <c r="B36" s="792" t="s">
        <v>554</v>
      </c>
      <c r="C36" s="817"/>
      <c r="D36" s="811"/>
      <c r="E36" s="812"/>
      <c r="F36" s="813"/>
      <c r="G36" s="315">
        <f t="shared" si="5"/>
        <v>0</v>
      </c>
      <c r="H36" s="814"/>
      <c r="I36" s="793">
        <f t="shared" si="6"/>
        <v>0</v>
      </c>
      <c r="J36" s="814"/>
      <c r="K36" s="793"/>
      <c r="L36" s="814"/>
      <c r="M36" s="794"/>
      <c r="N36" s="814"/>
      <c r="O36" s="794"/>
      <c r="P36" s="814"/>
      <c r="Q36" s="794"/>
      <c r="R36" s="814"/>
      <c r="S36" s="794"/>
    </row>
    <row r="37" spans="1:19">
      <c r="A37" s="815"/>
      <c r="B37" s="918" t="s">
        <v>555</v>
      </c>
      <c r="C37" s="817"/>
      <c r="D37" s="811">
        <f>'08 50 Storefront'!D21*0.3</f>
        <v>10257</v>
      </c>
      <c r="E37" s="812" t="s">
        <v>329</v>
      </c>
      <c r="F37" s="813">
        <v>5</v>
      </c>
      <c r="G37" s="315">
        <f t="shared" si="5"/>
        <v>51285</v>
      </c>
      <c r="H37" s="814"/>
      <c r="I37" s="793">
        <f t="shared" si="6"/>
        <v>51285</v>
      </c>
      <c r="J37" s="814"/>
      <c r="K37" s="793"/>
      <c r="L37" s="814"/>
      <c r="M37" s="794"/>
      <c r="N37" s="814"/>
      <c r="O37" s="794"/>
      <c r="P37" s="814"/>
      <c r="Q37" s="794"/>
      <c r="R37" s="814"/>
      <c r="S37" s="794"/>
    </row>
    <row r="38" spans="1:19">
      <c r="A38" s="815"/>
      <c r="B38" s="918" t="s">
        <v>556</v>
      </c>
      <c r="C38" s="817"/>
      <c r="D38" s="811">
        <f>'Area Calculations'!G5</f>
        <v>389323</v>
      </c>
      <c r="E38" s="812" t="s">
        <v>179</v>
      </c>
      <c r="F38" s="813">
        <v>0.15</v>
      </c>
      <c r="G38" s="315">
        <f t="shared" si="5"/>
        <v>58398</v>
      </c>
      <c r="H38" s="814"/>
      <c r="I38" s="793">
        <f t="shared" si="6"/>
        <v>58398</v>
      </c>
      <c r="J38" s="814"/>
      <c r="K38" s="793"/>
      <c r="L38" s="814"/>
      <c r="M38" s="794"/>
      <c r="N38" s="814"/>
      <c r="O38" s="794"/>
      <c r="P38" s="814"/>
      <c r="Q38" s="794"/>
      <c r="R38" s="814"/>
      <c r="S38" s="794"/>
    </row>
    <row r="39" spans="1:19">
      <c r="A39" s="815"/>
      <c r="B39" s="792"/>
      <c r="C39" s="817"/>
      <c r="D39" s="811"/>
      <c r="E39" s="812"/>
      <c r="F39" s="813"/>
      <c r="G39" s="315">
        <f t="shared" si="5"/>
        <v>0</v>
      </c>
      <c r="H39" s="814"/>
      <c r="I39" s="793">
        <f t="shared" si="6"/>
        <v>0</v>
      </c>
      <c r="J39" s="814"/>
      <c r="K39" s="793"/>
      <c r="L39" s="814"/>
      <c r="M39" s="794"/>
      <c r="N39" s="814"/>
      <c r="O39" s="794"/>
      <c r="P39" s="814"/>
      <c r="Q39" s="794"/>
      <c r="R39" s="814"/>
      <c r="S39" s="794"/>
    </row>
    <row r="40" spans="1:19">
      <c r="A40" s="815"/>
      <c r="B40" s="792"/>
      <c r="C40" s="817"/>
      <c r="D40" s="811"/>
      <c r="E40" s="812"/>
      <c r="F40" s="813"/>
      <c r="G40" s="315">
        <f t="shared" si="5"/>
        <v>0</v>
      </c>
      <c r="H40" s="814"/>
      <c r="I40" s="793">
        <f t="shared" si="6"/>
        <v>0</v>
      </c>
      <c r="J40" s="814"/>
      <c r="K40" s="793"/>
      <c r="L40" s="814"/>
      <c r="M40" s="794"/>
      <c r="N40" s="814"/>
      <c r="O40" s="794"/>
      <c r="P40" s="814"/>
      <c r="Q40" s="794"/>
      <c r="R40" s="814"/>
      <c r="S40" s="794"/>
    </row>
    <row r="41" spans="1:19">
      <c r="A41" s="815"/>
      <c r="B41" s="792"/>
      <c r="C41" s="817"/>
      <c r="D41" s="811"/>
      <c r="E41" s="812"/>
      <c r="F41" s="813"/>
      <c r="G41" s="315">
        <f t="shared" si="5"/>
        <v>0</v>
      </c>
      <c r="H41" s="814"/>
      <c r="I41" s="793">
        <f t="shared" si="6"/>
        <v>0</v>
      </c>
      <c r="J41" s="814"/>
      <c r="K41" s="793"/>
      <c r="L41" s="814"/>
      <c r="M41" s="794"/>
      <c r="N41" s="814"/>
      <c r="O41" s="794"/>
      <c r="P41" s="814"/>
      <c r="Q41" s="794"/>
      <c r="R41" s="814"/>
      <c r="S41" s="794"/>
    </row>
    <row r="42" spans="1:19">
      <c r="A42" s="815"/>
      <c r="B42" s="792"/>
      <c r="C42" s="817"/>
      <c r="D42" s="811"/>
      <c r="E42" s="812"/>
      <c r="F42" s="813"/>
      <c r="G42" s="315">
        <f t="shared" si="5"/>
        <v>0</v>
      </c>
      <c r="H42" s="814"/>
      <c r="I42" s="793">
        <f t="shared" si="6"/>
        <v>0</v>
      </c>
      <c r="J42" s="814"/>
      <c r="K42" s="793"/>
      <c r="L42" s="814"/>
      <c r="M42" s="794"/>
      <c r="N42" s="814"/>
      <c r="O42" s="794"/>
      <c r="P42" s="814"/>
      <c r="Q42" s="794"/>
      <c r="R42" s="814"/>
      <c r="S42" s="794"/>
    </row>
    <row r="43" spans="1:19">
      <c r="A43" s="815"/>
      <c r="B43" s="792"/>
      <c r="C43" s="817"/>
      <c r="D43" s="811"/>
      <c r="E43" s="812"/>
      <c r="F43" s="813"/>
      <c r="G43" s="315">
        <f t="shared" si="5"/>
        <v>0</v>
      </c>
      <c r="H43" s="814"/>
      <c r="I43" s="793">
        <f t="shared" si="6"/>
        <v>0</v>
      </c>
      <c r="J43" s="814"/>
      <c r="K43" s="793"/>
      <c r="L43" s="814"/>
      <c r="M43" s="794"/>
      <c r="N43" s="814"/>
      <c r="O43" s="794"/>
      <c r="P43" s="814"/>
      <c r="Q43" s="794"/>
      <c r="R43" s="814"/>
      <c r="S43" s="794"/>
    </row>
    <row r="44" spans="1:19">
      <c r="A44" s="815"/>
      <c r="B44" s="792"/>
      <c r="C44" s="817"/>
      <c r="D44" s="811"/>
      <c r="E44" s="812"/>
      <c r="F44" s="813"/>
      <c r="G44" s="315">
        <f t="shared" si="5"/>
        <v>0</v>
      </c>
      <c r="H44" s="814"/>
      <c r="I44" s="793">
        <f t="shared" si="6"/>
        <v>0</v>
      </c>
      <c r="J44" s="814"/>
      <c r="K44" s="793"/>
      <c r="L44" s="814"/>
      <c r="M44" s="794"/>
      <c r="N44" s="814"/>
      <c r="O44" s="794"/>
      <c r="P44" s="814"/>
      <c r="Q44" s="794"/>
      <c r="R44" s="814"/>
      <c r="S44" s="794"/>
    </row>
    <row r="45" spans="1:19">
      <c r="A45" s="815"/>
      <c r="B45" s="792"/>
      <c r="C45" s="817"/>
      <c r="D45" s="811"/>
      <c r="E45" s="812"/>
      <c r="F45" s="813"/>
      <c r="G45" s="315">
        <f t="shared" ref="G45:G48" si="11">ROUND(D45*F45,0)</f>
        <v>0</v>
      </c>
      <c r="H45" s="814"/>
      <c r="I45" s="793">
        <f t="shared" ref="I45:I48" si="12">G45</f>
        <v>0</v>
      </c>
      <c r="J45" s="814"/>
      <c r="K45" s="793"/>
      <c r="L45" s="814"/>
      <c r="M45" s="794"/>
      <c r="N45" s="814"/>
      <c r="O45" s="794"/>
      <c r="P45" s="814"/>
      <c r="Q45" s="794"/>
      <c r="R45" s="814"/>
      <c r="S45" s="794"/>
    </row>
    <row r="46" spans="1:19">
      <c r="A46" s="512"/>
      <c r="B46" s="792"/>
      <c r="C46" s="506"/>
      <c r="D46" s="507"/>
      <c r="E46" s="508"/>
      <c r="F46" s="517"/>
      <c r="G46" s="315">
        <f t="shared" si="11"/>
        <v>0</v>
      </c>
      <c r="H46" s="814"/>
      <c r="I46" s="793">
        <f t="shared" si="12"/>
        <v>0</v>
      </c>
      <c r="J46" s="561"/>
      <c r="K46" s="793"/>
      <c r="L46" s="561"/>
      <c r="M46" s="794"/>
      <c r="N46" s="561"/>
      <c r="O46" s="794"/>
      <c r="P46" s="561"/>
      <c r="Q46" s="794"/>
      <c r="R46" s="561"/>
      <c r="S46" s="794"/>
    </row>
    <row r="47" spans="1:19">
      <c r="A47" s="815"/>
      <c r="B47" s="792"/>
      <c r="C47" s="817"/>
      <c r="D47" s="811"/>
      <c r="E47" s="812"/>
      <c r="F47" s="813"/>
      <c r="G47" s="315">
        <f t="shared" si="11"/>
        <v>0</v>
      </c>
      <c r="H47" s="814"/>
      <c r="I47" s="793">
        <f t="shared" si="12"/>
        <v>0</v>
      </c>
      <c r="J47" s="814"/>
      <c r="K47" s="793"/>
      <c r="L47" s="814"/>
      <c r="M47" s="794"/>
      <c r="N47" s="814"/>
      <c r="O47" s="794"/>
      <c r="P47" s="814"/>
      <c r="Q47" s="794"/>
      <c r="R47" s="814"/>
      <c r="S47" s="794"/>
    </row>
    <row r="48" spans="1:19">
      <c r="A48" s="815"/>
      <c r="B48" s="792"/>
      <c r="C48" s="817"/>
      <c r="D48" s="811"/>
      <c r="E48" s="812"/>
      <c r="F48" s="813"/>
      <c r="G48" s="315">
        <f t="shared" si="11"/>
        <v>0</v>
      </c>
      <c r="H48" s="814"/>
      <c r="I48" s="793">
        <f t="shared" si="12"/>
        <v>0</v>
      </c>
      <c r="J48" s="814"/>
      <c r="K48" s="793"/>
      <c r="L48" s="814"/>
      <c r="M48" s="794"/>
      <c r="N48" s="814"/>
      <c r="O48" s="794"/>
      <c r="P48" s="814"/>
      <c r="Q48" s="794"/>
      <c r="R48" s="814"/>
      <c r="S48" s="794"/>
    </row>
    <row r="49" spans="1:19">
      <c r="A49" s="815"/>
      <c r="B49" s="792"/>
      <c r="C49" s="817"/>
      <c r="D49" s="811"/>
      <c r="E49" s="812"/>
      <c r="F49" s="813"/>
      <c r="G49" s="315">
        <f t="shared" si="5"/>
        <v>0</v>
      </c>
      <c r="H49" s="814"/>
      <c r="I49" s="793">
        <f t="shared" si="6"/>
        <v>0</v>
      </c>
      <c r="J49" s="814"/>
      <c r="K49" s="793"/>
      <c r="L49" s="814"/>
      <c r="M49" s="794"/>
      <c r="N49" s="814"/>
      <c r="O49" s="794"/>
      <c r="P49" s="814"/>
      <c r="Q49" s="794"/>
      <c r="R49" s="814"/>
      <c r="S49" s="794"/>
    </row>
    <row r="50" spans="1:19">
      <c r="A50" s="815"/>
      <c r="B50" s="792"/>
      <c r="C50" s="817"/>
      <c r="D50" s="811"/>
      <c r="E50" s="812"/>
      <c r="F50" s="813"/>
      <c r="G50" s="315">
        <f t="shared" si="5"/>
        <v>0</v>
      </c>
      <c r="H50" s="814"/>
      <c r="I50" s="793">
        <f t="shared" si="6"/>
        <v>0</v>
      </c>
      <c r="J50" s="814"/>
      <c r="K50" s="793"/>
      <c r="L50" s="814"/>
      <c r="M50" s="794"/>
      <c r="N50" s="814"/>
      <c r="O50" s="794"/>
      <c r="P50" s="814"/>
      <c r="Q50" s="794"/>
      <c r="R50" s="814"/>
      <c r="S50" s="794"/>
    </row>
    <row r="51" spans="1:19">
      <c r="A51" s="815"/>
      <c r="B51" s="792"/>
      <c r="C51" s="817"/>
      <c r="D51" s="811"/>
      <c r="E51" s="812"/>
      <c r="F51" s="813"/>
      <c r="G51" s="315">
        <f t="shared" si="5"/>
        <v>0</v>
      </c>
      <c r="H51" s="814"/>
      <c r="I51" s="793">
        <f t="shared" si="6"/>
        <v>0</v>
      </c>
      <c r="J51" s="814"/>
      <c r="K51" s="793"/>
      <c r="L51" s="814"/>
      <c r="M51" s="794"/>
      <c r="N51" s="814"/>
      <c r="O51" s="794"/>
      <c r="P51" s="814"/>
      <c r="Q51" s="794"/>
      <c r="R51" s="814"/>
      <c r="S51" s="794"/>
    </row>
    <row r="52" spans="1:19">
      <c r="A52" s="815"/>
      <c r="B52" s="792"/>
      <c r="C52" s="817"/>
      <c r="D52" s="811"/>
      <c r="E52" s="812"/>
      <c r="F52" s="813"/>
      <c r="G52" s="315">
        <f t="shared" si="5"/>
        <v>0</v>
      </c>
      <c r="H52" s="814"/>
      <c r="I52" s="793">
        <f t="shared" si="6"/>
        <v>0</v>
      </c>
      <c r="J52" s="814"/>
      <c r="K52" s="793"/>
      <c r="L52" s="814"/>
      <c r="M52" s="794"/>
      <c r="N52" s="814"/>
      <c r="O52" s="794"/>
      <c r="P52" s="814"/>
      <c r="Q52" s="794"/>
      <c r="R52" s="814"/>
      <c r="S52" s="794"/>
    </row>
    <row r="53" spans="1:19">
      <c r="A53" s="815"/>
      <c r="B53" s="792"/>
      <c r="C53" s="817"/>
      <c r="D53" s="811"/>
      <c r="E53" s="812"/>
      <c r="F53" s="813"/>
      <c r="G53" s="315">
        <f t="shared" si="5"/>
        <v>0</v>
      </c>
      <c r="H53" s="814"/>
      <c r="I53" s="793">
        <f t="shared" si="6"/>
        <v>0</v>
      </c>
      <c r="J53" s="814"/>
      <c r="K53" s="793"/>
      <c r="L53" s="814"/>
      <c r="M53" s="794"/>
      <c r="N53" s="814"/>
      <c r="O53" s="794"/>
      <c r="P53" s="814"/>
      <c r="Q53" s="794"/>
      <c r="R53" s="814"/>
      <c r="S53" s="794"/>
    </row>
    <row r="54" spans="1:19">
      <c r="A54" s="815"/>
      <c r="B54" s="792"/>
      <c r="C54" s="817"/>
      <c r="D54" s="811"/>
      <c r="E54" s="812"/>
      <c r="F54" s="813"/>
      <c r="G54" s="315">
        <f t="shared" si="5"/>
        <v>0</v>
      </c>
      <c r="H54" s="814"/>
      <c r="I54" s="793">
        <f t="shared" si="6"/>
        <v>0</v>
      </c>
      <c r="J54" s="814"/>
      <c r="K54" s="793"/>
      <c r="L54" s="814"/>
      <c r="M54" s="794"/>
      <c r="N54" s="814"/>
      <c r="O54" s="794"/>
      <c r="P54" s="814"/>
      <c r="Q54" s="794"/>
      <c r="R54" s="814"/>
      <c r="S54" s="794"/>
    </row>
    <row r="55" spans="1:19" ht="15.75" thickBot="1">
      <c r="A55" s="815"/>
      <c r="B55" s="518"/>
      <c r="C55" s="491"/>
      <c r="D55" s="922"/>
      <c r="E55" s="812"/>
      <c r="F55" s="492"/>
      <c r="G55" s="315"/>
      <c r="H55" s="814"/>
      <c r="I55" s="793"/>
      <c r="J55" s="814"/>
      <c r="K55" s="793"/>
      <c r="L55" s="814"/>
      <c r="M55" s="793"/>
      <c r="N55" s="814"/>
      <c r="O55" s="793"/>
      <c r="P55" s="814"/>
      <c r="Q55" s="793"/>
      <c r="R55" s="814"/>
      <c r="S55" s="793"/>
    </row>
    <row r="56" spans="1:19" ht="15.75" thickTop="1">
      <c r="A56" s="15"/>
      <c r="B56" s="218" t="s">
        <v>518</v>
      </c>
      <c r="C56" s="17"/>
      <c r="D56" s="168"/>
      <c r="E56" s="177"/>
      <c r="F56" s="19"/>
      <c r="G56" s="219">
        <f>SUBTOTAL(9,G21:G55)</f>
        <v>6411905</v>
      </c>
      <c r="H56" s="21"/>
      <c r="I56" s="217">
        <f>SUBTOTAL(9,I21:I55)</f>
        <v>6411905</v>
      </c>
      <c r="J56" s="21"/>
      <c r="K56" s="162">
        <f>SUM(K19:K55)</f>
        <v>0</v>
      </c>
      <c r="L56" s="21"/>
      <c r="M56" s="162">
        <f>SUM(M19:M55)</f>
        <v>0</v>
      </c>
      <c r="N56" s="21"/>
      <c r="O56" s="162">
        <f>SUM(O19:O55)</f>
        <v>0</v>
      </c>
      <c r="P56" s="21"/>
      <c r="Q56" s="162">
        <f>SUM(Q19:Q55)</f>
        <v>0</v>
      </c>
      <c r="R56" s="21"/>
      <c r="S56" s="162">
        <f>SUM(S19:S55)</f>
        <v>0</v>
      </c>
    </row>
    <row r="57" spans="1:19">
      <c r="A57" s="519"/>
      <c r="B57" s="923" t="s">
        <v>471</v>
      </c>
      <c r="C57" s="493"/>
      <c r="D57" s="924"/>
      <c r="E57" s="925"/>
      <c r="F57" s="494"/>
      <c r="G57" s="901"/>
      <c r="H57" s="568">
        <v>0</v>
      </c>
      <c r="I57" s="163"/>
      <c r="J57" s="568">
        <v>0</v>
      </c>
      <c r="K57" s="163"/>
      <c r="L57" s="568">
        <v>0</v>
      </c>
      <c r="M57" s="163"/>
      <c r="N57" s="568">
        <v>0</v>
      </c>
      <c r="O57" s="163"/>
      <c r="P57" s="568">
        <v>0</v>
      </c>
      <c r="Q57" s="163"/>
      <c r="R57" s="568">
        <v>0</v>
      </c>
      <c r="S57" s="163"/>
    </row>
    <row r="58" spans="1:19">
      <c r="A58" s="519"/>
      <c r="B58" s="923" t="s">
        <v>472</v>
      </c>
      <c r="C58" s="493"/>
      <c r="D58" s="924"/>
      <c r="E58" s="925"/>
      <c r="F58" s="494"/>
      <c r="G58" s="901">
        <f>F57*G56</f>
        <v>0</v>
      </c>
      <c r="H58" s="570"/>
      <c r="I58" s="571">
        <f>H57*I56</f>
        <v>0</v>
      </c>
      <c r="J58" s="570"/>
      <c r="K58" s="571">
        <f>J57*K56</f>
        <v>0</v>
      </c>
      <c r="L58" s="570"/>
      <c r="M58" s="571">
        <f>L57*M56</f>
        <v>0</v>
      </c>
      <c r="N58" s="570"/>
      <c r="O58" s="571">
        <f>N57*O56</f>
        <v>0</v>
      </c>
      <c r="P58" s="570"/>
      <c r="Q58" s="571">
        <f>P57*Q56</f>
        <v>0</v>
      </c>
      <c r="R58" s="570"/>
      <c r="S58" s="571">
        <f>R57*S56</f>
        <v>0</v>
      </c>
    </row>
    <row r="59" spans="1:19">
      <c r="A59" s="519"/>
      <c r="B59" s="923"/>
      <c r="C59" s="493"/>
      <c r="D59" s="924"/>
      <c r="E59" s="925"/>
      <c r="F59" s="494"/>
      <c r="G59" s="901"/>
      <c r="H59" s="570"/>
      <c r="I59" s="571"/>
      <c r="J59" s="570"/>
      <c r="K59" s="571"/>
      <c r="L59" s="570"/>
      <c r="M59" s="571"/>
      <c r="N59" s="570"/>
      <c r="O59" s="571"/>
      <c r="P59" s="570"/>
      <c r="Q59" s="571"/>
      <c r="R59" s="570"/>
      <c r="S59" s="571"/>
    </row>
    <row r="60" spans="1:19">
      <c r="A60" s="519"/>
      <c r="B60" s="923" t="s">
        <v>473</v>
      </c>
      <c r="C60" s="493"/>
      <c r="D60" s="924"/>
      <c r="E60" s="925"/>
      <c r="F60" s="494"/>
      <c r="G60" s="901">
        <f>SUM(G56:G58)</f>
        <v>6411905</v>
      </c>
      <c r="H60" s="572"/>
      <c r="I60" s="571">
        <f>SUM(I56:I58)</f>
        <v>6411905</v>
      </c>
      <c r="J60" s="572"/>
      <c r="K60" s="571">
        <f>SUM(K56:K58)</f>
        <v>0</v>
      </c>
      <c r="L60" s="572"/>
      <c r="M60" s="571">
        <f>SUM(M56:M58)</f>
        <v>0</v>
      </c>
      <c r="N60" s="572"/>
      <c r="O60" s="571">
        <f>SUM(O56:O58)</f>
        <v>0</v>
      </c>
      <c r="P60" s="572"/>
      <c r="Q60" s="571">
        <f>SUM(Q56:Q58)</f>
        <v>0</v>
      </c>
      <c r="R60" s="572"/>
      <c r="S60" s="571">
        <f>SUM(S56:S58)</f>
        <v>0</v>
      </c>
    </row>
    <row r="61" spans="1:19">
      <c r="A61" s="519"/>
      <c r="B61" s="495" t="s">
        <v>474</v>
      </c>
      <c r="C61" s="493"/>
      <c r="D61" s="924"/>
      <c r="E61" s="925"/>
      <c r="F61" s="495"/>
      <c r="G61" s="902">
        <f>G60/'Area Calculations'!$G$5</f>
        <v>16.469371190502489</v>
      </c>
      <c r="H61" s="574"/>
      <c r="I61" s="575">
        <f>I60/'Area Calculations'!$G$5</f>
        <v>16.469371190502489</v>
      </c>
      <c r="J61" s="574"/>
      <c r="K61" s="575">
        <f>K60/'Area Calculations'!$G$5</f>
        <v>0</v>
      </c>
      <c r="L61" s="574"/>
      <c r="M61" s="575">
        <f>M60/'Area Calculations'!$G$5</f>
        <v>0</v>
      </c>
      <c r="N61" s="574"/>
      <c r="O61" s="575">
        <f>O60/'Area Calculations'!$G$5</f>
        <v>0</v>
      </c>
      <c r="P61" s="574"/>
      <c r="Q61" s="575">
        <f>Q60/'Area Calculations'!$G$5</f>
        <v>0</v>
      </c>
      <c r="R61" s="576"/>
      <c r="S61" s="575">
        <f>S60/'Area Calculations'!$G$5</f>
        <v>0</v>
      </c>
    </row>
    <row r="62" spans="1:19" ht="15.75" thickBot="1">
      <c r="A62" s="519"/>
      <c r="B62" s="496"/>
      <c r="C62" s="493"/>
      <c r="D62" s="924"/>
      <c r="E62" s="925"/>
      <c r="F62" s="494"/>
      <c r="G62" s="464"/>
      <c r="H62" s="577"/>
      <c r="I62" s="578"/>
      <c r="J62" s="577"/>
      <c r="K62" s="577"/>
      <c r="L62" s="577"/>
      <c r="M62" s="577"/>
      <c r="N62" s="577"/>
      <c r="O62" s="577"/>
      <c r="P62" s="577"/>
      <c r="Q62" s="577"/>
      <c r="R62" s="577"/>
      <c r="S62" s="577"/>
    </row>
    <row r="63" spans="1:19" ht="16.5" thickTop="1" thickBot="1">
      <c r="A63" s="691" t="s">
        <v>475</v>
      </c>
      <c r="B63" s="692"/>
      <c r="C63" s="14"/>
      <c r="D63" s="169"/>
      <c r="E63" s="178"/>
      <c r="F63" s="14"/>
      <c r="G63" s="220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 spans="1:19" ht="15.75" thickTop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</row>
    <row r="65" spans="1:34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ht="15.75" thickBot="1">
      <c r="A66" s="795"/>
      <c r="B66" s="497"/>
      <c r="C66" s="796"/>
      <c r="D66" s="851"/>
      <c r="E66" s="852"/>
      <c r="F66" s="796"/>
      <c r="G66" s="798"/>
      <c r="H66" s="799"/>
      <c r="I66" s="799"/>
      <c r="J66" s="799"/>
      <c r="K66" s="799"/>
      <c r="L66" s="799"/>
      <c r="M66" s="799"/>
      <c r="N66" s="799"/>
      <c r="O66" s="799"/>
      <c r="P66" s="799"/>
      <c r="Q66" s="799"/>
      <c r="R66" s="799"/>
      <c r="S66" s="799"/>
    </row>
    <row r="67" spans="1:34" s="2" customFormat="1" ht="16.5" thickTop="1" thickBot="1">
      <c r="A67" s="691" t="s">
        <v>476</v>
      </c>
      <c r="B67" s="692"/>
      <c r="C67" s="14"/>
      <c r="D67" s="169"/>
      <c r="E67" s="178"/>
      <c r="F67" s="14"/>
      <c r="G67" s="220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 ht="15.75" thickTop="1">
      <c r="A68" s="795"/>
      <c r="B68" s="497"/>
      <c r="C68" s="796"/>
      <c r="D68" s="851"/>
      <c r="E68" s="852"/>
      <c r="F68" s="796"/>
      <c r="G68" s="798"/>
      <c r="H68" s="799"/>
      <c r="I68" s="799"/>
      <c r="J68" s="799"/>
      <c r="K68" s="799"/>
      <c r="L68" s="799"/>
      <c r="M68" s="799"/>
      <c r="N68" s="799"/>
      <c r="O68" s="799"/>
      <c r="P68" s="799"/>
      <c r="Q68" s="799"/>
      <c r="R68" s="799"/>
      <c r="S68" s="799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>
      <c r="A69" s="795"/>
      <c r="B69" s="497"/>
      <c r="C69" s="796"/>
      <c r="D69" s="851"/>
      <c r="E69" s="852"/>
      <c r="F69" s="796"/>
      <c r="G69" s="798"/>
      <c r="H69" s="799"/>
      <c r="I69" s="799"/>
      <c r="J69" s="799"/>
      <c r="K69" s="799"/>
      <c r="L69" s="799"/>
      <c r="M69" s="799"/>
      <c r="N69" s="799"/>
      <c r="O69" s="799"/>
      <c r="P69" s="799"/>
      <c r="Q69" s="799"/>
      <c r="R69" s="799"/>
      <c r="S69" s="79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5.75" thickBot="1">
      <c r="A70" s="795"/>
      <c r="B70" s="497"/>
      <c r="C70" s="796"/>
      <c r="D70" s="851"/>
      <c r="E70" s="852"/>
      <c r="F70" s="796"/>
      <c r="G70" s="798"/>
      <c r="H70" s="799"/>
      <c r="I70" s="799"/>
      <c r="J70" s="799"/>
      <c r="K70" s="799"/>
      <c r="L70" s="799"/>
      <c r="M70" s="799"/>
      <c r="N70" s="799"/>
      <c r="O70" s="799"/>
      <c r="P70" s="799"/>
      <c r="Q70" s="799"/>
      <c r="R70" s="799"/>
      <c r="S70" s="799"/>
    </row>
    <row r="71" spans="1:34" s="2" customFormat="1" ht="16.5" thickTop="1" thickBot="1">
      <c r="A71" s="691" t="s">
        <v>477</v>
      </c>
      <c r="B71" s="692"/>
      <c r="C71" s="14"/>
      <c r="D71" s="169"/>
      <c r="E71" s="178"/>
      <c r="F71" s="14"/>
      <c r="G71" s="220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s="2" customFormat="1" ht="15.75" thickTop="1">
      <c r="A72" s="795"/>
      <c r="B72" s="497"/>
      <c r="C72" s="796"/>
      <c r="D72" s="851"/>
      <c r="E72" s="852"/>
      <c r="F72" s="796"/>
      <c r="G72" s="798"/>
      <c r="H72" s="799"/>
      <c r="I72" s="799"/>
      <c r="J72" s="799"/>
      <c r="K72" s="799"/>
      <c r="L72" s="799"/>
      <c r="M72" s="799"/>
      <c r="N72" s="799"/>
      <c r="O72" s="799"/>
      <c r="P72" s="799"/>
      <c r="Q72" s="799"/>
      <c r="R72" s="799"/>
      <c r="S72" s="799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s="2" customFormat="1">
      <c r="A73" s="520"/>
      <c r="B73" s="497"/>
      <c r="C73" s="817"/>
      <c r="D73" s="811"/>
      <c r="E73" s="812"/>
      <c r="F73" s="817"/>
      <c r="G73" s="498"/>
      <c r="H73" s="499"/>
      <c r="I73" s="499"/>
      <c r="J73" s="499"/>
      <c r="K73" s="499"/>
      <c r="L73" s="499"/>
      <c r="M73" s="499"/>
      <c r="N73" s="499"/>
      <c r="O73" s="499"/>
      <c r="P73" s="499"/>
      <c r="Q73" s="499"/>
      <c r="R73" s="499"/>
      <c r="S73" s="499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s="2" customFormat="1" ht="15.75" thickBot="1">
      <c r="A74" s="500"/>
      <c r="B74" s="501"/>
      <c r="C74" s="817"/>
      <c r="D74" s="811"/>
      <c r="E74" s="812"/>
      <c r="F74" s="817"/>
      <c r="G74" s="498"/>
      <c r="H74" s="502"/>
      <c r="I74" s="502"/>
      <c r="J74" s="502"/>
      <c r="K74" s="502"/>
      <c r="L74" s="502"/>
      <c r="M74" s="502"/>
      <c r="N74" s="502"/>
      <c r="O74" s="502"/>
      <c r="P74" s="502"/>
      <c r="Q74" s="502"/>
      <c r="R74" s="502"/>
      <c r="S74" s="502"/>
    </row>
    <row r="75" spans="1:34" s="2" customFormat="1" ht="16.5" thickTop="1" thickBot="1">
      <c r="A75" s="691" t="s">
        <v>478</v>
      </c>
      <c r="B75" s="692"/>
      <c r="C75" s="14"/>
      <c r="D75" s="169"/>
      <c r="E75" s="178"/>
      <c r="F75" s="14"/>
      <c r="G75" s="220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5.75" thickTop="1">
      <c r="A76" s="800"/>
      <c r="B76" s="801"/>
      <c r="C76" s="796"/>
      <c r="D76" s="851"/>
      <c r="E76" s="852"/>
      <c r="F76" s="796"/>
      <c r="G76" s="798"/>
      <c r="H76" s="799"/>
      <c r="I76" s="799"/>
      <c r="J76" s="799"/>
      <c r="K76" s="799"/>
      <c r="L76" s="799"/>
      <c r="M76" s="799"/>
      <c r="N76" s="799"/>
      <c r="O76" s="799"/>
      <c r="P76" s="799"/>
      <c r="Q76" s="799"/>
      <c r="R76" s="799"/>
      <c r="S76" s="799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>
      <c r="A77" s="500"/>
      <c r="B77" s="501"/>
      <c r="C77" s="817"/>
      <c r="D77" s="811"/>
      <c r="E77" s="812"/>
      <c r="F77" s="817"/>
      <c r="G77" s="498"/>
      <c r="H77" s="503"/>
      <c r="I77" s="503"/>
      <c r="J77" s="503"/>
      <c r="K77" s="503"/>
      <c r="L77" s="503"/>
      <c r="M77" s="503"/>
      <c r="N77" s="503"/>
      <c r="O77" s="503"/>
      <c r="P77" s="503"/>
      <c r="Q77" s="503"/>
      <c r="R77" s="503"/>
      <c r="S77" s="50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5.75" thickBot="1">
      <c r="A78" s="500"/>
      <c r="B78" s="501"/>
      <c r="C78" s="817"/>
      <c r="D78" s="811"/>
      <c r="E78" s="812"/>
      <c r="F78" s="817"/>
      <c r="G78" s="498"/>
      <c r="H78" s="503"/>
      <c r="I78" s="503"/>
      <c r="J78" s="503"/>
      <c r="K78" s="503"/>
      <c r="L78" s="503"/>
      <c r="M78" s="503"/>
      <c r="N78" s="503"/>
      <c r="O78" s="503"/>
      <c r="P78" s="503"/>
      <c r="Q78" s="503"/>
      <c r="R78" s="503"/>
      <c r="S78" s="50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6.5" thickTop="1" thickBot="1">
      <c r="A79" s="691" t="s">
        <v>479</v>
      </c>
      <c r="B79" s="692"/>
      <c r="C79" s="14"/>
      <c r="D79" s="169"/>
      <c r="E79" s="178"/>
      <c r="F79" s="14"/>
      <c r="G79" s="220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1:34" ht="15.75" thickTop="1">
      <c r="A80" s="520"/>
      <c r="B80" s="497" t="s">
        <v>480</v>
      </c>
      <c r="C80" s="817"/>
      <c r="D80" s="811"/>
      <c r="E80" s="812"/>
      <c r="F80" s="817"/>
      <c r="G80" s="498"/>
      <c r="H80" s="503"/>
      <c r="I80" s="503"/>
      <c r="J80" s="503"/>
      <c r="K80" s="503"/>
      <c r="L80" s="503"/>
      <c r="M80" s="503"/>
      <c r="N80" s="503"/>
      <c r="O80" s="503"/>
      <c r="P80" s="503"/>
      <c r="Q80" s="503"/>
      <c r="R80" s="503"/>
      <c r="S80" s="503"/>
    </row>
    <row r="81" spans="1:19">
      <c r="A81" s="520"/>
      <c r="B81" s="497" t="s">
        <v>481</v>
      </c>
      <c r="C81" s="817"/>
      <c r="D81" s="811"/>
      <c r="E81" s="812"/>
      <c r="F81" s="817"/>
      <c r="G81" s="498"/>
      <c r="H81" s="503"/>
      <c r="I81" s="503"/>
      <c r="J81" s="503"/>
      <c r="K81" s="503"/>
      <c r="L81" s="503"/>
      <c r="M81" s="503"/>
      <c r="N81" s="503"/>
      <c r="O81" s="503"/>
      <c r="P81" s="503"/>
      <c r="Q81" s="503"/>
      <c r="R81" s="503"/>
      <c r="S81" s="503"/>
    </row>
    <row r="82" spans="1:19">
      <c r="A82" s="520"/>
      <c r="B82" s="497" t="s">
        <v>482</v>
      </c>
      <c r="C82" s="817"/>
      <c r="D82" s="811"/>
      <c r="E82" s="812"/>
      <c r="F82" s="817"/>
      <c r="G82" s="498"/>
      <c r="H82" s="503"/>
      <c r="I82" s="503"/>
      <c r="J82" s="503"/>
      <c r="K82" s="503"/>
      <c r="L82" s="503"/>
      <c r="M82" s="503"/>
      <c r="N82" s="503"/>
      <c r="O82" s="503"/>
      <c r="P82" s="503"/>
      <c r="Q82" s="503"/>
      <c r="R82" s="503"/>
      <c r="S82" s="503"/>
    </row>
    <row r="83" spans="1:19">
      <c r="A83" s="520"/>
      <c r="B83" s="497" t="s">
        <v>483</v>
      </c>
      <c r="C83" s="817"/>
      <c r="D83" s="811"/>
      <c r="E83" s="812"/>
      <c r="F83" s="817"/>
      <c r="G83" s="498"/>
      <c r="H83" s="503"/>
      <c r="I83" s="503"/>
      <c r="J83" s="503"/>
      <c r="K83" s="503"/>
      <c r="L83" s="503"/>
      <c r="M83" s="503"/>
      <c r="N83" s="503"/>
      <c r="O83" s="503"/>
      <c r="P83" s="503"/>
      <c r="Q83" s="503"/>
      <c r="R83" s="503"/>
      <c r="S83" s="503"/>
    </row>
    <row r="84" spans="1:19" ht="15.75" thickBot="1">
      <c r="A84" s="23"/>
      <c r="B84" s="7"/>
      <c r="C84" s="8"/>
      <c r="D84" s="166"/>
      <c r="E84" s="172"/>
      <c r="F84" s="8"/>
      <c r="G84" s="221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</row>
    <row r="85" spans="1:19" ht="16.5" thickTop="1" thickBot="1">
      <c r="A85" s="9" t="s">
        <v>484</v>
      </c>
      <c r="B85" s="10"/>
      <c r="C85" s="14"/>
      <c r="D85" s="169"/>
      <c r="E85" s="178"/>
      <c r="F85" s="14"/>
      <c r="G85" s="220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 spans="1:19" ht="15.75" thickTop="1">
      <c r="A86" s="795"/>
      <c r="B86" s="802" t="s">
        <v>485</v>
      </c>
      <c r="C86" s="796"/>
      <c r="D86" s="851"/>
      <c r="E86" s="852"/>
      <c r="F86" s="796"/>
      <c r="G86" s="798"/>
      <c r="H86" s="803"/>
      <c r="I86" s="803"/>
      <c r="J86" s="803"/>
      <c r="K86" s="803"/>
      <c r="L86" s="803"/>
      <c r="M86" s="803"/>
      <c r="N86" s="803"/>
      <c r="O86" s="803"/>
      <c r="P86" s="803"/>
      <c r="Q86" s="803"/>
      <c r="R86" s="803"/>
      <c r="S86" s="803"/>
    </row>
    <row r="87" spans="1:19">
      <c r="A87" s="520"/>
      <c r="B87" s="497" t="s">
        <v>486</v>
      </c>
      <c r="C87" s="817"/>
      <c r="D87" s="811"/>
      <c r="E87" s="812"/>
      <c r="F87" s="817"/>
      <c r="G87" s="498"/>
      <c r="H87" s="579"/>
      <c r="I87" s="579"/>
      <c r="J87" s="579"/>
      <c r="K87" s="579"/>
      <c r="L87" s="579"/>
      <c r="M87" s="579"/>
      <c r="N87" s="579"/>
      <c r="O87" s="579"/>
      <c r="P87" s="579"/>
      <c r="Q87" s="579"/>
      <c r="R87" s="579"/>
      <c r="S87" s="579"/>
    </row>
    <row r="88" spans="1:19" ht="15.75" thickBot="1">
      <c r="A88" s="865"/>
      <c r="B88" s="866" t="s">
        <v>487</v>
      </c>
      <c r="C88" s="867"/>
      <c r="D88" s="868"/>
      <c r="E88" s="869"/>
      <c r="F88" s="867"/>
      <c r="G88" s="904"/>
      <c r="H88" s="871"/>
      <c r="I88" s="871"/>
      <c r="J88" s="871"/>
      <c r="K88" s="871"/>
      <c r="L88" s="871"/>
      <c r="M88" s="871"/>
      <c r="N88" s="871"/>
      <c r="O88" s="871"/>
      <c r="P88" s="871"/>
      <c r="Q88" s="871"/>
      <c r="R88" s="871"/>
      <c r="S88" s="871"/>
    </row>
    <row r="89" spans="1:19" ht="16.5" thickTop="1" thickBot="1"/>
    <row r="90" spans="1:19" ht="16.5" thickTop="1" thickBot="1">
      <c r="A90" s="42" t="s">
        <v>488</v>
      </c>
      <c r="B90" s="44"/>
    </row>
    <row r="91" spans="1:19" ht="15.75" thickTop="1">
      <c r="A91" s="43" t="s">
        <v>444</v>
      </c>
      <c r="B91" s="873"/>
    </row>
    <row r="92" spans="1:19">
      <c r="A92" s="504" t="s">
        <v>446</v>
      </c>
      <c r="B92" s="873"/>
    </row>
    <row r="93" spans="1:19">
      <c r="A93" s="581" t="s">
        <v>448</v>
      </c>
      <c r="B93" s="582"/>
    </row>
    <row r="94" spans="1:19">
      <c r="A94" s="581" t="s">
        <v>450</v>
      </c>
      <c r="B94" s="583"/>
    </row>
    <row r="95" spans="1:19" ht="15.75" thickBot="1">
      <c r="A95" s="878" t="s">
        <v>489</v>
      </c>
      <c r="B95" s="879">
        <f>$I$60</f>
        <v>6411905</v>
      </c>
    </row>
    <row r="96" spans="1:19" ht="15.75" thickTop="1"/>
    <row r="97" spans="1:2">
      <c r="A97" s="45"/>
      <c r="B97" s="1" t="s">
        <v>490</v>
      </c>
    </row>
    <row r="98" spans="1:2">
      <c r="A98" s="46"/>
      <c r="B98" s="1" t="s">
        <v>491</v>
      </c>
    </row>
  </sheetData>
  <mergeCells count="35">
    <mergeCell ref="R9:S9"/>
    <mergeCell ref="A63:B63"/>
    <mergeCell ref="A67:B67"/>
    <mergeCell ref="A71:B71"/>
    <mergeCell ref="A75:B75"/>
    <mergeCell ref="H9:I9"/>
    <mergeCell ref="J9:K9"/>
    <mergeCell ref="L9:M9"/>
    <mergeCell ref="N9:O9"/>
    <mergeCell ref="P9:Q9"/>
    <mergeCell ref="J5:K5"/>
    <mergeCell ref="J6:K6"/>
    <mergeCell ref="J7:K7"/>
    <mergeCell ref="J8:K8"/>
    <mergeCell ref="A79:B79"/>
    <mergeCell ref="H5:I5"/>
    <mergeCell ref="H6:I6"/>
    <mergeCell ref="H7:I7"/>
    <mergeCell ref="H8:I8"/>
    <mergeCell ref="N5:O5"/>
    <mergeCell ref="N6:O6"/>
    <mergeCell ref="N7:O7"/>
    <mergeCell ref="N8:O8"/>
    <mergeCell ref="L5:M5"/>
    <mergeCell ref="L6:M6"/>
    <mergeCell ref="L7:M7"/>
    <mergeCell ref="L8:M8"/>
    <mergeCell ref="R5:S5"/>
    <mergeCell ref="R6:S6"/>
    <mergeCell ref="R7:S7"/>
    <mergeCell ref="R8:S8"/>
    <mergeCell ref="P5:Q5"/>
    <mergeCell ref="P6:Q6"/>
    <mergeCell ref="P7:Q7"/>
    <mergeCell ref="P8:Q8"/>
  </mergeCells>
  <conditionalFormatting sqref="H11:H18 J11:J18 L11:L18 N11:N18 P11:P18 R11:R18 H20:H55 J20:J55 L20:L55 N20:N55 P20:P55 R20:R55">
    <cfRule type="cellIs" dxfId="125" priority="7" operator="equal">
      <formula>"X"</formula>
    </cfRule>
    <cfRule type="cellIs" dxfId="124" priority="8" operator="equal">
      <formula>"I"</formula>
    </cfRule>
  </conditionalFormatting>
  <hyperlinks>
    <hyperlink ref="B4" location="'Cost Summary'!A1" display="BACK TO SUMMARY SHEET" xr:uid="{6BCF7034-754C-4A6C-A2F7-6A387A7DD600}"/>
  </hyperlinks>
  <pageMargins left="0.2" right="0.2" top="0.5" bottom="0.75" header="0.3" footer="0.3"/>
  <pageSetup paperSize="3" scale="78" fitToHeight="0" orientation="landscape" horizontalDpi="300" verticalDpi="300" r:id="rId1"/>
  <rowBreaks count="1" manualBreakCount="1">
    <brk id="63" max="6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DC90-E454-40A1-9B02-E07B586A201D}">
  <sheetPr>
    <tabColor rgb="FFFFFF00"/>
    <pageSetUpPr fitToPage="1"/>
  </sheetPr>
  <dimension ref="A1:AH94"/>
  <sheetViews>
    <sheetView zoomScale="90" zoomScaleNormal="90" workbookViewId="0">
      <pane ySplit="10" topLeftCell="A11" activePane="bottomLeft" state="frozen"/>
      <selection pane="bottomLeft" activeCell="B24" sqref="B24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">
        <v>557</v>
      </c>
      <c r="C5" s="5"/>
      <c r="D5" s="165"/>
      <c r="E5" s="171"/>
      <c r="F5" s="5"/>
      <c r="G5" s="6" t="s">
        <v>444</v>
      </c>
      <c r="H5" s="683"/>
      <c r="I5" s="684"/>
      <c r="J5" s="683"/>
      <c r="K5" s="684"/>
      <c r="L5" s="673"/>
      <c r="M5" s="674"/>
      <c r="N5" s="673"/>
      <c r="O5" s="674"/>
      <c r="P5" s="673"/>
      <c r="Q5" s="674"/>
      <c r="R5" s="673"/>
      <c r="S5" s="674"/>
    </row>
    <row r="6" spans="1:19">
      <c r="A6" s="505" t="s">
        <v>445</v>
      </c>
      <c r="B6" s="497" t="s">
        <v>558</v>
      </c>
      <c r="C6" s="506"/>
      <c r="D6" s="507"/>
      <c r="E6" s="508"/>
      <c r="F6" s="506"/>
      <c r="G6" s="462" t="s">
        <v>446</v>
      </c>
      <c r="H6" s="685"/>
      <c r="I6" s="686"/>
      <c r="J6" s="685"/>
      <c r="K6" s="686"/>
      <c r="L6" s="675"/>
      <c r="M6" s="676"/>
      <c r="N6" s="675"/>
      <c r="O6" s="676"/>
      <c r="P6" s="675"/>
      <c r="Q6" s="676"/>
      <c r="R6" s="675"/>
      <c r="S6" s="676"/>
    </row>
    <row r="7" spans="1:19">
      <c r="A7" s="505" t="s">
        <v>447</v>
      </c>
      <c r="B7" s="509" t="s">
        <v>129</v>
      </c>
      <c r="C7" s="506"/>
      <c r="D7" s="507"/>
      <c r="E7" s="508"/>
      <c r="F7" s="506"/>
      <c r="G7" s="510" t="s">
        <v>448</v>
      </c>
      <c r="H7" s="687"/>
      <c r="I7" s="688"/>
      <c r="J7" s="687"/>
      <c r="K7" s="688"/>
      <c r="L7" s="677"/>
      <c r="M7" s="678"/>
      <c r="N7" s="677"/>
      <c r="O7" s="678"/>
      <c r="P7" s="677"/>
      <c r="Q7" s="678"/>
      <c r="R7" s="677"/>
      <c r="S7" s="678"/>
    </row>
    <row r="8" spans="1:19">
      <c r="A8" s="505" t="s">
        <v>449</v>
      </c>
      <c r="B8" s="511"/>
      <c r="C8" s="506"/>
      <c r="D8" s="507"/>
      <c r="E8" s="508"/>
      <c r="F8" s="506"/>
      <c r="G8" s="510" t="s">
        <v>450</v>
      </c>
      <c r="H8" s="689"/>
      <c r="I8" s="690"/>
      <c r="J8" s="689"/>
      <c r="K8" s="69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I$56</f>
        <v>177267</v>
      </c>
      <c r="I9" s="895"/>
      <c r="J9" s="892">
        <f t="shared" ref="J9" si="0">K$56</f>
        <v>0</v>
      </c>
      <c r="K9" s="893"/>
      <c r="L9" s="892">
        <f t="shared" ref="L9" si="1">M$56</f>
        <v>0</v>
      </c>
      <c r="M9" s="893"/>
      <c r="N9" s="892">
        <f t="shared" ref="N9" si="2">O$56</f>
        <v>0</v>
      </c>
      <c r="O9" s="893"/>
      <c r="P9" s="892">
        <f t="shared" ref="P9" si="3">Q$56</f>
        <v>0</v>
      </c>
      <c r="Q9" s="893"/>
      <c r="R9" s="892">
        <f t="shared" ref="R9" si="4">S$56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507"/>
      <c r="E11" s="508"/>
      <c r="F11" s="506"/>
      <c r="G11" s="60"/>
      <c r="H11" s="814"/>
      <c r="I11" s="782"/>
      <c r="J11" s="814"/>
      <c r="K11" s="183"/>
      <c r="L11" s="814"/>
      <c r="M11" s="783"/>
      <c r="N11" s="814"/>
      <c r="O11" s="783"/>
      <c r="P11" s="814"/>
      <c r="Q11" s="783"/>
      <c r="R11" s="814"/>
      <c r="S11" s="783"/>
    </row>
    <row r="12" spans="1:19">
      <c r="A12" s="784"/>
      <c r="B12" s="785" t="s">
        <v>461</v>
      </c>
      <c r="C12" s="506"/>
      <c r="D12" s="507"/>
      <c r="E12" s="508"/>
      <c r="F12" s="506"/>
      <c r="G12" s="60"/>
      <c r="H12" s="814"/>
      <c r="I12" s="782"/>
      <c r="J12" s="814"/>
      <c r="K12" s="783"/>
      <c r="L12" s="814"/>
      <c r="M12" s="783"/>
      <c r="N12" s="814"/>
      <c r="O12" s="783"/>
      <c r="P12" s="814"/>
      <c r="Q12" s="783"/>
      <c r="R12" s="814"/>
      <c r="S12" s="783"/>
    </row>
    <row r="13" spans="1:19">
      <c r="A13" s="512"/>
      <c r="B13" s="786" t="s">
        <v>462</v>
      </c>
      <c r="C13" s="506"/>
      <c r="D13" s="507"/>
      <c r="E13" s="508"/>
      <c r="F13" s="506"/>
      <c r="G13" s="60"/>
      <c r="H13" s="814"/>
      <c r="I13" s="782"/>
      <c r="J13" s="814"/>
      <c r="K13" s="783"/>
      <c r="L13" s="814"/>
      <c r="M13" s="783"/>
      <c r="N13" s="814"/>
      <c r="O13" s="783"/>
      <c r="P13" s="814"/>
      <c r="Q13" s="783"/>
      <c r="R13" s="814"/>
      <c r="S13" s="783"/>
    </row>
    <row r="14" spans="1:19">
      <c r="A14" s="512"/>
      <c r="B14" s="787" t="s">
        <v>463</v>
      </c>
      <c r="C14" s="506"/>
      <c r="D14" s="507"/>
      <c r="E14" s="508"/>
      <c r="F14" s="506"/>
      <c r="G14" s="60"/>
      <c r="H14" s="814"/>
      <c r="I14" s="782"/>
      <c r="J14" s="814"/>
      <c r="K14" s="783"/>
      <c r="L14" s="814"/>
      <c r="M14" s="783"/>
      <c r="N14" s="814"/>
      <c r="O14" s="783"/>
      <c r="P14" s="814"/>
      <c r="Q14" s="783"/>
      <c r="R14" s="814"/>
      <c r="S14" s="783"/>
    </row>
    <row r="15" spans="1:19">
      <c r="A15" s="512"/>
      <c r="B15" s="787" t="s">
        <v>464</v>
      </c>
      <c r="C15" s="506"/>
      <c r="D15" s="507"/>
      <c r="E15" s="508"/>
      <c r="F15" s="506"/>
      <c r="G15" s="60"/>
      <c r="H15" s="814"/>
      <c r="I15" s="782"/>
      <c r="J15" s="814"/>
      <c r="K15" s="782"/>
      <c r="L15" s="814"/>
      <c r="M15" s="782"/>
      <c r="N15" s="814"/>
      <c r="O15" s="782"/>
      <c r="P15" s="814"/>
      <c r="Q15" s="782"/>
      <c r="R15" s="814"/>
      <c r="S15" s="782"/>
    </row>
    <row r="16" spans="1:19">
      <c r="A16" s="512"/>
      <c r="B16" s="787" t="s">
        <v>465</v>
      </c>
      <c r="C16" s="506"/>
      <c r="D16" s="507"/>
      <c r="E16" s="508"/>
      <c r="F16" s="506"/>
      <c r="G16" s="60"/>
      <c r="H16" s="814"/>
      <c r="I16" s="782"/>
      <c r="J16" s="814"/>
      <c r="K16" s="783"/>
      <c r="L16" s="814"/>
      <c r="M16" s="783"/>
      <c r="N16" s="814"/>
      <c r="O16" s="783"/>
      <c r="P16" s="814"/>
      <c r="Q16" s="783"/>
      <c r="R16" s="814"/>
      <c r="S16" s="783"/>
    </row>
    <row r="17" spans="1:19">
      <c r="A17" s="512"/>
      <c r="B17" s="787" t="s">
        <v>466</v>
      </c>
      <c r="C17" s="506"/>
      <c r="D17" s="507"/>
      <c r="E17" s="508"/>
      <c r="F17" s="506"/>
      <c r="G17" s="60"/>
      <c r="H17" s="814"/>
      <c r="I17" s="782"/>
      <c r="J17" s="814"/>
      <c r="K17" s="783"/>
      <c r="L17" s="814"/>
      <c r="M17" s="783"/>
      <c r="N17" s="814"/>
      <c r="O17" s="783"/>
      <c r="P17" s="814"/>
      <c r="Q17" s="783"/>
      <c r="R17" s="814"/>
      <c r="S17" s="783"/>
    </row>
    <row r="18" spans="1:19">
      <c r="A18" s="512"/>
      <c r="B18" s="788" t="s">
        <v>467</v>
      </c>
      <c r="C18" s="506"/>
      <c r="D18" s="507"/>
      <c r="E18" s="508"/>
      <c r="F18" s="506"/>
      <c r="G18" s="60"/>
      <c r="H18" s="814"/>
      <c r="I18" s="782"/>
      <c r="J18" s="814"/>
      <c r="K18" s="783"/>
      <c r="L18" s="814"/>
      <c r="M18" s="783"/>
      <c r="N18" s="814"/>
      <c r="O18" s="783"/>
      <c r="P18" s="814"/>
      <c r="Q18" s="783"/>
      <c r="R18" s="814"/>
      <c r="S18" s="783"/>
    </row>
    <row r="19" spans="1:19">
      <c r="A19" s="512"/>
      <c r="B19" s="789" t="s">
        <v>468</v>
      </c>
      <c r="C19" s="513"/>
      <c r="D19" s="514"/>
      <c r="E19" s="515"/>
      <c r="F19" s="516"/>
      <c r="G19" s="463"/>
      <c r="H19" s="900"/>
      <c r="I19" s="790"/>
      <c r="J19" s="900"/>
      <c r="K19" s="791"/>
      <c r="L19" s="900"/>
      <c r="M19" s="791"/>
      <c r="N19" s="900"/>
      <c r="O19" s="791"/>
      <c r="P19" s="900"/>
      <c r="Q19" s="791"/>
      <c r="R19" s="900"/>
      <c r="S19" s="791"/>
    </row>
    <row r="20" spans="1:19">
      <c r="A20" s="512"/>
      <c r="B20" s="792"/>
      <c r="C20" s="506"/>
      <c r="D20" s="507"/>
      <c r="E20" s="508"/>
      <c r="F20" s="517"/>
      <c r="G20" s="60"/>
      <c r="H20" s="814"/>
      <c r="I20" s="794"/>
      <c r="J20" s="814"/>
      <c r="K20" s="793"/>
      <c r="L20" s="814"/>
      <c r="M20" s="794"/>
      <c r="N20" s="814"/>
      <c r="O20" s="794"/>
      <c r="P20" s="814"/>
      <c r="Q20" s="794"/>
      <c r="R20" s="814"/>
      <c r="S20" s="794"/>
    </row>
    <row r="21" spans="1:19">
      <c r="A21" s="512"/>
      <c r="B21" s="792" t="s">
        <v>559</v>
      </c>
      <c r="C21" s="506"/>
      <c r="D21" s="507"/>
      <c r="E21" s="508"/>
      <c r="F21" s="517"/>
      <c r="G21" s="315">
        <f t="shared" ref="G21:G50" si="5">ROUND(D21*F21,0)</f>
        <v>0</v>
      </c>
      <c r="H21" s="814"/>
      <c r="I21" s="793"/>
      <c r="J21" s="814"/>
      <c r="K21" s="793"/>
      <c r="L21" s="814"/>
      <c r="M21" s="794"/>
      <c r="N21" s="814"/>
      <c r="O21" s="794"/>
      <c r="P21" s="814"/>
      <c r="Q21" s="794"/>
      <c r="R21" s="814"/>
      <c r="S21" s="794"/>
    </row>
    <row r="22" spans="1:19">
      <c r="A22" s="512"/>
      <c r="B22" s="918" t="s">
        <v>560</v>
      </c>
      <c r="C22" s="506"/>
      <c r="D22" s="507">
        <v>110792</v>
      </c>
      <c r="E22" s="508" t="s">
        <v>49</v>
      </c>
      <c r="F22" s="517">
        <v>1.6</v>
      </c>
      <c r="G22" s="315">
        <f t="shared" si="5"/>
        <v>177267</v>
      </c>
      <c r="H22" s="814"/>
      <c r="I22" s="793">
        <f>G22</f>
        <v>177267</v>
      </c>
      <c r="J22" s="814"/>
      <c r="K22" s="793"/>
      <c r="L22" s="814"/>
      <c r="M22" s="794"/>
      <c r="N22" s="814"/>
      <c r="O22" s="794"/>
      <c r="P22" s="814"/>
      <c r="Q22" s="794"/>
      <c r="R22" s="814"/>
      <c r="S22" s="794"/>
    </row>
    <row r="23" spans="1:19">
      <c r="A23" s="512"/>
      <c r="B23" s="918"/>
      <c r="C23" s="506"/>
      <c r="D23" s="507"/>
      <c r="E23" s="508"/>
      <c r="F23" s="517"/>
      <c r="G23" s="315">
        <f t="shared" si="5"/>
        <v>0</v>
      </c>
      <c r="H23" s="814"/>
      <c r="I23" s="793"/>
      <c r="J23" s="814"/>
      <c r="K23" s="793"/>
      <c r="L23" s="814"/>
      <c r="M23" s="794"/>
      <c r="N23" s="814"/>
      <c r="O23" s="794"/>
      <c r="P23" s="814"/>
      <c r="Q23" s="794"/>
      <c r="R23" s="814"/>
      <c r="S23" s="794"/>
    </row>
    <row r="24" spans="1:19">
      <c r="A24" s="512"/>
      <c r="B24" s="918"/>
      <c r="C24" s="506"/>
      <c r="D24" s="507"/>
      <c r="E24" s="508"/>
      <c r="F24" s="517"/>
      <c r="G24" s="315">
        <f t="shared" si="5"/>
        <v>0</v>
      </c>
      <c r="H24" s="814"/>
      <c r="I24" s="793"/>
      <c r="J24" s="814"/>
      <c r="K24" s="793"/>
      <c r="L24" s="814"/>
      <c r="M24" s="794"/>
      <c r="N24" s="814"/>
      <c r="O24" s="794"/>
      <c r="P24" s="814"/>
      <c r="Q24" s="794"/>
      <c r="R24" s="814"/>
      <c r="S24" s="794"/>
    </row>
    <row r="25" spans="1:19">
      <c r="A25" s="512"/>
      <c r="B25" s="792"/>
      <c r="C25" s="506"/>
      <c r="D25" s="507"/>
      <c r="E25" s="508"/>
      <c r="F25" s="517"/>
      <c r="G25" s="315">
        <f t="shared" si="5"/>
        <v>0</v>
      </c>
      <c r="H25" s="814"/>
      <c r="I25" s="793"/>
      <c r="J25" s="814"/>
      <c r="K25" s="793"/>
      <c r="L25" s="814"/>
      <c r="M25" s="794"/>
      <c r="N25" s="814"/>
      <c r="O25" s="794"/>
      <c r="P25" s="814"/>
      <c r="Q25" s="794"/>
      <c r="R25" s="814"/>
      <c r="S25" s="794"/>
    </row>
    <row r="26" spans="1:19">
      <c r="A26" s="512"/>
      <c r="B26" s="792"/>
      <c r="C26" s="506"/>
      <c r="D26" s="507"/>
      <c r="E26" s="508"/>
      <c r="F26" s="517"/>
      <c r="G26" s="315">
        <f t="shared" si="5"/>
        <v>0</v>
      </c>
      <c r="H26" s="814"/>
      <c r="I26" s="793"/>
      <c r="J26" s="814"/>
      <c r="K26" s="793"/>
      <c r="L26" s="814"/>
      <c r="M26" s="794"/>
      <c r="N26" s="814"/>
      <c r="O26" s="794"/>
      <c r="P26" s="814"/>
      <c r="Q26" s="794"/>
      <c r="R26" s="814"/>
      <c r="S26" s="794"/>
    </row>
    <row r="27" spans="1:19">
      <c r="A27" s="512"/>
      <c r="B27" s="792"/>
      <c r="C27" s="506"/>
      <c r="D27" s="507"/>
      <c r="E27" s="508"/>
      <c r="F27" s="517"/>
      <c r="G27" s="315">
        <f t="shared" si="5"/>
        <v>0</v>
      </c>
      <c r="H27" s="814"/>
      <c r="I27" s="793"/>
      <c r="J27" s="814"/>
      <c r="K27" s="793"/>
      <c r="L27" s="814"/>
      <c r="M27" s="794"/>
      <c r="N27" s="814"/>
      <c r="O27" s="794"/>
      <c r="P27" s="814"/>
      <c r="Q27" s="794"/>
      <c r="R27" s="814"/>
      <c r="S27" s="794"/>
    </row>
    <row r="28" spans="1:19">
      <c r="A28" s="512"/>
      <c r="B28" s="792"/>
      <c r="C28" s="506"/>
      <c r="D28" s="507"/>
      <c r="E28" s="508"/>
      <c r="F28" s="517"/>
      <c r="G28" s="315">
        <f t="shared" si="5"/>
        <v>0</v>
      </c>
      <c r="H28" s="814"/>
      <c r="I28" s="793"/>
      <c r="J28" s="814"/>
      <c r="K28" s="793"/>
      <c r="L28" s="814"/>
      <c r="M28" s="794"/>
      <c r="N28" s="814"/>
      <c r="O28" s="794"/>
      <c r="P28" s="814"/>
      <c r="Q28" s="794"/>
      <c r="R28" s="814"/>
      <c r="S28" s="794"/>
    </row>
    <row r="29" spans="1:19">
      <c r="A29" s="512"/>
      <c r="B29" s="792"/>
      <c r="C29" s="506"/>
      <c r="D29" s="507"/>
      <c r="E29" s="508"/>
      <c r="F29" s="517"/>
      <c r="G29" s="315">
        <f t="shared" si="5"/>
        <v>0</v>
      </c>
      <c r="H29" s="814"/>
      <c r="I29" s="793"/>
      <c r="J29" s="814"/>
      <c r="K29" s="793"/>
      <c r="L29" s="814"/>
      <c r="M29" s="794"/>
      <c r="N29" s="814"/>
      <c r="O29" s="794"/>
      <c r="P29" s="814"/>
      <c r="Q29" s="794"/>
      <c r="R29" s="814"/>
      <c r="S29" s="794"/>
    </row>
    <row r="30" spans="1:19">
      <c r="A30" s="512"/>
      <c r="B30" s="792"/>
      <c r="C30" s="506"/>
      <c r="D30" s="507"/>
      <c r="E30" s="508"/>
      <c r="F30" s="517"/>
      <c r="G30" s="315">
        <f t="shared" si="5"/>
        <v>0</v>
      </c>
      <c r="H30" s="814"/>
      <c r="I30" s="793"/>
      <c r="J30" s="814"/>
      <c r="K30" s="793"/>
      <c r="L30" s="814"/>
      <c r="M30" s="794"/>
      <c r="N30" s="814"/>
      <c r="O30" s="794"/>
      <c r="P30" s="814"/>
      <c r="Q30" s="794"/>
      <c r="R30" s="814"/>
      <c r="S30" s="794"/>
    </row>
    <row r="31" spans="1:19">
      <c r="A31" s="512"/>
      <c r="B31" s="792"/>
      <c r="C31" s="506"/>
      <c r="D31" s="507"/>
      <c r="E31" s="508"/>
      <c r="F31" s="517"/>
      <c r="G31" s="315">
        <f t="shared" si="5"/>
        <v>0</v>
      </c>
      <c r="H31" s="814"/>
      <c r="I31" s="793"/>
      <c r="J31" s="814"/>
      <c r="K31" s="793"/>
      <c r="L31" s="814"/>
      <c r="M31" s="794"/>
      <c r="N31" s="814"/>
      <c r="O31" s="794"/>
      <c r="P31" s="814"/>
      <c r="Q31" s="794"/>
      <c r="R31" s="814"/>
      <c r="S31" s="794"/>
    </row>
    <row r="32" spans="1:19">
      <c r="A32" s="512"/>
      <c r="B32" s="792"/>
      <c r="C32" s="506"/>
      <c r="D32" s="507"/>
      <c r="E32" s="508"/>
      <c r="F32" s="517"/>
      <c r="G32" s="315">
        <f t="shared" si="5"/>
        <v>0</v>
      </c>
      <c r="H32" s="814"/>
      <c r="I32" s="793"/>
      <c r="J32" s="814"/>
      <c r="K32" s="793"/>
      <c r="L32" s="814"/>
      <c r="M32" s="794"/>
      <c r="N32" s="814"/>
      <c r="O32" s="794"/>
      <c r="P32" s="814"/>
      <c r="Q32" s="794"/>
      <c r="R32" s="814"/>
      <c r="S32" s="794"/>
    </row>
    <row r="33" spans="1:19">
      <c r="A33" s="512"/>
      <c r="B33" s="792"/>
      <c r="C33" s="506"/>
      <c r="D33" s="507"/>
      <c r="E33" s="508"/>
      <c r="F33" s="517"/>
      <c r="G33" s="315">
        <f t="shared" si="5"/>
        <v>0</v>
      </c>
      <c r="H33" s="814"/>
      <c r="I33" s="793"/>
      <c r="J33" s="814"/>
      <c r="K33" s="793"/>
      <c r="L33" s="814"/>
      <c r="M33" s="794"/>
      <c r="N33" s="814"/>
      <c r="O33" s="794"/>
      <c r="P33" s="814"/>
      <c r="Q33" s="794"/>
      <c r="R33" s="814"/>
      <c r="S33" s="794"/>
    </row>
    <row r="34" spans="1:19">
      <c r="A34" s="512"/>
      <c r="B34" s="792"/>
      <c r="C34" s="506"/>
      <c r="D34" s="507"/>
      <c r="E34" s="508"/>
      <c r="F34" s="517"/>
      <c r="G34" s="315">
        <f t="shared" si="5"/>
        <v>0</v>
      </c>
      <c r="H34" s="814"/>
      <c r="I34" s="793"/>
      <c r="J34" s="814"/>
      <c r="K34" s="793"/>
      <c r="L34" s="814"/>
      <c r="M34" s="794"/>
      <c r="N34" s="814"/>
      <c r="O34" s="794"/>
      <c r="P34" s="814"/>
      <c r="Q34" s="794"/>
      <c r="R34" s="814"/>
      <c r="S34" s="794"/>
    </row>
    <row r="35" spans="1:19">
      <c r="A35" s="512"/>
      <c r="B35" s="792"/>
      <c r="C35" s="506"/>
      <c r="D35" s="507"/>
      <c r="E35" s="508"/>
      <c r="F35" s="517"/>
      <c r="G35" s="315">
        <f t="shared" si="5"/>
        <v>0</v>
      </c>
      <c r="H35" s="814"/>
      <c r="I35" s="793"/>
      <c r="J35" s="814"/>
      <c r="K35" s="793"/>
      <c r="L35" s="814"/>
      <c r="M35" s="794"/>
      <c r="N35" s="814"/>
      <c r="O35" s="794"/>
      <c r="P35" s="814"/>
      <c r="Q35" s="794"/>
      <c r="R35" s="814"/>
      <c r="S35" s="794"/>
    </row>
    <row r="36" spans="1:19">
      <c r="A36" s="512"/>
      <c r="B36" s="792"/>
      <c r="C36" s="506"/>
      <c r="D36" s="507"/>
      <c r="E36" s="508"/>
      <c r="F36" s="517"/>
      <c r="G36" s="315">
        <f t="shared" si="5"/>
        <v>0</v>
      </c>
      <c r="H36" s="814"/>
      <c r="I36" s="793"/>
      <c r="J36" s="814"/>
      <c r="K36" s="793"/>
      <c r="L36" s="814"/>
      <c r="M36" s="794"/>
      <c r="N36" s="814"/>
      <c r="O36" s="794"/>
      <c r="P36" s="814"/>
      <c r="Q36" s="794"/>
      <c r="R36" s="814"/>
      <c r="S36" s="794"/>
    </row>
    <row r="37" spans="1:19">
      <c r="A37" s="512"/>
      <c r="B37" s="792"/>
      <c r="C37" s="506"/>
      <c r="D37" s="507"/>
      <c r="E37" s="508"/>
      <c r="F37" s="517"/>
      <c r="G37" s="315">
        <f t="shared" si="5"/>
        <v>0</v>
      </c>
      <c r="H37" s="814"/>
      <c r="I37" s="793"/>
      <c r="J37" s="814"/>
      <c r="K37" s="793"/>
      <c r="L37" s="814"/>
      <c r="M37" s="794"/>
      <c r="N37" s="814"/>
      <c r="O37" s="794"/>
      <c r="P37" s="814"/>
      <c r="Q37" s="794"/>
      <c r="R37" s="814"/>
      <c r="S37" s="794"/>
    </row>
    <row r="38" spans="1:19">
      <c r="A38" s="512"/>
      <c r="B38" s="792"/>
      <c r="C38" s="506"/>
      <c r="D38" s="507"/>
      <c r="E38" s="508"/>
      <c r="F38" s="517"/>
      <c r="G38" s="315">
        <f t="shared" si="5"/>
        <v>0</v>
      </c>
      <c r="H38" s="814"/>
      <c r="I38" s="793"/>
      <c r="J38" s="814"/>
      <c r="K38" s="793"/>
      <c r="L38" s="814"/>
      <c r="M38" s="794"/>
      <c r="N38" s="814"/>
      <c r="O38" s="794"/>
      <c r="P38" s="814"/>
      <c r="Q38" s="794"/>
      <c r="R38" s="814"/>
      <c r="S38" s="794"/>
    </row>
    <row r="39" spans="1:19">
      <c r="A39" s="512"/>
      <c r="B39" s="792"/>
      <c r="C39" s="506"/>
      <c r="D39" s="507"/>
      <c r="E39" s="508"/>
      <c r="F39" s="517"/>
      <c r="G39" s="315">
        <f t="shared" si="5"/>
        <v>0</v>
      </c>
      <c r="H39" s="814"/>
      <c r="I39" s="793"/>
      <c r="J39" s="814"/>
      <c r="K39" s="793"/>
      <c r="L39" s="814"/>
      <c r="M39" s="794"/>
      <c r="N39" s="814"/>
      <c r="O39" s="794"/>
      <c r="P39" s="814"/>
      <c r="Q39" s="794"/>
      <c r="R39" s="814"/>
      <c r="S39" s="794"/>
    </row>
    <row r="40" spans="1:19">
      <c r="A40" s="512"/>
      <c r="B40" s="792"/>
      <c r="C40" s="506"/>
      <c r="D40" s="507"/>
      <c r="E40" s="508"/>
      <c r="F40" s="517"/>
      <c r="G40" s="315">
        <f t="shared" si="5"/>
        <v>0</v>
      </c>
      <c r="H40" s="814"/>
      <c r="I40" s="793"/>
      <c r="J40" s="814"/>
      <c r="K40" s="793"/>
      <c r="L40" s="814"/>
      <c r="M40" s="794"/>
      <c r="N40" s="814"/>
      <c r="O40" s="794"/>
      <c r="P40" s="814"/>
      <c r="Q40" s="794"/>
      <c r="R40" s="814"/>
      <c r="S40" s="794"/>
    </row>
    <row r="41" spans="1:19">
      <c r="A41" s="512"/>
      <c r="B41" s="792"/>
      <c r="C41" s="506"/>
      <c r="D41" s="507"/>
      <c r="E41" s="508"/>
      <c r="F41" s="517"/>
      <c r="G41" s="315">
        <f t="shared" si="5"/>
        <v>0</v>
      </c>
      <c r="H41" s="814"/>
      <c r="I41" s="793"/>
      <c r="J41" s="814"/>
      <c r="K41" s="793"/>
      <c r="L41" s="814"/>
      <c r="M41" s="794"/>
      <c r="N41" s="814"/>
      <c r="O41" s="794"/>
      <c r="P41" s="814"/>
      <c r="Q41" s="794"/>
      <c r="R41" s="814"/>
      <c r="S41" s="794"/>
    </row>
    <row r="42" spans="1:19">
      <c r="A42" s="512"/>
      <c r="B42" s="792"/>
      <c r="C42" s="506"/>
      <c r="D42" s="507"/>
      <c r="E42" s="508"/>
      <c r="F42" s="517"/>
      <c r="G42" s="315">
        <f t="shared" si="5"/>
        <v>0</v>
      </c>
      <c r="H42" s="814"/>
      <c r="I42" s="793"/>
      <c r="J42" s="814"/>
      <c r="K42" s="793"/>
      <c r="L42" s="814"/>
      <c r="M42" s="794"/>
      <c r="N42" s="814"/>
      <c r="O42" s="794"/>
      <c r="P42" s="814"/>
      <c r="Q42" s="794"/>
      <c r="R42" s="814"/>
      <c r="S42" s="794"/>
    </row>
    <row r="43" spans="1:19">
      <c r="A43" s="512"/>
      <c r="B43" s="792"/>
      <c r="C43" s="506"/>
      <c r="D43" s="507"/>
      <c r="E43" s="508"/>
      <c r="F43" s="517"/>
      <c r="G43" s="315">
        <f t="shared" si="5"/>
        <v>0</v>
      </c>
      <c r="H43" s="814"/>
      <c r="I43" s="793"/>
      <c r="J43" s="814"/>
      <c r="K43" s="793"/>
      <c r="L43" s="814"/>
      <c r="M43" s="794"/>
      <c r="N43" s="814"/>
      <c r="O43" s="794"/>
      <c r="P43" s="814"/>
      <c r="Q43" s="794"/>
      <c r="R43" s="814"/>
      <c r="S43" s="794"/>
    </row>
    <row r="44" spans="1:19">
      <c r="A44" s="512"/>
      <c r="B44" s="792"/>
      <c r="C44" s="506"/>
      <c r="D44" s="507"/>
      <c r="E44" s="508"/>
      <c r="F44" s="517"/>
      <c r="G44" s="315">
        <f t="shared" si="5"/>
        <v>0</v>
      </c>
      <c r="H44" s="814"/>
      <c r="I44" s="793"/>
      <c r="J44" s="814"/>
      <c r="K44" s="793"/>
      <c r="L44" s="814"/>
      <c r="M44" s="794"/>
      <c r="N44" s="814"/>
      <c r="O44" s="794"/>
      <c r="P44" s="814"/>
      <c r="Q44" s="794"/>
      <c r="R44" s="814"/>
      <c r="S44" s="794"/>
    </row>
    <row r="45" spans="1:19">
      <c r="A45" s="512"/>
      <c r="B45" s="792"/>
      <c r="C45" s="506"/>
      <c r="D45" s="507"/>
      <c r="E45" s="508"/>
      <c r="F45" s="517"/>
      <c r="G45" s="315">
        <f t="shared" si="5"/>
        <v>0</v>
      </c>
      <c r="H45" s="814"/>
      <c r="I45" s="793"/>
      <c r="J45" s="814"/>
      <c r="K45" s="793"/>
      <c r="L45" s="814"/>
      <c r="M45" s="794"/>
      <c r="N45" s="814"/>
      <c r="O45" s="794"/>
      <c r="P45" s="814"/>
      <c r="Q45" s="794"/>
      <c r="R45" s="814"/>
      <c r="S45" s="794"/>
    </row>
    <row r="46" spans="1:19">
      <c r="A46" s="512"/>
      <c r="B46" s="792"/>
      <c r="C46" s="506"/>
      <c r="D46" s="507"/>
      <c r="E46" s="508"/>
      <c r="F46" s="517"/>
      <c r="G46" s="315">
        <f t="shared" si="5"/>
        <v>0</v>
      </c>
      <c r="H46" s="814"/>
      <c r="I46" s="793"/>
      <c r="J46" s="814"/>
      <c r="K46" s="793"/>
      <c r="L46" s="814"/>
      <c r="M46" s="794"/>
      <c r="N46" s="814"/>
      <c r="O46" s="794"/>
      <c r="P46" s="814"/>
      <c r="Q46" s="794"/>
      <c r="R46" s="814"/>
      <c r="S46" s="794"/>
    </row>
    <row r="47" spans="1:19">
      <c r="A47" s="512"/>
      <c r="B47" s="792"/>
      <c r="C47" s="506"/>
      <c r="D47" s="507"/>
      <c r="E47" s="508"/>
      <c r="F47" s="517"/>
      <c r="G47" s="315">
        <f t="shared" si="5"/>
        <v>0</v>
      </c>
      <c r="H47" s="814"/>
      <c r="I47" s="793"/>
      <c r="J47" s="814"/>
      <c r="K47" s="793"/>
      <c r="L47" s="814"/>
      <c r="M47" s="794"/>
      <c r="N47" s="814"/>
      <c r="O47" s="794"/>
      <c r="P47" s="814"/>
      <c r="Q47" s="794"/>
      <c r="R47" s="814"/>
      <c r="S47" s="794"/>
    </row>
    <row r="48" spans="1:19">
      <c r="A48" s="512"/>
      <c r="B48" s="792"/>
      <c r="C48" s="506"/>
      <c r="D48" s="507"/>
      <c r="E48" s="508"/>
      <c r="F48" s="517"/>
      <c r="G48" s="315">
        <f t="shared" si="5"/>
        <v>0</v>
      </c>
      <c r="H48" s="814"/>
      <c r="I48" s="793"/>
      <c r="J48" s="814"/>
      <c r="K48" s="793"/>
      <c r="L48" s="814"/>
      <c r="M48" s="794"/>
      <c r="N48" s="814"/>
      <c r="O48" s="794"/>
      <c r="P48" s="814"/>
      <c r="Q48" s="794"/>
      <c r="R48" s="814"/>
      <c r="S48" s="794"/>
    </row>
    <row r="49" spans="1:34">
      <c r="A49" s="512"/>
      <c r="B49" s="792"/>
      <c r="C49" s="506"/>
      <c r="D49" s="507"/>
      <c r="E49" s="508"/>
      <c r="F49" s="517"/>
      <c r="G49" s="315">
        <f t="shared" si="5"/>
        <v>0</v>
      </c>
      <c r="H49" s="814"/>
      <c r="I49" s="793"/>
      <c r="J49" s="814"/>
      <c r="K49" s="793"/>
      <c r="L49" s="814"/>
      <c r="M49" s="794"/>
      <c r="N49" s="814"/>
      <c r="O49" s="794"/>
      <c r="P49" s="814"/>
      <c r="Q49" s="794"/>
      <c r="R49" s="814"/>
      <c r="S49" s="794"/>
    </row>
    <row r="50" spans="1:34">
      <c r="A50" s="512"/>
      <c r="B50" s="792"/>
      <c r="C50" s="506"/>
      <c r="D50" s="507"/>
      <c r="E50" s="508"/>
      <c r="F50" s="517"/>
      <c r="G50" s="315">
        <f t="shared" si="5"/>
        <v>0</v>
      </c>
      <c r="H50" s="814"/>
      <c r="I50" s="793"/>
      <c r="J50" s="814"/>
      <c r="K50" s="793"/>
      <c r="L50" s="814"/>
      <c r="M50" s="794"/>
      <c r="N50" s="814"/>
      <c r="O50" s="794"/>
      <c r="P50" s="814"/>
      <c r="Q50" s="794"/>
      <c r="R50" s="814"/>
      <c r="S50" s="794"/>
    </row>
    <row r="51" spans="1:34" ht="15.75" thickBot="1">
      <c r="A51" s="512"/>
      <c r="B51" s="518"/>
      <c r="C51" s="491"/>
      <c r="D51" s="922"/>
      <c r="E51" s="508"/>
      <c r="F51" s="492"/>
      <c r="G51" s="315"/>
      <c r="H51" s="814"/>
      <c r="I51" s="793"/>
      <c r="J51" s="814"/>
      <c r="K51" s="793"/>
      <c r="L51" s="814"/>
      <c r="M51" s="793"/>
      <c r="N51" s="814"/>
      <c r="O51" s="793"/>
      <c r="P51" s="814"/>
      <c r="Q51" s="793"/>
      <c r="R51" s="814"/>
      <c r="S51" s="793"/>
    </row>
    <row r="52" spans="1:34" ht="15.75" thickTop="1">
      <c r="A52" s="15"/>
      <c r="B52" s="218" t="s">
        <v>518</v>
      </c>
      <c r="C52" s="17"/>
      <c r="D52" s="168"/>
      <c r="E52" s="177"/>
      <c r="F52" s="19"/>
      <c r="G52" s="219">
        <f>SUBTOTAL(9,G21:G51)</f>
        <v>177267</v>
      </c>
      <c r="H52" s="21"/>
      <c r="I52" s="217">
        <f>SUBTOTAL(9,I20:I51)</f>
        <v>177267</v>
      </c>
      <c r="J52" s="21"/>
      <c r="K52" s="217">
        <f>SUBTOTAL(9,K20:K51)</f>
        <v>0</v>
      </c>
      <c r="L52" s="21"/>
      <c r="M52" s="217">
        <f>SUBTOTAL(9,M20:M51)</f>
        <v>0</v>
      </c>
      <c r="N52" s="21"/>
      <c r="O52" s="217">
        <f>SUBTOTAL(9,O20:O51)</f>
        <v>0</v>
      </c>
      <c r="P52" s="21"/>
      <c r="Q52" s="217">
        <f>SUBTOTAL(9,Q20:Q51)</f>
        <v>0</v>
      </c>
      <c r="R52" s="21"/>
      <c r="S52" s="217">
        <f>SUBTOTAL(9,S20:S51)</f>
        <v>0</v>
      </c>
    </row>
    <row r="53" spans="1:34">
      <c r="A53" s="519"/>
      <c r="B53" s="923" t="s">
        <v>471</v>
      </c>
      <c r="C53" s="493"/>
      <c r="D53" s="924"/>
      <c r="E53" s="925"/>
      <c r="F53" s="494"/>
      <c r="G53" s="901"/>
      <c r="H53" s="833">
        <v>0</v>
      </c>
      <c r="I53" s="163"/>
      <c r="J53" s="833">
        <v>0</v>
      </c>
      <c r="K53" s="163"/>
      <c r="L53" s="833">
        <v>0</v>
      </c>
      <c r="M53" s="163"/>
      <c r="N53" s="833">
        <v>0</v>
      </c>
      <c r="O53" s="163"/>
      <c r="P53" s="833">
        <v>0</v>
      </c>
      <c r="Q53" s="163"/>
      <c r="R53" s="833">
        <v>0</v>
      </c>
      <c r="S53" s="163"/>
    </row>
    <row r="54" spans="1:34">
      <c r="A54" s="519"/>
      <c r="B54" s="923" t="s">
        <v>472</v>
      </c>
      <c r="C54" s="493"/>
      <c r="D54" s="924"/>
      <c r="E54" s="925"/>
      <c r="F54" s="494"/>
      <c r="G54" s="901">
        <f>F53*G52</f>
        <v>0</v>
      </c>
      <c r="H54" s="836"/>
      <c r="I54" s="838">
        <f>H53*I52</f>
        <v>0</v>
      </c>
      <c r="J54" s="836"/>
      <c r="K54" s="838">
        <f>J53*K52</f>
        <v>0</v>
      </c>
      <c r="L54" s="836"/>
      <c r="M54" s="838">
        <f>L53*M52</f>
        <v>0</v>
      </c>
      <c r="N54" s="836"/>
      <c r="O54" s="838">
        <f>N53*O52</f>
        <v>0</v>
      </c>
      <c r="P54" s="836"/>
      <c r="Q54" s="838">
        <f>P53*Q52</f>
        <v>0</v>
      </c>
      <c r="R54" s="836"/>
      <c r="S54" s="838">
        <f>R53*S52</f>
        <v>0</v>
      </c>
    </row>
    <row r="55" spans="1:34">
      <c r="A55" s="519"/>
      <c r="B55" s="923"/>
      <c r="C55" s="493"/>
      <c r="D55" s="924"/>
      <c r="E55" s="925"/>
      <c r="F55" s="494"/>
      <c r="G55" s="901"/>
      <c r="H55" s="836"/>
      <c r="I55" s="838"/>
      <c r="J55" s="836"/>
      <c r="K55" s="838"/>
      <c r="L55" s="836"/>
      <c r="M55" s="838"/>
      <c r="N55" s="836"/>
      <c r="O55" s="838"/>
      <c r="P55" s="836"/>
      <c r="Q55" s="838"/>
      <c r="R55" s="836"/>
      <c r="S55" s="838"/>
    </row>
    <row r="56" spans="1:34">
      <c r="A56" s="519"/>
      <c r="B56" s="923" t="s">
        <v>473</v>
      </c>
      <c r="C56" s="493"/>
      <c r="D56" s="924"/>
      <c r="E56" s="925"/>
      <c r="F56" s="494"/>
      <c r="G56" s="901">
        <f>SUM(G52:G54)</f>
        <v>177267</v>
      </c>
      <c r="H56" s="839"/>
      <c r="I56" s="838">
        <f>SUM(I52:I54)</f>
        <v>177267</v>
      </c>
      <c r="J56" s="839"/>
      <c r="K56" s="838">
        <f>SUM(K52:K54)</f>
        <v>0</v>
      </c>
      <c r="L56" s="839"/>
      <c r="M56" s="838">
        <f>SUM(M52:M54)</f>
        <v>0</v>
      </c>
      <c r="N56" s="839"/>
      <c r="O56" s="838">
        <f>SUM(O52:O54)</f>
        <v>0</v>
      </c>
      <c r="P56" s="839"/>
      <c r="Q56" s="838">
        <f>SUM(Q52:Q54)</f>
        <v>0</v>
      </c>
      <c r="R56" s="839"/>
      <c r="S56" s="838">
        <f>SUM(S52:S54)</f>
        <v>0</v>
      </c>
    </row>
    <row r="57" spans="1:34">
      <c r="A57" s="519"/>
      <c r="B57" s="495" t="s">
        <v>474</v>
      </c>
      <c r="C57" s="493"/>
      <c r="D57" s="924"/>
      <c r="E57" s="925"/>
      <c r="F57" s="495"/>
      <c r="G57" s="902">
        <v>4.0238570844872203</v>
      </c>
      <c r="H57" s="842"/>
      <c r="I57" s="844">
        <v>4.0238570844872203</v>
      </c>
      <c r="J57" s="842"/>
      <c r="K57" s="844">
        <v>0</v>
      </c>
      <c r="L57" s="842"/>
      <c r="M57" s="844">
        <v>0</v>
      </c>
      <c r="N57" s="842"/>
      <c r="O57" s="844">
        <v>0</v>
      </c>
      <c r="P57" s="842"/>
      <c r="Q57" s="844">
        <v>0</v>
      </c>
      <c r="R57" s="845"/>
      <c r="S57" s="844">
        <v>0</v>
      </c>
    </row>
    <row r="58" spans="1:34" ht="15.75" thickBot="1">
      <c r="A58" s="519"/>
      <c r="B58" s="496"/>
      <c r="C58" s="493"/>
      <c r="D58" s="924"/>
      <c r="E58" s="925"/>
      <c r="F58" s="494"/>
      <c r="G58" s="464"/>
      <c r="H58" s="847"/>
      <c r="I58" s="849"/>
      <c r="J58" s="847"/>
      <c r="K58" s="847"/>
      <c r="L58" s="847"/>
      <c r="M58" s="847"/>
      <c r="N58" s="847"/>
      <c r="O58" s="847"/>
      <c r="P58" s="847"/>
      <c r="Q58" s="847"/>
      <c r="R58" s="847"/>
      <c r="S58" s="847"/>
    </row>
    <row r="59" spans="1:34" ht="16.5" thickTop="1" thickBot="1">
      <c r="A59" s="691" t="s">
        <v>475</v>
      </c>
      <c r="B59" s="692"/>
      <c r="C59" s="14"/>
      <c r="D59" s="169"/>
      <c r="E59" s="178"/>
      <c r="F59" s="14"/>
      <c r="G59" s="220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spans="1:34" ht="15.75" thickTop="1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ht="15.75" thickBot="1">
      <c r="A62" s="795"/>
      <c r="B62" s="497"/>
      <c r="C62" s="796"/>
      <c r="D62" s="851"/>
      <c r="E62" s="852"/>
      <c r="F62" s="796"/>
      <c r="G62" s="798"/>
      <c r="H62" s="799"/>
      <c r="I62" s="799"/>
      <c r="J62" s="799"/>
      <c r="K62" s="799"/>
      <c r="L62" s="799"/>
      <c r="M62" s="799"/>
      <c r="N62" s="799"/>
      <c r="O62" s="799"/>
      <c r="P62" s="799"/>
      <c r="Q62" s="799"/>
      <c r="R62" s="799"/>
      <c r="S62" s="799"/>
    </row>
    <row r="63" spans="1:34" s="2" customFormat="1" ht="16.5" thickTop="1" thickBot="1">
      <c r="A63" s="691" t="s">
        <v>476</v>
      </c>
      <c r="B63" s="692"/>
      <c r="C63" s="14"/>
      <c r="D63" s="169"/>
      <c r="E63" s="178"/>
      <c r="F63" s="14"/>
      <c r="G63" s="220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 ht="15.75" thickTop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s="2" customForma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5.75" thickBot="1">
      <c r="A66" s="795"/>
      <c r="B66" s="497"/>
      <c r="C66" s="796"/>
      <c r="D66" s="851"/>
      <c r="E66" s="852"/>
      <c r="F66" s="796"/>
      <c r="G66" s="798"/>
      <c r="H66" s="799"/>
      <c r="I66" s="799"/>
      <c r="J66" s="799"/>
      <c r="K66" s="799"/>
      <c r="L66" s="799"/>
      <c r="M66" s="799"/>
      <c r="N66" s="799"/>
      <c r="O66" s="799"/>
      <c r="P66" s="799"/>
      <c r="Q66" s="799"/>
      <c r="R66" s="799"/>
      <c r="S66" s="799"/>
    </row>
    <row r="67" spans="1:34" s="2" customFormat="1" ht="16.5" thickTop="1" thickBot="1">
      <c r="A67" s="691" t="s">
        <v>477</v>
      </c>
      <c r="B67" s="692"/>
      <c r="C67" s="14"/>
      <c r="D67" s="169"/>
      <c r="E67" s="178"/>
      <c r="F67" s="14"/>
      <c r="G67" s="220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 ht="15.75" thickTop="1">
      <c r="A68" s="795"/>
      <c r="B68" s="497"/>
      <c r="C68" s="796"/>
      <c r="D68" s="851"/>
      <c r="E68" s="852"/>
      <c r="F68" s="796"/>
      <c r="G68" s="798"/>
      <c r="H68" s="799"/>
      <c r="I68" s="799"/>
      <c r="J68" s="799"/>
      <c r="K68" s="799"/>
      <c r="L68" s="799"/>
      <c r="M68" s="799"/>
      <c r="N68" s="799"/>
      <c r="O68" s="799"/>
      <c r="P68" s="799"/>
      <c r="Q68" s="799"/>
      <c r="R68" s="799"/>
      <c r="S68" s="799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>
      <c r="A69" s="520"/>
      <c r="B69" s="497"/>
      <c r="C69" s="506"/>
      <c r="D69" s="507"/>
      <c r="E69" s="508"/>
      <c r="F69" s="506"/>
      <c r="G69" s="498"/>
      <c r="H69" s="857"/>
      <c r="I69" s="857"/>
      <c r="J69" s="857"/>
      <c r="K69" s="857"/>
      <c r="L69" s="857"/>
      <c r="M69" s="857"/>
      <c r="N69" s="857"/>
      <c r="O69" s="857"/>
      <c r="P69" s="857"/>
      <c r="Q69" s="857"/>
      <c r="R69" s="857"/>
      <c r="S69" s="857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s="2" customFormat="1" ht="15.75" thickBot="1">
      <c r="A70" s="500"/>
      <c r="B70" s="501"/>
      <c r="C70" s="506"/>
      <c r="D70" s="507"/>
      <c r="E70" s="508"/>
      <c r="F70" s="506"/>
      <c r="G70" s="498"/>
      <c r="H70" s="861"/>
      <c r="I70" s="861"/>
      <c r="J70" s="861"/>
      <c r="K70" s="861"/>
      <c r="L70" s="861"/>
      <c r="M70" s="861"/>
      <c r="N70" s="861"/>
      <c r="O70" s="861"/>
      <c r="P70" s="861"/>
      <c r="Q70" s="861"/>
      <c r="R70" s="861"/>
      <c r="S70" s="861"/>
    </row>
    <row r="71" spans="1:34" s="2" customFormat="1" ht="16.5" thickTop="1" thickBot="1">
      <c r="A71" s="691" t="s">
        <v>478</v>
      </c>
      <c r="B71" s="692"/>
      <c r="C71" s="14"/>
      <c r="D71" s="169"/>
      <c r="E71" s="178"/>
      <c r="F71" s="14"/>
      <c r="G71" s="220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5.75" thickTop="1">
      <c r="A72" s="800"/>
      <c r="B72" s="801"/>
      <c r="C72" s="796"/>
      <c r="D72" s="851"/>
      <c r="E72" s="852"/>
      <c r="F72" s="796"/>
      <c r="G72" s="798"/>
      <c r="H72" s="799"/>
      <c r="I72" s="799"/>
      <c r="J72" s="799"/>
      <c r="K72" s="799"/>
      <c r="L72" s="799"/>
      <c r="M72" s="799"/>
      <c r="N72" s="799"/>
      <c r="O72" s="799"/>
      <c r="P72" s="799"/>
      <c r="Q72" s="799"/>
      <c r="R72" s="799"/>
      <c r="S72" s="799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>
      <c r="A73" s="500"/>
      <c r="B73" s="501"/>
      <c r="C73" s="506"/>
      <c r="D73" s="507"/>
      <c r="E73" s="508"/>
      <c r="F73" s="506"/>
      <c r="G73" s="498"/>
      <c r="H73" s="863"/>
      <c r="I73" s="863"/>
      <c r="J73" s="863"/>
      <c r="K73" s="863"/>
      <c r="L73" s="863"/>
      <c r="M73" s="863"/>
      <c r="N73" s="863"/>
      <c r="O73" s="863"/>
      <c r="P73" s="863"/>
      <c r="Q73" s="863"/>
      <c r="R73" s="863"/>
      <c r="S73" s="86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5.75" thickBot="1">
      <c r="A74" s="500"/>
      <c r="B74" s="501"/>
      <c r="C74" s="506"/>
      <c r="D74" s="507"/>
      <c r="E74" s="508"/>
      <c r="F74" s="506"/>
      <c r="G74" s="498"/>
      <c r="H74" s="863"/>
      <c r="I74" s="863"/>
      <c r="J74" s="863"/>
      <c r="K74" s="863"/>
      <c r="L74" s="863"/>
      <c r="M74" s="863"/>
      <c r="N74" s="863"/>
      <c r="O74" s="863"/>
      <c r="P74" s="863"/>
      <c r="Q74" s="863"/>
      <c r="R74" s="863"/>
      <c r="S74" s="86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6.5" thickTop="1" thickBot="1">
      <c r="A75" s="691" t="s">
        <v>479</v>
      </c>
      <c r="B75" s="692"/>
      <c r="C75" s="14"/>
      <c r="D75" s="169"/>
      <c r="E75" s="178"/>
      <c r="F75" s="14"/>
      <c r="G75" s="220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 spans="1:34" ht="15.75" thickTop="1">
      <c r="A76" s="520"/>
      <c r="B76" s="497" t="s">
        <v>480</v>
      </c>
      <c r="C76" s="506"/>
      <c r="D76" s="507"/>
      <c r="E76" s="508"/>
      <c r="F76" s="506"/>
      <c r="G76" s="498"/>
      <c r="H76" s="863"/>
      <c r="I76" s="863"/>
      <c r="J76" s="863"/>
      <c r="K76" s="863"/>
      <c r="L76" s="863"/>
      <c r="M76" s="863"/>
      <c r="N76" s="863"/>
      <c r="O76" s="863"/>
      <c r="P76" s="863"/>
      <c r="Q76" s="863"/>
      <c r="R76" s="863"/>
      <c r="S76" s="863"/>
    </row>
    <row r="77" spans="1:34">
      <c r="A77" s="520"/>
      <c r="B77" s="497" t="s">
        <v>481</v>
      </c>
      <c r="C77" s="506"/>
      <c r="D77" s="507"/>
      <c r="E77" s="508"/>
      <c r="F77" s="506"/>
      <c r="G77" s="498"/>
      <c r="H77" s="863"/>
      <c r="I77" s="863"/>
      <c r="J77" s="863"/>
      <c r="K77" s="863"/>
      <c r="L77" s="863"/>
      <c r="M77" s="863"/>
      <c r="N77" s="863"/>
      <c r="O77" s="863"/>
      <c r="P77" s="863"/>
      <c r="Q77" s="863"/>
      <c r="R77" s="863"/>
      <c r="S77" s="863"/>
    </row>
    <row r="78" spans="1:34">
      <c r="A78" s="520"/>
      <c r="B78" s="497" t="s">
        <v>482</v>
      </c>
      <c r="C78" s="506"/>
      <c r="D78" s="507"/>
      <c r="E78" s="508"/>
      <c r="F78" s="506"/>
      <c r="G78" s="498"/>
      <c r="H78" s="863"/>
      <c r="I78" s="863"/>
      <c r="J78" s="863"/>
      <c r="K78" s="863"/>
      <c r="L78" s="863"/>
      <c r="M78" s="863"/>
      <c r="N78" s="863"/>
      <c r="O78" s="863"/>
      <c r="P78" s="863"/>
      <c r="Q78" s="863"/>
      <c r="R78" s="863"/>
      <c r="S78" s="863"/>
    </row>
    <row r="79" spans="1:34">
      <c r="A79" s="520"/>
      <c r="B79" s="497" t="s">
        <v>483</v>
      </c>
      <c r="C79" s="506"/>
      <c r="D79" s="507"/>
      <c r="E79" s="508"/>
      <c r="F79" s="506"/>
      <c r="G79" s="498"/>
      <c r="H79" s="863"/>
      <c r="I79" s="863"/>
      <c r="J79" s="863"/>
      <c r="K79" s="863"/>
      <c r="L79" s="863"/>
      <c r="M79" s="863"/>
      <c r="N79" s="863"/>
      <c r="O79" s="863"/>
      <c r="P79" s="863"/>
      <c r="Q79" s="863"/>
      <c r="R79" s="863"/>
      <c r="S79" s="863"/>
    </row>
    <row r="80" spans="1:34" ht="15.75" thickBot="1">
      <c r="A80" s="23"/>
      <c r="B80" s="7"/>
      <c r="C80" s="8"/>
      <c r="D80" s="166"/>
      <c r="E80" s="172"/>
      <c r="F80" s="8"/>
      <c r="G80" s="221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</row>
    <row r="81" spans="1:19" ht="16.5" thickTop="1" thickBot="1">
      <c r="A81" s="9" t="s">
        <v>484</v>
      </c>
      <c r="B81" s="10"/>
      <c r="C81" s="14"/>
      <c r="D81" s="169"/>
      <c r="E81" s="178"/>
      <c r="F81" s="14"/>
      <c r="G81" s="220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spans="1:19" ht="15.75" thickTop="1">
      <c r="A82" s="795"/>
      <c r="B82" s="802" t="s">
        <v>485</v>
      </c>
      <c r="C82" s="796"/>
      <c r="D82" s="851"/>
      <c r="E82" s="852"/>
      <c r="F82" s="796"/>
      <c r="G82" s="798"/>
      <c r="H82" s="803"/>
      <c r="I82" s="803"/>
      <c r="J82" s="803"/>
      <c r="K82" s="803"/>
      <c r="L82" s="803"/>
      <c r="M82" s="803"/>
      <c r="N82" s="803"/>
      <c r="O82" s="803"/>
      <c r="P82" s="803"/>
      <c r="Q82" s="803"/>
      <c r="R82" s="803"/>
      <c r="S82" s="803"/>
    </row>
    <row r="83" spans="1:19">
      <c r="A83" s="520"/>
      <c r="B83" s="497" t="s">
        <v>486</v>
      </c>
      <c r="C83" s="506"/>
      <c r="D83" s="507"/>
      <c r="E83" s="508"/>
      <c r="F83" s="506"/>
      <c r="G83" s="498"/>
      <c r="H83" s="864"/>
      <c r="I83" s="864"/>
      <c r="J83" s="864"/>
      <c r="K83" s="864"/>
      <c r="L83" s="864"/>
      <c r="M83" s="864"/>
      <c r="N83" s="864"/>
      <c r="O83" s="864"/>
      <c r="P83" s="864"/>
      <c r="Q83" s="864"/>
      <c r="R83" s="864"/>
      <c r="S83" s="864"/>
    </row>
    <row r="84" spans="1:19" ht="15.75" thickBot="1">
      <c r="A84" s="865"/>
      <c r="B84" s="866" t="s">
        <v>487</v>
      </c>
      <c r="C84" s="867"/>
      <c r="D84" s="868"/>
      <c r="E84" s="869"/>
      <c r="F84" s="867"/>
      <c r="G84" s="904"/>
      <c r="H84" s="871"/>
      <c r="I84" s="871"/>
      <c r="J84" s="871"/>
      <c r="K84" s="871"/>
      <c r="L84" s="871"/>
      <c r="M84" s="871"/>
      <c r="N84" s="871"/>
      <c r="O84" s="871"/>
      <c r="P84" s="871"/>
      <c r="Q84" s="871"/>
      <c r="R84" s="871"/>
      <c r="S84" s="871"/>
    </row>
    <row r="85" spans="1:19" ht="16.5" thickTop="1" thickBot="1"/>
    <row r="86" spans="1:19" ht="16.5" thickTop="1" thickBot="1">
      <c r="A86" s="42" t="s">
        <v>488</v>
      </c>
      <c r="B86" s="44"/>
    </row>
    <row r="87" spans="1:19" ht="15.75" thickTop="1">
      <c r="A87" s="43" t="s">
        <v>444</v>
      </c>
      <c r="B87" s="873"/>
    </row>
    <row r="88" spans="1:19">
      <c r="A88" s="504" t="s">
        <v>446</v>
      </c>
      <c r="B88" s="873"/>
    </row>
    <row r="89" spans="1:19">
      <c r="A89" s="875" t="s">
        <v>448</v>
      </c>
      <c r="B89" s="876"/>
    </row>
    <row r="90" spans="1:19">
      <c r="A90" s="875" t="s">
        <v>450</v>
      </c>
      <c r="B90" s="877"/>
    </row>
    <row r="91" spans="1:19" ht="15.75" thickBot="1">
      <c r="A91" s="878" t="s">
        <v>489</v>
      </c>
      <c r="B91" s="879">
        <f>$I$56</f>
        <v>177267</v>
      </c>
    </row>
    <row r="92" spans="1:19" ht="15.75" thickTop="1"/>
    <row r="93" spans="1:19">
      <c r="A93" s="45"/>
      <c r="B93" s="1" t="s">
        <v>490</v>
      </c>
    </row>
    <row r="94" spans="1:19">
      <c r="A94" s="46"/>
      <c r="B94" s="1" t="s">
        <v>491</v>
      </c>
    </row>
  </sheetData>
  <mergeCells count="35">
    <mergeCell ref="A59:B59"/>
    <mergeCell ref="A63:B63"/>
    <mergeCell ref="A67:B67"/>
    <mergeCell ref="A71:B71"/>
    <mergeCell ref="A75:B75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5:S5"/>
    <mergeCell ref="H5:I5"/>
    <mergeCell ref="J5:K5"/>
    <mergeCell ref="L5:M5"/>
    <mergeCell ref="N5:O5"/>
    <mergeCell ref="P5:Q5"/>
  </mergeCells>
  <conditionalFormatting sqref="H11:H18 J11:J18 L11:L18 N11:N18 P11:P18 R11:R18 H20:H51 J20:J51 L20:L51 N20:N51 P20:P51 R20:R51">
    <cfRule type="cellIs" dxfId="123" priority="1" operator="equal">
      <formula>"X"</formula>
    </cfRule>
    <cfRule type="cellIs" dxfId="122" priority="2" operator="equal">
      <formula>"I"</formula>
    </cfRule>
  </conditionalFormatting>
  <hyperlinks>
    <hyperlink ref="B4" location="'Cost Summary'!A1" display="BACK TO SUMMARY SHEET" xr:uid="{531FF944-39B0-4DDF-AF17-CF338DB54D21}"/>
  </hyperlinks>
  <pageMargins left="0.2" right="0.2" top="0.5" bottom="0.75" header="0.3" footer="0.3"/>
  <pageSetup paperSize="3" scale="78" fitToHeight="0" orientation="landscape" horizontalDpi="300" verticalDpi="300" r:id="rId1"/>
  <rowBreaks count="1" manualBreakCount="1">
    <brk id="59" max="6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80B1-96F0-4282-9496-EEE64BD9DB51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D26" sqref="D26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73"/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505" t="s">
        <v>445</v>
      </c>
      <c r="B6" s="497" t="s">
        <v>132</v>
      </c>
      <c r="C6" s="506"/>
      <c r="D6" s="507"/>
      <c r="E6" s="508"/>
      <c r="F6" s="506"/>
      <c r="G6" s="462" t="s">
        <v>446</v>
      </c>
      <c r="H6" s="675"/>
      <c r="I6" s="67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505" t="s">
        <v>447</v>
      </c>
      <c r="B7" s="509" t="s">
        <v>131</v>
      </c>
      <c r="C7" s="506"/>
      <c r="D7" s="507"/>
      <c r="E7" s="508"/>
      <c r="F7" s="506"/>
      <c r="G7" s="510" t="s">
        <v>448</v>
      </c>
      <c r="H7" s="677"/>
      <c r="I7" s="67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505" t="s">
        <v>449</v>
      </c>
      <c r="B8" s="511"/>
      <c r="C8" s="506"/>
      <c r="D8" s="507"/>
      <c r="E8" s="508"/>
      <c r="F8" s="506"/>
      <c r="G8" s="510" t="s">
        <v>450</v>
      </c>
      <c r="H8" s="679"/>
      <c r="I8" s="68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3361361</v>
      </c>
      <c r="I9" s="895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507"/>
      <c r="E11" s="508"/>
      <c r="F11" s="506"/>
      <c r="G11" s="60"/>
      <c r="H11" s="814"/>
      <c r="I11" s="782"/>
      <c r="J11" s="814"/>
      <c r="K11" s="183"/>
      <c r="L11" s="814"/>
      <c r="M11" s="783"/>
      <c r="N11" s="814"/>
      <c r="O11" s="783"/>
      <c r="P11" s="814"/>
      <c r="Q11" s="783"/>
      <c r="R11" s="814"/>
      <c r="S11" s="783"/>
    </row>
    <row r="12" spans="1:19">
      <c r="A12" s="784"/>
      <c r="B12" s="785" t="s">
        <v>461</v>
      </c>
      <c r="C12" s="506"/>
      <c r="D12" s="507"/>
      <c r="E12" s="508"/>
      <c r="F12" s="506"/>
      <c r="G12" s="60"/>
      <c r="H12" s="814"/>
      <c r="I12" s="782"/>
      <c r="J12" s="814"/>
      <c r="K12" s="783"/>
      <c r="L12" s="814"/>
      <c r="M12" s="783"/>
      <c r="N12" s="814"/>
      <c r="O12" s="783"/>
      <c r="P12" s="814"/>
      <c r="Q12" s="783"/>
      <c r="R12" s="814"/>
      <c r="S12" s="783"/>
    </row>
    <row r="13" spans="1:19">
      <c r="A13" s="512"/>
      <c r="B13" s="786" t="s">
        <v>462</v>
      </c>
      <c r="C13" s="506"/>
      <c r="D13" s="507"/>
      <c r="E13" s="508"/>
      <c r="F13" s="506"/>
      <c r="G13" s="60"/>
      <c r="H13" s="814"/>
      <c r="I13" s="782"/>
      <c r="J13" s="814"/>
      <c r="K13" s="783"/>
      <c r="L13" s="814"/>
      <c r="M13" s="783"/>
      <c r="N13" s="814"/>
      <c r="O13" s="783"/>
      <c r="P13" s="814"/>
      <c r="Q13" s="783"/>
      <c r="R13" s="814"/>
      <c r="S13" s="783"/>
    </row>
    <row r="14" spans="1:19">
      <c r="A14" s="512"/>
      <c r="B14" s="787" t="s">
        <v>463</v>
      </c>
      <c r="C14" s="506"/>
      <c r="D14" s="507"/>
      <c r="E14" s="508"/>
      <c r="F14" s="506"/>
      <c r="G14" s="60"/>
      <c r="H14" s="814"/>
      <c r="I14" s="782"/>
      <c r="J14" s="814"/>
      <c r="K14" s="783"/>
      <c r="L14" s="814"/>
      <c r="M14" s="783"/>
      <c r="N14" s="814"/>
      <c r="O14" s="783"/>
      <c r="P14" s="814"/>
      <c r="Q14" s="783"/>
      <c r="R14" s="814"/>
      <c r="S14" s="783"/>
    </row>
    <row r="15" spans="1:19">
      <c r="A15" s="512"/>
      <c r="B15" s="787" t="s">
        <v>464</v>
      </c>
      <c r="C15" s="506"/>
      <c r="D15" s="507"/>
      <c r="E15" s="508"/>
      <c r="F15" s="506"/>
      <c r="G15" s="60"/>
      <c r="H15" s="814"/>
      <c r="I15" s="782"/>
      <c r="J15" s="814"/>
      <c r="K15" s="782"/>
      <c r="L15" s="814"/>
      <c r="M15" s="782"/>
      <c r="N15" s="814"/>
      <c r="O15" s="782"/>
      <c r="P15" s="814"/>
      <c r="Q15" s="782"/>
      <c r="R15" s="814"/>
      <c r="S15" s="782"/>
    </row>
    <row r="16" spans="1:19">
      <c r="A16" s="512"/>
      <c r="B16" s="787" t="s">
        <v>465</v>
      </c>
      <c r="C16" s="506"/>
      <c r="D16" s="507"/>
      <c r="E16" s="508"/>
      <c r="F16" s="506"/>
      <c r="G16" s="60"/>
      <c r="H16" s="814"/>
      <c r="I16" s="782"/>
      <c r="J16" s="814"/>
      <c r="K16" s="783"/>
      <c r="L16" s="814"/>
      <c r="M16" s="783"/>
      <c r="N16" s="814"/>
      <c r="O16" s="783"/>
      <c r="P16" s="814"/>
      <c r="Q16" s="783"/>
      <c r="R16" s="814"/>
      <c r="S16" s="783"/>
    </row>
    <row r="17" spans="1:19">
      <c r="A17" s="512"/>
      <c r="B17" s="787" t="s">
        <v>466</v>
      </c>
      <c r="C17" s="506"/>
      <c r="D17" s="507"/>
      <c r="E17" s="508"/>
      <c r="F17" s="506"/>
      <c r="G17" s="60"/>
      <c r="H17" s="814"/>
      <c r="I17" s="782"/>
      <c r="J17" s="814"/>
      <c r="K17" s="783"/>
      <c r="L17" s="814"/>
      <c r="M17" s="783"/>
      <c r="N17" s="814"/>
      <c r="O17" s="783"/>
      <c r="P17" s="814"/>
      <c r="Q17" s="783"/>
      <c r="R17" s="814"/>
      <c r="S17" s="783"/>
    </row>
    <row r="18" spans="1:19">
      <c r="A18" s="512"/>
      <c r="B18" s="788" t="s">
        <v>467</v>
      </c>
      <c r="C18" s="506"/>
      <c r="D18" s="507"/>
      <c r="E18" s="508"/>
      <c r="F18" s="506"/>
      <c r="G18" s="60"/>
      <c r="H18" s="814"/>
      <c r="I18" s="782"/>
      <c r="J18" s="814"/>
      <c r="K18" s="783"/>
      <c r="L18" s="814"/>
      <c r="M18" s="783"/>
      <c r="N18" s="814"/>
      <c r="O18" s="783"/>
      <c r="P18" s="814"/>
      <c r="Q18" s="783"/>
      <c r="R18" s="814"/>
      <c r="S18" s="783"/>
    </row>
    <row r="19" spans="1:19">
      <c r="A19" s="512"/>
      <c r="B19" s="789" t="s">
        <v>468</v>
      </c>
      <c r="C19" s="513"/>
      <c r="D19" s="514"/>
      <c r="E19" s="515"/>
      <c r="F19" s="516"/>
      <c r="G19" s="463"/>
      <c r="H19" s="900"/>
      <c r="I19" s="790"/>
      <c r="J19" s="900"/>
      <c r="K19" s="791"/>
      <c r="L19" s="900"/>
      <c r="M19" s="791"/>
      <c r="N19" s="900"/>
      <c r="O19" s="791"/>
      <c r="P19" s="900"/>
      <c r="Q19" s="791"/>
      <c r="R19" s="900"/>
      <c r="S19" s="791"/>
    </row>
    <row r="20" spans="1:19">
      <c r="A20" s="512"/>
      <c r="B20" s="792"/>
      <c r="C20" s="506"/>
      <c r="D20" s="507"/>
      <c r="E20" s="508"/>
      <c r="F20" s="517"/>
      <c r="G20" s="60"/>
      <c r="H20" s="814"/>
      <c r="I20" s="794"/>
      <c r="J20" s="814"/>
      <c r="K20" s="793"/>
      <c r="L20" s="814"/>
      <c r="M20" s="794"/>
      <c r="N20" s="814"/>
      <c r="O20" s="794"/>
      <c r="P20" s="814"/>
      <c r="Q20" s="794"/>
      <c r="R20" s="814"/>
      <c r="S20" s="794"/>
    </row>
    <row r="21" spans="1:19">
      <c r="A21" s="512"/>
      <c r="B21" s="792" t="s">
        <v>561</v>
      </c>
      <c r="C21" s="506"/>
      <c r="D21" s="507">
        <v>19200</v>
      </c>
      <c r="E21" s="508" t="s">
        <v>179</v>
      </c>
      <c r="F21" s="517">
        <v>60</v>
      </c>
      <c r="G21" s="315">
        <f t="shared" ref="G21:G49" si="5">ROUND(D21*F21,0)</f>
        <v>1152000</v>
      </c>
      <c r="H21" s="814"/>
      <c r="I21" s="793">
        <f>G21</f>
        <v>1152000</v>
      </c>
      <c r="J21" s="814"/>
      <c r="K21" s="793"/>
      <c r="L21" s="814"/>
      <c r="M21" s="794"/>
      <c r="N21" s="814"/>
      <c r="O21" s="794"/>
      <c r="P21" s="814"/>
      <c r="Q21" s="794"/>
      <c r="R21" s="814"/>
      <c r="S21" s="794"/>
    </row>
    <row r="22" spans="1:19">
      <c r="A22" s="512"/>
      <c r="B22" s="918"/>
      <c r="C22" s="506"/>
      <c r="D22" s="507"/>
      <c r="E22" s="508"/>
      <c r="F22" s="517"/>
      <c r="G22" s="315">
        <f t="shared" si="5"/>
        <v>0</v>
      </c>
      <c r="H22" s="814"/>
      <c r="I22" s="793">
        <f t="shared" ref="I22:I49" si="6">G22</f>
        <v>0</v>
      </c>
      <c r="J22" s="814"/>
      <c r="K22" s="793"/>
      <c r="L22" s="814"/>
      <c r="M22" s="794"/>
      <c r="N22" s="814"/>
      <c r="O22" s="794"/>
      <c r="P22" s="814"/>
      <c r="Q22" s="794"/>
      <c r="R22" s="814"/>
      <c r="S22" s="794"/>
    </row>
    <row r="23" spans="1:19">
      <c r="A23" s="512"/>
      <c r="B23" s="792" t="s">
        <v>562</v>
      </c>
      <c r="C23" s="506"/>
      <c r="D23" s="507">
        <v>3420</v>
      </c>
      <c r="E23" s="508" t="s">
        <v>179</v>
      </c>
      <c r="F23" s="517">
        <v>70</v>
      </c>
      <c r="G23" s="315">
        <f t="shared" si="5"/>
        <v>239400</v>
      </c>
      <c r="H23" s="814"/>
      <c r="I23" s="793">
        <f t="shared" si="6"/>
        <v>239400</v>
      </c>
      <c r="J23" s="814"/>
      <c r="K23" s="793"/>
      <c r="L23" s="814"/>
      <c r="M23" s="794"/>
      <c r="N23" s="814"/>
      <c r="O23" s="794"/>
      <c r="P23" s="814"/>
      <c r="Q23" s="794"/>
      <c r="R23" s="814"/>
      <c r="S23" s="794"/>
    </row>
    <row r="24" spans="1:19">
      <c r="A24" s="512"/>
      <c r="B24" s="919"/>
      <c r="C24" s="506"/>
      <c r="D24" s="507"/>
      <c r="E24" s="508"/>
      <c r="F24" s="517"/>
      <c r="G24" s="315">
        <f t="shared" si="5"/>
        <v>0</v>
      </c>
      <c r="H24" s="814"/>
      <c r="I24" s="793">
        <f t="shared" si="6"/>
        <v>0</v>
      </c>
      <c r="J24" s="814"/>
      <c r="K24" s="793"/>
      <c r="L24" s="814"/>
      <c r="M24" s="794"/>
      <c r="N24" s="814"/>
      <c r="O24" s="794"/>
      <c r="P24" s="814"/>
      <c r="Q24" s="794"/>
      <c r="R24" s="814"/>
      <c r="S24" s="794"/>
    </row>
    <row r="25" spans="1:19">
      <c r="A25" s="512"/>
      <c r="B25" s="926" t="s">
        <v>563</v>
      </c>
      <c r="C25" s="506"/>
      <c r="D25" s="507">
        <f>28919+16075-31692+2403</f>
        <v>15705</v>
      </c>
      <c r="E25" s="508" t="s">
        <v>179</v>
      </c>
      <c r="F25" s="517">
        <v>65</v>
      </c>
      <c r="G25" s="315">
        <f t="shared" si="5"/>
        <v>1020825</v>
      </c>
      <c r="H25" s="814"/>
      <c r="I25" s="793">
        <f t="shared" si="6"/>
        <v>1020825</v>
      </c>
      <c r="J25" s="814"/>
      <c r="K25" s="793"/>
      <c r="L25" s="814"/>
      <c r="M25" s="794"/>
      <c r="N25" s="814"/>
      <c r="O25" s="794"/>
      <c r="P25" s="814"/>
      <c r="Q25" s="794"/>
      <c r="R25" s="814"/>
      <c r="S25" s="794"/>
    </row>
    <row r="26" spans="1:19">
      <c r="A26" s="512"/>
      <c r="B26" s="792" t="s">
        <v>564</v>
      </c>
      <c r="C26" s="506"/>
      <c r="D26" s="507">
        <f>1106+550</f>
        <v>1656</v>
      </c>
      <c r="E26" s="508" t="s">
        <v>179</v>
      </c>
      <c r="F26" s="517">
        <v>60</v>
      </c>
      <c r="G26" s="315">
        <f t="shared" si="5"/>
        <v>99360</v>
      </c>
      <c r="H26" s="814"/>
      <c r="I26" s="793">
        <f t="shared" si="6"/>
        <v>99360</v>
      </c>
      <c r="J26" s="814"/>
      <c r="K26" s="793"/>
      <c r="L26" s="814"/>
      <c r="M26" s="794"/>
      <c r="N26" s="814"/>
      <c r="O26" s="794"/>
      <c r="P26" s="814"/>
      <c r="Q26" s="794"/>
      <c r="R26" s="814"/>
      <c r="S26" s="794"/>
    </row>
    <row r="27" spans="1:19">
      <c r="A27" s="512"/>
      <c r="B27" s="927"/>
      <c r="C27" s="506"/>
      <c r="D27" s="507"/>
      <c r="E27" s="508"/>
      <c r="F27" s="517"/>
      <c r="G27" s="315">
        <f t="shared" si="5"/>
        <v>0</v>
      </c>
      <c r="H27" s="814"/>
      <c r="I27" s="793">
        <f t="shared" si="6"/>
        <v>0</v>
      </c>
      <c r="J27" s="814"/>
      <c r="K27" s="793"/>
      <c r="L27" s="814"/>
      <c r="M27" s="794"/>
      <c r="N27" s="814"/>
      <c r="O27" s="794"/>
      <c r="P27" s="814"/>
      <c r="Q27" s="794"/>
      <c r="R27" s="814"/>
      <c r="S27" s="794"/>
    </row>
    <row r="28" spans="1:19">
      <c r="A28" s="512">
        <v>1082</v>
      </c>
      <c r="B28" s="928" t="s">
        <v>565</v>
      </c>
      <c r="C28" s="506"/>
      <c r="D28" s="507">
        <f>A28*6.283</f>
        <v>6798.2060000000001</v>
      </c>
      <c r="E28" s="508" t="s">
        <v>179</v>
      </c>
      <c r="F28" s="517">
        <v>125</v>
      </c>
      <c r="G28" s="315">
        <f t="shared" si="5"/>
        <v>849776</v>
      </c>
      <c r="H28" s="814"/>
      <c r="I28" s="793">
        <f t="shared" si="6"/>
        <v>849776</v>
      </c>
      <c r="J28" s="814"/>
      <c r="K28" s="793"/>
      <c r="L28" s="814"/>
      <c r="M28" s="794"/>
      <c r="N28" s="814"/>
      <c r="O28" s="794"/>
      <c r="P28" s="814"/>
      <c r="Q28" s="794"/>
      <c r="R28" s="814"/>
      <c r="S28" s="794"/>
    </row>
    <row r="29" spans="1:19">
      <c r="A29" s="512"/>
      <c r="B29" s="918"/>
      <c r="C29" s="506"/>
      <c r="D29" s="507"/>
      <c r="E29" s="508"/>
      <c r="F29" s="517"/>
      <c r="G29" s="315">
        <f t="shared" si="5"/>
        <v>0</v>
      </c>
      <c r="H29" s="814"/>
      <c r="I29" s="793">
        <f t="shared" si="6"/>
        <v>0</v>
      </c>
      <c r="J29" s="814"/>
      <c r="K29" s="793"/>
      <c r="L29" s="814"/>
      <c r="M29" s="794"/>
      <c r="N29" s="814"/>
      <c r="O29" s="794"/>
      <c r="P29" s="814"/>
      <c r="Q29" s="794"/>
      <c r="R29" s="814"/>
      <c r="S29" s="794"/>
    </row>
    <row r="30" spans="1:19">
      <c r="A30" s="512"/>
      <c r="B30" s="792"/>
      <c r="C30" s="506"/>
      <c r="D30" s="507"/>
      <c r="E30" s="508"/>
      <c r="F30" s="517"/>
      <c r="G30" s="315">
        <f t="shared" si="5"/>
        <v>0</v>
      </c>
      <c r="H30" s="814"/>
      <c r="I30" s="793">
        <f t="shared" si="6"/>
        <v>0</v>
      </c>
      <c r="J30" s="814"/>
      <c r="K30" s="793"/>
      <c r="L30" s="814"/>
      <c r="M30" s="794"/>
      <c r="N30" s="814"/>
      <c r="O30" s="794"/>
      <c r="P30" s="814"/>
      <c r="Q30" s="794"/>
      <c r="R30" s="814"/>
      <c r="S30" s="794"/>
    </row>
    <row r="31" spans="1:19">
      <c r="A31" s="512"/>
      <c r="B31" s="792"/>
      <c r="C31" s="506"/>
      <c r="D31" s="507"/>
      <c r="E31" s="508"/>
      <c r="F31" s="517"/>
      <c r="G31" s="315">
        <f t="shared" si="5"/>
        <v>0</v>
      </c>
      <c r="H31" s="814"/>
      <c r="I31" s="793">
        <f t="shared" si="6"/>
        <v>0</v>
      </c>
      <c r="J31" s="814"/>
      <c r="K31" s="793"/>
      <c r="L31" s="814"/>
      <c r="M31" s="794"/>
      <c r="N31" s="814"/>
      <c r="O31" s="794"/>
      <c r="P31" s="814"/>
      <c r="Q31" s="794"/>
      <c r="R31" s="814"/>
      <c r="S31" s="794"/>
    </row>
    <row r="32" spans="1:19">
      <c r="A32" s="512"/>
      <c r="B32" s="792"/>
      <c r="C32" s="506"/>
      <c r="D32" s="507"/>
      <c r="E32" s="508"/>
      <c r="F32" s="517"/>
      <c r="G32" s="315">
        <f t="shared" si="5"/>
        <v>0</v>
      </c>
      <c r="H32" s="814"/>
      <c r="I32" s="793">
        <f t="shared" si="6"/>
        <v>0</v>
      </c>
      <c r="J32" s="814"/>
      <c r="K32" s="793"/>
      <c r="L32" s="814"/>
      <c r="M32" s="794"/>
      <c r="N32" s="814"/>
      <c r="O32" s="794"/>
      <c r="P32" s="814"/>
      <c r="Q32" s="794"/>
      <c r="R32" s="814"/>
      <c r="S32" s="794"/>
    </row>
    <row r="33" spans="1:19">
      <c r="A33" s="512"/>
      <c r="B33" s="918"/>
      <c r="C33" s="506"/>
      <c r="D33" s="507"/>
      <c r="E33" s="508"/>
      <c r="F33" s="517"/>
      <c r="G33" s="315">
        <f t="shared" si="5"/>
        <v>0</v>
      </c>
      <c r="H33" s="814"/>
      <c r="I33" s="793">
        <f t="shared" si="6"/>
        <v>0</v>
      </c>
      <c r="J33" s="814"/>
      <c r="K33" s="793"/>
      <c r="L33" s="814"/>
      <c r="M33" s="794"/>
      <c r="N33" s="814"/>
      <c r="O33" s="794"/>
      <c r="P33" s="814"/>
      <c r="Q33" s="794"/>
      <c r="R33" s="814"/>
      <c r="S33" s="794"/>
    </row>
    <row r="34" spans="1:19">
      <c r="A34" s="512"/>
      <c r="B34" s="918"/>
      <c r="C34" s="506"/>
      <c r="D34" s="507"/>
      <c r="E34" s="508"/>
      <c r="F34" s="517"/>
      <c r="G34" s="315">
        <f t="shared" si="5"/>
        <v>0</v>
      </c>
      <c r="H34" s="814"/>
      <c r="I34" s="793">
        <f t="shared" si="6"/>
        <v>0</v>
      </c>
      <c r="J34" s="814"/>
      <c r="K34" s="793"/>
      <c r="L34" s="814"/>
      <c r="M34" s="794"/>
      <c r="N34" s="814"/>
      <c r="O34" s="794"/>
      <c r="P34" s="814"/>
      <c r="Q34" s="794"/>
      <c r="R34" s="814"/>
      <c r="S34" s="794"/>
    </row>
    <row r="35" spans="1:19">
      <c r="A35" s="512"/>
      <c r="B35" s="792"/>
      <c r="C35" s="506"/>
      <c r="D35" s="507"/>
      <c r="E35" s="508"/>
      <c r="F35" s="517"/>
      <c r="G35" s="315">
        <f t="shared" si="5"/>
        <v>0</v>
      </c>
      <c r="H35" s="814"/>
      <c r="I35" s="793">
        <f t="shared" si="6"/>
        <v>0</v>
      </c>
      <c r="J35" s="814"/>
      <c r="K35" s="793"/>
      <c r="L35" s="814"/>
      <c r="M35" s="794"/>
      <c r="N35" s="814"/>
      <c r="O35" s="794"/>
      <c r="P35" s="814"/>
      <c r="Q35" s="794"/>
      <c r="R35" s="814"/>
      <c r="S35" s="794"/>
    </row>
    <row r="36" spans="1:19">
      <c r="A36" s="512"/>
      <c r="B36" s="792"/>
      <c r="C36" s="506"/>
      <c r="D36" s="507"/>
      <c r="E36" s="508"/>
      <c r="F36" s="517"/>
      <c r="G36" s="315">
        <f t="shared" si="5"/>
        <v>0</v>
      </c>
      <c r="H36" s="814"/>
      <c r="I36" s="793">
        <f t="shared" si="6"/>
        <v>0</v>
      </c>
      <c r="J36" s="814"/>
      <c r="K36" s="793"/>
      <c r="L36" s="814"/>
      <c r="M36" s="794"/>
      <c r="N36" s="814"/>
      <c r="O36" s="794"/>
      <c r="P36" s="814"/>
      <c r="Q36" s="794"/>
      <c r="R36" s="814"/>
      <c r="S36" s="794"/>
    </row>
    <row r="37" spans="1:19">
      <c r="A37" s="512"/>
      <c r="B37" s="792"/>
      <c r="C37" s="506"/>
      <c r="D37" s="507"/>
      <c r="E37" s="508"/>
      <c r="F37" s="517"/>
      <c r="G37" s="315">
        <f t="shared" si="5"/>
        <v>0</v>
      </c>
      <c r="H37" s="814"/>
      <c r="I37" s="793">
        <f t="shared" si="6"/>
        <v>0</v>
      </c>
      <c r="J37" s="814"/>
      <c r="K37" s="793"/>
      <c r="L37" s="814"/>
      <c r="M37" s="794"/>
      <c r="N37" s="814"/>
      <c r="O37" s="794"/>
      <c r="P37" s="814"/>
      <c r="Q37" s="794"/>
      <c r="R37" s="814"/>
      <c r="S37" s="794"/>
    </row>
    <row r="38" spans="1:19">
      <c r="A38" s="512"/>
      <c r="B38" s="792"/>
      <c r="C38" s="506"/>
      <c r="D38" s="507"/>
      <c r="E38" s="508"/>
      <c r="F38" s="517"/>
      <c r="G38" s="315">
        <f t="shared" si="5"/>
        <v>0</v>
      </c>
      <c r="H38" s="814"/>
      <c r="I38" s="793">
        <f t="shared" si="6"/>
        <v>0</v>
      </c>
      <c r="J38" s="814"/>
      <c r="K38" s="793"/>
      <c r="L38" s="814"/>
      <c r="M38" s="794"/>
      <c r="N38" s="814"/>
      <c r="O38" s="794"/>
      <c r="P38" s="814"/>
      <c r="Q38" s="794"/>
      <c r="R38" s="814"/>
      <c r="S38" s="794"/>
    </row>
    <row r="39" spans="1:19">
      <c r="A39" s="512"/>
      <c r="B39" s="792"/>
      <c r="C39" s="506"/>
      <c r="D39" s="507"/>
      <c r="E39" s="508"/>
      <c r="F39" s="517"/>
      <c r="G39" s="315">
        <f t="shared" si="5"/>
        <v>0</v>
      </c>
      <c r="H39" s="814"/>
      <c r="I39" s="793">
        <f t="shared" si="6"/>
        <v>0</v>
      </c>
      <c r="J39" s="814"/>
      <c r="K39" s="793"/>
      <c r="L39" s="814"/>
      <c r="M39" s="794"/>
      <c r="N39" s="814"/>
      <c r="O39" s="794"/>
      <c r="P39" s="814"/>
      <c r="Q39" s="794"/>
      <c r="R39" s="814"/>
      <c r="S39" s="794"/>
    </row>
    <row r="40" spans="1:19">
      <c r="A40" s="512"/>
      <c r="B40" s="792"/>
      <c r="C40" s="506"/>
      <c r="D40" s="507"/>
      <c r="E40" s="508"/>
      <c r="F40" s="517"/>
      <c r="G40" s="315">
        <f t="shared" si="5"/>
        <v>0</v>
      </c>
      <c r="H40" s="814"/>
      <c r="I40" s="793">
        <f t="shared" si="6"/>
        <v>0</v>
      </c>
      <c r="J40" s="814"/>
      <c r="K40" s="793"/>
      <c r="L40" s="814"/>
      <c r="M40" s="794"/>
      <c r="N40" s="814"/>
      <c r="O40" s="794"/>
      <c r="P40" s="814"/>
      <c r="Q40" s="794"/>
      <c r="R40" s="814"/>
      <c r="S40" s="794"/>
    </row>
    <row r="41" spans="1:19">
      <c r="A41" s="512"/>
      <c r="B41" s="792"/>
      <c r="C41" s="506"/>
      <c r="D41" s="507"/>
      <c r="E41" s="508"/>
      <c r="F41" s="517"/>
      <c r="G41" s="315">
        <f t="shared" si="5"/>
        <v>0</v>
      </c>
      <c r="H41" s="814"/>
      <c r="I41" s="793">
        <f t="shared" si="6"/>
        <v>0</v>
      </c>
      <c r="J41" s="814"/>
      <c r="K41" s="793"/>
      <c r="L41" s="814"/>
      <c r="M41" s="794"/>
      <c r="N41" s="814"/>
      <c r="O41" s="794"/>
      <c r="P41" s="814"/>
      <c r="Q41" s="794"/>
      <c r="R41" s="814"/>
      <c r="S41" s="794"/>
    </row>
    <row r="42" spans="1:19">
      <c r="A42" s="512"/>
      <c r="B42" s="792"/>
      <c r="C42" s="506"/>
      <c r="D42" s="507"/>
      <c r="E42" s="508"/>
      <c r="F42" s="517"/>
      <c r="G42" s="315">
        <f t="shared" si="5"/>
        <v>0</v>
      </c>
      <c r="H42" s="814"/>
      <c r="I42" s="793">
        <f t="shared" si="6"/>
        <v>0</v>
      </c>
      <c r="J42" s="814"/>
      <c r="K42" s="793"/>
      <c r="L42" s="814"/>
      <c r="M42" s="794"/>
      <c r="N42" s="814"/>
      <c r="O42" s="794"/>
      <c r="P42" s="814"/>
      <c r="Q42" s="794"/>
      <c r="R42" s="814"/>
      <c r="S42" s="794"/>
    </row>
    <row r="43" spans="1:19">
      <c r="A43" s="512"/>
      <c r="B43" s="792"/>
      <c r="C43" s="506"/>
      <c r="D43" s="507"/>
      <c r="E43" s="508"/>
      <c r="F43" s="517"/>
      <c r="G43" s="315">
        <f t="shared" si="5"/>
        <v>0</v>
      </c>
      <c r="H43" s="814"/>
      <c r="I43" s="793">
        <f t="shared" si="6"/>
        <v>0</v>
      </c>
      <c r="J43" s="814"/>
      <c r="K43" s="793"/>
      <c r="L43" s="814"/>
      <c r="M43" s="794"/>
      <c r="N43" s="814"/>
      <c r="O43" s="794"/>
      <c r="P43" s="814"/>
      <c r="Q43" s="794"/>
      <c r="R43" s="814"/>
      <c r="S43" s="794"/>
    </row>
    <row r="44" spans="1:19">
      <c r="A44" s="512"/>
      <c r="B44" s="792"/>
      <c r="C44" s="506"/>
      <c r="D44" s="507"/>
      <c r="E44" s="508"/>
      <c r="F44" s="517"/>
      <c r="G44" s="315">
        <f t="shared" si="5"/>
        <v>0</v>
      </c>
      <c r="H44" s="814"/>
      <c r="I44" s="793">
        <f t="shared" si="6"/>
        <v>0</v>
      </c>
      <c r="J44" s="814"/>
      <c r="K44" s="793"/>
      <c r="L44" s="814"/>
      <c r="M44" s="794"/>
      <c r="N44" s="814"/>
      <c r="O44" s="794"/>
      <c r="P44" s="814"/>
      <c r="Q44" s="794"/>
      <c r="R44" s="814"/>
      <c r="S44" s="794"/>
    </row>
    <row r="45" spans="1:19">
      <c r="A45" s="512"/>
      <c r="B45" s="792"/>
      <c r="C45" s="506"/>
      <c r="D45" s="507"/>
      <c r="E45" s="508"/>
      <c r="F45" s="517"/>
      <c r="G45" s="315">
        <f t="shared" si="5"/>
        <v>0</v>
      </c>
      <c r="H45" s="814"/>
      <c r="I45" s="793">
        <f t="shared" si="6"/>
        <v>0</v>
      </c>
      <c r="J45" s="814"/>
      <c r="K45" s="793"/>
      <c r="L45" s="814"/>
      <c r="M45" s="794"/>
      <c r="N45" s="814"/>
      <c r="O45" s="794"/>
      <c r="P45" s="814"/>
      <c r="Q45" s="794"/>
      <c r="R45" s="814"/>
      <c r="S45" s="794"/>
    </row>
    <row r="46" spans="1:19">
      <c r="A46" s="512"/>
      <c r="B46" s="792"/>
      <c r="C46" s="506"/>
      <c r="D46" s="507"/>
      <c r="E46" s="508"/>
      <c r="F46" s="517"/>
      <c r="G46" s="315">
        <f t="shared" si="5"/>
        <v>0</v>
      </c>
      <c r="H46" s="814"/>
      <c r="I46" s="793">
        <f t="shared" si="6"/>
        <v>0</v>
      </c>
      <c r="J46" s="814"/>
      <c r="K46" s="793"/>
      <c r="L46" s="814"/>
      <c r="M46" s="794"/>
      <c r="N46" s="814"/>
      <c r="O46" s="794"/>
      <c r="P46" s="814"/>
      <c r="Q46" s="794"/>
      <c r="R46" s="814"/>
      <c r="S46" s="794"/>
    </row>
    <row r="47" spans="1:19">
      <c r="A47" s="512"/>
      <c r="B47" s="792"/>
      <c r="C47" s="506"/>
      <c r="D47" s="507"/>
      <c r="E47" s="508"/>
      <c r="F47" s="517"/>
      <c r="G47" s="315">
        <f t="shared" si="5"/>
        <v>0</v>
      </c>
      <c r="H47" s="814"/>
      <c r="I47" s="793">
        <f t="shared" si="6"/>
        <v>0</v>
      </c>
      <c r="J47" s="814"/>
      <c r="K47" s="793"/>
      <c r="L47" s="814"/>
      <c r="M47" s="794"/>
      <c r="N47" s="814"/>
      <c r="O47" s="794"/>
      <c r="P47" s="814"/>
      <c r="Q47" s="794"/>
      <c r="R47" s="814"/>
      <c r="S47" s="794"/>
    </row>
    <row r="48" spans="1:19">
      <c r="A48" s="512"/>
      <c r="B48" s="792"/>
      <c r="C48" s="506"/>
      <c r="D48" s="507"/>
      <c r="E48" s="508"/>
      <c r="F48" s="517"/>
      <c r="G48" s="315">
        <f t="shared" si="5"/>
        <v>0</v>
      </c>
      <c r="H48" s="814"/>
      <c r="I48" s="793">
        <f t="shared" si="6"/>
        <v>0</v>
      </c>
      <c r="J48" s="814"/>
      <c r="K48" s="793"/>
      <c r="L48" s="814"/>
      <c r="M48" s="794"/>
      <c r="N48" s="814"/>
      <c r="O48" s="794"/>
      <c r="P48" s="814"/>
      <c r="Q48" s="794"/>
      <c r="R48" s="814"/>
      <c r="S48" s="794"/>
    </row>
    <row r="49" spans="1:34">
      <c r="A49" s="512"/>
      <c r="B49" s="792"/>
      <c r="C49" s="506"/>
      <c r="D49" s="507"/>
      <c r="E49" s="508"/>
      <c r="F49" s="517"/>
      <c r="G49" s="315">
        <f t="shared" si="5"/>
        <v>0</v>
      </c>
      <c r="H49" s="814"/>
      <c r="I49" s="793">
        <f t="shared" si="6"/>
        <v>0</v>
      </c>
      <c r="J49" s="814"/>
      <c r="K49" s="793"/>
      <c r="L49" s="814"/>
      <c r="M49" s="794"/>
      <c r="N49" s="814"/>
      <c r="O49" s="794"/>
      <c r="P49" s="814"/>
      <c r="Q49" s="794"/>
      <c r="R49" s="814"/>
      <c r="S49" s="794"/>
    </row>
    <row r="50" spans="1:34" ht="15.75" thickBot="1">
      <c r="A50" s="512"/>
      <c r="B50" s="929"/>
      <c r="C50" s="491"/>
      <c r="D50" s="922"/>
      <c r="E50" s="508"/>
      <c r="F50" s="492"/>
      <c r="G50" s="315"/>
      <c r="H50" s="814"/>
      <c r="I50" s="793"/>
      <c r="J50" s="814"/>
      <c r="K50" s="793"/>
      <c r="L50" s="814"/>
      <c r="M50" s="793"/>
      <c r="N50" s="814"/>
      <c r="O50" s="793"/>
      <c r="P50" s="814"/>
      <c r="Q50" s="793"/>
      <c r="R50" s="814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3361361</v>
      </c>
      <c r="H51" s="21"/>
      <c r="I51" s="217">
        <f>SUBTOTAL(9,I21:I50)</f>
        <v>3361361</v>
      </c>
      <c r="J51" s="21"/>
      <c r="K51" s="162">
        <f>SUM(K19:K50)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3361361</v>
      </c>
      <c r="H55" s="934"/>
      <c r="I55" s="933">
        <f>SUM(I51:I53)</f>
        <v>3361361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8.6338618576349209</v>
      </c>
      <c r="H56" s="935"/>
      <c r="I56" s="936">
        <f>I55/'Area Calculations'!$G$5</f>
        <v>8.6338618576349209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9"/>
      <c r="J57" s="938"/>
      <c r="K57" s="938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3361361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R5:S5"/>
    <mergeCell ref="H5:I5"/>
    <mergeCell ref="J5:K5"/>
    <mergeCell ref="L5:M5"/>
    <mergeCell ref="N5:O5"/>
    <mergeCell ref="P5:Q5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A58:B58"/>
    <mergeCell ref="A62:B62"/>
    <mergeCell ref="A66:B66"/>
    <mergeCell ref="A70:B70"/>
    <mergeCell ref="A74:B74"/>
  </mergeCells>
  <conditionalFormatting sqref="H11:H18 J11:J18 L11:L18 N11:N18 P11:P18 R11:R18">
    <cfRule type="cellIs" dxfId="121" priority="5" operator="equal">
      <formula>"X"</formula>
    </cfRule>
    <cfRule type="cellIs" dxfId="120" priority="6" operator="equal">
      <formula>"I"</formula>
    </cfRule>
  </conditionalFormatting>
  <conditionalFormatting sqref="H20:H50">
    <cfRule type="cellIs" dxfId="119" priority="1" operator="equal">
      <formula>"X"</formula>
    </cfRule>
    <cfRule type="cellIs" dxfId="118" priority="2" operator="equal">
      <formula>"I"</formula>
    </cfRule>
  </conditionalFormatting>
  <conditionalFormatting sqref="J20:J50 L20:L50 N20:N50 P20:P50 R20:R50">
    <cfRule type="cellIs" dxfId="117" priority="3" operator="equal">
      <formula>"X"</formula>
    </cfRule>
    <cfRule type="cellIs" dxfId="116" priority="4" operator="equal">
      <formula>"I"</formula>
    </cfRule>
  </conditionalFormatting>
  <hyperlinks>
    <hyperlink ref="B4" location="'Cost Summary'!A1" display="BACK TO SUMMARY SHEET" xr:uid="{32C0B58B-E0B9-4E49-AA0C-F4D8F81D1B77}"/>
  </hyperlinks>
  <pageMargins left="0.2" right="0.2" top="0.5" bottom="0.75" header="0.3" footer="0.3"/>
  <pageSetup paperSize="3" scale="78" fitToHeight="0" orientation="landscape" horizontalDpi="300" verticalDpi="300" r:id="rId1"/>
  <rowBreaks count="1" manualBreakCount="1">
    <brk id="58" max="6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0B923-EBE4-47A1-895F-CEC69C55CC7B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F28" sqref="F28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/>
      <c r="I5" s="684"/>
      <c r="J5" s="683"/>
      <c r="K5" s="684"/>
      <c r="L5" s="683"/>
      <c r="M5" s="684"/>
      <c r="N5" s="683"/>
      <c r="O5" s="684"/>
      <c r="P5" s="673"/>
      <c r="Q5" s="674"/>
      <c r="R5" s="673"/>
      <c r="S5" s="674"/>
    </row>
    <row r="6" spans="1:19">
      <c r="A6" s="950" t="s">
        <v>445</v>
      </c>
      <c r="B6" s="497" t="s">
        <v>134</v>
      </c>
      <c r="C6" s="506"/>
      <c r="D6" s="507"/>
      <c r="E6" s="508"/>
      <c r="F6" s="506"/>
      <c r="G6" s="462" t="s">
        <v>446</v>
      </c>
      <c r="H6" s="685"/>
      <c r="I6" s="686"/>
      <c r="J6" s="685"/>
      <c r="K6" s="686"/>
      <c r="L6" s="685"/>
      <c r="M6" s="686"/>
      <c r="N6" s="685"/>
      <c r="O6" s="686"/>
      <c r="P6" s="675"/>
      <c r="Q6" s="676"/>
      <c r="R6" s="675"/>
      <c r="S6" s="676"/>
    </row>
    <row r="7" spans="1:19">
      <c r="A7" s="950" t="s">
        <v>447</v>
      </c>
      <c r="B7" s="509" t="s">
        <v>133</v>
      </c>
      <c r="C7" s="506"/>
      <c r="D7" s="507"/>
      <c r="E7" s="508"/>
      <c r="F7" s="506"/>
      <c r="G7" s="510" t="s">
        <v>448</v>
      </c>
      <c r="H7" s="687"/>
      <c r="I7" s="688"/>
      <c r="J7" s="687"/>
      <c r="K7" s="688"/>
      <c r="L7" s="687"/>
      <c r="M7" s="688"/>
      <c r="N7" s="687"/>
      <c r="O7" s="68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89"/>
      <c r="I8" s="690"/>
      <c r="J8" s="689"/>
      <c r="K8" s="690"/>
      <c r="L8" s="689"/>
      <c r="M8" s="690"/>
      <c r="N8" s="689"/>
      <c r="O8" s="69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1628655</v>
      </c>
      <c r="I9" s="895"/>
      <c r="J9" s="894">
        <f>K$55</f>
        <v>0</v>
      </c>
      <c r="K9" s="895"/>
      <c r="L9" s="892">
        <f t="shared" ref="L9" si="0">M$55</f>
        <v>0</v>
      </c>
      <c r="M9" s="893"/>
      <c r="N9" s="892">
        <f t="shared" ref="N9" si="1">O$55</f>
        <v>0</v>
      </c>
      <c r="O9" s="893"/>
      <c r="P9" s="892">
        <f t="shared" ref="P9" si="2">Q$55</f>
        <v>0</v>
      </c>
      <c r="Q9" s="893"/>
      <c r="R9" s="892">
        <f t="shared" ref="R9" si="3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507"/>
      <c r="E11" s="508"/>
      <c r="F11" s="506"/>
      <c r="G11" s="60"/>
      <c r="H11" s="951"/>
      <c r="I11" s="782"/>
      <c r="J11" s="951"/>
      <c r="K11" s="782"/>
      <c r="L11" s="951"/>
      <c r="M11" s="183"/>
      <c r="N11" s="951"/>
      <c r="O11" s="783"/>
      <c r="P11" s="951"/>
      <c r="Q11" s="783"/>
      <c r="R11" s="951"/>
      <c r="S11" s="783"/>
    </row>
    <row r="12" spans="1:19">
      <c r="A12" s="784"/>
      <c r="B12" s="785" t="s">
        <v>461</v>
      </c>
      <c r="C12" s="506"/>
      <c r="D12" s="507"/>
      <c r="E12" s="508"/>
      <c r="F12" s="506"/>
      <c r="G12" s="60"/>
      <c r="H12" s="951"/>
      <c r="I12" s="782"/>
      <c r="J12" s="951"/>
      <c r="K12" s="782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2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2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2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2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2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0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 t="s">
        <v>566</v>
      </c>
      <c r="C21" s="506"/>
      <c r="D21" s="507">
        <v>46533</v>
      </c>
      <c r="E21" s="508" t="s">
        <v>179</v>
      </c>
      <c r="F21" s="517">
        <v>35</v>
      </c>
      <c r="G21" s="315">
        <f t="shared" ref="G21:G49" si="4">ROUND(D21*F21,0)</f>
        <v>1628655</v>
      </c>
      <c r="H21" s="951"/>
      <c r="I21" s="793">
        <f>G21</f>
        <v>1628655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792"/>
      <c r="C22" s="506"/>
      <c r="D22" s="507"/>
      <c r="E22" s="508"/>
      <c r="F22" s="517"/>
      <c r="G22" s="315">
        <f t="shared" si="4"/>
        <v>0</v>
      </c>
      <c r="H22" s="951"/>
      <c r="I22" s="793">
        <f t="shared" ref="I22:I49" si="5">G22</f>
        <v>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792"/>
      <c r="C23" s="506"/>
      <c r="D23" s="507"/>
      <c r="E23" s="508"/>
      <c r="F23" s="517"/>
      <c r="G23" s="315">
        <f t="shared" si="4"/>
        <v>0</v>
      </c>
      <c r="H23" s="951"/>
      <c r="I23" s="793">
        <f t="shared" si="5"/>
        <v>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/>
      <c r="C24" s="506"/>
      <c r="D24" s="507"/>
      <c r="E24" s="508"/>
      <c r="F24" s="517"/>
      <c r="G24" s="315">
        <f t="shared" si="4"/>
        <v>0</v>
      </c>
      <c r="H24" s="951"/>
      <c r="I24" s="793">
        <f t="shared" si="5"/>
        <v>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792"/>
      <c r="C25" s="506"/>
      <c r="D25" s="507"/>
      <c r="E25" s="508"/>
      <c r="F25" s="517"/>
      <c r="G25" s="315">
        <f t="shared" si="4"/>
        <v>0</v>
      </c>
      <c r="H25" s="951"/>
      <c r="I25" s="793">
        <f t="shared" si="5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792"/>
      <c r="C26" s="506"/>
      <c r="D26" s="507"/>
      <c r="E26" s="508"/>
      <c r="F26" s="517"/>
      <c r="G26" s="315">
        <f t="shared" si="4"/>
        <v>0</v>
      </c>
      <c r="H26" s="951"/>
      <c r="I26" s="793">
        <f t="shared" si="5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/>
      <c r="C27" s="506"/>
      <c r="D27" s="507"/>
      <c r="E27" s="508"/>
      <c r="F27" s="517"/>
      <c r="G27" s="315">
        <f t="shared" si="4"/>
        <v>0</v>
      </c>
      <c r="H27" s="951"/>
      <c r="I27" s="793">
        <f t="shared" si="5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si="4"/>
        <v>0</v>
      </c>
      <c r="H28" s="951"/>
      <c r="I28" s="793">
        <f t="shared" si="5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4"/>
        <v>0</v>
      </c>
      <c r="H29" s="951"/>
      <c r="I29" s="793">
        <f t="shared" si="5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4"/>
        <v>0</v>
      </c>
      <c r="H30" s="951"/>
      <c r="I30" s="793">
        <f t="shared" si="5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4"/>
        <v>0</v>
      </c>
      <c r="H31" s="951"/>
      <c r="I31" s="793">
        <f t="shared" si="5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4"/>
        <v>0</v>
      </c>
      <c r="H32" s="951"/>
      <c r="I32" s="793">
        <f t="shared" si="5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4"/>
        <v>0</v>
      </c>
      <c r="H33" s="951"/>
      <c r="I33" s="793">
        <f t="shared" si="5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4"/>
        <v>0</v>
      </c>
      <c r="H34" s="951"/>
      <c r="I34" s="793">
        <f t="shared" si="5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4"/>
        <v>0</v>
      </c>
      <c r="H35" s="951"/>
      <c r="I35" s="793">
        <f t="shared" si="5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4"/>
        <v>0</v>
      </c>
      <c r="H36" s="951"/>
      <c r="I36" s="793">
        <f t="shared" si="5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4"/>
        <v>0</v>
      </c>
      <c r="H37" s="951"/>
      <c r="I37" s="793">
        <f t="shared" si="5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4"/>
        <v>0</v>
      </c>
      <c r="H38" s="951"/>
      <c r="I38" s="793">
        <f t="shared" si="5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4"/>
        <v>0</v>
      </c>
      <c r="H39" s="951"/>
      <c r="I39" s="793">
        <f t="shared" si="5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4"/>
        <v>0</v>
      </c>
      <c r="H40" s="951"/>
      <c r="I40" s="793">
        <f t="shared" si="5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4"/>
        <v>0</v>
      </c>
      <c r="H41" s="951"/>
      <c r="I41" s="793">
        <f t="shared" si="5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4"/>
        <v>0</v>
      </c>
      <c r="H42" s="951"/>
      <c r="I42" s="793">
        <f t="shared" si="5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4"/>
        <v>0</v>
      </c>
      <c r="H43" s="951"/>
      <c r="I43" s="793">
        <f t="shared" si="5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4"/>
        <v>0</v>
      </c>
      <c r="H44" s="951"/>
      <c r="I44" s="793">
        <f t="shared" si="5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4"/>
        <v>0</v>
      </c>
      <c r="H45" s="951"/>
      <c r="I45" s="793">
        <f t="shared" si="5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4"/>
        <v>0</v>
      </c>
      <c r="H46" s="951"/>
      <c r="I46" s="793">
        <f t="shared" si="5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4"/>
        <v>0</v>
      </c>
      <c r="H47" s="951"/>
      <c r="I47" s="793">
        <f t="shared" si="5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4"/>
        <v>0</v>
      </c>
      <c r="H48" s="951"/>
      <c r="I48" s="793">
        <f t="shared" si="5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si="4"/>
        <v>0</v>
      </c>
      <c r="H49" s="951"/>
      <c r="I49" s="793">
        <f t="shared" si="5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1628655</v>
      </c>
      <c r="H51" s="21"/>
      <c r="I51" s="217">
        <f>SUBTOTAL(9,I21:I50)</f>
        <v>1628655</v>
      </c>
      <c r="J51" s="21"/>
      <c r="K51" s="217">
        <f>SUBTOTAL(9,K21:K50)</f>
        <v>0</v>
      </c>
      <c r="L51" s="21"/>
      <c r="M51" s="217">
        <f>SUBTOTAL(9,M21:M50)</f>
        <v>0</v>
      </c>
      <c r="N51" s="21"/>
      <c r="O51" s="217">
        <f>SUBTOTAL(9,O21:O50)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1628655</v>
      </c>
      <c r="H55" s="934"/>
      <c r="I55" s="933">
        <f>SUM(I51:I53)</f>
        <v>1628655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4.1833002417016205</v>
      </c>
      <c r="H56" s="935"/>
      <c r="I56" s="936">
        <f>I55/'Area Calculations'!$G$5</f>
        <v>4.1833002417016205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9"/>
      <c r="J57" s="938"/>
      <c r="K57" s="939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1628655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H8:I8"/>
    <mergeCell ref="L8:M8"/>
    <mergeCell ref="N8:O8"/>
    <mergeCell ref="P8:Q8"/>
    <mergeCell ref="J8:K8"/>
    <mergeCell ref="A74:B74"/>
    <mergeCell ref="R9:S9"/>
    <mergeCell ref="A58:B58"/>
    <mergeCell ref="A62:B62"/>
    <mergeCell ref="A66:B66"/>
    <mergeCell ref="A70:B70"/>
    <mergeCell ref="H9:I9"/>
    <mergeCell ref="L9:M9"/>
    <mergeCell ref="N9:O9"/>
    <mergeCell ref="P9:Q9"/>
    <mergeCell ref="J9:K9"/>
    <mergeCell ref="H7:I7"/>
    <mergeCell ref="L6:M6"/>
    <mergeCell ref="H6:I6"/>
    <mergeCell ref="P7:Q7"/>
    <mergeCell ref="N5:O5"/>
    <mergeCell ref="H5:I5"/>
    <mergeCell ref="N6:O6"/>
    <mergeCell ref="L7:M7"/>
    <mergeCell ref="N7:O7"/>
    <mergeCell ref="J5:K5"/>
    <mergeCell ref="J6:K6"/>
    <mergeCell ref="J7:K7"/>
    <mergeCell ref="P5:Q5"/>
    <mergeCell ref="P6:Q6"/>
    <mergeCell ref="R8:S8"/>
    <mergeCell ref="R5:S5"/>
    <mergeCell ref="L5:M5"/>
    <mergeCell ref="R6:S6"/>
    <mergeCell ref="R7:S7"/>
  </mergeCells>
  <conditionalFormatting sqref="H11:H18 L11:L18 N11:N18 P11:P18 R11:R18">
    <cfRule type="cellIs" dxfId="115" priority="11" operator="equal">
      <formula>"X"</formula>
    </cfRule>
    <cfRule type="cellIs" dxfId="114" priority="12" operator="equal">
      <formula>"I"</formula>
    </cfRule>
  </conditionalFormatting>
  <conditionalFormatting sqref="H20:H50">
    <cfRule type="cellIs" dxfId="113" priority="1" operator="equal">
      <formula>"X"</formula>
    </cfRule>
    <cfRule type="cellIs" dxfId="112" priority="2" operator="equal">
      <formula>"I"</formula>
    </cfRule>
  </conditionalFormatting>
  <conditionalFormatting sqref="J11:J18">
    <cfRule type="cellIs" dxfId="111" priority="7" operator="equal">
      <formula>"X"</formula>
    </cfRule>
    <cfRule type="cellIs" dxfId="110" priority="8" operator="equal">
      <formula>"I"</formula>
    </cfRule>
  </conditionalFormatting>
  <conditionalFormatting sqref="J20:J50 L20:L50 N20:N50 P20:P50 R20:R50">
    <cfRule type="cellIs" dxfId="109" priority="3" operator="equal">
      <formula>"X"</formula>
    </cfRule>
    <cfRule type="cellIs" dxfId="108" priority="4" operator="equal">
      <formula>"I"</formula>
    </cfRule>
  </conditionalFormatting>
  <hyperlinks>
    <hyperlink ref="B4" location="'Cost Summary'!A1" display="BACK TO SUMMARY SHEET" xr:uid="{C849A71C-4ACE-4080-9EF2-589FE9B5803B}"/>
  </hyperlinks>
  <pageMargins left="0.2" right="0.2" top="0.5" bottom="0.25" header="0.3" footer="0.3"/>
  <pageSetup paperSize="3" scale="79" orientation="landscape" horizontalDpi="1200" verticalDpi="1200" r:id="rId1"/>
  <rowBreaks count="1" manualBreakCount="1">
    <brk id="47" max="1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8C4E-6FAE-4228-B3F1-FCA51A49C1FC}">
  <sheetPr>
    <tabColor rgb="FFFFFF00"/>
    <pageSetUpPr fitToPage="1"/>
  </sheetPr>
  <dimension ref="A1:AH93"/>
  <sheetViews>
    <sheetView zoomScale="90" zoomScaleNormal="90" zoomScaleSheetLayoutView="100" workbookViewId="0">
      <pane ySplit="10" topLeftCell="A11" activePane="bottomLeft" state="frozen"/>
      <selection pane="bottomLeft" activeCell="B4" sqref="B4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73"/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567</v>
      </c>
      <c r="C6" s="506"/>
      <c r="D6" s="507"/>
      <c r="E6" s="508"/>
      <c r="F6" s="506"/>
      <c r="G6" s="462" t="s">
        <v>446</v>
      </c>
      <c r="H6" s="675"/>
      <c r="I6" s="67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568</v>
      </c>
      <c r="C7" s="506"/>
      <c r="D7" s="507"/>
      <c r="E7" s="508"/>
      <c r="F7" s="506"/>
      <c r="G7" s="510" t="s">
        <v>448</v>
      </c>
      <c r="H7" s="677"/>
      <c r="I7" s="67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79"/>
      <c r="I8" s="68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0</v>
      </c>
      <c r="I9" s="895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507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785" t="s">
        <v>461</v>
      </c>
      <c r="C12" s="506"/>
      <c r="D12" s="507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/>
      <c r="C21" s="506"/>
      <c r="D21" s="507"/>
      <c r="E21" s="508"/>
      <c r="F21" s="517"/>
      <c r="G21" s="315">
        <f t="shared" ref="G21:G49" si="5">ROUND(D21*F21,0)</f>
        <v>0</v>
      </c>
      <c r="H21" s="951"/>
      <c r="I21" s="793">
        <f>G21</f>
        <v>0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792"/>
      <c r="C22" s="506"/>
      <c r="D22" s="507"/>
      <c r="E22" s="508"/>
      <c r="F22" s="517"/>
      <c r="G22" s="315">
        <f t="shared" si="5"/>
        <v>0</v>
      </c>
      <c r="H22" s="951"/>
      <c r="I22" s="793">
        <f t="shared" ref="I22:I49" si="6">G22</f>
        <v>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792"/>
      <c r="C23" s="506"/>
      <c r="D23" s="507"/>
      <c r="E23" s="508"/>
      <c r="F23" s="517"/>
      <c r="G23" s="315">
        <f t="shared" si="5"/>
        <v>0</v>
      </c>
      <c r="H23" s="951"/>
      <c r="I23" s="793">
        <f t="shared" si="6"/>
        <v>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/>
      <c r="C24" s="506"/>
      <c r="D24" s="507"/>
      <c r="E24" s="508"/>
      <c r="F24" s="517"/>
      <c r="G24" s="315">
        <f t="shared" si="5"/>
        <v>0</v>
      </c>
      <c r="H24" s="951"/>
      <c r="I24" s="793">
        <f t="shared" si="6"/>
        <v>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792"/>
      <c r="C25" s="506"/>
      <c r="D25" s="507"/>
      <c r="E25" s="508"/>
      <c r="F25" s="517"/>
      <c r="G25" s="315">
        <f t="shared" si="5"/>
        <v>0</v>
      </c>
      <c r="H25" s="951"/>
      <c r="I25" s="793">
        <f t="shared" si="6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792"/>
      <c r="C26" s="506"/>
      <c r="D26" s="507"/>
      <c r="E26" s="508"/>
      <c r="F26" s="517"/>
      <c r="G26" s="315">
        <f t="shared" si="5"/>
        <v>0</v>
      </c>
      <c r="H26" s="951"/>
      <c r="I26" s="793">
        <f t="shared" si="6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/>
      <c r="C27" s="506"/>
      <c r="D27" s="507"/>
      <c r="E27" s="508"/>
      <c r="F27" s="517"/>
      <c r="G27" s="315">
        <f t="shared" si="5"/>
        <v>0</v>
      </c>
      <c r="H27" s="951"/>
      <c r="I27" s="793">
        <f t="shared" si="6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si="5"/>
        <v>0</v>
      </c>
      <c r="H28" s="951"/>
      <c r="I28" s="793">
        <f t="shared" si="6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5"/>
        <v>0</v>
      </c>
      <c r="H29" s="951"/>
      <c r="I29" s="793">
        <f t="shared" si="6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5"/>
        <v>0</v>
      </c>
      <c r="H30" s="951"/>
      <c r="I30" s="793">
        <f t="shared" si="6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5"/>
        <v>0</v>
      </c>
      <c r="H31" s="951"/>
      <c r="I31" s="793">
        <f t="shared" si="6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5"/>
        <v>0</v>
      </c>
      <c r="H32" s="951"/>
      <c r="I32" s="793">
        <f t="shared" si="6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5"/>
        <v>0</v>
      </c>
      <c r="H33" s="951"/>
      <c r="I33" s="793">
        <f t="shared" si="6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5"/>
        <v>0</v>
      </c>
      <c r="H34" s="951"/>
      <c r="I34" s="793">
        <f t="shared" si="6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5"/>
        <v>0</v>
      </c>
      <c r="H35" s="951"/>
      <c r="I35" s="793">
        <f t="shared" si="6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5"/>
        <v>0</v>
      </c>
      <c r="H36" s="951"/>
      <c r="I36" s="793">
        <f t="shared" si="6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5"/>
        <v>0</v>
      </c>
      <c r="H37" s="951"/>
      <c r="I37" s="793">
        <f t="shared" si="6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5"/>
        <v>0</v>
      </c>
      <c r="H38" s="951"/>
      <c r="I38" s="793">
        <f t="shared" si="6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5"/>
        <v>0</v>
      </c>
      <c r="H39" s="951"/>
      <c r="I39" s="793">
        <f t="shared" si="6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5"/>
        <v>0</v>
      </c>
      <c r="H40" s="951"/>
      <c r="I40" s="793">
        <f t="shared" si="6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5"/>
        <v>0</v>
      </c>
      <c r="H41" s="951"/>
      <c r="I41" s="793">
        <f t="shared" si="6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5"/>
        <v>0</v>
      </c>
      <c r="H42" s="951"/>
      <c r="I42" s="793">
        <f t="shared" si="6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5"/>
        <v>0</v>
      </c>
      <c r="H43" s="951"/>
      <c r="I43" s="793">
        <f t="shared" si="6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5"/>
        <v>0</v>
      </c>
      <c r="H44" s="951"/>
      <c r="I44" s="793">
        <f t="shared" si="6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5"/>
        <v>0</v>
      </c>
      <c r="H45" s="951"/>
      <c r="I45" s="793">
        <f t="shared" si="6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5"/>
        <v>0</v>
      </c>
      <c r="H46" s="951"/>
      <c r="I46" s="793">
        <f t="shared" si="6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5"/>
        <v>0</v>
      </c>
      <c r="H47" s="951"/>
      <c r="I47" s="793">
        <f t="shared" si="6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5"/>
        <v>0</v>
      </c>
      <c r="H48" s="951"/>
      <c r="I48" s="793">
        <f t="shared" si="6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si="5"/>
        <v>0</v>
      </c>
      <c r="H49" s="951"/>
      <c r="I49" s="793">
        <f t="shared" si="6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0</v>
      </c>
      <c r="H51" s="21"/>
      <c r="I51" s="217">
        <f>SUBTOTAL(9,I21:I50)</f>
        <v>0</v>
      </c>
      <c r="J51" s="21"/>
      <c r="K51" s="162">
        <f>SUM(K19:K50)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0</v>
      </c>
      <c r="H55" s="934"/>
      <c r="I55" s="933">
        <f>SUM(I51:I53)</f>
        <v>0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0</v>
      </c>
      <c r="H56" s="935"/>
      <c r="I56" s="936">
        <f>I55/'Area Calculations'!$G$5</f>
        <v>0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9"/>
      <c r="J57" s="938"/>
      <c r="K57" s="938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A74:B74"/>
    <mergeCell ref="R9:S9"/>
    <mergeCell ref="A58:B58"/>
    <mergeCell ref="A62:B62"/>
    <mergeCell ref="A66:B66"/>
    <mergeCell ref="A70:B70"/>
    <mergeCell ref="H9:I9"/>
    <mergeCell ref="J9:K9"/>
    <mergeCell ref="L9:M9"/>
    <mergeCell ref="N9:O9"/>
    <mergeCell ref="P9:Q9"/>
    <mergeCell ref="H5:I5"/>
    <mergeCell ref="H6:I6"/>
    <mergeCell ref="H7:I7"/>
    <mergeCell ref="H8:I8"/>
    <mergeCell ref="J5:K5"/>
    <mergeCell ref="J6:K6"/>
    <mergeCell ref="J7:K7"/>
    <mergeCell ref="J8:K8"/>
    <mergeCell ref="R5:S5"/>
    <mergeCell ref="R6:S6"/>
    <mergeCell ref="R7:S7"/>
    <mergeCell ref="R8:S8"/>
    <mergeCell ref="P5:Q5"/>
    <mergeCell ref="P6:Q6"/>
    <mergeCell ref="P7:Q7"/>
    <mergeCell ref="P8:Q8"/>
    <mergeCell ref="L7:M7"/>
    <mergeCell ref="L8:M8"/>
    <mergeCell ref="L5:M5"/>
    <mergeCell ref="L6:M6"/>
    <mergeCell ref="N5:O5"/>
    <mergeCell ref="N6:O6"/>
    <mergeCell ref="N7:O7"/>
    <mergeCell ref="N8:O8"/>
  </mergeCells>
  <conditionalFormatting sqref="H11:H18 J11:J18 L11:L18 N11:N18 P11:P18 R11:R18">
    <cfRule type="cellIs" dxfId="107" priority="7" operator="equal">
      <formula>"X"</formula>
    </cfRule>
    <cfRule type="cellIs" dxfId="106" priority="8" operator="equal">
      <formula>"I"</formula>
    </cfRule>
  </conditionalFormatting>
  <conditionalFormatting sqref="H20:H50">
    <cfRule type="cellIs" dxfId="105" priority="1" operator="equal">
      <formula>"X"</formula>
    </cfRule>
    <cfRule type="cellIs" dxfId="104" priority="2" operator="equal">
      <formula>"I"</formula>
    </cfRule>
  </conditionalFormatting>
  <conditionalFormatting sqref="J20:J50 L20:L50 N20:N50 P20:P50 R20:R50">
    <cfRule type="cellIs" dxfId="103" priority="3" operator="equal">
      <formula>"X"</formula>
    </cfRule>
    <cfRule type="cellIs" dxfId="102" priority="4" operator="equal">
      <formula>"I"</formula>
    </cfRule>
  </conditionalFormatting>
  <hyperlinks>
    <hyperlink ref="B4" location="'Cost Summary'!A1" display="BACK TO SUMMARY SHEET" xr:uid="{11E13A9E-CF4F-44D0-931D-AEB90716F794}"/>
  </hyperlinks>
  <pageMargins left="0.2" right="0.2" top="0.5" bottom="0.75" header="0.3" footer="0.3"/>
  <pageSetup paperSize="3" scale="78" fitToHeight="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B9B4-DA66-415D-AB19-23E806659C15}">
  <dimension ref="A1:S84"/>
  <sheetViews>
    <sheetView zoomScale="70" zoomScaleNormal="70" workbookViewId="0">
      <pane xSplit="2" ySplit="9" topLeftCell="C34" activePane="bottomRight" state="frozen"/>
      <selection pane="bottomRight" activeCell="I46" sqref="I46:I47"/>
      <selection pane="bottomLeft" activeCell="A11" sqref="A11"/>
      <selection pane="topRight" activeCell="C1" sqref="C1"/>
    </sheetView>
  </sheetViews>
  <sheetFormatPr defaultRowHeight="15"/>
  <cols>
    <col min="1" max="1" width="11" customWidth="1"/>
    <col min="2" max="2" width="70.7109375" style="1" customWidth="1"/>
    <col min="3" max="3" width="10.85546875" style="2" bestFit="1" customWidth="1"/>
    <col min="4" max="5" width="7.5703125" style="2" customWidth="1"/>
    <col min="6" max="6" width="7.7109375" style="2" customWidth="1"/>
    <col min="7" max="7" width="12.28515625" style="2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E1" s="72"/>
      <c r="F1" s="55"/>
      <c r="G1" s="53" t="s">
        <v>436</v>
      </c>
    </row>
    <row r="2" spans="1:19" ht="15.75" thickBot="1">
      <c r="E2" s="72"/>
      <c r="F2" s="52"/>
      <c r="G2" s="53" t="s">
        <v>438</v>
      </c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</row>
    <row r="3" spans="1:19" ht="21" thickBot="1">
      <c r="B3" s="61" t="s">
        <v>441</v>
      </c>
      <c r="E3" s="72"/>
      <c r="F3" s="54"/>
      <c r="G3" s="53" t="s">
        <v>440</v>
      </c>
      <c r="H3" s="697" t="s">
        <v>569</v>
      </c>
      <c r="I3" s="698"/>
      <c r="J3" s="697" t="s">
        <v>570</v>
      </c>
      <c r="K3" s="698"/>
      <c r="L3" s="697" t="s">
        <v>571</v>
      </c>
      <c r="M3" s="698"/>
      <c r="N3" s="697" t="s">
        <v>572</v>
      </c>
      <c r="O3" s="698"/>
      <c r="P3" s="697" t="s">
        <v>573</v>
      </c>
      <c r="Q3" s="698"/>
      <c r="R3" s="697" t="s">
        <v>574</v>
      </c>
      <c r="S3" s="698"/>
    </row>
    <row r="4" spans="1:19" ht="15.75" thickTop="1">
      <c r="A4" s="3" t="s">
        <v>443</v>
      </c>
      <c r="B4" s="4" t="str">
        <f>'Area Calculations'!B4</f>
        <v>Bourbon Hotel Orlando</v>
      </c>
      <c r="C4" s="5"/>
      <c r="D4" s="5"/>
      <c r="E4" s="5"/>
      <c r="F4" s="5"/>
      <c r="G4" s="6" t="s">
        <v>444</v>
      </c>
      <c r="H4" s="673"/>
      <c r="I4" s="674"/>
      <c r="J4" s="673"/>
      <c r="K4" s="674"/>
      <c r="L4" s="673"/>
      <c r="M4" s="674"/>
      <c r="N4" s="673"/>
      <c r="O4" s="674"/>
      <c r="P4" s="673"/>
      <c r="Q4" s="674"/>
      <c r="R4" s="673"/>
      <c r="S4" s="674"/>
    </row>
    <row r="5" spans="1:19">
      <c r="A5" s="950" t="s">
        <v>575</v>
      </c>
      <c r="B5" s="497" t="s">
        <v>576</v>
      </c>
      <c r="C5" s="506"/>
      <c r="D5" s="506"/>
      <c r="E5" s="506"/>
      <c r="F5" s="506"/>
      <c r="G5" s="462" t="s">
        <v>446</v>
      </c>
      <c r="H5" s="675"/>
      <c r="I5" s="676"/>
      <c r="J5" s="675"/>
      <c r="K5" s="676"/>
      <c r="L5" s="675"/>
      <c r="M5" s="676"/>
      <c r="N5" s="675"/>
      <c r="O5" s="676"/>
      <c r="P5" s="675"/>
      <c r="Q5" s="676"/>
      <c r="R5" s="675"/>
      <c r="S5" s="676"/>
    </row>
    <row r="6" spans="1:19">
      <c r="A6" s="950" t="s">
        <v>577</v>
      </c>
      <c r="B6" s="509" t="s">
        <v>578</v>
      </c>
      <c r="C6" s="506"/>
      <c r="D6" s="506"/>
      <c r="E6" s="506"/>
      <c r="F6" s="506"/>
      <c r="G6" s="510" t="s">
        <v>448</v>
      </c>
      <c r="H6" s="696"/>
      <c r="I6" s="678"/>
      <c r="J6" s="677"/>
      <c r="K6" s="678"/>
      <c r="L6" s="677"/>
      <c r="M6" s="678"/>
      <c r="N6" s="677"/>
      <c r="O6" s="678"/>
      <c r="P6" s="696"/>
      <c r="Q6" s="678"/>
      <c r="R6" s="696"/>
      <c r="S6" s="678"/>
    </row>
    <row r="7" spans="1:19">
      <c r="A7" s="950" t="s">
        <v>579</v>
      </c>
      <c r="B7" s="511"/>
      <c r="C7" s="506"/>
      <c r="D7" s="506"/>
      <c r="E7" s="506"/>
      <c r="F7" s="506"/>
      <c r="G7" s="510" t="s">
        <v>450</v>
      </c>
      <c r="H7" s="694"/>
      <c r="I7" s="695"/>
      <c r="J7" s="679"/>
      <c r="K7" s="680"/>
      <c r="L7" s="679"/>
      <c r="M7" s="680"/>
      <c r="N7" s="679"/>
      <c r="O7" s="680"/>
      <c r="P7" s="694"/>
      <c r="Q7" s="695"/>
      <c r="R7" s="694"/>
      <c r="S7" s="695"/>
    </row>
    <row r="8" spans="1:19" ht="15.75" thickBot="1">
      <c r="A8" s="40" t="s">
        <v>451</v>
      </c>
      <c r="B8" s="7"/>
      <c r="C8" s="8"/>
      <c r="D8" s="8"/>
      <c r="E8" s="8"/>
      <c r="F8" s="8"/>
      <c r="G8" s="40" t="s">
        <v>451</v>
      </c>
      <c r="H8" s="954"/>
      <c r="I8" s="955"/>
      <c r="J8" s="954"/>
      <c r="K8" s="955"/>
      <c r="L8" s="954"/>
      <c r="M8" s="955"/>
      <c r="N8" s="954"/>
      <c r="O8" s="955"/>
      <c r="P8" s="954"/>
      <c r="Q8" s="955"/>
      <c r="R8" s="954"/>
      <c r="S8" s="955"/>
    </row>
    <row r="9" spans="1:19" ht="31.5" thickTop="1" thickBot="1">
      <c r="A9" s="9" t="s">
        <v>452</v>
      </c>
      <c r="B9" s="10"/>
      <c r="C9" s="11" t="s">
        <v>453</v>
      </c>
      <c r="D9" s="11" t="s">
        <v>454</v>
      </c>
      <c r="E9" s="11" t="s">
        <v>455</v>
      </c>
      <c r="F9" s="11" t="s">
        <v>456</v>
      </c>
      <c r="G9" s="12" t="s">
        <v>457</v>
      </c>
      <c r="H9" s="13" t="s">
        <v>458</v>
      </c>
      <c r="I9" s="13" t="s">
        <v>459</v>
      </c>
      <c r="J9" s="13" t="s">
        <v>458</v>
      </c>
      <c r="K9" s="13" t="s">
        <v>459</v>
      </c>
      <c r="L9" s="13" t="s">
        <v>458</v>
      </c>
      <c r="M9" s="13" t="s">
        <v>459</v>
      </c>
      <c r="N9" s="13" t="s">
        <v>458</v>
      </c>
      <c r="O9" s="13" t="s">
        <v>459</v>
      </c>
      <c r="P9" s="13" t="s">
        <v>458</v>
      </c>
      <c r="Q9" s="13" t="s">
        <v>459</v>
      </c>
      <c r="R9" s="13" t="s">
        <v>458</v>
      </c>
      <c r="S9" s="13" t="s">
        <v>459</v>
      </c>
    </row>
    <row r="10" spans="1:19" ht="15.75" hidden="1" thickTop="1">
      <c r="A10" s="940"/>
      <c r="B10" s="956" t="s">
        <v>580</v>
      </c>
      <c r="C10" s="506"/>
      <c r="D10" s="506"/>
      <c r="E10" s="506"/>
      <c r="F10" s="506"/>
      <c r="G10" s="60"/>
      <c r="H10" s="957"/>
      <c r="I10" s="957"/>
      <c r="J10" s="957"/>
      <c r="K10" s="957"/>
      <c r="L10" s="957"/>
      <c r="M10" s="957"/>
      <c r="N10" s="957"/>
      <c r="O10" s="957"/>
      <c r="P10" s="957"/>
      <c r="Q10" s="957"/>
      <c r="R10" s="957"/>
      <c r="S10" s="957"/>
    </row>
    <row r="11" spans="1:19" ht="15.75" hidden="1" thickTop="1">
      <c r="A11" s="940"/>
      <c r="B11" s="497" t="e">
        <f>'Area Calculations'!#REF!</f>
        <v>#REF!</v>
      </c>
      <c r="C11" s="958" t="s">
        <v>581</v>
      </c>
      <c r="D11" s="506"/>
      <c r="E11" s="506"/>
      <c r="F11" s="506"/>
      <c r="G11" s="60"/>
      <c r="H11" s="957"/>
      <c r="I11" s="957"/>
      <c r="J11" s="957"/>
      <c r="K11" s="957"/>
      <c r="L11" s="957"/>
      <c r="M11" s="957"/>
      <c r="N11" s="957"/>
      <c r="O11" s="957"/>
      <c r="P11" s="957"/>
      <c r="Q11" s="957"/>
      <c r="R11" s="957"/>
      <c r="S11" s="957"/>
    </row>
    <row r="12" spans="1:19" ht="15.75" hidden="1" thickTop="1">
      <c r="A12" s="940"/>
      <c r="B12" s="497" t="e">
        <f>'Area Calculations'!#REF!</f>
        <v>#REF!</v>
      </c>
      <c r="C12" s="958" t="s">
        <v>581</v>
      </c>
      <c r="D12" s="506"/>
      <c r="E12" s="506"/>
      <c r="F12" s="506"/>
      <c r="G12" s="60"/>
      <c r="H12" s="957"/>
      <c r="I12" s="957"/>
      <c r="J12" s="957"/>
      <c r="K12" s="957"/>
      <c r="L12" s="957"/>
      <c r="M12" s="957"/>
      <c r="N12" s="957"/>
      <c r="O12" s="957"/>
      <c r="P12" s="957"/>
      <c r="Q12" s="957"/>
      <c r="R12" s="957"/>
      <c r="S12" s="957"/>
    </row>
    <row r="13" spans="1:19" ht="15.75" hidden="1" thickTop="1">
      <c r="A13" s="940"/>
      <c r="B13" s="497" t="e">
        <f>'Area Calculations'!#REF!</f>
        <v>#REF!</v>
      </c>
      <c r="C13" s="958" t="s">
        <v>581</v>
      </c>
      <c r="D13" s="506"/>
      <c r="E13" s="506"/>
      <c r="F13" s="506"/>
      <c r="G13" s="60"/>
      <c r="H13" s="957"/>
      <c r="I13" s="957"/>
      <c r="J13" s="957"/>
      <c r="K13" s="957"/>
      <c r="L13" s="957"/>
      <c r="M13" s="957"/>
      <c r="N13" s="957"/>
      <c r="O13" s="957"/>
      <c r="P13" s="957"/>
      <c r="Q13" s="957"/>
      <c r="R13" s="957"/>
      <c r="S13" s="957"/>
    </row>
    <row r="14" spans="1:19" ht="15.75" hidden="1" thickTop="1">
      <c r="A14" s="940"/>
      <c r="B14" s="497" t="e">
        <f>'Area Calculations'!#REF!</f>
        <v>#REF!</v>
      </c>
      <c r="C14" s="958" t="s">
        <v>581</v>
      </c>
      <c r="D14" s="506"/>
      <c r="E14" s="506"/>
      <c r="F14" s="506"/>
      <c r="G14" s="60"/>
      <c r="H14" s="957"/>
      <c r="I14" s="957"/>
      <c r="J14" s="957"/>
      <c r="K14" s="957"/>
      <c r="L14" s="957"/>
      <c r="M14" s="957"/>
      <c r="N14" s="957"/>
      <c r="O14" s="957"/>
      <c r="P14" s="957"/>
      <c r="Q14" s="957"/>
      <c r="R14" s="957"/>
      <c r="S14" s="957"/>
    </row>
    <row r="15" spans="1:19" ht="15.75" hidden="1" thickTop="1">
      <c r="A15" s="940"/>
      <c r="B15" s="497" t="e">
        <f>'Area Calculations'!#REF!</f>
        <v>#REF!</v>
      </c>
      <c r="C15" s="958" t="s">
        <v>581</v>
      </c>
      <c r="D15" s="506"/>
      <c r="E15" s="506"/>
      <c r="F15" s="506"/>
      <c r="G15" s="60"/>
      <c r="H15" s="957"/>
      <c r="I15" s="957"/>
      <c r="J15" s="957"/>
      <c r="K15" s="957"/>
      <c r="L15" s="957"/>
      <c r="M15" s="957"/>
      <c r="N15" s="957"/>
      <c r="O15" s="957"/>
      <c r="P15" s="957"/>
      <c r="Q15" s="957"/>
      <c r="R15" s="957"/>
      <c r="S15" s="957"/>
    </row>
    <row r="16" spans="1:19" ht="15.75" hidden="1" thickTop="1">
      <c r="A16" s="940"/>
      <c r="B16" s="497" t="e">
        <f>'Area Calculations'!#REF!</f>
        <v>#REF!</v>
      </c>
      <c r="C16" s="958" t="s">
        <v>581</v>
      </c>
      <c r="D16" s="506"/>
      <c r="E16" s="506"/>
      <c r="F16" s="506"/>
      <c r="G16" s="60"/>
      <c r="H16" s="957"/>
      <c r="I16" s="957"/>
      <c r="J16" s="957"/>
      <c r="K16" s="957"/>
      <c r="L16" s="957"/>
      <c r="M16" s="957"/>
      <c r="N16" s="957"/>
      <c r="O16" s="957"/>
      <c r="P16" s="957"/>
      <c r="Q16" s="957"/>
      <c r="R16" s="957"/>
      <c r="S16" s="957"/>
    </row>
    <row r="17" spans="1:19" ht="15.75" hidden="1" thickTop="1">
      <c r="A17" s="940"/>
      <c r="B17" s="497" t="e">
        <f>'Area Calculations'!#REF!</f>
        <v>#REF!</v>
      </c>
      <c r="C17" s="958" t="s">
        <v>581</v>
      </c>
      <c r="D17" s="506"/>
      <c r="E17" s="506"/>
      <c r="F17" s="506"/>
      <c r="G17" s="60"/>
      <c r="H17" s="957"/>
      <c r="I17" s="957"/>
      <c r="J17" s="957"/>
      <c r="K17" s="957"/>
      <c r="L17" s="957"/>
      <c r="M17" s="957"/>
      <c r="N17" s="957"/>
      <c r="O17" s="957"/>
      <c r="P17" s="957"/>
      <c r="Q17" s="957"/>
      <c r="R17" s="957"/>
      <c r="S17" s="957"/>
    </row>
    <row r="18" spans="1:19" ht="15.75" hidden="1" thickTop="1">
      <c r="A18" s="940"/>
      <c r="B18" s="497" t="e">
        <f>'Area Calculations'!#REF!</f>
        <v>#REF!</v>
      </c>
      <c r="C18" s="958" t="s">
        <v>581</v>
      </c>
      <c r="D18" s="506"/>
      <c r="E18" s="506"/>
      <c r="F18" s="506"/>
      <c r="G18" s="60"/>
      <c r="H18" s="957"/>
      <c r="I18" s="957"/>
      <c r="J18" s="957"/>
      <c r="K18" s="957"/>
      <c r="L18" s="957"/>
      <c r="M18" s="957"/>
      <c r="N18" s="957"/>
      <c r="O18" s="957"/>
      <c r="P18" s="957"/>
      <c r="Q18" s="957"/>
      <c r="R18" s="957"/>
      <c r="S18" s="957"/>
    </row>
    <row r="19" spans="1:19" ht="15.75" hidden="1" thickTop="1">
      <c r="A19" s="940"/>
      <c r="B19" s="497" t="e">
        <f>'Area Calculations'!#REF!</f>
        <v>#REF!</v>
      </c>
      <c r="C19" s="958" t="s">
        <v>581</v>
      </c>
      <c r="D19" s="506"/>
      <c r="E19" s="506"/>
      <c r="F19" s="506"/>
      <c r="G19" s="60"/>
      <c r="H19" s="957"/>
      <c r="I19" s="957"/>
      <c r="J19" s="957"/>
      <c r="K19" s="957"/>
      <c r="L19" s="957"/>
      <c r="M19" s="957"/>
      <c r="N19" s="957"/>
      <c r="O19" s="957"/>
      <c r="P19" s="957"/>
      <c r="Q19" s="957"/>
      <c r="R19" s="957"/>
      <c r="S19" s="957"/>
    </row>
    <row r="20" spans="1:19" ht="15.75" thickTop="1">
      <c r="A20" s="940"/>
      <c r="B20" s="497"/>
      <c r="C20" s="958"/>
      <c r="D20" s="506"/>
      <c r="E20" s="506"/>
      <c r="F20" s="506"/>
      <c r="G20" s="60"/>
      <c r="H20" s="957"/>
      <c r="I20" s="957"/>
      <c r="J20" s="957"/>
      <c r="K20" s="957"/>
      <c r="L20" s="957"/>
      <c r="M20" s="957"/>
      <c r="N20" s="957"/>
      <c r="O20" s="957"/>
      <c r="P20" s="957"/>
      <c r="Q20" s="957"/>
      <c r="R20" s="957"/>
      <c r="S20" s="957"/>
    </row>
    <row r="21" spans="1:19" ht="15.75" thickBot="1">
      <c r="A21" s="34"/>
      <c r="B21" s="959" t="s">
        <v>576</v>
      </c>
      <c r="C21" s="31"/>
      <c r="D21" s="32"/>
      <c r="E21" s="32"/>
      <c r="F21" s="32"/>
      <c r="G21" s="36"/>
      <c r="H21" s="960"/>
      <c r="I21" s="782"/>
      <c r="J21" s="960"/>
      <c r="K21" s="782"/>
      <c r="L21" s="960"/>
      <c r="M21" s="782"/>
      <c r="N21" s="960"/>
      <c r="O21" s="782"/>
      <c r="P21" s="960"/>
      <c r="Q21" s="782"/>
      <c r="R21" s="960"/>
      <c r="S21" s="782"/>
    </row>
    <row r="22" spans="1:19" ht="15.75" thickBot="1">
      <c r="A22" s="784"/>
      <c r="B22" s="961" t="s">
        <v>460</v>
      </c>
      <c r="C22" s="958"/>
      <c r="D22" s="506"/>
      <c r="E22" s="506"/>
      <c r="F22" s="506"/>
      <c r="G22" s="60"/>
      <c r="H22" s="960"/>
      <c r="I22" s="782"/>
      <c r="J22" s="960"/>
      <c r="K22" s="782"/>
      <c r="L22" s="960"/>
      <c r="M22" s="782"/>
      <c r="N22" s="960"/>
      <c r="O22" s="782"/>
      <c r="P22" s="960"/>
      <c r="Q22" s="782"/>
      <c r="R22" s="960"/>
      <c r="S22" s="782"/>
    </row>
    <row r="23" spans="1:19">
      <c r="A23" s="784"/>
      <c r="B23" s="962" t="s">
        <v>461</v>
      </c>
      <c r="C23" s="60"/>
      <c r="D23" s="506"/>
      <c r="E23" s="506"/>
      <c r="F23" s="506"/>
      <c r="G23" s="60"/>
      <c r="H23" s="960"/>
      <c r="I23" s="782"/>
      <c r="J23" s="960"/>
      <c r="K23" s="782"/>
      <c r="L23" s="960"/>
      <c r="M23" s="782"/>
      <c r="N23" s="960"/>
      <c r="O23" s="782"/>
      <c r="P23" s="960"/>
      <c r="Q23" s="782"/>
      <c r="R23" s="960"/>
      <c r="S23" s="782"/>
    </row>
    <row r="24" spans="1:19">
      <c r="A24" s="784"/>
      <c r="B24" s="963" t="s">
        <v>462</v>
      </c>
      <c r="C24" s="60"/>
      <c r="D24" s="964"/>
      <c r="E24" s="506"/>
      <c r="F24" s="506"/>
      <c r="G24" s="60"/>
      <c r="H24" s="960"/>
      <c r="I24" s="782"/>
      <c r="J24" s="960"/>
      <c r="K24" s="782"/>
      <c r="L24" s="960"/>
      <c r="M24" s="782"/>
      <c r="N24" s="960"/>
      <c r="O24" s="782"/>
      <c r="P24" s="960"/>
      <c r="Q24" s="783"/>
      <c r="R24" s="960"/>
      <c r="S24" s="783"/>
    </row>
    <row r="25" spans="1:19">
      <c r="A25" s="784"/>
      <c r="B25" s="965" t="s">
        <v>463</v>
      </c>
      <c r="C25" s="60"/>
      <c r="D25" s="964"/>
      <c r="E25" s="506"/>
      <c r="F25" s="506"/>
      <c r="G25" s="60"/>
      <c r="H25" s="960"/>
      <c r="I25" s="782"/>
      <c r="J25" s="960"/>
      <c r="K25" s="782"/>
      <c r="L25" s="960"/>
      <c r="M25" s="782"/>
      <c r="N25" s="960"/>
      <c r="O25" s="782"/>
      <c r="P25" s="960"/>
      <c r="Q25" s="783"/>
      <c r="R25" s="960"/>
      <c r="S25" s="783"/>
    </row>
    <row r="26" spans="1:19">
      <c r="A26" s="784"/>
      <c r="B26" s="965" t="s">
        <v>464</v>
      </c>
      <c r="C26" s="60"/>
      <c r="D26" s="964"/>
      <c r="E26" s="506"/>
      <c r="F26" s="506"/>
      <c r="G26" s="60"/>
      <c r="H26" s="960"/>
      <c r="I26" s="782"/>
      <c r="J26" s="960"/>
      <c r="K26" s="782"/>
      <c r="L26" s="960"/>
      <c r="M26" s="782"/>
      <c r="N26" s="960"/>
      <c r="O26" s="782"/>
      <c r="P26" s="960"/>
      <c r="Q26" s="783"/>
      <c r="R26" s="960"/>
      <c r="S26" s="783"/>
    </row>
    <row r="27" spans="1:19">
      <c r="A27" s="784"/>
      <c r="B27" s="965" t="s">
        <v>465</v>
      </c>
      <c r="C27" s="60"/>
      <c r="D27" s="964"/>
      <c r="E27" s="506"/>
      <c r="F27" s="506"/>
      <c r="G27" s="60"/>
      <c r="H27" s="960"/>
      <c r="I27" s="782"/>
      <c r="J27" s="960"/>
      <c r="K27" s="782"/>
      <c r="L27" s="960"/>
      <c r="M27" s="782"/>
      <c r="N27" s="960"/>
      <c r="O27" s="782"/>
      <c r="P27" s="960"/>
      <c r="Q27" s="783"/>
      <c r="R27" s="960"/>
      <c r="S27" s="783"/>
    </row>
    <row r="28" spans="1:19">
      <c r="A28" s="784"/>
      <c r="B28" s="965" t="s">
        <v>466</v>
      </c>
      <c r="C28" s="60"/>
      <c r="D28" s="506"/>
      <c r="E28" s="506"/>
      <c r="F28" s="506"/>
      <c r="G28" s="60"/>
      <c r="H28" s="960"/>
      <c r="I28" s="782"/>
      <c r="J28" s="960"/>
      <c r="K28" s="782"/>
      <c r="L28" s="960"/>
      <c r="M28" s="782"/>
      <c r="N28" s="960"/>
      <c r="O28" s="782"/>
      <c r="P28" s="960"/>
      <c r="Q28" s="783"/>
      <c r="R28" s="960"/>
      <c r="S28" s="783"/>
    </row>
    <row r="29" spans="1:19" ht="17.25" customHeight="1">
      <c r="A29" s="784"/>
      <c r="B29" s="966" t="s">
        <v>467</v>
      </c>
      <c r="C29" s="60"/>
      <c r="D29" s="506"/>
      <c r="E29" s="506"/>
      <c r="F29" s="506"/>
      <c r="G29" s="60"/>
      <c r="H29" s="960"/>
      <c r="I29" s="782"/>
      <c r="J29" s="960"/>
      <c r="K29" s="782"/>
      <c r="L29" s="960"/>
      <c r="M29" s="782"/>
      <c r="N29" s="960"/>
      <c r="O29" s="782"/>
      <c r="P29" s="960"/>
      <c r="Q29" s="783"/>
      <c r="R29" s="960"/>
      <c r="S29" s="783"/>
    </row>
    <row r="30" spans="1:19" ht="17.25" customHeight="1">
      <c r="A30" s="784"/>
      <c r="B30" s="967" t="s">
        <v>468</v>
      </c>
      <c r="C30" s="463"/>
      <c r="D30" s="513"/>
      <c r="E30" s="513"/>
      <c r="F30" s="513"/>
      <c r="G30" s="463"/>
      <c r="H30" s="968"/>
      <c r="I30" s="590"/>
      <c r="J30" s="968"/>
      <c r="K30" s="590"/>
      <c r="L30" s="968"/>
      <c r="M30" s="590"/>
      <c r="N30" s="968"/>
      <c r="O30" s="590"/>
      <c r="P30" s="968"/>
      <c r="Q30" s="589"/>
      <c r="R30" s="968"/>
      <c r="S30" s="589"/>
    </row>
    <row r="31" spans="1:19" ht="17.25" customHeight="1">
      <c r="A31" s="784"/>
      <c r="B31" s="969"/>
      <c r="C31" s="60"/>
      <c r="D31" s="506"/>
      <c r="E31" s="506"/>
      <c r="F31" s="506"/>
      <c r="G31" s="60"/>
      <c r="H31" s="960"/>
      <c r="I31" s="782"/>
      <c r="J31" s="960"/>
      <c r="K31" s="782"/>
      <c r="L31" s="960"/>
      <c r="M31" s="782"/>
      <c r="N31" s="960"/>
      <c r="O31" s="782"/>
      <c r="P31" s="960"/>
      <c r="Q31" s="783"/>
      <c r="R31" s="960"/>
      <c r="S31" s="783"/>
    </row>
    <row r="32" spans="1:19" ht="17.25" customHeight="1">
      <c r="A32" s="784"/>
      <c r="B32" s="970"/>
      <c r="C32" s="60"/>
      <c r="D32" s="506"/>
      <c r="E32" s="506"/>
      <c r="F32" s="506"/>
      <c r="G32" s="60"/>
      <c r="H32" s="960"/>
      <c r="I32" s="782"/>
      <c r="J32" s="960"/>
      <c r="K32" s="782"/>
      <c r="L32" s="960"/>
      <c r="M32" s="782"/>
      <c r="N32" s="960"/>
      <c r="O32" s="782"/>
      <c r="P32" s="960"/>
      <c r="Q32" s="783"/>
      <c r="R32" s="960"/>
      <c r="S32" s="783"/>
    </row>
    <row r="33" spans="1:19" ht="17.25" customHeight="1">
      <c r="A33" s="784"/>
      <c r="B33" s="509"/>
      <c r="C33" s="60"/>
      <c r="D33" s="506"/>
      <c r="E33" s="506"/>
      <c r="F33" s="506"/>
      <c r="G33" s="60"/>
      <c r="H33" s="960"/>
      <c r="I33" s="782"/>
      <c r="J33" s="960"/>
      <c r="K33" s="782"/>
      <c r="L33" s="960"/>
      <c r="M33" s="782"/>
      <c r="N33" s="960"/>
      <c r="O33" s="782"/>
      <c r="P33" s="960"/>
      <c r="Q33" s="783"/>
      <c r="R33" s="960"/>
      <c r="S33" s="783"/>
    </row>
    <row r="34" spans="1:19" ht="17.25" customHeight="1">
      <c r="A34" s="784"/>
      <c r="B34" s="509"/>
      <c r="C34" s="60"/>
      <c r="D34" s="506"/>
      <c r="E34" s="506"/>
      <c r="F34" s="506"/>
      <c r="G34" s="60"/>
      <c r="H34" s="960"/>
      <c r="I34" s="782"/>
      <c r="J34" s="960"/>
      <c r="K34" s="782"/>
      <c r="L34" s="960"/>
      <c r="M34" s="782"/>
      <c r="N34" s="960"/>
      <c r="O34" s="782"/>
      <c r="P34" s="960"/>
      <c r="Q34" s="783"/>
      <c r="R34" s="960"/>
      <c r="S34" s="783"/>
    </row>
    <row r="35" spans="1:19">
      <c r="A35" s="784"/>
      <c r="B35" s="969"/>
      <c r="C35" s="60"/>
      <c r="D35" s="506"/>
      <c r="E35" s="506"/>
      <c r="F35" s="506"/>
      <c r="G35" s="60"/>
      <c r="H35" s="960"/>
      <c r="I35" s="782"/>
      <c r="J35" s="960"/>
      <c r="K35" s="782"/>
      <c r="L35" s="960"/>
      <c r="M35" s="782"/>
      <c r="N35" s="960"/>
      <c r="O35" s="782"/>
      <c r="P35" s="960"/>
      <c r="Q35" s="783"/>
      <c r="R35" s="960"/>
      <c r="S35" s="783"/>
    </row>
    <row r="36" spans="1:19">
      <c r="A36" s="784"/>
      <c r="B36" s="970"/>
      <c r="C36" s="60"/>
      <c r="D36" s="506"/>
      <c r="E36" s="506"/>
      <c r="F36" s="506"/>
      <c r="G36" s="60"/>
      <c r="H36" s="960"/>
      <c r="I36" s="782"/>
      <c r="J36" s="960"/>
      <c r="K36" s="782"/>
      <c r="L36" s="960"/>
      <c r="M36" s="782"/>
      <c r="N36" s="960"/>
      <c r="O36" s="782"/>
      <c r="P36" s="960"/>
      <c r="Q36" s="783"/>
      <c r="R36" s="960"/>
      <c r="S36" s="783"/>
    </row>
    <row r="37" spans="1:19">
      <c r="A37" s="784"/>
      <c r="B37" s="970"/>
      <c r="C37" s="60"/>
      <c r="D37" s="506"/>
      <c r="E37" s="506"/>
      <c r="F37" s="506"/>
      <c r="G37" s="60"/>
      <c r="H37" s="960"/>
      <c r="I37" s="782"/>
      <c r="J37" s="960"/>
      <c r="K37" s="782"/>
      <c r="L37" s="960"/>
      <c r="M37" s="782"/>
      <c r="N37" s="960"/>
      <c r="O37" s="782"/>
      <c r="P37" s="960"/>
      <c r="Q37" s="783"/>
      <c r="R37" s="960"/>
      <c r="S37" s="783"/>
    </row>
    <row r="38" spans="1:19">
      <c r="A38" s="784"/>
      <c r="B38" s="969"/>
      <c r="C38" s="958"/>
      <c r="D38" s="506"/>
      <c r="E38" s="506"/>
      <c r="F38" s="506"/>
      <c r="G38" s="60"/>
      <c r="H38" s="960"/>
      <c r="I38" s="971"/>
      <c r="J38" s="960"/>
      <c r="K38" s="48"/>
      <c r="L38" s="960"/>
      <c r="M38" s="48"/>
      <c r="N38" s="960"/>
      <c r="O38" s="693"/>
      <c r="P38" s="960"/>
      <c r="Q38" s="782"/>
      <c r="R38" s="960"/>
      <c r="S38" s="782"/>
    </row>
    <row r="39" spans="1:19">
      <c r="A39" s="784"/>
      <c r="B39" s="970"/>
      <c r="C39" s="958"/>
      <c r="D39" s="506"/>
      <c r="E39" s="506"/>
      <c r="F39" s="506"/>
      <c r="G39" s="60"/>
      <c r="H39" s="960"/>
      <c r="I39" s="971"/>
      <c r="J39" s="960"/>
      <c r="K39" s="972"/>
      <c r="L39" s="960"/>
      <c r="M39" s="972"/>
      <c r="N39" s="960"/>
      <c r="O39" s="973"/>
      <c r="P39" s="960"/>
      <c r="Q39" s="783"/>
      <c r="R39" s="960"/>
      <c r="S39" s="782"/>
    </row>
    <row r="40" spans="1:19" ht="15.75" thickBot="1">
      <c r="A40" s="784"/>
      <c r="B40" s="974"/>
      <c r="C40" s="958"/>
      <c r="D40" s="506"/>
      <c r="E40" s="506"/>
      <c r="F40" s="506"/>
      <c r="G40" s="60"/>
      <c r="H40" s="960"/>
      <c r="I40" s="782"/>
      <c r="J40" s="783"/>
      <c r="K40" s="782"/>
      <c r="L40" s="783"/>
      <c r="M40" s="782"/>
      <c r="N40" s="783"/>
      <c r="O40" s="782"/>
      <c r="P40" s="783"/>
      <c r="Q40" s="783"/>
      <c r="R40" s="960"/>
      <c r="S40" s="782"/>
    </row>
    <row r="41" spans="1:19" ht="15.75" thickTop="1">
      <c r="A41" s="15"/>
      <c r="B41" s="16"/>
      <c r="C41" s="17"/>
      <c r="D41" s="17"/>
      <c r="E41" s="18"/>
      <c r="F41" s="19" t="s">
        <v>470</v>
      </c>
      <c r="G41" s="20"/>
      <c r="H41" s="21"/>
      <c r="I41" s="38">
        <f>SUM(I23:I40)</f>
        <v>0</v>
      </c>
      <c r="J41" s="21"/>
      <c r="K41" s="38">
        <f>SUM(K23:K40)</f>
        <v>0</v>
      </c>
      <c r="L41" s="21"/>
      <c r="M41" s="38">
        <f>SUM(M23:M40)</f>
        <v>0</v>
      </c>
      <c r="N41" s="21"/>
      <c r="O41" s="38">
        <f>SUM(O23:O40)</f>
        <v>0</v>
      </c>
      <c r="P41" s="21"/>
      <c r="Q41" s="38">
        <f>SUM(Q23:Q40)</f>
        <v>0</v>
      </c>
      <c r="R41" s="21"/>
      <c r="S41" s="38">
        <f>SUM(S23:S40)</f>
        <v>0</v>
      </c>
    </row>
    <row r="42" spans="1:19">
      <c r="A42" s="930"/>
      <c r="B42" s="496"/>
      <c r="C42" s="493"/>
      <c r="D42" s="493"/>
      <c r="E42" s="521"/>
      <c r="F42" s="494" t="s">
        <v>471</v>
      </c>
      <c r="G42" s="464"/>
      <c r="H42" s="931">
        <v>0</v>
      </c>
      <c r="I42" s="975"/>
      <c r="J42" s="931"/>
      <c r="K42" s="975"/>
      <c r="L42" s="931"/>
      <c r="M42" s="975"/>
      <c r="N42" s="931"/>
      <c r="O42" s="975"/>
      <c r="P42" s="931">
        <v>0</v>
      </c>
      <c r="Q42" s="975"/>
      <c r="R42" s="931">
        <v>0</v>
      </c>
      <c r="S42" s="975"/>
    </row>
    <row r="43" spans="1:19">
      <c r="A43" s="930"/>
      <c r="B43" s="496"/>
      <c r="C43" s="493"/>
      <c r="D43" s="493"/>
      <c r="E43" s="521"/>
      <c r="F43" s="494" t="s">
        <v>472</v>
      </c>
      <c r="G43" s="464"/>
      <c r="H43" s="932"/>
      <c r="I43" s="976">
        <f>I41*H42</f>
        <v>0</v>
      </c>
      <c r="J43" s="932"/>
      <c r="K43" s="976">
        <f>K41*J42</f>
        <v>0</v>
      </c>
      <c r="L43" s="932"/>
      <c r="M43" s="976">
        <f>M41*L42</f>
        <v>0</v>
      </c>
      <c r="N43" s="932"/>
      <c r="O43" s="976">
        <f>O41*N42</f>
        <v>0</v>
      </c>
      <c r="P43" s="932"/>
      <c r="Q43" s="976">
        <f>Q41*P42</f>
        <v>0</v>
      </c>
      <c r="R43" s="932"/>
      <c r="S43" s="976">
        <f>S41*R42</f>
        <v>0</v>
      </c>
    </row>
    <row r="44" spans="1:19">
      <c r="A44" s="930"/>
      <c r="B44" s="496"/>
      <c r="C44" s="493"/>
      <c r="D44" s="493"/>
      <c r="E44" s="521"/>
      <c r="F44" s="494"/>
      <c r="G44" s="464"/>
      <c r="H44" s="932"/>
      <c r="I44" s="932"/>
      <c r="J44" s="932"/>
      <c r="K44" s="932"/>
      <c r="L44" s="932"/>
      <c r="M44" s="932"/>
      <c r="N44" s="932"/>
      <c r="O44" s="932"/>
      <c r="P44" s="932"/>
      <c r="Q44" s="932"/>
      <c r="R44" s="932"/>
      <c r="S44" s="932"/>
    </row>
    <row r="45" spans="1:19">
      <c r="A45" s="930"/>
      <c r="B45" s="496"/>
      <c r="C45" s="493"/>
      <c r="D45" s="493"/>
      <c r="E45" s="521"/>
      <c r="F45" s="494" t="s">
        <v>473</v>
      </c>
      <c r="G45" s="464"/>
      <c r="H45" s="934"/>
      <c r="I45" s="977">
        <f>SUM(I41:I43)</f>
        <v>0</v>
      </c>
      <c r="J45" s="934"/>
      <c r="K45" s="977">
        <f>SUM(K41:K43)</f>
        <v>0</v>
      </c>
      <c r="L45" s="934"/>
      <c r="M45" s="977">
        <f>SUM(M41:M43)</f>
        <v>0</v>
      </c>
      <c r="N45" s="934"/>
      <c r="O45" s="977">
        <f>SUM(O41:O43)</f>
        <v>0</v>
      </c>
      <c r="P45" s="934"/>
      <c r="Q45" s="977">
        <f>SUM(Q41:Q43)</f>
        <v>0</v>
      </c>
      <c r="R45" s="934"/>
      <c r="S45" s="977">
        <f>SUM(S41:S43)</f>
        <v>0</v>
      </c>
    </row>
    <row r="46" spans="1:19">
      <c r="A46" s="930"/>
      <c r="B46" s="496"/>
      <c r="C46" s="493"/>
      <c r="D46" s="493"/>
      <c r="E46" s="521"/>
      <c r="F46" s="495" t="s">
        <v>474</v>
      </c>
      <c r="G46" s="902"/>
      <c r="H46" s="935"/>
      <c r="I46" s="937">
        <f>I45/'Area Calculations'!$G$5</f>
        <v>0</v>
      </c>
      <c r="J46" s="935"/>
      <c r="K46" s="937">
        <f>K45/'Area Calculations'!$G$5</f>
        <v>0</v>
      </c>
      <c r="L46" s="935"/>
      <c r="M46" s="937">
        <f>M45/'Area Calculations'!$G$5</f>
        <v>0</v>
      </c>
      <c r="N46" s="935"/>
      <c r="O46" s="937">
        <f>O45/'Area Calculations'!$G$5</f>
        <v>0</v>
      </c>
      <c r="P46" s="935"/>
      <c r="Q46" s="937">
        <f>Q45/'Area Calculations'!$G$5</f>
        <v>0</v>
      </c>
      <c r="R46" s="935"/>
      <c r="S46" s="937">
        <f>S45/'Area Calculations'!$G$5</f>
        <v>0</v>
      </c>
    </row>
    <row r="47" spans="1:19">
      <c r="A47" s="930"/>
      <c r="B47" s="496"/>
      <c r="C47" s="493"/>
      <c r="D47" s="493"/>
      <c r="E47" s="521"/>
      <c r="F47" s="495" t="s">
        <v>582</v>
      </c>
      <c r="G47" s="978"/>
      <c r="H47" s="935"/>
      <c r="I47" s="937">
        <f>I45/'Area Calculations'!$G$9</f>
        <v>0</v>
      </c>
      <c r="J47" s="935"/>
      <c r="K47" s="937">
        <f>K45/'Area Calculations'!$G$9</f>
        <v>0</v>
      </c>
      <c r="L47" s="935"/>
      <c r="M47" s="937">
        <f>M45/'Area Calculations'!$G$9</f>
        <v>0</v>
      </c>
      <c r="N47" s="935"/>
      <c r="O47" s="937">
        <f>O45/'Area Calculations'!$G$9</f>
        <v>0</v>
      </c>
      <c r="P47" s="935"/>
      <c r="Q47" s="937">
        <f>Q45/'Area Calculations'!$G$9</f>
        <v>0</v>
      </c>
      <c r="R47" s="935"/>
      <c r="S47" s="937">
        <f>S45/'Area Calculations'!$G$9</f>
        <v>0</v>
      </c>
    </row>
    <row r="48" spans="1:19" ht="15.75" thickBot="1">
      <c r="A48" s="930"/>
      <c r="B48" s="496"/>
      <c r="C48" s="493"/>
      <c r="D48" s="493"/>
      <c r="E48" s="521"/>
      <c r="F48" s="494"/>
      <c r="G48" s="979"/>
      <c r="H48" s="980"/>
      <c r="I48" s="981"/>
      <c r="J48" s="938"/>
      <c r="K48" s="938"/>
      <c r="L48" s="938"/>
      <c r="M48" s="938"/>
      <c r="N48" s="938"/>
      <c r="O48" s="938"/>
      <c r="P48" s="938"/>
      <c r="Q48" s="938"/>
      <c r="R48" s="938"/>
      <c r="S48" s="938"/>
    </row>
    <row r="49" spans="1:19" ht="16.5" thickTop="1" thickBot="1">
      <c r="A49" s="691" t="s">
        <v>475</v>
      </c>
      <c r="B49" s="692"/>
      <c r="C49" s="14"/>
      <c r="D49" s="14"/>
      <c r="E49" s="14"/>
      <c r="F49" s="14"/>
      <c r="G49" s="29"/>
      <c r="H49" s="27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spans="1:19" ht="15.75" thickTop="1">
      <c r="A50" s="795"/>
      <c r="B50" s="497"/>
      <c r="C50" s="796"/>
      <c r="D50" s="796"/>
      <c r="E50" s="796"/>
      <c r="F50" s="796"/>
      <c r="G50" s="982"/>
      <c r="H50" s="591"/>
      <c r="I50" s="799"/>
      <c r="J50" s="799"/>
      <c r="K50" s="799"/>
      <c r="L50" s="799"/>
      <c r="M50" s="799"/>
      <c r="N50" s="799"/>
      <c r="O50" s="799"/>
      <c r="P50" s="799"/>
      <c r="Q50" s="799"/>
      <c r="R50" s="799"/>
      <c r="S50" s="799"/>
    </row>
    <row r="51" spans="1:19">
      <c r="A51" s="795"/>
      <c r="B51" s="497"/>
      <c r="C51" s="796"/>
      <c r="D51" s="796"/>
      <c r="E51" s="796"/>
      <c r="F51" s="796"/>
      <c r="G51" s="982"/>
      <c r="H51" s="591"/>
      <c r="I51" s="799"/>
      <c r="J51" s="799"/>
      <c r="K51" s="799"/>
      <c r="L51" s="799"/>
      <c r="M51" s="799"/>
      <c r="N51" s="799"/>
      <c r="O51" s="799"/>
      <c r="P51" s="799"/>
      <c r="Q51" s="799"/>
      <c r="R51" s="799"/>
      <c r="S51" s="799"/>
    </row>
    <row r="52" spans="1:19" ht="15.75" thickBot="1">
      <c r="A52" s="795"/>
      <c r="B52" s="497"/>
      <c r="C52" s="796"/>
      <c r="D52" s="796"/>
      <c r="E52" s="796"/>
      <c r="F52" s="796"/>
      <c r="G52" s="982"/>
      <c r="H52" s="591"/>
      <c r="I52" s="799"/>
      <c r="J52" s="799"/>
      <c r="K52" s="799"/>
      <c r="L52" s="799"/>
      <c r="M52" s="799"/>
      <c r="N52" s="799"/>
      <c r="O52" s="799"/>
      <c r="P52" s="799"/>
      <c r="Q52" s="799"/>
      <c r="R52" s="799"/>
      <c r="S52" s="799"/>
    </row>
    <row r="53" spans="1:19" s="2" customFormat="1" ht="16.5" thickTop="1" thickBot="1">
      <c r="A53" s="691" t="s">
        <v>476</v>
      </c>
      <c r="B53" s="692"/>
      <c r="C53" s="14"/>
      <c r="D53" s="14"/>
      <c r="E53" s="14"/>
      <c r="F53" s="14"/>
      <c r="G53" s="29"/>
      <c r="H53" s="27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 spans="1:19" s="2" customFormat="1" ht="15.75" thickTop="1">
      <c r="A54" s="795"/>
      <c r="B54" s="497"/>
      <c r="C54" s="796"/>
      <c r="D54" s="796"/>
      <c r="E54" s="796"/>
      <c r="F54" s="796"/>
      <c r="G54" s="982"/>
      <c r="H54" s="591"/>
      <c r="I54" s="799"/>
      <c r="J54" s="799"/>
      <c r="K54" s="799"/>
      <c r="L54" s="799"/>
      <c r="M54" s="799"/>
      <c r="N54" s="799"/>
      <c r="O54" s="799"/>
      <c r="P54" s="799"/>
      <c r="Q54" s="799"/>
      <c r="R54" s="799"/>
      <c r="S54" s="799"/>
    </row>
    <row r="55" spans="1:19" s="2" customFormat="1">
      <c r="A55" s="795"/>
      <c r="B55" s="497"/>
      <c r="C55" s="796"/>
      <c r="D55" s="796"/>
      <c r="E55" s="796"/>
      <c r="F55" s="796"/>
      <c r="G55" s="982"/>
      <c r="H55" s="591"/>
      <c r="I55" s="799"/>
      <c r="J55" s="799"/>
      <c r="K55" s="799"/>
      <c r="L55" s="799"/>
      <c r="M55" s="799"/>
      <c r="N55" s="799"/>
      <c r="O55" s="799"/>
      <c r="P55" s="799"/>
      <c r="Q55" s="799"/>
      <c r="R55" s="799"/>
      <c r="S55" s="799"/>
    </row>
    <row r="56" spans="1:19" ht="15.75" thickBot="1">
      <c r="A56" s="795"/>
      <c r="B56" s="497"/>
      <c r="C56" s="796"/>
      <c r="D56" s="796"/>
      <c r="E56" s="796"/>
      <c r="F56" s="796"/>
      <c r="G56" s="982"/>
      <c r="H56" s="591"/>
      <c r="I56" s="799"/>
      <c r="J56" s="799"/>
      <c r="K56" s="799"/>
      <c r="L56" s="799"/>
      <c r="M56" s="799"/>
      <c r="N56" s="799"/>
      <c r="O56" s="799"/>
      <c r="P56" s="799"/>
      <c r="Q56" s="799"/>
      <c r="R56" s="799"/>
      <c r="S56" s="799"/>
    </row>
    <row r="57" spans="1:19" s="2" customFormat="1" ht="16.5" thickTop="1" thickBot="1">
      <c r="A57" s="691" t="s">
        <v>477</v>
      </c>
      <c r="B57" s="692"/>
      <c r="C57" s="14"/>
      <c r="D57" s="14"/>
      <c r="E57" s="14"/>
      <c r="F57" s="14"/>
      <c r="G57" s="29"/>
      <c r="H57" s="27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 spans="1:19" s="2" customFormat="1" ht="15.75" thickTop="1">
      <c r="A58" s="795"/>
      <c r="B58" s="497"/>
      <c r="C58" s="796"/>
      <c r="D58" s="796"/>
      <c r="E58" s="796"/>
      <c r="F58" s="796"/>
      <c r="G58" s="982"/>
      <c r="H58" s="591"/>
      <c r="I58" s="799"/>
      <c r="J58" s="799"/>
      <c r="K58" s="799"/>
      <c r="L58" s="799"/>
      <c r="M58" s="799"/>
      <c r="N58" s="799"/>
      <c r="O58" s="799"/>
      <c r="P58" s="799"/>
      <c r="Q58" s="799"/>
      <c r="R58" s="799"/>
      <c r="S58" s="799"/>
    </row>
    <row r="59" spans="1:19" s="2" customFormat="1">
      <c r="A59" s="940"/>
      <c r="B59" s="497"/>
      <c r="C59" s="506"/>
      <c r="D59" s="506"/>
      <c r="E59" s="506"/>
      <c r="F59" s="506"/>
      <c r="G59" s="983"/>
      <c r="H59" s="984"/>
      <c r="I59" s="941"/>
      <c r="J59" s="941"/>
      <c r="K59" s="941"/>
      <c r="L59" s="941"/>
      <c r="M59" s="941"/>
      <c r="N59" s="941"/>
      <c r="O59" s="941"/>
      <c r="P59" s="941"/>
      <c r="Q59" s="941"/>
      <c r="R59" s="941"/>
      <c r="S59" s="941"/>
    </row>
    <row r="60" spans="1:19" s="2" customFormat="1" ht="15.75" thickBot="1">
      <c r="A60" s="942"/>
      <c r="B60" s="501"/>
      <c r="C60" s="506"/>
      <c r="D60" s="506"/>
      <c r="E60" s="506"/>
      <c r="F60" s="506"/>
      <c r="G60" s="983"/>
      <c r="H60" s="985"/>
      <c r="I60" s="943"/>
      <c r="J60" s="943"/>
      <c r="K60" s="943"/>
      <c r="L60" s="943"/>
      <c r="M60" s="943"/>
      <c r="N60" s="943"/>
      <c r="O60" s="943"/>
      <c r="P60" s="943"/>
      <c r="Q60" s="943"/>
      <c r="R60" s="943"/>
      <c r="S60" s="943"/>
    </row>
    <row r="61" spans="1:19" s="2" customFormat="1" ht="16.5" thickTop="1" thickBot="1">
      <c r="A61" s="691" t="s">
        <v>478</v>
      </c>
      <c r="B61" s="692"/>
      <c r="C61" s="14"/>
      <c r="D61" s="14"/>
      <c r="E61" s="14"/>
      <c r="F61" s="14"/>
      <c r="G61" s="29"/>
      <c r="H61" s="27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 spans="1:19" ht="15.75" thickTop="1">
      <c r="A62" s="800"/>
      <c r="B62" s="801"/>
      <c r="C62" s="796"/>
      <c r="D62" s="796"/>
      <c r="E62" s="796"/>
      <c r="F62" s="796"/>
      <c r="G62" s="982"/>
      <c r="H62" s="591"/>
      <c r="I62" s="799"/>
      <c r="J62" s="799"/>
      <c r="K62" s="799"/>
      <c r="L62" s="799"/>
      <c r="M62" s="799"/>
      <c r="N62" s="799"/>
      <c r="O62" s="799"/>
      <c r="P62" s="799"/>
      <c r="Q62" s="799"/>
      <c r="R62" s="799"/>
      <c r="S62" s="799"/>
    </row>
    <row r="63" spans="1:19">
      <c r="A63" s="942"/>
      <c r="B63" s="501"/>
      <c r="C63" s="506"/>
      <c r="D63" s="506"/>
      <c r="E63" s="506"/>
      <c r="F63" s="506"/>
      <c r="G63" s="983"/>
      <c r="H63" s="986"/>
      <c r="I63" s="944"/>
      <c r="J63" s="944"/>
      <c r="K63" s="944"/>
      <c r="L63" s="944"/>
      <c r="M63" s="944"/>
      <c r="N63" s="944"/>
      <c r="O63" s="944"/>
      <c r="P63" s="944"/>
      <c r="Q63" s="944"/>
      <c r="R63" s="944"/>
      <c r="S63" s="944"/>
    </row>
    <row r="64" spans="1:19" ht="15.75" thickBot="1">
      <c r="A64" s="942"/>
      <c r="B64" s="501"/>
      <c r="C64" s="506"/>
      <c r="D64" s="506"/>
      <c r="E64" s="506"/>
      <c r="F64" s="506"/>
      <c r="G64" s="983"/>
      <c r="H64" s="986"/>
      <c r="I64" s="944"/>
      <c r="J64" s="944"/>
      <c r="K64" s="944"/>
      <c r="L64" s="944"/>
      <c r="M64" s="944"/>
      <c r="N64" s="944"/>
      <c r="O64" s="944"/>
      <c r="P64" s="944"/>
      <c r="Q64" s="944"/>
      <c r="R64" s="944"/>
      <c r="S64" s="944"/>
    </row>
    <row r="65" spans="1:19" ht="16.5" thickTop="1" thickBot="1">
      <c r="A65" s="691" t="s">
        <v>479</v>
      </c>
      <c r="B65" s="692"/>
      <c r="C65" s="14"/>
      <c r="D65" s="14"/>
      <c r="E65" s="14"/>
      <c r="F65" s="14"/>
      <c r="G65" s="29"/>
      <c r="H65" s="27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 spans="1:19" ht="15.75" thickTop="1">
      <c r="A66" s="940"/>
      <c r="B66" s="497" t="s">
        <v>480</v>
      </c>
      <c r="C66" s="506"/>
      <c r="D66" s="506"/>
      <c r="E66" s="506"/>
      <c r="F66" s="506"/>
      <c r="G66" s="983"/>
      <c r="H66" s="986"/>
      <c r="I66" s="944"/>
      <c r="J66" s="944"/>
      <c r="K66" s="944"/>
      <c r="L66" s="944"/>
      <c r="M66" s="944"/>
      <c r="N66" s="944"/>
      <c r="O66" s="944"/>
      <c r="P66" s="944"/>
      <c r="Q66" s="944"/>
      <c r="R66" s="944"/>
      <c r="S66" s="944"/>
    </row>
    <row r="67" spans="1:19">
      <c r="A67" s="940"/>
      <c r="B67" s="497" t="s">
        <v>481</v>
      </c>
      <c r="C67" s="506"/>
      <c r="D67" s="506"/>
      <c r="E67" s="506"/>
      <c r="F67" s="506"/>
      <c r="G67" s="983"/>
      <c r="H67" s="986"/>
      <c r="I67" s="944"/>
      <c r="J67" s="944"/>
      <c r="K67" s="944"/>
      <c r="L67" s="944"/>
      <c r="M67" s="944"/>
      <c r="N67" s="944"/>
      <c r="O67" s="944"/>
      <c r="P67" s="944"/>
      <c r="Q67" s="944"/>
      <c r="R67" s="944"/>
      <c r="S67" s="944"/>
    </row>
    <row r="68" spans="1:19">
      <c r="A68" s="940"/>
      <c r="B68" s="497" t="s">
        <v>482</v>
      </c>
      <c r="C68" s="506"/>
      <c r="D68" s="506"/>
      <c r="E68" s="506"/>
      <c r="F68" s="506"/>
      <c r="G68" s="983"/>
      <c r="H68" s="986"/>
      <c r="I68" s="944"/>
      <c r="J68" s="944"/>
      <c r="K68" s="944"/>
      <c r="L68" s="944"/>
      <c r="M68" s="944"/>
      <c r="N68" s="944"/>
      <c r="O68" s="944"/>
      <c r="P68" s="944"/>
      <c r="Q68" s="944"/>
      <c r="R68" s="944"/>
      <c r="S68" s="944"/>
    </row>
    <row r="69" spans="1:19">
      <c r="A69" s="940"/>
      <c r="B69" s="497" t="s">
        <v>483</v>
      </c>
      <c r="C69" s="506"/>
      <c r="D69" s="506"/>
      <c r="E69" s="506"/>
      <c r="F69" s="506"/>
      <c r="G69" s="983"/>
      <c r="H69" s="986"/>
      <c r="I69" s="944"/>
      <c r="J69" s="944"/>
      <c r="K69" s="944"/>
      <c r="L69" s="944"/>
      <c r="M69" s="944"/>
      <c r="N69" s="944"/>
      <c r="O69" s="944"/>
      <c r="P69" s="944"/>
      <c r="Q69" s="944"/>
      <c r="R69" s="944"/>
      <c r="S69" s="944"/>
    </row>
    <row r="70" spans="1:19" ht="15.75" thickBot="1">
      <c r="A70" s="23"/>
      <c r="B70" s="7"/>
      <c r="C70" s="8"/>
      <c r="D70" s="8"/>
      <c r="E70" s="8"/>
      <c r="F70" s="8"/>
      <c r="G70" s="30"/>
      <c r="H70" s="28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</row>
    <row r="71" spans="1:19" ht="16.5" thickTop="1" thickBot="1">
      <c r="A71" s="9" t="s">
        <v>484</v>
      </c>
      <c r="B71" s="10"/>
      <c r="C71" s="14"/>
      <c r="D71" s="14"/>
      <c r="E71" s="14"/>
      <c r="F71" s="14"/>
      <c r="G71" s="29"/>
      <c r="H71" s="27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 spans="1:19" ht="15.75" thickTop="1">
      <c r="A72" s="795"/>
      <c r="B72" s="802" t="s">
        <v>485</v>
      </c>
      <c r="C72" s="796"/>
      <c r="D72" s="796"/>
      <c r="E72" s="796"/>
      <c r="F72" s="796"/>
      <c r="G72" s="982"/>
      <c r="H72" s="783"/>
      <c r="I72" s="803"/>
      <c r="J72" s="803"/>
      <c r="K72" s="803"/>
      <c r="L72" s="803"/>
      <c r="M72" s="803"/>
      <c r="N72" s="803"/>
      <c r="O72" s="803"/>
      <c r="P72" s="803"/>
      <c r="Q72" s="803"/>
      <c r="R72" s="803"/>
      <c r="S72" s="803"/>
    </row>
    <row r="73" spans="1:19">
      <c r="A73" s="940"/>
      <c r="B73" s="497" t="s">
        <v>486</v>
      </c>
      <c r="C73" s="506"/>
      <c r="D73" s="506"/>
      <c r="E73" s="506"/>
      <c r="F73" s="506"/>
      <c r="G73" s="983"/>
      <c r="H73" s="987"/>
      <c r="I73" s="945"/>
      <c r="J73" s="945"/>
      <c r="K73" s="945"/>
      <c r="L73" s="945"/>
      <c r="M73" s="945"/>
      <c r="N73" s="945"/>
      <c r="O73" s="945"/>
      <c r="P73" s="945"/>
      <c r="Q73" s="945"/>
      <c r="R73" s="945"/>
      <c r="S73" s="945"/>
    </row>
    <row r="74" spans="1:19" ht="15.75" thickBot="1">
      <c r="A74" s="865"/>
      <c r="B74" s="866" t="s">
        <v>487</v>
      </c>
      <c r="C74" s="867"/>
      <c r="D74" s="867"/>
      <c r="E74" s="867"/>
      <c r="F74" s="867"/>
      <c r="G74" s="988"/>
      <c r="H74" s="989"/>
      <c r="I74" s="871"/>
      <c r="J74" s="871"/>
      <c r="K74" s="871"/>
      <c r="L74" s="871"/>
      <c r="M74" s="871"/>
      <c r="N74" s="871"/>
      <c r="O74" s="871"/>
      <c r="P74" s="871"/>
      <c r="Q74" s="871"/>
      <c r="R74" s="871"/>
      <c r="S74" s="871"/>
    </row>
    <row r="75" spans="1:19" ht="16.5" thickTop="1" thickBot="1"/>
    <row r="76" spans="1:19" ht="16.5" thickTop="1" thickBot="1">
      <c r="A76" s="42" t="s">
        <v>488</v>
      </c>
      <c r="B76" s="44"/>
    </row>
    <row r="77" spans="1:19" ht="15.75" thickTop="1">
      <c r="A77" s="43" t="s">
        <v>444</v>
      </c>
      <c r="B77" s="946"/>
    </row>
    <row r="78" spans="1:19">
      <c r="A78" s="504" t="s">
        <v>446</v>
      </c>
      <c r="B78" s="946"/>
    </row>
    <row r="79" spans="1:19">
      <c r="A79" s="947" t="s">
        <v>448</v>
      </c>
      <c r="B79" s="948"/>
    </row>
    <row r="80" spans="1:19">
      <c r="A80" s="947" t="s">
        <v>450</v>
      </c>
      <c r="B80" s="949"/>
    </row>
    <row r="81" spans="1:2" ht="15.75" thickBot="1">
      <c r="A81" s="878" t="s">
        <v>489</v>
      </c>
      <c r="B81" s="990"/>
    </row>
    <row r="82" spans="1:2" ht="15.75" thickTop="1"/>
    <row r="83" spans="1:2">
      <c r="A83" s="45"/>
      <c r="B83" s="1" t="s">
        <v>490</v>
      </c>
    </row>
    <row r="84" spans="1:2">
      <c r="A84" s="46"/>
      <c r="B84" s="1" t="s">
        <v>491</v>
      </c>
    </row>
  </sheetData>
  <mergeCells count="48">
    <mergeCell ref="A49:B49"/>
    <mergeCell ref="A53:B53"/>
    <mergeCell ref="A57:B57"/>
    <mergeCell ref="A61:B61"/>
    <mergeCell ref="A65:B65"/>
    <mergeCell ref="R2:S2"/>
    <mergeCell ref="H2:I2"/>
    <mergeCell ref="J2:K2"/>
    <mergeCell ref="L2:M2"/>
    <mergeCell ref="N2:O2"/>
    <mergeCell ref="P2:Q2"/>
    <mergeCell ref="R4:S4"/>
    <mergeCell ref="H3:I3"/>
    <mergeCell ref="J3:K3"/>
    <mergeCell ref="L3:M3"/>
    <mergeCell ref="N3:O3"/>
    <mergeCell ref="P3:Q3"/>
    <mergeCell ref="R3:S3"/>
    <mergeCell ref="H4:I4"/>
    <mergeCell ref="J4:K4"/>
    <mergeCell ref="L4:M4"/>
    <mergeCell ref="N4:O4"/>
    <mergeCell ref="P4:Q4"/>
    <mergeCell ref="R6:S6"/>
    <mergeCell ref="H5:I5"/>
    <mergeCell ref="J5:K5"/>
    <mergeCell ref="L5:M5"/>
    <mergeCell ref="N5:O5"/>
    <mergeCell ref="P5:Q5"/>
    <mergeCell ref="R5:S5"/>
    <mergeCell ref="H6:I6"/>
    <mergeCell ref="J6:K6"/>
    <mergeCell ref="L6:M6"/>
    <mergeCell ref="N6:O6"/>
    <mergeCell ref="P6:Q6"/>
    <mergeCell ref="P8:Q8"/>
    <mergeCell ref="R8:S8"/>
    <mergeCell ref="H7:I7"/>
    <mergeCell ref="J7:K7"/>
    <mergeCell ref="L7:M7"/>
    <mergeCell ref="N7:O7"/>
    <mergeCell ref="P7:Q7"/>
    <mergeCell ref="R7:S7"/>
    <mergeCell ref="O38:O39"/>
    <mergeCell ref="H8:I8"/>
    <mergeCell ref="J8:K8"/>
    <mergeCell ref="L8:M8"/>
    <mergeCell ref="N8:O8"/>
  </mergeCells>
  <hyperlinks>
    <hyperlink ref="B3" location="'Cost Summary'!A1" display="BACK TO SUMMARY SHEET" xr:uid="{007ADE11-D215-434D-B25D-EB5B521BF660}"/>
  </hyperlink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4FE6-2C5C-4C25-AABF-990EDFBD7E0D}">
  <sheetPr>
    <tabColor rgb="FFFFFF00"/>
    <pageSetUpPr fitToPage="1"/>
  </sheetPr>
  <dimension ref="A1:AH93"/>
  <sheetViews>
    <sheetView zoomScale="90" zoomScaleNormal="90" workbookViewId="0">
      <pane ySplit="10" topLeftCell="A16" activePane="bottomLeft" state="frozen"/>
      <selection pane="bottomLeft" activeCell="B4" sqref="B4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/>
      <c r="I5" s="684"/>
      <c r="J5" s="683"/>
      <c r="K5" s="68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583</v>
      </c>
      <c r="C6" s="506"/>
      <c r="D6" s="507"/>
      <c r="E6" s="508"/>
      <c r="F6" s="506"/>
      <c r="G6" s="462" t="s">
        <v>446</v>
      </c>
      <c r="H6" s="685"/>
      <c r="I6" s="686"/>
      <c r="J6" s="685"/>
      <c r="K6" s="68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137</v>
      </c>
      <c r="C7" s="506"/>
      <c r="D7" s="507"/>
      <c r="E7" s="508"/>
      <c r="F7" s="506"/>
      <c r="G7" s="510" t="s">
        <v>448</v>
      </c>
      <c r="H7" s="687"/>
      <c r="I7" s="688"/>
      <c r="J7" s="687"/>
      <c r="K7" s="68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89"/>
      <c r="I8" s="690"/>
      <c r="J8" s="689"/>
      <c r="K8" s="69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2">
        <f>I$55</f>
        <v>8830610</v>
      </c>
      <c r="I9" s="893"/>
      <c r="J9" s="894">
        <f>K$55</f>
        <v>0</v>
      </c>
      <c r="K9" s="895"/>
      <c r="L9" s="892">
        <f t="shared" ref="L9" si="0">M$55</f>
        <v>0</v>
      </c>
      <c r="M9" s="893"/>
      <c r="N9" s="892">
        <f t="shared" ref="N9" si="1">O$55</f>
        <v>0</v>
      </c>
      <c r="O9" s="893"/>
      <c r="P9" s="892">
        <f t="shared" ref="P9" si="2">Q$55</f>
        <v>0</v>
      </c>
      <c r="Q9" s="893"/>
      <c r="R9" s="892">
        <f t="shared" ref="R9" si="3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991" t="s">
        <v>460</v>
      </c>
      <c r="C11" s="484"/>
      <c r="D11" s="507"/>
      <c r="E11" s="508"/>
      <c r="F11" s="506"/>
      <c r="G11" s="60"/>
      <c r="H11" s="951"/>
      <c r="I11" s="183"/>
      <c r="J11" s="951"/>
      <c r="K11" s="782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785" t="s">
        <v>461</v>
      </c>
      <c r="C12" s="506"/>
      <c r="D12" s="507"/>
      <c r="E12" s="508"/>
      <c r="F12" s="506"/>
      <c r="G12" s="60"/>
      <c r="H12" s="951"/>
      <c r="I12" s="783"/>
      <c r="J12" s="951"/>
      <c r="K12" s="782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3"/>
      <c r="J13" s="951"/>
      <c r="K13" s="782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3"/>
      <c r="J14" s="951"/>
      <c r="K14" s="782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3"/>
      <c r="J16" s="951"/>
      <c r="K16" s="782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3"/>
      <c r="J17" s="951"/>
      <c r="K17" s="782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3"/>
      <c r="J18" s="951"/>
      <c r="K18" s="782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1"/>
      <c r="J19" s="953"/>
      <c r="K19" s="790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 t="s">
        <v>584</v>
      </c>
      <c r="C21" s="506"/>
      <c r="D21" s="507">
        <v>34190</v>
      </c>
      <c r="E21" s="508" t="s">
        <v>179</v>
      </c>
      <c r="F21" s="517">
        <v>95</v>
      </c>
      <c r="G21" s="315">
        <f t="shared" ref="G21:G49" si="4">ROUND(D21*F21,0)</f>
        <v>3248050</v>
      </c>
      <c r="H21" s="951"/>
      <c r="I21" s="793">
        <f>G21</f>
        <v>3248050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792" t="s">
        <v>585</v>
      </c>
      <c r="C22" s="506"/>
      <c r="D22" s="507">
        <v>24082</v>
      </c>
      <c r="E22" s="508" t="s">
        <v>179</v>
      </c>
      <c r="F22" s="517">
        <v>150</v>
      </c>
      <c r="G22" s="315">
        <f t="shared" si="4"/>
        <v>3612300</v>
      </c>
      <c r="H22" s="951"/>
      <c r="I22" s="793">
        <f t="shared" ref="I22:I49" si="5">G22</f>
        <v>3612300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792" t="s">
        <v>586</v>
      </c>
      <c r="C23" s="506"/>
      <c r="D23" s="507">
        <v>7125</v>
      </c>
      <c r="E23" s="508" t="s">
        <v>179</v>
      </c>
      <c r="F23" s="517">
        <f xml:space="preserve"> 95+55</f>
        <v>150</v>
      </c>
      <c r="G23" s="315">
        <f t="shared" si="4"/>
        <v>1068750</v>
      </c>
      <c r="H23" s="951"/>
      <c r="I23" s="793">
        <f t="shared" si="5"/>
        <v>1068750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/>
      <c r="C24" s="506"/>
      <c r="D24" s="507"/>
      <c r="E24" s="508"/>
      <c r="F24" s="517"/>
      <c r="G24" s="315">
        <f t="shared" si="4"/>
        <v>0</v>
      </c>
      <c r="H24" s="951"/>
      <c r="I24" s="793">
        <f t="shared" si="5"/>
        <v>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992" t="s">
        <v>587</v>
      </c>
      <c r="C25" s="506"/>
      <c r="D25" s="507">
        <f>1867+1867+800</f>
        <v>4534</v>
      </c>
      <c r="E25" s="508" t="s">
        <v>179</v>
      </c>
      <c r="F25" s="517">
        <v>165</v>
      </c>
      <c r="G25" s="315">
        <f t="shared" si="4"/>
        <v>748110</v>
      </c>
      <c r="H25" s="951"/>
      <c r="I25" s="793">
        <f t="shared" si="5"/>
        <v>748110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992" t="s">
        <v>588</v>
      </c>
      <c r="C26" s="506"/>
      <c r="D26" s="507">
        <v>1534</v>
      </c>
      <c r="E26" s="508" t="s">
        <v>179</v>
      </c>
      <c r="F26" s="517">
        <v>100</v>
      </c>
      <c r="G26" s="315">
        <f t="shared" si="4"/>
        <v>153400</v>
      </c>
      <c r="H26" s="951"/>
      <c r="I26" s="793">
        <f t="shared" si="5"/>
        <v>153400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/>
      <c r="C27" s="506"/>
      <c r="D27" s="507"/>
      <c r="E27" s="508"/>
      <c r="F27" s="517"/>
      <c r="G27" s="315">
        <f t="shared" si="4"/>
        <v>0</v>
      </c>
      <c r="H27" s="951"/>
      <c r="I27" s="793">
        <f t="shared" si="5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si="4"/>
        <v>0</v>
      </c>
      <c r="H28" s="951"/>
      <c r="I28" s="793">
        <f t="shared" si="5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4"/>
        <v>0</v>
      </c>
      <c r="H29" s="951"/>
      <c r="I29" s="793">
        <f t="shared" si="5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4"/>
        <v>0</v>
      </c>
      <c r="H30" s="951"/>
      <c r="I30" s="793">
        <f t="shared" si="5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4"/>
        <v>0</v>
      </c>
      <c r="H31" s="951"/>
      <c r="I31" s="793">
        <f t="shared" si="5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4"/>
        <v>0</v>
      </c>
      <c r="H32" s="951"/>
      <c r="I32" s="793">
        <f t="shared" si="5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4"/>
        <v>0</v>
      </c>
      <c r="H33" s="951"/>
      <c r="I33" s="793">
        <f t="shared" si="5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4"/>
        <v>0</v>
      </c>
      <c r="H34" s="951"/>
      <c r="I34" s="793">
        <f t="shared" si="5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4"/>
        <v>0</v>
      </c>
      <c r="H35" s="951"/>
      <c r="I35" s="793">
        <f t="shared" si="5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4"/>
        <v>0</v>
      </c>
      <c r="H36" s="951"/>
      <c r="I36" s="793">
        <f t="shared" si="5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4"/>
        <v>0</v>
      </c>
      <c r="H37" s="951"/>
      <c r="I37" s="793">
        <f t="shared" si="5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4"/>
        <v>0</v>
      </c>
      <c r="H38" s="951"/>
      <c r="I38" s="793">
        <f t="shared" si="5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4"/>
        <v>0</v>
      </c>
      <c r="H39" s="951"/>
      <c r="I39" s="793">
        <f t="shared" si="5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4"/>
        <v>0</v>
      </c>
      <c r="H40" s="951"/>
      <c r="I40" s="793">
        <f t="shared" si="5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4"/>
        <v>0</v>
      </c>
      <c r="H41" s="951"/>
      <c r="I41" s="793">
        <f t="shared" si="5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4"/>
        <v>0</v>
      </c>
      <c r="H42" s="951"/>
      <c r="I42" s="793">
        <f t="shared" si="5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4"/>
        <v>0</v>
      </c>
      <c r="H43" s="951"/>
      <c r="I43" s="793">
        <f t="shared" si="5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4"/>
        <v>0</v>
      </c>
      <c r="H44" s="951"/>
      <c r="I44" s="793">
        <f t="shared" si="5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4"/>
        <v>0</v>
      </c>
      <c r="H45" s="951"/>
      <c r="I45" s="793">
        <f t="shared" si="5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4"/>
        <v>0</v>
      </c>
      <c r="H46" s="951"/>
      <c r="I46" s="793">
        <f t="shared" si="5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4"/>
        <v>0</v>
      </c>
      <c r="H47" s="951"/>
      <c r="I47" s="793">
        <f t="shared" si="5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4"/>
        <v>0</v>
      </c>
      <c r="H48" s="951"/>
      <c r="I48" s="793">
        <f t="shared" si="5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si="4"/>
        <v>0</v>
      </c>
      <c r="H49" s="951"/>
      <c r="I49" s="793">
        <f t="shared" si="5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8830610</v>
      </c>
      <c r="H51" s="21"/>
      <c r="I51" s="217">
        <f>SUBTOTAL(9,I21:I50)</f>
        <v>8830610</v>
      </c>
      <c r="J51" s="21"/>
      <c r="K51" s="217">
        <f>SUBTOTAL(9,K21:K50)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8830610</v>
      </c>
      <c r="H55" s="934"/>
      <c r="I55" s="933">
        <f>SUM(I51:I53)</f>
        <v>8830610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22.681963305532939</v>
      </c>
      <c r="H56" s="935"/>
      <c r="I56" s="936">
        <f>I55/'Area Calculations'!$G$5</f>
        <v>22.681963305532939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8"/>
      <c r="J57" s="938"/>
      <c r="K57" s="939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7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591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591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591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7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591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591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591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7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591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84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85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7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591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86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86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7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86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86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86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86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8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7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78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87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989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8830610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R9:S9"/>
    <mergeCell ref="A58:B58"/>
    <mergeCell ref="A62:B62"/>
    <mergeCell ref="A66:B66"/>
    <mergeCell ref="A70:B70"/>
    <mergeCell ref="J9:K9"/>
    <mergeCell ref="H9:I9"/>
    <mergeCell ref="L9:M9"/>
    <mergeCell ref="N9:O9"/>
    <mergeCell ref="P9:Q9"/>
    <mergeCell ref="A74:B74"/>
    <mergeCell ref="J8:K8"/>
    <mergeCell ref="H8:I8"/>
    <mergeCell ref="J5:K5"/>
    <mergeCell ref="J6:K6"/>
    <mergeCell ref="J7:K7"/>
    <mergeCell ref="H5:I5"/>
    <mergeCell ref="H6:I6"/>
    <mergeCell ref="H7:I7"/>
    <mergeCell ref="R7:S7"/>
    <mergeCell ref="R8:S8"/>
    <mergeCell ref="R5:S5"/>
    <mergeCell ref="R6:S6"/>
    <mergeCell ref="L8:M8"/>
    <mergeCell ref="N5:O5"/>
    <mergeCell ref="N6:O6"/>
    <mergeCell ref="N7:O7"/>
    <mergeCell ref="N8:O8"/>
    <mergeCell ref="L5:M5"/>
    <mergeCell ref="L6:M6"/>
    <mergeCell ref="L7:M7"/>
    <mergeCell ref="P5:Q5"/>
    <mergeCell ref="P6:Q6"/>
    <mergeCell ref="P7:Q7"/>
    <mergeCell ref="P8:Q8"/>
  </mergeCells>
  <conditionalFormatting sqref="H11:H18 J11:J18 L11:L18 N11:N18 P11:P18 R11:R18">
    <cfRule type="cellIs" dxfId="101" priority="7" operator="equal">
      <formula>"X"</formula>
    </cfRule>
    <cfRule type="cellIs" dxfId="100" priority="8" operator="equal">
      <formula>"I"</formula>
    </cfRule>
  </conditionalFormatting>
  <conditionalFormatting sqref="H20:H50">
    <cfRule type="cellIs" dxfId="99" priority="1" operator="equal">
      <formula>"X"</formula>
    </cfRule>
    <cfRule type="cellIs" dxfId="98" priority="2" operator="equal">
      <formula>"I"</formula>
    </cfRule>
  </conditionalFormatting>
  <conditionalFormatting sqref="J20:J50 L20:L50 N20:N50 P20:P50 R20:R50">
    <cfRule type="cellIs" dxfId="97" priority="3" operator="equal">
      <formula>"X"</formula>
    </cfRule>
    <cfRule type="cellIs" dxfId="96" priority="4" operator="equal">
      <formula>"I"</formula>
    </cfRule>
  </conditionalFormatting>
  <hyperlinks>
    <hyperlink ref="B4" location="'Cost Summary'!A1" display="BACK TO SUMMARY SHEET" xr:uid="{3F4C3D25-8FAB-4F3D-A1E5-ACEB84052D46}"/>
  </hyperlinks>
  <pageMargins left="0.2" right="0.2" top="0.5" bottom="0.75" header="0.3" footer="0.3"/>
  <pageSetup paperSize="3" scale="79" fitToHeight="0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D3AD-BED8-4347-AE0C-6D4E6B880AD0}">
  <sheetPr>
    <tabColor rgb="FFFFFF00"/>
    <pageSetUpPr fitToPage="1"/>
  </sheetPr>
  <dimension ref="A1:AH97"/>
  <sheetViews>
    <sheetView zoomScale="90" zoomScaleNormal="90" workbookViewId="0">
      <pane ySplit="10" topLeftCell="A11" activePane="bottomLeft" state="frozen"/>
      <selection pane="bottomLeft" activeCell="G29" sqref="G29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  <col min="21" max="21" width="10" bestFit="1" customWidth="1"/>
    <col min="22" max="22" width="2.140625" bestFit="1" customWidth="1"/>
    <col min="23" max="23" width="11.140625" bestFit="1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/>
      <c r="I5" s="684"/>
      <c r="J5" s="683"/>
      <c r="K5" s="684"/>
      <c r="L5" s="683"/>
      <c r="M5" s="68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589</v>
      </c>
      <c r="C6" s="506"/>
      <c r="D6" s="507"/>
      <c r="E6" s="508"/>
      <c r="F6" s="506"/>
      <c r="G6" s="462" t="s">
        <v>446</v>
      </c>
      <c r="H6" s="685"/>
      <c r="I6" s="686"/>
      <c r="J6" s="685"/>
      <c r="K6" s="686"/>
      <c r="L6" s="685"/>
      <c r="M6" s="68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590</v>
      </c>
      <c r="C7" s="506"/>
      <c r="D7" s="507"/>
      <c r="E7" s="508"/>
      <c r="F7" s="506"/>
      <c r="G7" s="510" t="s">
        <v>448</v>
      </c>
      <c r="H7" s="687"/>
      <c r="I7" s="688"/>
      <c r="J7" s="687"/>
      <c r="K7" s="688"/>
      <c r="L7" s="687"/>
      <c r="M7" s="68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89"/>
      <c r="I8" s="690"/>
      <c r="J8" s="689"/>
      <c r="K8" s="690"/>
      <c r="L8" s="689"/>
      <c r="M8" s="69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2">
        <f t="shared" ref="H9" si="0">I$59</f>
        <v>167882</v>
      </c>
      <c r="I9" s="893"/>
      <c r="J9" s="892">
        <f t="shared" ref="J9" si="1">K$59</f>
        <v>0</v>
      </c>
      <c r="K9" s="893"/>
      <c r="L9" s="894">
        <f>M$59</f>
        <v>0</v>
      </c>
      <c r="M9" s="895"/>
      <c r="N9" s="892">
        <f t="shared" ref="N9" si="2">O$59</f>
        <v>0</v>
      </c>
      <c r="O9" s="893"/>
      <c r="P9" s="892">
        <f t="shared" ref="P9" si="3">Q$59</f>
        <v>0</v>
      </c>
      <c r="Q9" s="893"/>
      <c r="R9" s="892">
        <f t="shared" ref="R9" si="4">S$59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507"/>
      <c r="E11" s="508"/>
      <c r="F11" s="506"/>
      <c r="G11" s="60"/>
      <c r="H11" s="951"/>
      <c r="I11" s="183"/>
      <c r="J11" s="951"/>
      <c r="K11" s="783"/>
      <c r="L11" s="951"/>
      <c r="M11" s="782"/>
      <c r="N11" s="951"/>
      <c r="O11" s="783"/>
      <c r="P11" s="951"/>
      <c r="Q11" s="783"/>
      <c r="R11" s="951"/>
      <c r="S11" s="783"/>
    </row>
    <row r="12" spans="1:19">
      <c r="A12" s="784"/>
      <c r="B12" s="785" t="s">
        <v>461</v>
      </c>
      <c r="C12" s="506"/>
      <c r="D12" s="507"/>
      <c r="E12" s="508"/>
      <c r="F12" s="506"/>
      <c r="G12" s="60"/>
      <c r="H12" s="951"/>
      <c r="I12" s="783"/>
      <c r="J12" s="951"/>
      <c r="K12" s="783"/>
      <c r="L12" s="951"/>
      <c r="M12" s="782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3"/>
      <c r="J13" s="951"/>
      <c r="K13" s="783"/>
      <c r="L13" s="951"/>
      <c r="M13" s="782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3"/>
      <c r="J14" s="951"/>
      <c r="K14" s="783"/>
      <c r="L14" s="951"/>
      <c r="M14" s="782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3"/>
      <c r="J16" s="951"/>
      <c r="K16" s="783"/>
      <c r="L16" s="951"/>
      <c r="M16" s="782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3"/>
      <c r="J17" s="951"/>
      <c r="K17" s="783"/>
      <c r="L17" s="951"/>
      <c r="M17" s="782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3"/>
      <c r="J18" s="951"/>
      <c r="K18" s="783"/>
      <c r="L18" s="951"/>
      <c r="M18" s="782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1"/>
      <c r="J19" s="953"/>
      <c r="K19" s="791"/>
      <c r="L19" s="953"/>
      <c r="M19" s="790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 t="s">
        <v>591</v>
      </c>
      <c r="C21" s="506"/>
      <c r="D21" s="507">
        <f>SUM(D22:D27)</f>
        <v>25828</v>
      </c>
      <c r="E21" s="508" t="s">
        <v>179</v>
      </c>
      <c r="F21" s="517">
        <v>6.5</v>
      </c>
      <c r="G21" s="315">
        <f t="shared" ref="G21:G53" si="5">ROUND(D21*F21,0)</f>
        <v>167882</v>
      </c>
      <c r="H21" s="951"/>
      <c r="I21" s="793">
        <f>G21</f>
        <v>167882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918" t="s">
        <v>51</v>
      </c>
      <c r="C22" s="506"/>
      <c r="D22" s="507">
        <v>21363</v>
      </c>
      <c r="E22" s="508" t="s">
        <v>179</v>
      </c>
      <c r="F22" s="517"/>
      <c r="G22" s="315">
        <f t="shared" ref="G22:G26" si="6">ROUND(D22*F22,0)</f>
        <v>0</v>
      </c>
      <c r="H22" s="951"/>
      <c r="I22" s="793">
        <f t="shared" ref="I22:I26" si="7">G22</f>
        <v>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918" t="s">
        <v>52</v>
      </c>
      <c r="C23" s="506"/>
      <c r="D23" s="507">
        <v>19432</v>
      </c>
      <c r="E23" s="508" t="s">
        <v>179</v>
      </c>
      <c r="F23" s="517"/>
      <c r="G23" s="315">
        <f t="shared" si="6"/>
        <v>0</v>
      </c>
      <c r="H23" s="951"/>
      <c r="I23" s="793">
        <f t="shared" si="7"/>
        <v>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918" t="s">
        <v>53</v>
      </c>
      <c r="C24" s="506"/>
      <c r="D24" s="507">
        <v>34595</v>
      </c>
      <c r="E24" s="508" t="s">
        <v>179</v>
      </c>
      <c r="F24" s="517"/>
      <c r="G24" s="315">
        <f t="shared" si="6"/>
        <v>0</v>
      </c>
      <c r="H24" s="951"/>
      <c r="I24" s="793">
        <f t="shared" si="7"/>
        <v>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918" t="s">
        <v>54</v>
      </c>
      <c r="C25" s="506"/>
      <c r="D25" s="507">
        <v>35035</v>
      </c>
      <c r="E25" s="508" t="s">
        <v>179</v>
      </c>
      <c r="F25" s="517"/>
      <c r="G25" s="315">
        <f t="shared" si="6"/>
        <v>0</v>
      </c>
      <c r="H25" s="951"/>
      <c r="I25" s="793">
        <f t="shared" si="7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918" t="s">
        <v>592</v>
      </c>
      <c r="C26" s="506"/>
      <c r="D26" s="507">
        <f>-SUM('08 50 Storefront'!D21:D23)</f>
        <v>-65397</v>
      </c>
      <c r="E26" s="508" t="s">
        <v>179</v>
      </c>
      <c r="F26" s="517"/>
      <c r="G26" s="315">
        <f t="shared" si="6"/>
        <v>0</v>
      </c>
      <c r="H26" s="951"/>
      <c r="I26" s="793">
        <f t="shared" si="7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918" t="s">
        <v>593</v>
      </c>
      <c r="C27" s="506"/>
      <c r="D27" s="507">
        <f>-'07 42 Metal Panel'!D21</f>
        <v>-19200</v>
      </c>
      <c r="E27" s="508" t="s">
        <v>179</v>
      </c>
      <c r="F27" s="517"/>
      <c r="G27" s="315">
        <f t="shared" si="5"/>
        <v>0</v>
      </c>
      <c r="H27" s="951"/>
      <c r="I27" s="793">
        <f t="shared" ref="I27:I53" si="8">G27</f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si="5"/>
        <v>0</v>
      </c>
      <c r="H28" s="951"/>
      <c r="I28" s="793">
        <f t="shared" si="8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5"/>
        <v>0</v>
      </c>
      <c r="H29" s="951"/>
      <c r="I29" s="793">
        <f t="shared" si="8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5"/>
        <v>0</v>
      </c>
      <c r="H30" s="951"/>
      <c r="I30" s="793">
        <f t="shared" si="8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5"/>
        <v>0</v>
      </c>
      <c r="H31" s="951"/>
      <c r="I31" s="793">
        <f t="shared" si="8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5"/>
        <v>0</v>
      </c>
      <c r="H32" s="951"/>
      <c r="I32" s="793">
        <f t="shared" si="8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5"/>
        <v>0</v>
      </c>
      <c r="H33" s="951"/>
      <c r="I33" s="793">
        <f t="shared" si="8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5"/>
        <v>0</v>
      </c>
      <c r="H34" s="951"/>
      <c r="I34" s="793">
        <f t="shared" si="8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5"/>
        <v>0</v>
      </c>
      <c r="H35" s="951"/>
      <c r="I35" s="793">
        <f t="shared" si="8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5"/>
        <v>0</v>
      </c>
      <c r="H36" s="951"/>
      <c r="I36" s="793">
        <f t="shared" si="8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5"/>
        <v>0</v>
      </c>
      <c r="H37" s="951"/>
      <c r="I37" s="793">
        <f t="shared" si="8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5"/>
        <v>0</v>
      </c>
      <c r="H38" s="951"/>
      <c r="I38" s="793">
        <f t="shared" si="8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5"/>
        <v>0</v>
      </c>
      <c r="H39" s="951"/>
      <c r="I39" s="793">
        <f t="shared" si="8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5"/>
        <v>0</v>
      </c>
      <c r="H40" s="951"/>
      <c r="I40" s="793">
        <f t="shared" si="8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5"/>
        <v>0</v>
      </c>
      <c r="H41" s="951"/>
      <c r="I41" s="793">
        <f t="shared" si="8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5"/>
        <v>0</v>
      </c>
      <c r="H42" s="951"/>
      <c r="I42" s="793">
        <f t="shared" si="8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5"/>
        <v>0</v>
      </c>
      <c r="H43" s="951"/>
      <c r="I43" s="793">
        <f t="shared" si="8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5"/>
        <v>0</v>
      </c>
      <c r="H44" s="951"/>
      <c r="I44" s="793">
        <f t="shared" si="8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5"/>
        <v>0</v>
      </c>
      <c r="H45" s="951"/>
      <c r="I45" s="793">
        <f t="shared" si="8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5"/>
        <v>0</v>
      </c>
      <c r="H46" s="951"/>
      <c r="I46" s="793">
        <f t="shared" si="8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5"/>
        <v>0</v>
      </c>
      <c r="H47" s="951"/>
      <c r="I47" s="793">
        <f t="shared" si="8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5"/>
        <v>0</v>
      </c>
      <c r="H48" s="951"/>
      <c r="I48" s="793">
        <f t="shared" si="8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19">
      <c r="A49" s="952"/>
      <c r="B49" s="792"/>
      <c r="C49" s="506"/>
      <c r="D49" s="507"/>
      <c r="E49" s="508"/>
      <c r="F49" s="517"/>
      <c r="G49" s="315">
        <f t="shared" si="5"/>
        <v>0</v>
      </c>
      <c r="H49" s="951"/>
      <c r="I49" s="793">
        <f t="shared" si="8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19">
      <c r="A50" s="952"/>
      <c r="B50" s="792"/>
      <c r="C50" s="506"/>
      <c r="D50" s="507"/>
      <c r="E50" s="508"/>
      <c r="F50" s="517"/>
      <c r="G50" s="315">
        <f t="shared" si="5"/>
        <v>0</v>
      </c>
      <c r="H50" s="951"/>
      <c r="I50" s="793">
        <f t="shared" si="8"/>
        <v>0</v>
      </c>
      <c r="J50" s="951"/>
      <c r="K50" s="793"/>
      <c r="L50" s="951"/>
      <c r="M50" s="794"/>
      <c r="N50" s="951"/>
      <c r="O50" s="794"/>
      <c r="P50" s="951"/>
      <c r="Q50" s="794"/>
      <c r="R50" s="951"/>
      <c r="S50" s="794"/>
    </row>
    <row r="51" spans="1:19">
      <c r="A51" s="952"/>
      <c r="B51" s="792"/>
      <c r="C51" s="506"/>
      <c r="D51" s="507"/>
      <c r="E51" s="508"/>
      <c r="F51" s="517"/>
      <c r="G51" s="315">
        <f t="shared" si="5"/>
        <v>0</v>
      </c>
      <c r="H51" s="951"/>
      <c r="I51" s="793">
        <f t="shared" si="8"/>
        <v>0</v>
      </c>
      <c r="J51" s="951"/>
      <c r="K51" s="793"/>
      <c r="L51" s="951"/>
      <c r="M51" s="794"/>
      <c r="N51" s="951"/>
      <c r="O51" s="794"/>
      <c r="P51" s="951"/>
      <c r="Q51" s="794"/>
      <c r="R51" s="951"/>
      <c r="S51" s="794"/>
    </row>
    <row r="52" spans="1:19">
      <c r="A52" s="952"/>
      <c r="B52" s="792"/>
      <c r="C52" s="506"/>
      <c r="D52" s="507"/>
      <c r="E52" s="508"/>
      <c r="F52" s="517"/>
      <c r="G52" s="315">
        <f t="shared" si="5"/>
        <v>0</v>
      </c>
      <c r="H52" s="951"/>
      <c r="I52" s="793">
        <f t="shared" si="8"/>
        <v>0</v>
      </c>
      <c r="J52" s="951"/>
      <c r="K52" s="793"/>
      <c r="L52" s="951"/>
      <c r="M52" s="794"/>
      <c r="N52" s="951"/>
      <c r="O52" s="794"/>
      <c r="P52" s="951"/>
      <c r="Q52" s="794"/>
      <c r="R52" s="951"/>
      <c r="S52" s="794"/>
    </row>
    <row r="53" spans="1:19">
      <c r="A53" s="952"/>
      <c r="B53" s="792"/>
      <c r="C53" s="506"/>
      <c r="D53" s="507"/>
      <c r="E53" s="508"/>
      <c r="F53" s="517"/>
      <c r="G53" s="315">
        <f t="shared" si="5"/>
        <v>0</v>
      </c>
      <c r="H53" s="951"/>
      <c r="I53" s="793">
        <f t="shared" si="8"/>
        <v>0</v>
      </c>
      <c r="J53" s="951"/>
      <c r="K53" s="793"/>
      <c r="L53" s="951"/>
      <c r="M53" s="794"/>
      <c r="N53" s="951"/>
      <c r="O53" s="794"/>
      <c r="P53" s="951"/>
      <c r="Q53" s="794"/>
      <c r="R53" s="951"/>
      <c r="S53" s="794"/>
    </row>
    <row r="54" spans="1:19" ht="15.75" thickBot="1">
      <c r="A54" s="952"/>
      <c r="B54" s="518"/>
      <c r="C54" s="491"/>
      <c r="D54" s="922"/>
      <c r="E54" s="508"/>
      <c r="F54" s="492"/>
      <c r="G54" s="315"/>
      <c r="H54" s="951"/>
      <c r="I54" s="793"/>
      <c r="J54" s="951"/>
      <c r="K54" s="793"/>
      <c r="L54" s="951"/>
      <c r="M54" s="793"/>
      <c r="N54" s="951"/>
      <c r="O54" s="793"/>
      <c r="P54" s="951"/>
      <c r="Q54" s="793"/>
      <c r="R54" s="951"/>
      <c r="S54" s="793"/>
    </row>
    <row r="55" spans="1:19" ht="15.75" thickTop="1">
      <c r="A55" s="15"/>
      <c r="B55" s="218" t="s">
        <v>518</v>
      </c>
      <c r="C55" s="17"/>
      <c r="D55" s="168"/>
      <c r="E55" s="177"/>
      <c r="F55" s="19"/>
      <c r="G55" s="219">
        <f>SUBTOTAL(9,G21:G54)</f>
        <v>167882</v>
      </c>
      <c r="H55" s="21"/>
      <c r="I55" s="217">
        <f>SUBTOTAL(9,I21:I54)</f>
        <v>167882</v>
      </c>
      <c r="J55" s="21"/>
      <c r="K55" s="217">
        <f>SUBTOTAL(9,K21:K54)</f>
        <v>0</v>
      </c>
      <c r="L55" s="21"/>
      <c r="M55" s="217">
        <f>SUBTOTAL(9,M21:M54)</f>
        <v>0</v>
      </c>
      <c r="N55" s="21"/>
      <c r="O55" s="162">
        <f>SUM(O19:O54)</f>
        <v>0</v>
      </c>
      <c r="P55" s="21"/>
      <c r="Q55" s="162">
        <f>SUM(Q19:Q54)</f>
        <v>0</v>
      </c>
      <c r="R55" s="21"/>
      <c r="S55" s="162">
        <f>SUM(S19:S54)</f>
        <v>0</v>
      </c>
    </row>
    <row r="56" spans="1:19">
      <c r="A56" s="930"/>
      <c r="B56" s="923" t="s">
        <v>471</v>
      </c>
      <c r="C56" s="493"/>
      <c r="D56" s="924"/>
      <c r="E56" s="925"/>
      <c r="F56" s="494"/>
      <c r="G56" s="901"/>
      <c r="H56" s="931">
        <v>0</v>
      </c>
      <c r="I56" s="163"/>
      <c r="J56" s="931">
        <v>0</v>
      </c>
      <c r="K56" s="163"/>
      <c r="L56" s="931">
        <v>0</v>
      </c>
      <c r="M56" s="163"/>
      <c r="N56" s="931">
        <v>0</v>
      </c>
      <c r="O56" s="163"/>
      <c r="P56" s="931">
        <v>0</v>
      </c>
      <c r="Q56" s="163"/>
      <c r="R56" s="931">
        <v>0</v>
      </c>
      <c r="S56" s="163"/>
    </row>
    <row r="57" spans="1:19">
      <c r="A57" s="930"/>
      <c r="B57" s="923" t="s">
        <v>472</v>
      </c>
      <c r="C57" s="493"/>
      <c r="D57" s="924"/>
      <c r="E57" s="925"/>
      <c r="F57" s="494"/>
      <c r="G57" s="901">
        <f>F56*G55</f>
        <v>0</v>
      </c>
      <c r="H57" s="932"/>
      <c r="I57" s="933">
        <f>H56*I55</f>
        <v>0</v>
      </c>
      <c r="J57" s="932"/>
      <c r="K57" s="933">
        <f>J56*K55</f>
        <v>0</v>
      </c>
      <c r="L57" s="932"/>
      <c r="M57" s="933">
        <f>L56*M55</f>
        <v>0</v>
      </c>
      <c r="N57" s="932"/>
      <c r="O57" s="933">
        <f>N56*O55</f>
        <v>0</v>
      </c>
      <c r="P57" s="932"/>
      <c r="Q57" s="933">
        <f>P56*Q55</f>
        <v>0</v>
      </c>
      <c r="R57" s="932"/>
      <c r="S57" s="933">
        <f>R56*S55</f>
        <v>0</v>
      </c>
    </row>
    <row r="58" spans="1:19">
      <c r="A58" s="930"/>
      <c r="B58" s="923"/>
      <c r="C58" s="493"/>
      <c r="D58" s="924"/>
      <c r="E58" s="925"/>
      <c r="F58" s="494"/>
      <c r="G58" s="901"/>
      <c r="H58" s="932"/>
      <c r="I58" s="933"/>
      <c r="J58" s="932"/>
      <c r="K58" s="933"/>
      <c r="L58" s="932"/>
      <c r="M58" s="933"/>
      <c r="N58" s="932"/>
      <c r="O58" s="933"/>
      <c r="P58" s="932"/>
      <c r="Q58" s="933"/>
      <c r="R58" s="932"/>
      <c r="S58" s="933"/>
    </row>
    <row r="59" spans="1:19">
      <c r="A59" s="930"/>
      <c r="B59" s="923" t="s">
        <v>473</v>
      </c>
      <c r="C59" s="493"/>
      <c r="D59" s="924"/>
      <c r="E59" s="925"/>
      <c r="F59" s="494"/>
      <c r="G59" s="901">
        <f>SUM(G55:G57)</f>
        <v>167882</v>
      </c>
      <c r="H59" s="934"/>
      <c r="I59" s="933">
        <f>SUM(I55:I57)</f>
        <v>167882</v>
      </c>
      <c r="J59" s="934"/>
      <c r="K59" s="933">
        <f>SUM(K55:K57)</f>
        <v>0</v>
      </c>
      <c r="L59" s="934"/>
      <c r="M59" s="933">
        <f>SUM(M55:M57)</f>
        <v>0</v>
      </c>
      <c r="N59" s="934"/>
      <c r="O59" s="933">
        <f>SUM(O55:O57)</f>
        <v>0</v>
      </c>
      <c r="P59" s="934"/>
      <c r="Q59" s="933">
        <f>SUM(Q55:Q57)</f>
        <v>0</v>
      </c>
      <c r="R59" s="934"/>
      <c r="S59" s="933">
        <f>SUM(S55:S57)</f>
        <v>0</v>
      </c>
    </row>
    <row r="60" spans="1:19">
      <c r="A60" s="930"/>
      <c r="B60" s="495" t="s">
        <v>474</v>
      </c>
      <c r="C60" s="493"/>
      <c r="D60" s="924"/>
      <c r="E60" s="925"/>
      <c r="F60" s="495"/>
      <c r="G60" s="902">
        <f>G59/'Area Calculations'!$G$5</f>
        <v>0.43121521204758001</v>
      </c>
      <c r="H60" s="935"/>
      <c r="I60" s="936">
        <f>I59/'Area Calculations'!$G$5</f>
        <v>0.43121521204758001</v>
      </c>
      <c r="J60" s="935"/>
      <c r="K60" s="936">
        <f>K59/'Area Calculations'!$G$5</f>
        <v>0</v>
      </c>
      <c r="L60" s="935"/>
      <c r="M60" s="936">
        <f>M59/'Area Calculations'!$G$5</f>
        <v>0</v>
      </c>
      <c r="N60" s="935"/>
      <c r="O60" s="936">
        <f>O59/'Area Calculations'!$G$5</f>
        <v>0</v>
      </c>
      <c r="P60" s="935"/>
      <c r="Q60" s="936">
        <f>Q59/'Area Calculations'!$G$5</f>
        <v>0</v>
      </c>
      <c r="R60" s="937"/>
      <c r="S60" s="936">
        <f>S59/'Area Calculations'!$G$5</f>
        <v>0</v>
      </c>
    </row>
    <row r="61" spans="1:19" ht="15.75" thickBot="1">
      <c r="A61" s="930"/>
      <c r="B61" s="496"/>
      <c r="C61" s="493"/>
      <c r="D61" s="924"/>
      <c r="E61" s="925"/>
      <c r="F61" s="494"/>
      <c r="G61" s="464"/>
      <c r="H61" s="938"/>
      <c r="I61" s="938"/>
      <c r="J61" s="938"/>
      <c r="K61" s="938"/>
      <c r="L61" s="938"/>
      <c r="M61" s="939"/>
      <c r="N61" s="938"/>
      <c r="O61" s="938"/>
      <c r="P61" s="938"/>
      <c r="Q61" s="938"/>
      <c r="R61" s="938"/>
      <c r="S61" s="938"/>
    </row>
    <row r="62" spans="1:19" ht="16.5" thickTop="1" thickBot="1">
      <c r="A62" s="691" t="s">
        <v>475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7"/>
      <c r="M62" s="22"/>
      <c r="N62" s="22"/>
      <c r="O62" s="22"/>
      <c r="P62" s="22"/>
      <c r="Q62" s="22"/>
      <c r="R62" s="22"/>
      <c r="S62" s="22"/>
    </row>
    <row r="63" spans="1:19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591"/>
      <c r="M63" s="799"/>
      <c r="N63" s="799"/>
      <c r="O63" s="799"/>
      <c r="P63" s="799"/>
      <c r="Q63" s="799"/>
      <c r="R63" s="799"/>
      <c r="S63" s="799"/>
    </row>
    <row r="64" spans="1:19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591"/>
      <c r="M64" s="799"/>
      <c r="N64" s="799"/>
      <c r="O64" s="799"/>
      <c r="P64" s="799"/>
      <c r="Q64" s="799"/>
      <c r="R64" s="799"/>
      <c r="S64" s="799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591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476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7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591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795"/>
      <c r="B68" s="497"/>
      <c r="C68" s="796"/>
      <c r="D68" s="851"/>
      <c r="E68" s="852"/>
      <c r="F68" s="796"/>
      <c r="G68" s="798"/>
      <c r="H68" s="799"/>
      <c r="I68" s="799"/>
      <c r="J68" s="799"/>
      <c r="K68" s="799"/>
      <c r="L68" s="591"/>
      <c r="M68" s="799"/>
      <c r="N68" s="799"/>
      <c r="O68" s="799"/>
      <c r="P68" s="799"/>
      <c r="Q68" s="799"/>
      <c r="R68" s="799"/>
      <c r="S68" s="799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5.75" thickBot="1">
      <c r="A69" s="795"/>
      <c r="B69" s="497"/>
      <c r="C69" s="796"/>
      <c r="D69" s="851"/>
      <c r="E69" s="852"/>
      <c r="F69" s="796"/>
      <c r="G69" s="798"/>
      <c r="H69" s="799"/>
      <c r="I69" s="799"/>
      <c r="J69" s="799"/>
      <c r="K69" s="799"/>
      <c r="L69" s="591"/>
      <c r="M69" s="799"/>
      <c r="N69" s="799"/>
      <c r="O69" s="799"/>
      <c r="P69" s="799"/>
      <c r="Q69" s="799"/>
      <c r="R69" s="799"/>
      <c r="S69" s="799"/>
    </row>
    <row r="70" spans="1:34" s="2" customFormat="1" ht="16.5" thickTop="1" thickBot="1">
      <c r="A70" s="691" t="s">
        <v>477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7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s="2" customFormat="1" ht="15.75" thickTop="1">
      <c r="A71" s="795"/>
      <c r="B71" s="497"/>
      <c r="C71" s="796"/>
      <c r="D71" s="851"/>
      <c r="E71" s="852"/>
      <c r="F71" s="796"/>
      <c r="G71" s="798"/>
      <c r="H71" s="799"/>
      <c r="I71" s="799"/>
      <c r="J71" s="799"/>
      <c r="K71" s="799"/>
      <c r="L71" s="591"/>
      <c r="M71" s="799"/>
      <c r="N71" s="799"/>
      <c r="O71" s="799"/>
      <c r="P71" s="799"/>
      <c r="Q71" s="799"/>
      <c r="R71" s="799"/>
      <c r="S71" s="799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s="2" customFormat="1">
      <c r="A72" s="940"/>
      <c r="B72" s="497"/>
      <c r="C72" s="506"/>
      <c r="D72" s="507"/>
      <c r="E72" s="508"/>
      <c r="F72" s="506"/>
      <c r="G72" s="498"/>
      <c r="H72" s="941"/>
      <c r="I72" s="941"/>
      <c r="J72" s="941"/>
      <c r="K72" s="941"/>
      <c r="L72" s="984"/>
      <c r="M72" s="941"/>
      <c r="N72" s="941"/>
      <c r="O72" s="941"/>
      <c r="P72" s="941"/>
      <c r="Q72" s="941"/>
      <c r="R72" s="941"/>
      <c r="S72" s="941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s="2" customFormat="1" ht="15.75" thickBot="1">
      <c r="A73" s="942"/>
      <c r="B73" s="501"/>
      <c r="C73" s="506"/>
      <c r="D73" s="507"/>
      <c r="E73" s="508"/>
      <c r="F73" s="506"/>
      <c r="G73" s="498"/>
      <c r="H73" s="943"/>
      <c r="I73" s="943"/>
      <c r="J73" s="943"/>
      <c r="K73" s="943"/>
      <c r="L73" s="985"/>
      <c r="M73" s="943"/>
      <c r="N73" s="943"/>
      <c r="O73" s="943"/>
      <c r="P73" s="943"/>
      <c r="Q73" s="943"/>
      <c r="R73" s="943"/>
      <c r="S73" s="943"/>
    </row>
    <row r="74" spans="1:34" s="2" customFormat="1" ht="16.5" thickTop="1" thickBot="1">
      <c r="A74" s="691" t="s">
        <v>478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7"/>
      <c r="M74" s="22"/>
      <c r="N74" s="22"/>
      <c r="O74" s="22"/>
      <c r="P74" s="22"/>
      <c r="Q74" s="22"/>
      <c r="R74" s="22"/>
      <c r="S74" s="22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5.75" thickTop="1">
      <c r="A75" s="800"/>
      <c r="B75" s="801"/>
      <c r="C75" s="796"/>
      <c r="D75" s="851"/>
      <c r="E75" s="852"/>
      <c r="F75" s="796"/>
      <c r="G75" s="798"/>
      <c r="H75" s="799"/>
      <c r="I75" s="799"/>
      <c r="J75" s="799"/>
      <c r="K75" s="799"/>
      <c r="L75" s="591"/>
      <c r="M75" s="799"/>
      <c r="N75" s="799"/>
      <c r="O75" s="799"/>
      <c r="P75" s="799"/>
      <c r="Q75" s="799"/>
      <c r="R75" s="799"/>
      <c r="S75" s="799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>
      <c r="A76" s="942"/>
      <c r="B76" s="501"/>
      <c r="C76" s="506"/>
      <c r="D76" s="507"/>
      <c r="E76" s="508"/>
      <c r="F76" s="506"/>
      <c r="G76" s="498"/>
      <c r="H76" s="944"/>
      <c r="I76" s="944"/>
      <c r="J76" s="944"/>
      <c r="K76" s="944"/>
      <c r="L76" s="986"/>
      <c r="M76" s="944"/>
      <c r="N76" s="944"/>
      <c r="O76" s="944"/>
      <c r="P76" s="944"/>
      <c r="Q76" s="944"/>
      <c r="R76" s="944"/>
      <c r="S76" s="944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5.75" thickBot="1">
      <c r="A77" s="942"/>
      <c r="B77" s="501"/>
      <c r="C77" s="506"/>
      <c r="D77" s="507"/>
      <c r="E77" s="508"/>
      <c r="F77" s="506"/>
      <c r="G77" s="498"/>
      <c r="H77" s="944"/>
      <c r="I77" s="944"/>
      <c r="J77" s="944"/>
      <c r="K77" s="944"/>
      <c r="L77" s="986"/>
      <c r="M77" s="944"/>
      <c r="N77" s="944"/>
      <c r="O77" s="944"/>
      <c r="P77" s="944"/>
      <c r="Q77" s="944"/>
      <c r="R77" s="944"/>
      <c r="S77" s="944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6.5" thickTop="1" thickBot="1">
      <c r="A78" s="691" t="s">
        <v>479</v>
      </c>
      <c r="B78" s="692"/>
      <c r="C78" s="14"/>
      <c r="D78" s="169"/>
      <c r="E78" s="178"/>
      <c r="F78" s="14"/>
      <c r="G78" s="220"/>
      <c r="H78" s="22"/>
      <c r="I78" s="22"/>
      <c r="J78" s="22"/>
      <c r="K78" s="22"/>
      <c r="L78" s="27"/>
      <c r="M78" s="22"/>
      <c r="N78" s="22"/>
      <c r="O78" s="22"/>
      <c r="P78" s="22"/>
      <c r="Q78" s="22"/>
      <c r="R78" s="22"/>
      <c r="S78" s="22"/>
    </row>
    <row r="79" spans="1:34" ht="15.75" thickTop="1">
      <c r="A79" s="940"/>
      <c r="B79" s="497" t="s">
        <v>480</v>
      </c>
      <c r="C79" s="506"/>
      <c r="D79" s="507"/>
      <c r="E79" s="508"/>
      <c r="F79" s="506"/>
      <c r="G79" s="498"/>
      <c r="H79" s="944"/>
      <c r="I79" s="944"/>
      <c r="J79" s="944"/>
      <c r="K79" s="944"/>
      <c r="L79" s="986"/>
      <c r="M79" s="944"/>
      <c r="N79" s="944"/>
      <c r="O79" s="944"/>
      <c r="P79" s="944"/>
      <c r="Q79" s="944"/>
      <c r="R79" s="944"/>
      <c r="S79" s="944"/>
    </row>
    <row r="80" spans="1:34">
      <c r="A80" s="940"/>
      <c r="B80" s="497" t="s">
        <v>481</v>
      </c>
      <c r="C80" s="506"/>
      <c r="D80" s="507"/>
      <c r="E80" s="508"/>
      <c r="F80" s="506"/>
      <c r="G80" s="498"/>
      <c r="H80" s="944"/>
      <c r="I80" s="944"/>
      <c r="J80" s="944"/>
      <c r="K80" s="944"/>
      <c r="L80" s="986"/>
      <c r="M80" s="944"/>
      <c r="N80" s="944"/>
      <c r="O80" s="944"/>
      <c r="P80" s="944"/>
      <c r="Q80" s="944"/>
      <c r="R80" s="944"/>
      <c r="S80" s="944"/>
    </row>
    <row r="81" spans="1:19">
      <c r="A81" s="940"/>
      <c r="B81" s="497" t="s">
        <v>482</v>
      </c>
      <c r="C81" s="506"/>
      <c r="D81" s="507"/>
      <c r="E81" s="508"/>
      <c r="F81" s="506"/>
      <c r="G81" s="498"/>
      <c r="H81" s="944"/>
      <c r="I81" s="944"/>
      <c r="J81" s="944"/>
      <c r="K81" s="944"/>
      <c r="L81" s="986"/>
      <c r="M81" s="944"/>
      <c r="N81" s="944"/>
      <c r="O81" s="944"/>
      <c r="P81" s="944"/>
      <c r="Q81" s="944"/>
      <c r="R81" s="944"/>
      <c r="S81" s="944"/>
    </row>
    <row r="82" spans="1:19">
      <c r="A82" s="940"/>
      <c r="B82" s="497" t="s">
        <v>483</v>
      </c>
      <c r="C82" s="506"/>
      <c r="D82" s="507"/>
      <c r="E82" s="508"/>
      <c r="F82" s="506"/>
      <c r="G82" s="498"/>
      <c r="H82" s="944"/>
      <c r="I82" s="944"/>
      <c r="J82" s="944"/>
      <c r="K82" s="944"/>
      <c r="L82" s="986"/>
      <c r="M82" s="944"/>
      <c r="N82" s="944"/>
      <c r="O82" s="944"/>
      <c r="P82" s="944"/>
      <c r="Q82" s="944"/>
      <c r="R82" s="944"/>
      <c r="S82" s="944"/>
    </row>
    <row r="83" spans="1:19" ht="15.75" thickBot="1">
      <c r="A83" s="23"/>
      <c r="B83" s="7"/>
      <c r="C83" s="8"/>
      <c r="D83" s="166"/>
      <c r="E83" s="172"/>
      <c r="F83" s="8"/>
      <c r="G83" s="221"/>
      <c r="H83" s="24"/>
      <c r="I83" s="24"/>
      <c r="J83" s="24"/>
      <c r="K83" s="24"/>
      <c r="L83" s="28"/>
      <c r="M83" s="24"/>
      <c r="N83" s="24"/>
      <c r="O83" s="24"/>
      <c r="P83" s="24"/>
      <c r="Q83" s="24"/>
      <c r="R83" s="24"/>
      <c r="S83" s="24"/>
    </row>
    <row r="84" spans="1:19" ht="16.5" thickTop="1" thickBot="1">
      <c r="A84" s="9" t="s">
        <v>484</v>
      </c>
      <c r="B84" s="10"/>
      <c r="C84" s="14"/>
      <c r="D84" s="169"/>
      <c r="E84" s="178"/>
      <c r="F84" s="14"/>
      <c r="G84" s="220"/>
      <c r="H84" s="22"/>
      <c r="I84" s="22"/>
      <c r="J84" s="22"/>
      <c r="K84" s="22"/>
      <c r="L84" s="27"/>
      <c r="M84" s="22"/>
      <c r="N84" s="22"/>
      <c r="O84" s="22"/>
      <c r="P84" s="22"/>
      <c r="Q84" s="22"/>
      <c r="R84" s="22"/>
      <c r="S84" s="22"/>
    </row>
    <row r="85" spans="1:19" ht="15.75" thickTop="1">
      <c r="A85" s="795"/>
      <c r="B85" s="802" t="s">
        <v>485</v>
      </c>
      <c r="C85" s="796"/>
      <c r="D85" s="851"/>
      <c r="E85" s="852"/>
      <c r="F85" s="796"/>
      <c r="G85" s="798"/>
      <c r="H85" s="803"/>
      <c r="I85" s="803"/>
      <c r="J85" s="803"/>
      <c r="K85" s="803"/>
      <c r="L85" s="783"/>
      <c r="M85" s="803"/>
      <c r="N85" s="803"/>
      <c r="O85" s="803"/>
      <c r="P85" s="803"/>
      <c r="Q85" s="803"/>
      <c r="R85" s="803"/>
      <c r="S85" s="803"/>
    </row>
    <row r="86" spans="1:19">
      <c r="A86" s="940"/>
      <c r="B86" s="497" t="s">
        <v>486</v>
      </c>
      <c r="C86" s="506"/>
      <c r="D86" s="507"/>
      <c r="E86" s="508"/>
      <c r="F86" s="506"/>
      <c r="G86" s="498"/>
      <c r="H86" s="945"/>
      <c r="I86" s="945"/>
      <c r="J86" s="945"/>
      <c r="K86" s="945"/>
      <c r="L86" s="987"/>
      <c r="M86" s="945"/>
      <c r="N86" s="945"/>
      <c r="O86" s="945"/>
      <c r="P86" s="945"/>
      <c r="Q86" s="945"/>
      <c r="R86" s="945"/>
      <c r="S86" s="945"/>
    </row>
    <row r="87" spans="1:19" ht="15.75" thickBot="1">
      <c r="A87" s="865"/>
      <c r="B87" s="866" t="s">
        <v>487</v>
      </c>
      <c r="C87" s="867"/>
      <c r="D87" s="868"/>
      <c r="E87" s="869"/>
      <c r="F87" s="867"/>
      <c r="G87" s="904"/>
      <c r="H87" s="871"/>
      <c r="I87" s="871"/>
      <c r="J87" s="871"/>
      <c r="K87" s="871"/>
      <c r="L87" s="989"/>
      <c r="M87" s="871"/>
      <c r="N87" s="871"/>
      <c r="O87" s="871"/>
      <c r="P87" s="871"/>
      <c r="Q87" s="871"/>
      <c r="R87" s="871"/>
      <c r="S87" s="871"/>
    </row>
    <row r="88" spans="1:19" ht="16.5" thickTop="1" thickBot="1"/>
    <row r="89" spans="1:19" ht="16.5" thickTop="1" thickBot="1">
      <c r="A89" s="42" t="s">
        <v>488</v>
      </c>
      <c r="B89" s="44"/>
    </row>
    <row r="90" spans="1:19" ht="15.75" thickTop="1">
      <c r="A90" s="43" t="s">
        <v>444</v>
      </c>
      <c r="B90" s="946"/>
    </row>
    <row r="91" spans="1:19">
      <c r="A91" s="504" t="s">
        <v>446</v>
      </c>
      <c r="B91" s="946"/>
    </row>
    <row r="92" spans="1:19">
      <c r="A92" s="947" t="s">
        <v>448</v>
      </c>
      <c r="B92" s="948"/>
    </row>
    <row r="93" spans="1:19">
      <c r="A93" s="947" t="s">
        <v>450</v>
      </c>
      <c r="B93" s="949"/>
    </row>
    <row r="94" spans="1:19" ht="15.75" thickBot="1">
      <c r="A94" s="878" t="s">
        <v>489</v>
      </c>
      <c r="B94" s="879">
        <f>$M$59</f>
        <v>0</v>
      </c>
    </row>
    <row r="95" spans="1:19" ht="15.75" thickTop="1"/>
    <row r="96" spans="1:19">
      <c r="A96" s="45"/>
      <c r="B96" s="1" t="s">
        <v>490</v>
      </c>
    </row>
    <row r="97" spans="1:2">
      <c r="A97" s="46"/>
      <c r="B97" s="1" t="s">
        <v>491</v>
      </c>
    </row>
  </sheetData>
  <mergeCells count="35">
    <mergeCell ref="A62:B62"/>
    <mergeCell ref="A66:B66"/>
    <mergeCell ref="A70:B70"/>
    <mergeCell ref="A74:B74"/>
    <mergeCell ref="A78:B78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5:S5"/>
    <mergeCell ref="H5:I5"/>
    <mergeCell ref="J5:K5"/>
    <mergeCell ref="L5:M5"/>
    <mergeCell ref="N5:O5"/>
    <mergeCell ref="P5:Q5"/>
  </mergeCells>
  <conditionalFormatting sqref="H11:H18 J11:J18 L11:L18 N11:N18 P11:P18 R11:R18">
    <cfRule type="cellIs" dxfId="95" priority="5" operator="equal">
      <formula>"X"</formula>
    </cfRule>
    <cfRule type="cellIs" dxfId="94" priority="6" operator="equal">
      <formula>"I"</formula>
    </cfRule>
  </conditionalFormatting>
  <conditionalFormatting sqref="H20:H54">
    <cfRule type="cellIs" dxfId="93" priority="1" operator="equal">
      <formula>"X"</formula>
    </cfRule>
    <cfRule type="cellIs" dxfId="92" priority="2" operator="equal">
      <formula>"I"</formula>
    </cfRule>
  </conditionalFormatting>
  <conditionalFormatting sqref="J20:J54 L20:L54 N20:N54 P20:P54 R20:R54">
    <cfRule type="cellIs" dxfId="91" priority="3" operator="equal">
      <formula>"X"</formula>
    </cfRule>
    <cfRule type="cellIs" dxfId="90" priority="4" operator="equal">
      <formula>"I"</formula>
    </cfRule>
  </conditionalFormatting>
  <hyperlinks>
    <hyperlink ref="B4" location="'Cost Summary'!A1" display="BACK TO SUMMARY SHEET" xr:uid="{86D34327-C941-45E8-B869-442E3F3AC9E0}"/>
  </hyperlinks>
  <pageMargins left="0.2" right="0.2" top="0.5" bottom="0.75" header="0.3" footer="0.3"/>
  <pageSetup paperSize="3" scale="79" fitToHeight="0" orientation="landscape" horizontalDpi="1200" verticalDpi="1200" r:id="rId1"/>
  <colBreaks count="1" manualBreakCount="1">
    <brk id="11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F9C2-0396-4F38-825D-79D85131EE63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B25" sqref="B25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  <col min="21" max="21" width="10" bestFit="1" customWidth="1"/>
    <col min="22" max="22" width="2.140625" bestFit="1" customWidth="1"/>
    <col min="23" max="23" width="11.140625" bestFit="1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/>
      <c r="I5" s="684"/>
      <c r="J5" s="683"/>
      <c r="K5" s="684"/>
      <c r="L5" s="683"/>
      <c r="M5" s="68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594</v>
      </c>
      <c r="C6" s="506"/>
      <c r="D6" s="507"/>
      <c r="E6" s="508"/>
      <c r="F6" s="506"/>
      <c r="G6" s="462" t="s">
        <v>446</v>
      </c>
      <c r="H6" s="685"/>
      <c r="I6" s="686"/>
      <c r="J6" s="685"/>
      <c r="K6" s="686"/>
      <c r="L6" s="685"/>
      <c r="M6" s="68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595</v>
      </c>
      <c r="C7" s="506"/>
      <c r="D7" s="507"/>
      <c r="E7" s="508"/>
      <c r="F7" s="506"/>
      <c r="G7" s="510" t="s">
        <v>448</v>
      </c>
      <c r="H7" s="687"/>
      <c r="I7" s="688"/>
      <c r="J7" s="687"/>
      <c r="K7" s="688"/>
      <c r="L7" s="687"/>
      <c r="M7" s="68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89"/>
      <c r="I8" s="690"/>
      <c r="J8" s="689"/>
      <c r="K8" s="690"/>
      <c r="L8" s="689"/>
      <c r="M8" s="69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2">
        <f t="shared" ref="H9" si="0">I$55</f>
        <v>2590290</v>
      </c>
      <c r="I9" s="893"/>
      <c r="J9" s="892">
        <f t="shared" ref="J9" si="1">K$55</f>
        <v>0</v>
      </c>
      <c r="K9" s="893"/>
      <c r="L9" s="894">
        <f>M$55</f>
        <v>0</v>
      </c>
      <c r="M9" s="895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507"/>
      <c r="E11" s="508"/>
      <c r="F11" s="506"/>
      <c r="G11" s="60"/>
      <c r="H11" s="951"/>
      <c r="I11" s="183"/>
      <c r="J11" s="951"/>
      <c r="K11" s="783"/>
      <c r="L11" s="951"/>
      <c r="M11" s="782"/>
      <c r="N11" s="951"/>
      <c r="O11" s="783"/>
      <c r="P11" s="951"/>
      <c r="Q11" s="783"/>
      <c r="R11" s="951"/>
      <c r="S11" s="783"/>
    </row>
    <row r="12" spans="1:19">
      <c r="A12" s="784"/>
      <c r="B12" s="785" t="s">
        <v>461</v>
      </c>
      <c r="C12" s="506"/>
      <c r="D12" s="507"/>
      <c r="E12" s="508"/>
      <c r="F12" s="506"/>
      <c r="G12" s="60"/>
      <c r="H12" s="951"/>
      <c r="I12" s="783"/>
      <c r="J12" s="951"/>
      <c r="K12" s="783"/>
      <c r="L12" s="951"/>
      <c r="M12" s="782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3"/>
      <c r="J13" s="951"/>
      <c r="K13" s="783"/>
      <c r="L13" s="951"/>
      <c r="M13" s="782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3"/>
      <c r="J14" s="951"/>
      <c r="K14" s="783"/>
      <c r="L14" s="951"/>
      <c r="M14" s="782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3"/>
      <c r="J16" s="951"/>
      <c r="K16" s="783"/>
      <c r="L16" s="951"/>
      <c r="M16" s="782"/>
      <c r="N16" s="951"/>
      <c r="O16" s="783"/>
      <c r="P16" s="951"/>
      <c r="Q16" s="783"/>
      <c r="R16" s="951"/>
      <c r="S16" s="783"/>
    </row>
    <row r="17" spans="1:21">
      <c r="A17" s="952"/>
      <c r="B17" s="787" t="s">
        <v>466</v>
      </c>
      <c r="C17" s="506"/>
      <c r="D17" s="507"/>
      <c r="E17" s="508"/>
      <c r="F17" s="506"/>
      <c r="G17" s="60"/>
      <c r="H17" s="951"/>
      <c r="I17" s="783"/>
      <c r="J17" s="951"/>
      <c r="K17" s="783"/>
      <c r="L17" s="951"/>
      <c r="M17" s="782"/>
      <c r="N17" s="951"/>
      <c r="O17" s="783"/>
      <c r="P17" s="951"/>
      <c r="Q17" s="783"/>
      <c r="R17" s="951"/>
      <c r="S17" s="783"/>
    </row>
    <row r="18" spans="1:21">
      <c r="A18" s="952"/>
      <c r="B18" s="788" t="s">
        <v>467</v>
      </c>
      <c r="C18" s="506"/>
      <c r="D18" s="507"/>
      <c r="E18" s="508"/>
      <c r="F18" s="506"/>
      <c r="G18" s="60"/>
      <c r="H18" s="951"/>
      <c r="I18" s="783"/>
      <c r="J18" s="951"/>
      <c r="K18" s="783"/>
      <c r="L18" s="951"/>
      <c r="M18" s="782"/>
      <c r="N18" s="951"/>
      <c r="O18" s="783"/>
      <c r="P18" s="951"/>
      <c r="Q18" s="783"/>
      <c r="R18" s="951"/>
      <c r="S18" s="783"/>
    </row>
    <row r="19" spans="1:21">
      <c r="A19" s="952"/>
      <c r="B19" s="789" t="s">
        <v>468</v>
      </c>
      <c r="C19" s="513"/>
      <c r="D19" s="514"/>
      <c r="E19" s="515"/>
      <c r="F19" s="516"/>
      <c r="G19" s="463"/>
      <c r="H19" s="953"/>
      <c r="I19" s="791"/>
      <c r="J19" s="953"/>
      <c r="K19" s="791"/>
      <c r="L19" s="953"/>
      <c r="M19" s="790"/>
      <c r="N19" s="953"/>
      <c r="O19" s="791"/>
      <c r="P19" s="953"/>
      <c r="Q19" s="791"/>
      <c r="R19" s="953"/>
      <c r="S19" s="791"/>
      <c r="U19" t="s">
        <v>596</v>
      </c>
    </row>
    <row r="20" spans="1:21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21">
      <c r="A21" s="952"/>
      <c r="B21" s="792" t="s">
        <v>597</v>
      </c>
      <c r="C21" s="506"/>
      <c r="D21" s="507">
        <f>SUM(D22:D26)</f>
        <v>86343</v>
      </c>
      <c r="E21" s="508" t="s">
        <v>179</v>
      </c>
      <c r="F21" s="517">
        <v>30</v>
      </c>
      <c r="G21" s="315">
        <f t="shared" ref="G21:G49" si="5">ROUND(D21*F21,0)</f>
        <v>2590290</v>
      </c>
      <c r="H21" s="951"/>
      <c r="I21" s="793">
        <f>G21</f>
        <v>2590290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21">
      <c r="A22" s="952"/>
      <c r="B22" s="918" t="s">
        <v>51</v>
      </c>
      <c r="C22" s="506"/>
      <c r="D22" s="507">
        <v>21363</v>
      </c>
      <c r="E22" s="508" t="s">
        <v>179</v>
      </c>
      <c r="F22" s="517"/>
      <c r="G22" s="315">
        <f t="shared" si="5"/>
        <v>0</v>
      </c>
      <c r="H22" s="951"/>
      <c r="I22" s="793">
        <f t="shared" ref="I22:I49" si="6">G22</f>
        <v>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21">
      <c r="A23" s="952"/>
      <c r="B23" s="918" t="s">
        <v>52</v>
      </c>
      <c r="C23" s="506"/>
      <c r="D23" s="507">
        <v>19432</v>
      </c>
      <c r="E23" s="508" t="s">
        <v>179</v>
      </c>
      <c r="F23" s="517"/>
      <c r="G23" s="315">
        <f t="shared" si="5"/>
        <v>0</v>
      </c>
      <c r="H23" s="951"/>
      <c r="I23" s="793">
        <f t="shared" si="6"/>
        <v>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21">
      <c r="A24" s="952"/>
      <c r="B24" s="918" t="s">
        <v>53</v>
      </c>
      <c r="C24" s="506"/>
      <c r="D24" s="507">
        <v>34595</v>
      </c>
      <c r="E24" s="508" t="s">
        <v>179</v>
      </c>
      <c r="F24" s="517"/>
      <c r="G24" s="315">
        <f t="shared" si="5"/>
        <v>0</v>
      </c>
      <c r="H24" s="951"/>
      <c r="I24" s="793">
        <f t="shared" si="6"/>
        <v>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21">
      <c r="A25" s="952"/>
      <c r="B25" s="918" t="s">
        <v>54</v>
      </c>
      <c r="C25" s="506"/>
      <c r="D25" s="507">
        <v>35035</v>
      </c>
      <c r="E25" s="508" t="s">
        <v>179</v>
      </c>
      <c r="F25" s="517"/>
      <c r="G25" s="315">
        <f t="shared" si="5"/>
        <v>0</v>
      </c>
      <c r="H25" s="951"/>
      <c r="I25" s="793">
        <f t="shared" si="6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21">
      <c r="A26" s="952"/>
      <c r="B26" s="918" t="s">
        <v>598</v>
      </c>
      <c r="C26" s="506"/>
      <c r="D26" s="507">
        <f>-'08 50 Storefront'!D22</f>
        <v>-24082</v>
      </c>
      <c r="E26" s="508" t="s">
        <v>179</v>
      </c>
      <c r="F26" s="517"/>
      <c r="G26" s="315">
        <f t="shared" si="5"/>
        <v>0</v>
      </c>
      <c r="H26" s="951"/>
      <c r="I26" s="793">
        <f t="shared" si="6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21">
      <c r="A27" s="952"/>
      <c r="B27" s="792"/>
      <c r="C27" s="506"/>
      <c r="D27" s="507"/>
      <c r="E27" s="508"/>
      <c r="F27" s="517"/>
      <c r="G27" s="315">
        <f t="shared" si="5"/>
        <v>0</v>
      </c>
      <c r="H27" s="951"/>
      <c r="I27" s="793">
        <f t="shared" si="6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21">
      <c r="A28" s="952"/>
      <c r="B28" s="792"/>
      <c r="C28" s="506"/>
      <c r="D28" s="507"/>
      <c r="E28" s="508"/>
      <c r="F28" s="517"/>
      <c r="G28" s="315">
        <f t="shared" si="5"/>
        <v>0</v>
      </c>
      <c r="H28" s="951"/>
      <c r="I28" s="793">
        <f t="shared" si="6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21">
      <c r="A29" s="952"/>
      <c r="B29" s="792"/>
      <c r="C29" s="506"/>
      <c r="D29" s="507"/>
      <c r="E29" s="508"/>
      <c r="F29" s="517"/>
      <c r="G29" s="315">
        <f t="shared" si="5"/>
        <v>0</v>
      </c>
      <c r="H29" s="951"/>
      <c r="I29" s="793">
        <f t="shared" si="6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21">
      <c r="A30" s="952"/>
      <c r="B30" s="792"/>
      <c r="C30" s="506"/>
      <c r="D30" s="507"/>
      <c r="E30" s="508"/>
      <c r="F30" s="517"/>
      <c r="G30" s="315">
        <f t="shared" si="5"/>
        <v>0</v>
      </c>
      <c r="H30" s="951"/>
      <c r="I30" s="793">
        <f t="shared" si="6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21">
      <c r="A31" s="952"/>
      <c r="B31" s="792"/>
      <c r="C31" s="506"/>
      <c r="D31" s="507"/>
      <c r="E31" s="508"/>
      <c r="F31" s="517"/>
      <c r="G31" s="315">
        <f t="shared" si="5"/>
        <v>0</v>
      </c>
      <c r="H31" s="951"/>
      <c r="I31" s="793">
        <f t="shared" si="6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21">
      <c r="A32" s="952"/>
      <c r="B32" s="792"/>
      <c r="C32" s="506"/>
      <c r="D32" s="507"/>
      <c r="E32" s="508"/>
      <c r="F32" s="517"/>
      <c r="G32" s="315">
        <f t="shared" si="5"/>
        <v>0</v>
      </c>
      <c r="H32" s="951"/>
      <c r="I32" s="793">
        <f t="shared" si="6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5"/>
        <v>0</v>
      </c>
      <c r="H33" s="951"/>
      <c r="I33" s="793">
        <f t="shared" si="6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5"/>
        <v>0</v>
      </c>
      <c r="H34" s="951"/>
      <c r="I34" s="793">
        <f t="shared" si="6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5"/>
        <v>0</v>
      </c>
      <c r="H35" s="951"/>
      <c r="I35" s="793">
        <f t="shared" si="6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5"/>
        <v>0</v>
      </c>
      <c r="H36" s="951"/>
      <c r="I36" s="793">
        <f t="shared" si="6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5"/>
        <v>0</v>
      </c>
      <c r="H37" s="951"/>
      <c r="I37" s="793">
        <f t="shared" si="6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5"/>
        <v>0</v>
      </c>
      <c r="H38" s="951"/>
      <c r="I38" s="793">
        <f t="shared" si="6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5"/>
        <v>0</v>
      </c>
      <c r="H39" s="951"/>
      <c r="I39" s="793">
        <f t="shared" si="6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5"/>
        <v>0</v>
      </c>
      <c r="H40" s="951"/>
      <c r="I40" s="793">
        <f t="shared" si="6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5"/>
        <v>0</v>
      </c>
      <c r="H41" s="951"/>
      <c r="I41" s="793">
        <f t="shared" si="6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5"/>
        <v>0</v>
      </c>
      <c r="H42" s="951"/>
      <c r="I42" s="793">
        <f t="shared" si="6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5"/>
        <v>0</v>
      </c>
      <c r="H43" s="951"/>
      <c r="I43" s="793">
        <f t="shared" si="6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5"/>
        <v>0</v>
      </c>
      <c r="H44" s="951"/>
      <c r="I44" s="793">
        <f t="shared" si="6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5"/>
        <v>0</v>
      </c>
      <c r="H45" s="951"/>
      <c r="I45" s="793">
        <f t="shared" si="6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5"/>
        <v>0</v>
      </c>
      <c r="H46" s="951"/>
      <c r="I46" s="793">
        <f t="shared" si="6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5"/>
        <v>0</v>
      </c>
      <c r="H47" s="951"/>
      <c r="I47" s="793">
        <f t="shared" si="6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5"/>
        <v>0</v>
      </c>
      <c r="H48" s="951"/>
      <c r="I48" s="793">
        <f t="shared" si="6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si="5"/>
        <v>0</v>
      </c>
      <c r="H49" s="951"/>
      <c r="I49" s="793">
        <f t="shared" si="6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2590290</v>
      </c>
      <c r="H51" s="21"/>
      <c r="I51" s="217">
        <f>SUBTOTAL(9,I21:I50)</f>
        <v>2590290</v>
      </c>
      <c r="J51" s="21"/>
      <c r="K51" s="217">
        <f>SUBTOTAL(9,K21:K50)</f>
        <v>0</v>
      </c>
      <c r="L51" s="21"/>
      <c r="M51" s="217">
        <f>SUBTOTAL(9,M21:M50)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2590290</v>
      </c>
      <c r="H55" s="934"/>
      <c r="I55" s="933">
        <f>SUM(I51:I53)</f>
        <v>2590290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6.6533187096575341</v>
      </c>
      <c r="H56" s="935"/>
      <c r="I56" s="936">
        <f>I55/'Area Calculations'!$G$5</f>
        <v>6.6533187096575341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8"/>
      <c r="J57" s="938"/>
      <c r="K57" s="938"/>
      <c r="L57" s="938"/>
      <c r="M57" s="939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7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591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591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591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7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591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591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591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7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591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84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85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7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591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86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86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7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86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86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86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86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8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7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78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87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989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$M$55</f>
        <v>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J5:K5"/>
    <mergeCell ref="J6:K6"/>
    <mergeCell ref="J7:K7"/>
    <mergeCell ref="J8:K8"/>
    <mergeCell ref="R9:S9"/>
    <mergeCell ref="L9:M9"/>
    <mergeCell ref="J9:K9"/>
    <mergeCell ref="N9:O9"/>
    <mergeCell ref="P9:Q9"/>
    <mergeCell ref="R5:S5"/>
    <mergeCell ref="R6:S6"/>
    <mergeCell ref="R7:S7"/>
    <mergeCell ref="R8:S8"/>
    <mergeCell ref="L5:M5"/>
    <mergeCell ref="L6:M6"/>
    <mergeCell ref="L7:M7"/>
    <mergeCell ref="H5:I5"/>
    <mergeCell ref="H6:I6"/>
    <mergeCell ref="H7:I7"/>
    <mergeCell ref="H8:I8"/>
    <mergeCell ref="A74:B74"/>
    <mergeCell ref="A58:B58"/>
    <mergeCell ref="A62:B62"/>
    <mergeCell ref="A66:B66"/>
    <mergeCell ref="A70:B70"/>
    <mergeCell ref="H9:I9"/>
    <mergeCell ref="L8:M8"/>
    <mergeCell ref="P5:Q5"/>
    <mergeCell ref="P6:Q6"/>
    <mergeCell ref="P7:Q7"/>
    <mergeCell ref="P8:Q8"/>
    <mergeCell ref="N5:O5"/>
    <mergeCell ref="N6:O6"/>
    <mergeCell ref="N7:O7"/>
    <mergeCell ref="N8:O8"/>
  </mergeCells>
  <conditionalFormatting sqref="H11:H18 J11:J18 L11:L18 N11:N18 P11:P18 R11:R18">
    <cfRule type="cellIs" dxfId="89" priority="7" operator="equal">
      <formula>"X"</formula>
    </cfRule>
    <cfRule type="cellIs" dxfId="88" priority="8" operator="equal">
      <formula>"I"</formula>
    </cfRule>
  </conditionalFormatting>
  <conditionalFormatting sqref="H20:H50">
    <cfRule type="cellIs" dxfId="87" priority="1" operator="equal">
      <formula>"X"</formula>
    </cfRule>
    <cfRule type="cellIs" dxfId="86" priority="2" operator="equal">
      <formula>"I"</formula>
    </cfRule>
  </conditionalFormatting>
  <conditionalFormatting sqref="J20:J50 L20:L50 N20:N50 P20:P50 R20:R50">
    <cfRule type="cellIs" dxfId="85" priority="3" operator="equal">
      <formula>"X"</formula>
    </cfRule>
    <cfRule type="cellIs" dxfId="84" priority="4" operator="equal">
      <formula>"I"</formula>
    </cfRule>
  </conditionalFormatting>
  <hyperlinks>
    <hyperlink ref="B4" location="'Cost Summary'!A1" display="BACK TO SUMMARY SHEET" xr:uid="{F407A31A-FE0A-49E1-9B75-9ABB259778CF}"/>
  </hyperlinks>
  <pageMargins left="0.2" right="0.2" top="0.5" bottom="0.75" header="0.3" footer="0.3"/>
  <pageSetup paperSize="3" scale="79" fitToHeight="0" orientation="landscape" horizontalDpi="1200" verticalDpi="1200" r:id="rId1"/>
  <colBreaks count="1" manualBreakCount="1">
    <brk id="11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92A2-E538-4E94-9413-EB16A1D5106D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B4" sqref="B4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 t="s">
        <v>599</v>
      </c>
      <c r="I5" s="68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144</v>
      </c>
      <c r="C6" s="506"/>
      <c r="D6" s="507"/>
      <c r="E6" s="508"/>
      <c r="F6" s="506"/>
      <c r="G6" s="462" t="s">
        <v>446</v>
      </c>
      <c r="H6" s="685" t="s">
        <v>600</v>
      </c>
      <c r="I6" s="68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601</v>
      </c>
      <c r="C7" s="506"/>
      <c r="D7" s="507"/>
      <c r="E7" s="508"/>
      <c r="F7" s="506"/>
      <c r="G7" s="510" t="s">
        <v>448</v>
      </c>
      <c r="H7" s="687" t="s">
        <v>602</v>
      </c>
      <c r="I7" s="68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89" t="s">
        <v>603</v>
      </c>
      <c r="I8" s="69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0</v>
      </c>
      <c r="I9" s="895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507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785" t="s">
        <v>461</v>
      </c>
      <c r="C12" s="506"/>
      <c r="D12" s="507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/>
      <c r="C21" s="506"/>
      <c r="D21" s="507"/>
      <c r="E21" s="508"/>
      <c r="F21" s="517"/>
      <c r="G21" s="315">
        <f t="shared" ref="G21:G49" si="5">ROUND(D21*F21,0)</f>
        <v>0</v>
      </c>
      <c r="H21" s="951"/>
      <c r="I21" s="793">
        <f>G21</f>
        <v>0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792"/>
      <c r="C22" s="506"/>
      <c r="D22" s="507"/>
      <c r="E22" s="508"/>
      <c r="F22" s="517"/>
      <c r="G22" s="315">
        <f t="shared" si="5"/>
        <v>0</v>
      </c>
      <c r="H22" s="951"/>
      <c r="I22" s="793">
        <f t="shared" ref="I22:I49" si="6">G22</f>
        <v>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792"/>
      <c r="C23" s="506"/>
      <c r="D23" s="507"/>
      <c r="E23" s="508"/>
      <c r="F23" s="517"/>
      <c r="G23" s="315">
        <f t="shared" si="5"/>
        <v>0</v>
      </c>
      <c r="H23" s="951"/>
      <c r="I23" s="793">
        <f t="shared" si="6"/>
        <v>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/>
      <c r="C24" s="506"/>
      <c r="D24" s="507"/>
      <c r="E24" s="508"/>
      <c r="F24" s="517"/>
      <c r="G24" s="315">
        <f t="shared" si="5"/>
        <v>0</v>
      </c>
      <c r="H24" s="951"/>
      <c r="I24" s="793">
        <f t="shared" si="6"/>
        <v>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792"/>
      <c r="C25" s="506"/>
      <c r="D25" s="507"/>
      <c r="E25" s="508"/>
      <c r="F25" s="517"/>
      <c r="G25" s="315">
        <f t="shared" si="5"/>
        <v>0</v>
      </c>
      <c r="H25" s="951"/>
      <c r="I25" s="793">
        <f t="shared" si="6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792"/>
      <c r="C26" s="506"/>
      <c r="D26" s="507"/>
      <c r="E26" s="508"/>
      <c r="F26" s="517"/>
      <c r="G26" s="315">
        <f t="shared" si="5"/>
        <v>0</v>
      </c>
      <c r="H26" s="951"/>
      <c r="I26" s="793">
        <f t="shared" si="6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/>
      <c r="C27" s="506"/>
      <c r="D27" s="507"/>
      <c r="E27" s="508"/>
      <c r="F27" s="517"/>
      <c r="G27" s="315">
        <f t="shared" si="5"/>
        <v>0</v>
      </c>
      <c r="H27" s="951"/>
      <c r="I27" s="793">
        <f t="shared" si="6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si="5"/>
        <v>0</v>
      </c>
      <c r="H28" s="951"/>
      <c r="I28" s="793">
        <f t="shared" si="6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5"/>
        <v>0</v>
      </c>
      <c r="H29" s="951"/>
      <c r="I29" s="793">
        <f t="shared" si="6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5"/>
        <v>0</v>
      </c>
      <c r="H30" s="951"/>
      <c r="I30" s="793">
        <f t="shared" si="6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5"/>
        <v>0</v>
      </c>
      <c r="H31" s="951"/>
      <c r="I31" s="793">
        <f t="shared" si="6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5"/>
        <v>0</v>
      </c>
      <c r="H32" s="951"/>
      <c r="I32" s="793">
        <f t="shared" si="6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5"/>
        <v>0</v>
      </c>
      <c r="H33" s="951"/>
      <c r="I33" s="793">
        <f t="shared" si="6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5"/>
        <v>0</v>
      </c>
      <c r="H34" s="951"/>
      <c r="I34" s="793">
        <f t="shared" si="6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5"/>
        <v>0</v>
      </c>
      <c r="H35" s="951"/>
      <c r="I35" s="793">
        <f t="shared" si="6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5"/>
        <v>0</v>
      </c>
      <c r="H36" s="951"/>
      <c r="I36" s="793">
        <f t="shared" si="6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5"/>
        <v>0</v>
      </c>
      <c r="H37" s="951"/>
      <c r="I37" s="793">
        <f t="shared" si="6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5"/>
        <v>0</v>
      </c>
      <c r="H38" s="951"/>
      <c r="I38" s="793">
        <f t="shared" si="6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5"/>
        <v>0</v>
      </c>
      <c r="H39" s="951"/>
      <c r="I39" s="793">
        <f t="shared" si="6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5"/>
        <v>0</v>
      </c>
      <c r="H40" s="951"/>
      <c r="I40" s="793">
        <f t="shared" si="6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5"/>
        <v>0</v>
      </c>
      <c r="H41" s="951"/>
      <c r="I41" s="793">
        <f t="shared" si="6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5"/>
        <v>0</v>
      </c>
      <c r="H42" s="951"/>
      <c r="I42" s="793">
        <f t="shared" si="6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5"/>
        <v>0</v>
      </c>
      <c r="H43" s="951"/>
      <c r="I43" s="793">
        <f t="shared" si="6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5"/>
        <v>0</v>
      </c>
      <c r="H44" s="951"/>
      <c r="I44" s="793">
        <f t="shared" si="6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5"/>
        <v>0</v>
      </c>
      <c r="H45" s="951"/>
      <c r="I45" s="793">
        <f t="shared" si="6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5"/>
        <v>0</v>
      </c>
      <c r="H46" s="951"/>
      <c r="I46" s="793">
        <f t="shared" si="6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5"/>
        <v>0</v>
      </c>
      <c r="H47" s="951"/>
      <c r="I47" s="793">
        <f t="shared" si="6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5"/>
        <v>0</v>
      </c>
      <c r="H48" s="951"/>
      <c r="I48" s="793">
        <f t="shared" si="6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si="5"/>
        <v>0</v>
      </c>
      <c r="H49" s="951"/>
      <c r="I49" s="793">
        <f t="shared" si="6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0</v>
      </c>
      <c r="H51" s="21"/>
      <c r="I51" s="217">
        <f>SUBTOTAL(9,I21:I50)</f>
        <v>0</v>
      </c>
      <c r="J51" s="21"/>
      <c r="K51" s="162">
        <f>SUM(K19:K50)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0</v>
      </c>
      <c r="H55" s="934"/>
      <c r="I55" s="933">
        <f>SUM(I51:I53)</f>
        <v>0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0</v>
      </c>
      <c r="H56" s="935"/>
      <c r="I56" s="936">
        <f>I55/'Area Calculations'!$G$5</f>
        <v>0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9"/>
      <c r="J57" s="938"/>
      <c r="K57" s="938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R9:S9"/>
    <mergeCell ref="A74:B74"/>
    <mergeCell ref="H9:I9"/>
    <mergeCell ref="J9:K9"/>
    <mergeCell ref="L9:M9"/>
    <mergeCell ref="N9:O9"/>
    <mergeCell ref="P9:Q9"/>
    <mergeCell ref="A58:B58"/>
    <mergeCell ref="A62:B62"/>
    <mergeCell ref="A66:B66"/>
    <mergeCell ref="A70:B70"/>
    <mergeCell ref="R7:S7"/>
    <mergeCell ref="R8:S8"/>
    <mergeCell ref="H7:I7"/>
    <mergeCell ref="J7:K7"/>
    <mergeCell ref="L7:M7"/>
    <mergeCell ref="N7:O7"/>
    <mergeCell ref="P7:Q7"/>
    <mergeCell ref="H8:I8"/>
    <mergeCell ref="J8:K8"/>
    <mergeCell ref="L8:M8"/>
    <mergeCell ref="N8:O8"/>
    <mergeCell ref="P8:Q8"/>
    <mergeCell ref="R6:S6"/>
    <mergeCell ref="H6:I6"/>
    <mergeCell ref="R5:S5"/>
    <mergeCell ref="H5:I5"/>
    <mergeCell ref="J5:K5"/>
    <mergeCell ref="L5:M5"/>
    <mergeCell ref="N5:O5"/>
    <mergeCell ref="P5:Q5"/>
    <mergeCell ref="J6:K6"/>
    <mergeCell ref="L6:M6"/>
    <mergeCell ref="N6:O6"/>
    <mergeCell ref="P6:Q6"/>
  </mergeCells>
  <conditionalFormatting sqref="H11:H18 J11:J18 L11:L18 N11:N18 P11:P18 R11:R18">
    <cfRule type="cellIs" dxfId="83" priority="7" operator="equal">
      <formula>"X"</formula>
    </cfRule>
    <cfRule type="cellIs" dxfId="82" priority="8" operator="equal">
      <formula>"I"</formula>
    </cfRule>
  </conditionalFormatting>
  <conditionalFormatting sqref="H20:H50">
    <cfRule type="cellIs" dxfId="81" priority="1" operator="equal">
      <formula>"X"</formula>
    </cfRule>
    <cfRule type="cellIs" dxfId="80" priority="2" operator="equal">
      <formula>"I"</formula>
    </cfRule>
  </conditionalFormatting>
  <conditionalFormatting sqref="J20:J50 L20:L50 N20:N50 P20:P50 R20:R50">
    <cfRule type="cellIs" dxfId="79" priority="3" operator="equal">
      <formula>"X"</formula>
    </cfRule>
    <cfRule type="cellIs" dxfId="78" priority="4" operator="equal">
      <formula>"I"</formula>
    </cfRule>
  </conditionalFormatting>
  <hyperlinks>
    <hyperlink ref="B4" location="'Cost Summary'!A1" display="BACK TO SUMMARY SHEET" xr:uid="{AA2EE1D8-7D40-4709-B962-542A2AB1708B}"/>
  </hyperlinks>
  <pageMargins left="0.2" right="0.2" top="0.5" bottom="0.75" header="0.3" footer="0.3"/>
  <pageSetup paperSize="3" scale="77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2F5CF-4EF0-4C5F-9101-B1F660D4E494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B4" sqref="B4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73"/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146</v>
      </c>
      <c r="C6" s="506"/>
      <c r="D6" s="507"/>
      <c r="E6" s="508"/>
      <c r="F6" s="506"/>
      <c r="G6" s="462" t="s">
        <v>446</v>
      </c>
      <c r="H6" s="675"/>
      <c r="I6" s="67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145</v>
      </c>
      <c r="C7" s="506"/>
      <c r="D7" s="507"/>
      <c r="E7" s="508"/>
      <c r="F7" s="506"/>
      <c r="G7" s="510" t="s">
        <v>448</v>
      </c>
      <c r="H7" s="677"/>
      <c r="I7" s="67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79"/>
      <c r="I8" s="68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0</v>
      </c>
      <c r="I9" s="895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507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785" t="s">
        <v>461</v>
      </c>
      <c r="C12" s="506"/>
      <c r="D12" s="507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/>
      <c r="C21" s="506"/>
      <c r="D21" s="507"/>
      <c r="E21" s="508"/>
      <c r="F21" s="517"/>
      <c r="G21" s="315">
        <f t="shared" ref="G21:G49" si="5">ROUND(D21*F21,0)</f>
        <v>0</v>
      </c>
      <c r="H21" s="951"/>
      <c r="I21" s="793">
        <f>G21</f>
        <v>0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792"/>
      <c r="C22" s="506"/>
      <c r="D22" s="507"/>
      <c r="E22" s="508"/>
      <c r="F22" s="517"/>
      <c r="G22" s="315">
        <f t="shared" si="5"/>
        <v>0</v>
      </c>
      <c r="H22" s="951"/>
      <c r="I22" s="793">
        <f t="shared" ref="I22:I49" si="6">G22</f>
        <v>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792"/>
      <c r="C23" s="506"/>
      <c r="D23" s="507"/>
      <c r="E23" s="508"/>
      <c r="F23" s="517"/>
      <c r="G23" s="315">
        <f t="shared" si="5"/>
        <v>0</v>
      </c>
      <c r="H23" s="951"/>
      <c r="I23" s="793">
        <f t="shared" si="6"/>
        <v>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/>
      <c r="C24" s="506"/>
      <c r="D24" s="507"/>
      <c r="E24" s="508"/>
      <c r="F24" s="517"/>
      <c r="G24" s="315">
        <f t="shared" si="5"/>
        <v>0</v>
      </c>
      <c r="H24" s="951"/>
      <c r="I24" s="793">
        <f t="shared" si="6"/>
        <v>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792"/>
      <c r="C25" s="506"/>
      <c r="D25" s="507"/>
      <c r="E25" s="508"/>
      <c r="F25" s="517"/>
      <c r="G25" s="315">
        <f t="shared" si="5"/>
        <v>0</v>
      </c>
      <c r="H25" s="951"/>
      <c r="I25" s="793">
        <f t="shared" si="6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792"/>
      <c r="C26" s="506"/>
      <c r="D26" s="507"/>
      <c r="E26" s="508"/>
      <c r="F26" s="517"/>
      <c r="G26" s="315">
        <f t="shared" si="5"/>
        <v>0</v>
      </c>
      <c r="H26" s="951"/>
      <c r="I26" s="793">
        <f t="shared" si="6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/>
      <c r="C27" s="506"/>
      <c r="D27" s="507"/>
      <c r="E27" s="508"/>
      <c r="F27" s="517"/>
      <c r="G27" s="315">
        <f t="shared" si="5"/>
        <v>0</v>
      </c>
      <c r="H27" s="951"/>
      <c r="I27" s="793">
        <f t="shared" si="6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si="5"/>
        <v>0</v>
      </c>
      <c r="H28" s="951"/>
      <c r="I28" s="793">
        <f t="shared" si="6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5"/>
        <v>0</v>
      </c>
      <c r="H29" s="951"/>
      <c r="I29" s="793">
        <f t="shared" si="6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5"/>
        <v>0</v>
      </c>
      <c r="H30" s="951"/>
      <c r="I30" s="793">
        <f t="shared" si="6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5"/>
        <v>0</v>
      </c>
      <c r="H31" s="951"/>
      <c r="I31" s="793">
        <f t="shared" si="6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5"/>
        <v>0</v>
      </c>
      <c r="H32" s="951"/>
      <c r="I32" s="793">
        <f t="shared" si="6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5"/>
        <v>0</v>
      </c>
      <c r="H33" s="951"/>
      <c r="I33" s="793">
        <f t="shared" si="6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5"/>
        <v>0</v>
      </c>
      <c r="H34" s="951"/>
      <c r="I34" s="793">
        <f t="shared" si="6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5"/>
        <v>0</v>
      </c>
      <c r="H35" s="951"/>
      <c r="I35" s="793">
        <f t="shared" si="6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5"/>
        <v>0</v>
      </c>
      <c r="H36" s="951"/>
      <c r="I36" s="793">
        <f t="shared" si="6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5"/>
        <v>0</v>
      </c>
      <c r="H37" s="951"/>
      <c r="I37" s="793">
        <f t="shared" si="6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5"/>
        <v>0</v>
      </c>
      <c r="H38" s="951"/>
      <c r="I38" s="793">
        <f t="shared" si="6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5"/>
        <v>0</v>
      </c>
      <c r="H39" s="951"/>
      <c r="I39" s="793">
        <f t="shared" si="6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5"/>
        <v>0</v>
      </c>
      <c r="H40" s="951"/>
      <c r="I40" s="793">
        <f t="shared" si="6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5"/>
        <v>0</v>
      </c>
      <c r="H41" s="951"/>
      <c r="I41" s="793">
        <f t="shared" si="6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5"/>
        <v>0</v>
      </c>
      <c r="H42" s="951"/>
      <c r="I42" s="793">
        <f t="shared" si="6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5"/>
        <v>0</v>
      </c>
      <c r="H43" s="951"/>
      <c r="I43" s="793">
        <f t="shared" si="6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5"/>
        <v>0</v>
      </c>
      <c r="H44" s="951"/>
      <c r="I44" s="793">
        <f t="shared" si="6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5"/>
        <v>0</v>
      </c>
      <c r="H45" s="951"/>
      <c r="I45" s="793">
        <f t="shared" si="6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5"/>
        <v>0</v>
      </c>
      <c r="H46" s="951"/>
      <c r="I46" s="793">
        <f t="shared" si="6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5"/>
        <v>0</v>
      </c>
      <c r="H47" s="951"/>
      <c r="I47" s="793">
        <f t="shared" si="6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5"/>
        <v>0</v>
      </c>
      <c r="H48" s="951"/>
      <c r="I48" s="793">
        <f t="shared" si="6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si="5"/>
        <v>0</v>
      </c>
      <c r="H49" s="951"/>
      <c r="I49" s="793">
        <f t="shared" si="6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0</v>
      </c>
      <c r="H51" s="21"/>
      <c r="I51" s="217">
        <f>SUBTOTAL(9,I21:I50)</f>
        <v>0</v>
      </c>
      <c r="J51" s="21"/>
      <c r="K51" s="162">
        <f>SUM(K19:K50)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0</v>
      </c>
      <c r="H55" s="934"/>
      <c r="I55" s="933">
        <f>SUM(I51:I53)</f>
        <v>0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0</v>
      </c>
      <c r="H56" s="935"/>
      <c r="I56" s="936">
        <f>I55/'Area Calculations'!$G$5</f>
        <v>0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9"/>
      <c r="J57" s="938"/>
      <c r="K57" s="938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A74:B74"/>
    <mergeCell ref="R9:S9"/>
    <mergeCell ref="A58:B58"/>
    <mergeCell ref="A62:B62"/>
    <mergeCell ref="A66:B66"/>
    <mergeCell ref="A70:B70"/>
    <mergeCell ref="H9:I9"/>
    <mergeCell ref="J9:K9"/>
    <mergeCell ref="L9:M9"/>
    <mergeCell ref="N9:O9"/>
    <mergeCell ref="P9:Q9"/>
    <mergeCell ref="R7:S7"/>
    <mergeCell ref="R8:S8"/>
    <mergeCell ref="H7:I7"/>
    <mergeCell ref="J7:K7"/>
    <mergeCell ref="L7:M7"/>
    <mergeCell ref="N7:O7"/>
    <mergeCell ref="P7:Q7"/>
    <mergeCell ref="H8:I8"/>
    <mergeCell ref="J8:K8"/>
    <mergeCell ref="L8:M8"/>
    <mergeCell ref="N8:O8"/>
    <mergeCell ref="P8:Q8"/>
    <mergeCell ref="R6:S6"/>
    <mergeCell ref="H6:I6"/>
    <mergeCell ref="R5:S5"/>
    <mergeCell ref="H5:I5"/>
    <mergeCell ref="J5:K5"/>
    <mergeCell ref="L5:M5"/>
    <mergeCell ref="N5:O5"/>
    <mergeCell ref="P5:Q5"/>
    <mergeCell ref="J6:K6"/>
    <mergeCell ref="L6:M6"/>
    <mergeCell ref="N6:O6"/>
    <mergeCell ref="P6:Q6"/>
  </mergeCells>
  <conditionalFormatting sqref="H11:H18 J11:J18 L11:L18 N11:N18 P11:P18 R11:R18">
    <cfRule type="cellIs" dxfId="77" priority="7" operator="equal">
      <formula>"X"</formula>
    </cfRule>
    <cfRule type="cellIs" dxfId="76" priority="8" operator="equal">
      <formula>"I"</formula>
    </cfRule>
  </conditionalFormatting>
  <conditionalFormatting sqref="H20:H50">
    <cfRule type="cellIs" dxfId="75" priority="1" operator="equal">
      <formula>"X"</formula>
    </cfRule>
    <cfRule type="cellIs" dxfId="74" priority="2" operator="equal">
      <formula>"I"</formula>
    </cfRule>
  </conditionalFormatting>
  <conditionalFormatting sqref="J20:J50 L20:L50 N20:N50 P20:P50 R20:R50">
    <cfRule type="cellIs" dxfId="73" priority="3" operator="equal">
      <formula>"X"</formula>
    </cfRule>
    <cfRule type="cellIs" dxfId="72" priority="4" operator="equal">
      <formula>"I"</formula>
    </cfRule>
  </conditionalFormatting>
  <hyperlinks>
    <hyperlink ref="B4" location="'Cost Summary'!A1" display="BACK TO SUMMARY SHEET" xr:uid="{2AD4CCF7-6882-4418-9E5F-72CE3B14380D}"/>
  </hyperlinks>
  <pageMargins left="0.2" right="0.2" top="0.5" bottom="0.75" header="0.3" footer="0.3"/>
  <pageSetup paperSize="3" scale="77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E337-0062-45FB-9729-B39A9F981BA1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F29" sqref="F29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73"/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604</v>
      </c>
      <c r="C6" s="506"/>
      <c r="D6" s="507"/>
      <c r="E6" s="508"/>
      <c r="F6" s="506"/>
      <c r="G6" s="462" t="s">
        <v>446</v>
      </c>
      <c r="H6" s="675"/>
      <c r="I6" s="67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147</v>
      </c>
      <c r="C7" s="506"/>
      <c r="D7" s="507"/>
      <c r="E7" s="508"/>
      <c r="F7" s="506"/>
      <c r="G7" s="510" t="s">
        <v>448</v>
      </c>
      <c r="H7" s="677"/>
      <c r="I7" s="67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79"/>
      <c r="I8" s="68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29702</v>
      </c>
      <c r="I9" s="895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507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785" t="s">
        <v>461</v>
      </c>
      <c r="C12" s="506"/>
      <c r="D12" s="507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 t="s">
        <v>605</v>
      </c>
      <c r="C21" s="506"/>
      <c r="D21" s="507"/>
      <c r="E21" s="508"/>
      <c r="F21" s="517"/>
      <c r="G21" s="315">
        <f t="shared" ref="G21" si="5">ROUND(D14*F21,0)</f>
        <v>0</v>
      </c>
      <c r="H21" s="951"/>
      <c r="I21" s="793">
        <f t="shared" ref="I21:I28" si="6">G21</f>
        <v>0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918" t="s">
        <v>606</v>
      </c>
      <c r="C22" s="506"/>
      <c r="D22" s="507">
        <f>'09 24 Stucco'!D21</f>
        <v>25828</v>
      </c>
      <c r="E22" s="508" t="s">
        <v>179</v>
      </c>
      <c r="F22" s="517">
        <v>1.1499999999999999</v>
      </c>
      <c r="G22" s="315">
        <f t="shared" ref="G22" si="7">ROUND(D22*F22,0)</f>
        <v>29702</v>
      </c>
      <c r="H22" s="951"/>
      <c r="I22" s="793">
        <f t="shared" si="6"/>
        <v>29702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792"/>
      <c r="C23" s="506"/>
      <c r="D23" s="507"/>
      <c r="E23" s="508"/>
      <c r="F23" s="517"/>
      <c r="G23" s="315">
        <f t="shared" ref="G23" si="8">ROUND(D16*F23,0)</f>
        <v>0</v>
      </c>
      <c r="H23" s="951"/>
      <c r="I23" s="793">
        <f t="shared" si="6"/>
        <v>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/>
      <c r="C24" s="506"/>
      <c r="D24" s="507"/>
      <c r="E24" s="508"/>
      <c r="F24" s="517"/>
      <c r="G24" s="315">
        <f t="shared" ref="G24" si="9">ROUND(D24*F24,0)</f>
        <v>0</v>
      </c>
      <c r="H24" s="951"/>
      <c r="I24" s="793">
        <f t="shared" si="6"/>
        <v>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792"/>
      <c r="C25" s="506"/>
      <c r="D25" s="507"/>
      <c r="E25" s="508"/>
      <c r="F25" s="517"/>
      <c r="G25" s="315">
        <f t="shared" ref="G25" si="10">ROUND(D18*F25,0)</f>
        <v>0</v>
      </c>
      <c r="H25" s="951"/>
      <c r="I25" s="793">
        <f t="shared" si="6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792"/>
      <c r="C26" s="506"/>
      <c r="D26" s="507"/>
      <c r="E26" s="508"/>
      <c r="F26" s="517"/>
      <c r="G26" s="315">
        <f t="shared" ref="G26" si="11">ROUND(D26*F26,0)</f>
        <v>0</v>
      </c>
      <c r="H26" s="951"/>
      <c r="I26" s="793">
        <f t="shared" si="6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/>
      <c r="C27" s="506"/>
      <c r="D27" s="507"/>
      <c r="E27" s="508"/>
      <c r="F27" s="517"/>
      <c r="G27" s="315">
        <f t="shared" ref="G27" si="12">ROUND(D20*F27,0)</f>
        <v>0</v>
      </c>
      <c r="H27" s="951"/>
      <c r="I27" s="793">
        <f t="shared" si="6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ref="G28" si="13">ROUND(D28*F28,0)</f>
        <v>0</v>
      </c>
      <c r="H28" s="951"/>
      <c r="I28" s="793">
        <f t="shared" si="6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918"/>
      <c r="C29" s="506"/>
      <c r="E29" s="508"/>
      <c r="F29" s="517"/>
      <c r="G29" s="315">
        <f>ROUND(D22*F29,0)</f>
        <v>0</v>
      </c>
      <c r="H29" s="951"/>
      <c r="I29" s="793">
        <f t="shared" ref="I29:I49" si="14">G29</f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ref="G30:G49" si="15">ROUND(D30*F30,0)</f>
        <v>0</v>
      </c>
      <c r="H30" s="951"/>
      <c r="I30" s="793">
        <f t="shared" si="14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15"/>
        <v>0</v>
      </c>
      <c r="H31" s="951"/>
      <c r="I31" s="793">
        <f t="shared" si="14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15"/>
        <v>0</v>
      </c>
      <c r="H32" s="951"/>
      <c r="I32" s="793">
        <f t="shared" si="14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15"/>
        <v>0</v>
      </c>
      <c r="H33" s="951"/>
      <c r="I33" s="793">
        <f t="shared" si="14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15"/>
        <v>0</v>
      </c>
      <c r="H34" s="951"/>
      <c r="I34" s="793">
        <f t="shared" si="14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15"/>
        <v>0</v>
      </c>
      <c r="H35" s="951"/>
      <c r="I35" s="793">
        <f t="shared" si="14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15"/>
        <v>0</v>
      </c>
      <c r="H36" s="951"/>
      <c r="I36" s="793">
        <f t="shared" si="14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15"/>
        <v>0</v>
      </c>
      <c r="H37" s="951"/>
      <c r="I37" s="793">
        <f t="shared" si="14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15"/>
        <v>0</v>
      </c>
      <c r="H38" s="951"/>
      <c r="I38" s="793">
        <f t="shared" si="14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15"/>
        <v>0</v>
      </c>
      <c r="H39" s="951"/>
      <c r="I39" s="793">
        <f t="shared" si="14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15"/>
        <v>0</v>
      </c>
      <c r="H40" s="951"/>
      <c r="I40" s="793">
        <f t="shared" si="14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15"/>
        <v>0</v>
      </c>
      <c r="H41" s="951"/>
      <c r="I41" s="793">
        <f t="shared" si="14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15"/>
        <v>0</v>
      </c>
      <c r="H42" s="951"/>
      <c r="I42" s="793">
        <f t="shared" si="14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15"/>
        <v>0</v>
      </c>
      <c r="H43" s="951"/>
      <c r="I43" s="793">
        <f t="shared" si="14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15"/>
        <v>0</v>
      </c>
      <c r="H44" s="951"/>
      <c r="I44" s="793">
        <f t="shared" si="14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15"/>
        <v>0</v>
      </c>
      <c r="H45" s="951"/>
      <c r="I45" s="793">
        <f t="shared" si="14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15"/>
        <v>0</v>
      </c>
      <c r="H46" s="951"/>
      <c r="I46" s="793">
        <f t="shared" si="14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15"/>
        <v>0</v>
      </c>
      <c r="H47" s="951"/>
      <c r="I47" s="793">
        <f t="shared" si="14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15"/>
        <v>0</v>
      </c>
      <c r="H48" s="951"/>
      <c r="I48" s="793">
        <f t="shared" si="14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si="15"/>
        <v>0</v>
      </c>
      <c r="H49" s="951"/>
      <c r="I49" s="793">
        <f t="shared" si="14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29702</v>
      </c>
      <c r="H51" s="21"/>
      <c r="I51" s="217">
        <f>SUBTOTAL(9,I21:I50)</f>
        <v>29702</v>
      </c>
      <c r="J51" s="21"/>
      <c r="K51" s="162">
        <f>SUM(K19:K50)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29702</v>
      </c>
      <c r="H55" s="934"/>
      <c r="I55" s="933">
        <f>SUM(I51:I53)</f>
        <v>29702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7.6291408419230308E-2</v>
      </c>
      <c r="H56" s="935"/>
      <c r="I56" s="936">
        <f>I55/'Area Calculations'!$G$5</f>
        <v>7.6291408419230308E-2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9"/>
      <c r="J57" s="938"/>
      <c r="K57" s="938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29702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A70:B70"/>
    <mergeCell ref="H9:I9"/>
    <mergeCell ref="J9:K9"/>
    <mergeCell ref="L9:M9"/>
    <mergeCell ref="N9:O9"/>
    <mergeCell ref="H8:I8"/>
    <mergeCell ref="R9:S9"/>
    <mergeCell ref="A58:B58"/>
    <mergeCell ref="A62:B62"/>
    <mergeCell ref="A66:B66"/>
    <mergeCell ref="P9:Q9"/>
    <mergeCell ref="N5:O5"/>
    <mergeCell ref="N6:O6"/>
    <mergeCell ref="N7:O7"/>
    <mergeCell ref="N8:O8"/>
    <mergeCell ref="A74:B74"/>
    <mergeCell ref="L5:M5"/>
    <mergeCell ref="L6:M6"/>
    <mergeCell ref="L7:M7"/>
    <mergeCell ref="L8:M8"/>
    <mergeCell ref="J5:K5"/>
    <mergeCell ref="J6:K6"/>
    <mergeCell ref="J7:K7"/>
    <mergeCell ref="J8:K8"/>
    <mergeCell ref="H5:I5"/>
    <mergeCell ref="H6:I6"/>
    <mergeCell ref="H7:I7"/>
    <mergeCell ref="R5:S5"/>
    <mergeCell ref="R6:S6"/>
    <mergeCell ref="R7:S7"/>
    <mergeCell ref="R8:S8"/>
    <mergeCell ref="P5:Q5"/>
    <mergeCell ref="P6:Q6"/>
    <mergeCell ref="P7:Q7"/>
    <mergeCell ref="P8:Q8"/>
  </mergeCells>
  <conditionalFormatting sqref="H11:H18 J11:J18 L11:L18 N11:N18 P11:P18 R11:R18">
    <cfRule type="cellIs" dxfId="71" priority="7" operator="equal">
      <formula>"X"</formula>
    </cfRule>
    <cfRule type="cellIs" dxfId="70" priority="8" operator="equal">
      <formula>"I"</formula>
    </cfRule>
  </conditionalFormatting>
  <conditionalFormatting sqref="H20:H50">
    <cfRule type="cellIs" dxfId="69" priority="1" operator="equal">
      <formula>"X"</formula>
    </cfRule>
    <cfRule type="cellIs" dxfId="68" priority="2" operator="equal">
      <formula>"I"</formula>
    </cfRule>
  </conditionalFormatting>
  <conditionalFormatting sqref="J20:J50 L20:L50 N20:N50 P20:P50 R20:R50">
    <cfRule type="cellIs" dxfId="67" priority="3" operator="equal">
      <formula>"X"</formula>
    </cfRule>
    <cfRule type="cellIs" dxfId="66" priority="4" operator="equal">
      <formula>"I"</formula>
    </cfRule>
  </conditionalFormatting>
  <hyperlinks>
    <hyperlink ref="B4" location="'Cost Summary'!A1" display="BACK TO SUMMARY SHEET" xr:uid="{13B14104-2578-4CF1-93C6-A9C1A298158B}"/>
  </hyperlinks>
  <pageMargins left="0.2" right="0.2" top="0.5" bottom="0.75" header="0.3" footer="0.3"/>
  <pageSetup paperSize="3" scale="77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7A28-1B96-4878-9CE3-BBD9B1762ABE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M39" sqref="M39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73"/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151</v>
      </c>
      <c r="C6" s="506"/>
      <c r="D6" s="507"/>
      <c r="E6" s="508"/>
      <c r="F6" s="506"/>
      <c r="G6" s="462" t="s">
        <v>446</v>
      </c>
      <c r="H6" s="675"/>
      <c r="I6" s="67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150</v>
      </c>
      <c r="C7" s="506"/>
      <c r="D7" s="507"/>
      <c r="E7" s="508"/>
      <c r="F7" s="506"/>
      <c r="G7" s="510" t="s">
        <v>448</v>
      </c>
      <c r="H7" s="677"/>
      <c r="I7" s="67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79"/>
      <c r="I8" s="68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0</v>
      </c>
      <c r="I9" s="895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586" t="s">
        <v>460</v>
      </c>
      <c r="C11" s="484"/>
      <c r="D11" s="507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785" t="s">
        <v>461</v>
      </c>
      <c r="C12" s="506"/>
      <c r="D12" s="507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/>
      <c r="C21" s="506"/>
      <c r="D21" s="507"/>
      <c r="E21" s="508"/>
      <c r="F21" s="517"/>
      <c r="G21" s="315">
        <f t="shared" ref="G21:G49" si="5">ROUND(D21*F21,0)</f>
        <v>0</v>
      </c>
      <c r="H21" s="951"/>
      <c r="I21" s="793">
        <f>G21</f>
        <v>0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792"/>
      <c r="C22" s="506"/>
      <c r="D22" s="507"/>
      <c r="E22" s="508"/>
      <c r="F22" s="517"/>
      <c r="G22" s="315">
        <f t="shared" si="5"/>
        <v>0</v>
      </c>
      <c r="H22" s="951"/>
      <c r="I22" s="793">
        <f t="shared" ref="I22:I49" si="6">G22</f>
        <v>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792"/>
      <c r="C23" s="506"/>
      <c r="D23" s="507"/>
      <c r="E23" s="508"/>
      <c r="F23" s="517"/>
      <c r="G23" s="315">
        <f t="shared" si="5"/>
        <v>0</v>
      </c>
      <c r="H23" s="951"/>
      <c r="I23" s="793">
        <f t="shared" si="6"/>
        <v>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/>
      <c r="C24" s="506"/>
      <c r="D24" s="507"/>
      <c r="E24" s="508"/>
      <c r="F24" s="517"/>
      <c r="G24" s="315">
        <f t="shared" si="5"/>
        <v>0</v>
      </c>
      <c r="H24" s="951"/>
      <c r="I24" s="793">
        <f t="shared" si="6"/>
        <v>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792"/>
      <c r="C25" s="506"/>
      <c r="D25" s="507"/>
      <c r="E25" s="508"/>
      <c r="F25" s="517"/>
      <c r="G25" s="315">
        <f t="shared" si="5"/>
        <v>0</v>
      </c>
      <c r="H25" s="951"/>
      <c r="I25" s="793">
        <f t="shared" si="6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792"/>
      <c r="C26" s="506"/>
      <c r="D26" s="507"/>
      <c r="E26" s="508"/>
      <c r="F26" s="517"/>
      <c r="G26" s="315">
        <f t="shared" si="5"/>
        <v>0</v>
      </c>
      <c r="H26" s="951"/>
      <c r="I26" s="793">
        <f t="shared" si="6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/>
      <c r="C27" s="506"/>
      <c r="D27" s="507"/>
      <c r="E27" s="508"/>
      <c r="F27" s="517"/>
      <c r="G27" s="315">
        <f t="shared" si="5"/>
        <v>0</v>
      </c>
      <c r="H27" s="951"/>
      <c r="I27" s="793">
        <f t="shared" si="6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si="5"/>
        <v>0</v>
      </c>
      <c r="H28" s="951"/>
      <c r="I28" s="793">
        <f t="shared" si="6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5"/>
        <v>0</v>
      </c>
      <c r="H29" s="951"/>
      <c r="I29" s="793">
        <f t="shared" si="6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5"/>
        <v>0</v>
      </c>
      <c r="H30" s="951"/>
      <c r="I30" s="793">
        <f t="shared" si="6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5"/>
        <v>0</v>
      </c>
      <c r="H31" s="951"/>
      <c r="I31" s="793">
        <f t="shared" si="6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5"/>
        <v>0</v>
      </c>
      <c r="H32" s="951"/>
      <c r="I32" s="793">
        <f t="shared" si="6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5"/>
        <v>0</v>
      </c>
      <c r="H33" s="951"/>
      <c r="I33" s="793">
        <f t="shared" si="6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5"/>
        <v>0</v>
      </c>
      <c r="H34" s="951"/>
      <c r="I34" s="793">
        <f t="shared" si="6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5"/>
        <v>0</v>
      </c>
      <c r="H35" s="951"/>
      <c r="I35" s="793">
        <f t="shared" si="6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5"/>
        <v>0</v>
      </c>
      <c r="H36" s="951"/>
      <c r="I36" s="793">
        <f t="shared" si="6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5"/>
        <v>0</v>
      </c>
      <c r="H37" s="951"/>
      <c r="I37" s="793">
        <f t="shared" si="6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5"/>
        <v>0</v>
      </c>
      <c r="H38" s="951"/>
      <c r="I38" s="793">
        <f t="shared" si="6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5"/>
        <v>0</v>
      </c>
      <c r="H39" s="951"/>
      <c r="I39" s="793">
        <f t="shared" si="6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5"/>
        <v>0</v>
      </c>
      <c r="H40" s="951"/>
      <c r="I40" s="793">
        <f t="shared" si="6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5"/>
        <v>0</v>
      </c>
      <c r="H41" s="951"/>
      <c r="I41" s="793">
        <f t="shared" si="6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5"/>
        <v>0</v>
      </c>
      <c r="H42" s="951"/>
      <c r="I42" s="793">
        <f t="shared" si="6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5"/>
        <v>0</v>
      </c>
      <c r="H43" s="951"/>
      <c r="I43" s="793">
        <f t="shared" si="6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5"/>
        <v>0</v>
      </c>
      <c r="H44" s="951"/>
      <c r="I44" s="793">
        <f t="shared" si="6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5"/>
        <v>0</v>
      </c>
      <c r="H45" s="951"/>
      <c r="I45" s="793">
        <f t="shared" si="6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5"/>
        <v>0</v>
      </c>
      <c r="H46" s="951"/>
      <c r="I46" s="793">
        <f t="shared" si="6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5"/>
        <v>0</v>
      </c>
      <c r="H47" s="951"/>
      <c r="I47" s="793">
        <f t="shared" si="6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5"/>
        <v>0</v>
      </c>
      <c r="H48" s="951"/>
      <c r="I48" s="793">
        <f t="shared" si="6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si="5"/>
        <v>0</v>
      </c>
      <c r="H49" s="951"/>
      <c r="I49" s="793">
        <f t="shared" si="6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0</v>
      </c>
      <c r="H51" s="21"/>
      <c r="I51" s="217">
        <f>SUBTOTAL(9,I21:I50)</f>
        <v>0</v>
      </c>
      <c r="J51" s="21"/>
      <c r="K51" s="162">
        <f>SUM(K19:K50)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0</v>
      </c>
      <c r="H55" s="934"/>
      <c r="I55" s="933">
        <f>SUM(I51:I53)</f>
        <v>0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0</v>
      </c>
      <c r="H56" s="935"/>
      <c r="I56" s="936">
        <f>I55/'Area Calculations'!$G$5</f>
        <v>0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9"/>
      <c r="J57" s="938"/>
      <c r="K57" s="938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A74:B74"/>
    <mergeCell ref="R9:S9"/>
    <mergeCell ref="A58:B58"/>
    <mergeCell ref="A62:B62"/>
    <mergeCell ref="A66:B66"/>
    <mergeCell ref="A70:B70"/>
    <mergeCell ref="H9:I9"/>
    <mergeCell ref="J9:K9"/>
    <mergeCell ref="L9:M9"/>
    <mergeCell ref="N9:O9"/>
    <mergeCell ref="P9:Q9"/>
    <mergeCell ref="R8:S8"/>
    <mergeCell ref="H7:I7"/>
    <mergeCell ref="J7:K7"/>
    <mergeCell ref="L7:M7"/>
    <mergeCell ref="N7:O7"/>
    <mergeCell ref="P7:Q7"/>
    <mergeCell ref="R7:S7"/>
    <mergeCell ref="H8:I8"/>
    <mergeCell ref="J8:K8"/>
    <mergeCell ref="L8:M8"/>
    <mergeCell ref="N8:O8"/>
    <mergeCell ref="P8:Q8"/>
    <mergeCell ref="R6:S6"/>
    <mergeCell ref="H5:I5"/>
    <mergeCell ref="J5:K5"/>
    <mergeCell ref="L5:M5"/>
    <mergeCell ref="N5:O5"/>
    <mergeCell ref="P5:Q5"/>
    <mergeCell ref="R5:S5"/>
    <mergeCell ref="H6:I6"/>
    <mergeCell ref="J6:K6"/>
    <mergeCell ref="L6:M6"/>
    <mergeCell ref="N6:O6"/>
    <mergeCell ref="P6:Q6"/>
  </mergeCells>
  <conditionalFormatting sqref="H11:H18 J11:J18 L11:L18 N11:N18 P11:P18 R11:R18">
    <cfRule type="cellIs" dxfId="65" priority="7" operator="equal">
      <formula>"X"</formula>
    </cfRule>
    <cfRule type="cellIs" dxfId="64" priority="8" operator="equal">
      <formula>"I"</formula>
    </cfRule>
  </conditionalFormatting>
  <conditionalFormatting sqref="H20:H50">
    <cfRule type="cellIs" dxfId="63" priority="1" operator="equal">
      <formula>"X"</formula>
    </cfRule>
    <cfRule type="cellIs" dxfId="62" priority="2" operator="equal">
      <formula>"I"</formula>
    </cfRule>
  </conditionalFormatting>
  <conditionalFormatting sqref="J20:J50 L20:L50 N20:N50 P20:P50 R20:R50">
    <cfRule type="cellIs" dxfId="61" priority="3" operator="equal">
      <formula>"X"</formula>
    </cfRule>
    <cfRule type="cellIs" dxfId="60" priority="4" operator="equal">
      <formula>"I"</formula>
    </cfRule>
  </conditionalFormatting>
  <hyperlinks>
    <hyperlink ref="B4" location="'Cost Summary'!A1" display="BACK TO SUMMARY SHEET" xr:uid="{5045DB12-A019-45B9-9DBF-ADA3A1AA9ECF}"/>
  </hyperlinks>
  <pageMargins left="0.2" right="0.2" top="0.5" bottom="0.75" header="0.3" footer="0.3"/>
  <pageSetup paperSize="3" scale="77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F73B-ABB9-4ABD-B535-BBB32D0BF040}">
  <dimension ref="A1:S109"/>
  <sheetViews>
    <sheetView workbookViewId="0">
      <pane xSplit="2" ySplit="9" topLeftCell="C61" activePane="bottomRight" state="frozen"/>
      <selection pane="bottomRight" activeCell="I71" sqref="I71:I72"/>
      <selection pane="bottomLeft" activeCell="A11" sqref="A11"/>
      <selection pane="topRight" activeCell="C1" sqref="C1"/>
    </sheetView>
  </sheetViews>
  <sheetFormatPr defaultRowHeight="15"/>
  <cols>
    <col min="1" max="1" width="11" customWidth="1"/>
    <col min="2" max="2" width="70.7109375" style="1" customWidth="1"/>
    <col min="3" max="3" width="10.85546875" style="2" bestFit="1" customWidth="1"/>
    <col min="4" max="5" width="7.5703125" style="2" customWidth="1"/>
    <col min="6" max="6" width="10.28515625" style="2" customWidth="1"/>
    <col min="7" max="7" width="12.28515625" style="2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E1" s="72"/>
      <c r="F1" s="55"/>
      <c r="G1" s="53" t="s">
        <v>436</v>
      </c>
    </row>
    <row r="2" spans="1:19" ht="15.75" thickBot="1">
      <c r="E2" s="72"/>
      <c r="F2" s="52"/>
      <c r="G2" s="53" t="s">
        <v>438</v>
      </c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</row>
    <row r="3" spans="1:19" ht="21" thickBot="1">
      <c r="B3" s="61" t="s">
        <v>441</v>
      </c>
      <c r="E3" s="72"/>
      <c r="F3" s="54"/>
      <c r="G3" s="53" t="s">
        <v>440</v>
      </c>
      <c r="H3" s="697" t="s">
        <v>569</v>
      </c>
      <c r="I3" s="698"/>
      <c r="J3" s="697" t="s">
        <v>570</v>
      </c>
      <c r="K3" s="698"/>
      <c r="L3" s="697" t="s">
        <v>571</v>
      </c>
      <c r="M3" s="698"/>
      <c r="N3" s="697" t="s">
        <v>572</v>
      </c>
      <c r="O3" s="698"/>
      <c r="P3" s="697" t="s">
        <v>573</v>
      </c>
      <c r="Q3" s="698"/>
      <c r="R3" s="697" t="s">
        <v>574</v>
      </c>
      <c r="S3" s="698"/>
    </row>
    <row r="4" spans="1:19" ht="15.75" thickTop="1">
      <c r="A4" s="3" t="s">
        <v>443</v>
      </c>
      <c r="B4" s="4" t="str">
        <f>'Area Calculations'!B4</f>
        <v>Bourbon Hotel Orlando</v>
      </c>
      <c r="C4" s="5"/>
      <c r="D4" s="5"/>
      <c r="E4" s="5"/>
      <c r="F4" s="5"/>
      <c r="G4" s="6" t="s">
        <v>444</v>
      </c>
      <c r="H4" s="673"/>
      <c r="I4" s="674"/>
      <c r="J4" s="700"/>
      <c r="K4" s="674"/>
      <c r="L4" s="700"/>
      <c r="M4" s="674"/>
      <c r="N4" s="700"/>
      <c r="O4" s="674"/>
      <c r="P4" s="700"/>
      <c r="Q4" s="674"/>
      <c r="R4" s="700"/>
      <c r="S4" s="674"/>
    </row>
    <row r="5" spans="1:19">
      <c r="A5" s="950" t="s">
        <v>575</v>
      </c>
      <c r="B5" s="497" t="s">
        <v>607</v>
      </c>
      <c r="C5" s="506"/>
      <c r="D5" s="506"/>
      <c r="E5" s="506"/>
      <c r="F5" s="506"/>
      <c r="G5" s="462" t="s">
        <v>446</v>
      </c>
      <c r="H5" s="675"/>
      <c r="I5" s="676"/>
      <c r="J5" s="993"/>
      <c r="K5" s="676"/>
      <c r="L5" s="993"/>
      <c r="M5" s="676"/>
      <c r="N5" s="993"/>
      <c r="O5" s="676"/>
      <c r="P5" s="993"/>
      <c r="Q5" s="676"/>
      <c r="R5" s="993"/>
      <c r="S5" s="676"/>
    </row>
    <row r="6" spans="1:19">
      <c r="A6" s="950" t="s">
        <v>577</v>
      </c>
      <c r="B6" s="509" t="s">
        <v>608</v>
      </c>
      <c r="C6" s="506"/>
      <c r="D6" s="506"/>
      <c r="E6" s="506"/>
      <c r="F6" s="506"/>
      <c r="G6" s="462" t="s">
        <v>448</v>
      </c>
      <c r="H6" s="677"/>
      <c r="I6" s="678"/>
      <c r="J6" s="994"/>
      <c r="K6" s="678"/>
      <c r="L6" s="994"/>
      <c r="M6" s="678"/>
      <c r="N6" s="994"/>
      <c r="O6" s="678"/>
      <c r="P6" s="994"/>
      <c r="Q6" s="678"/>
      <c r="R6" s="994"/>
      <c r="S6" s="678"/>
    </row>
    <row r="7" spans="1:19">
      <c r="A7" s="950" t="s">
        <v>579</v>
      </c>
      <c r="B7" s="511"/>
      <c r="C7" s="506"/>
      <c r="D7" s="506"/>
      <c r="E7" s="506"/>
      <c r="F7" s="506"/>
      <c r="G7" s="462" t="s">
        <v>450</v>
      </c>
      <c r="H7" s="679"/>
      <c r="I7" s="680"/>
      <c r="J7" s="995"/>
      <c r="K7" s="680"/>
      <c r="L7" s="995"/>
      <c r="M7" s="680"/>
      <c r="N7" s="995"/>
      <c r="O7" s="680"/>
      <c r="P7" s="995"/>
      <c r="Q7" s="680"/>
      <c r="R7" s="995"/>
      <c r="S7" s="680"/>
    </row>
    <row r="8" spans="1:19" ht="15.75" thickBot="1">
      <c r="A8" s="40" t="s">
        <v>451</v>
      </c>
      <c r="B8" s="7"/>
      <c r="C8" s="8"/>
      <c r="D8" s="8"/>
      <c r="E8" s="8"/>
      <c r="F8" s="8"/>
      <c r="G8" s="40" t="s">
        <v>451</v>
      </c>
      <c r="H8" s="996">
        <f>I70</f>
        <v>0</v>
      </c>
      <c r="I8" s="997"/>
      <c r="J8" s="996">
        <f>K70</f>
        <v>0</v>
      </c>
      <c r="K8" s="997"/>
      <c r="L8" s="996">
        <f>M70</f>
        <v>0</v>
      </c>
      <c r="M8" s="997"/>
      <c r="N8" s="996">
        <f>O70</f>
        <v>0</v>
      </c>
      <c r="O8" s="997"/>
      <c r="P8" s="996">
        <f>Q70</f>
        <v>0</v>
      </c>
      <c r="Q8" s="997"/>
      <c r="R8" s="996">
        <f>S70</f>
        <v>0</v>
      </c>
      <c r="S8" s="997"/>
    </row>
    <row r="9" spans="1:19" ht="31.5" thickTop="1" thickBot="1">
      <c r="A9" s="9" t="s">
        <v>452</v>
      </c>
      <c r="B9" s="10"/>
      <c r="C9" s="11" t="s">
        <v>453</v>
      </c>
      <c r="D9" s="11" t="s">
        <v>454</v>
      </c>
      <c r="E9" s="11" t="s">
        <v>455</v>
      </c>
      <c r="F9" s="11" t="s">
        <v>456</v>
      </c>
      <c r="G9" s="12" t="s">
        <v>457</v>
      </c>
      <c r="H9" s="13" t="s">
        <v>458</v>
      </c>
      <c r="I9" s="13" t="s">
        <v>459</v>
      </c>
      <c r="J9" s="13" t="s">
        <v>458</v>
      </c>
      <c r="K9" s="13" t="s">
        <v>459</v>
      </c>
      <c r="L9" s="13" t="s">
        <v>458</v>
      </c>
      <c r="M9" s="13" t="s">
        <v>459</v>
      </c>
      <c r="N9" s="13" t="s">
        <v>458</v>
      </c>
      <c r="O9" s="13" t="s">
        <v>459</v>
      </c>
      <c r="P9" s="13" t="s">
        <v>458</v>
      </c>
      <c r="Q9" s="13" t="s">
        <v>459</v>
      </c>
      <c r="R9" s="13" t="s">
        <v>458</v>
      </c>
      <c r="S9" s="13" t="s">
        <v>459</v>
      </c>
    </row>
    <row r="10" spans="1:19" ht="15.75" hidden="1" thickTop="1">
      <c r="A10" s="940"/>
      <c r="B10" s="956" t="s">
        <v>580</v>
      </c>
      <c r="C10" s="506"/>
      <c r="D10" s="506"/>
      <c r="E10" s="506"/>
      <c r="F10" s="506"/>
      <c r="G10" s="60"/>
      <c r="H10" s="957"/>
      <c r="I10" s="957"/>
      <c r="J10" s="957"/>
      <c r="K10" s="957"/>
      <c r="L10" s="957"/>
      <c r="M10" s="957"/>
      <c r="N10" s="957"/>
      <c r="O10" s="957"/>
      <c r="P10" s="957"/>
      <c r="Q10" s="957"/>
      <c r="R10" s="957"/>
      <c r="S10" s="957"/>
    </row>
    <row r="11" spans="1:19" hidden="1">
      <c r="A11" s="940"/>
      <c r="B11" s="497" t="e">
        <f>'Area Calculations'!#REF!</f>
        <v>#REF!</v>
      </c>
      <c r="C11" s="958" t="s">
        <v>581</v>
      </c>
      <c r="D11" s="506"/>
      <c r="E11" s="506"/>
      <c r="F11" s="506"/>
      <c r="G11" s="60"/>
      <c r="H11" s="957"/>
      <c r="I11" s="957"/>
      <c r="J11" s="957"/>
      <c r="K11" s="957"/>
      <c r="L11" s="957"/>
      <c r="M11" s="957"/>
      <c r="N11" s="957"/>
      <c r="O11" s="957"/>
      <c r="P11" s="957"/>
      <c r="Q11" s="957"/>
      <c r="R11" s="957"/>
      <c r="S11" s="957"/>
    </row>
    <row r="12" spans="1:19" hidden="1">
      <c r="A12" s="940"/>
      <c r="B12" s="497" t="e">
        <f>'Area Calculations'!#REF!</f>
        <v>#REF!</v>
      </c>
      <c r="C12" s="958" t="s">
        <v>581</v>
      </c>
      <c r="D12" s="506"/>
      <c r="E12" s="506"/>
      <c r="F12" s="506"/>
      <c r="G12" s="60"/>
      <c r="H12" s="957"/>
      <c r="I12" s="957"/>
      <c r="J12" s="957"/>
      <c r="K12" s="957"/>
      <c r="L12" s="957"/>
      <c r="M12" s="957"/>
      <c r="N12" s="957"/>
      <c r="O12" s="957"/>
      <c r="P12" s="957"/>
      <c r="Q12" s="957"/>
      <c r="R12" s="957"/>
      <c r="S12" s="957"/>
    </row>
    <row r="13" spans="1:19" hidden="1">
      <c r="A13" s="940"/>
      <c r="B13" s="497" t="e">
        <f>'Area Calculations'!#REF!</f>
        <v>#REF!</v>
      </c>
      <c r="C13" s="958" t="s">
        <v>581</v>
      </c>
      <c r="D13" s="506"/>
      <c r="E13" s="506"/>
      <c r="F13" s="506"/>
      <c r="G13" s="60"/>
      <c r="H13" s="957"/>
      <c r="I13" s="957"/>
      <c r="J13" s="957"/>
      <c r="K13" s="957"/>
      <c r="L13" s="957"/>
      <c r="M13" s="957"/>
      <c r="N13" s="957"/>
      <c r="O13" s="957"/>
      <c r="P13" s="957"/>
      <c r="Q13" s="957"/>
      <c r="R13" s="957"/>
      <c r="S13" s="957"/>
    </row>
    <row r="14" spans="1:19" hidden="1">
      <c r="A14" s="940"/>
      <c r="B14" s="497" t="e">
        <f>'Area Calculations'!#REF!</f>
        <v>#REF!</v>
      </c>
      <c r="C14" s="958" t="s">
        <v>581</v>
      </c>
      <c r="D14" s="506"/>
      <c r="E14" s="506"/>
      <c r="F14" s="506"/>
      <c r="G14" s="60"/>
      <c r="H14" s="957"/>
      <c r="I14" s="957"/>
      <c r="J14" s="957"/>
      <c r="K14" s="957"/>
      <c r="L14" s="957"/>
      <c r="M14" s="957"/>
      <c r="N14" s="957"/>
      <c r="O14" s="957"/>
      <c r="P14" s="957"/>
      <c r="Q14" s="957"/>
      <c r="R14" s="957"/>
      <c r="S14" s="957"/>
    </row>
    <row r="15" spans="1:19" hidden="1">
      <c r="A15" s="940"/>
      <c r="B15" s="497" t="e">
        <f>'Area Calculations'!#REF!</f>
        <v>#REF!</v>
      </c>
      <c r="C15" s="958" t="s">
        <v>581</v>
      </c>
      <c r="D15" s="506"/>
      <c r="E15" s="506"/>
      <c r="F15" s="506"/>
      <c r="G15" s="60"/>
      <c r="H15" s="957"/>
      <c r="I15" s="957"/>
      <c r="J15" s="957"/>
      <c r="K15" s="957"/>
      <c r="L15" s="957"/>
      <c r="M15" s="957"/>
      <c r="N15" s="957"/>
      <c r="O15" s="957"/>
      <c r="P15" s="957"/>
      <c r="Q15" s="957"/>
      <c r="R15" s="957"/>
      <c r="S15" s="957"/>
    </row>
    <row r="16" spans="1:19" hidden="1">
      <c r="A16" s="940"/>
      <c r="B16" s="497" t="e">
        <f>'Area Calculations'!#REF!</f>
        <v>#REF!</v>
      </c>
      <c r="C16" s="958" t="s">
        <v>581</v>
      </c>
      <c r="D16" s="506"/>
      <c r="E16" s="506"/>
      <c r="F16" s="506"/>
      <c r="G16" s="60"/>
      <c r="H16" s="957"/>
      <c r="I16" s="957"/>
      <c r="J16" s="957"/>
      <c r="K16" s="957"/>
      <c r="L16" s="957"/>
      <c r="M16" s="957"/>
      <c r="N16" s="957"/>
      <c r="O16" s="957"/>
      <c r="P16" s="957"/>
      <c r="Q16" s="957"/>
      <c r="R16" s="957"/>
      <c r="S16" s="957"/>
    </row>
    <row r="17" spans="1:19" hidden="1">
      <c r="A17" s="940"/>
      <c r="B17" s="497" t="e">
        <f>'Area Calculations'!#REF!</f>
        <v>#REF!</v>
      </c>
      <c r="C17" s="958" t="s">
        <v>581</v>
      </c>
      <c r="D17" s="506"/>
      <c r="E17" s="506"/>
      <c r="F17" s="506"/>
      <c r="G17" s="60"/>
      <c r="H17" s="957"/>
      <c r="I17" s="957"/>
      <c r="J17" s="957"/>
      <c r="K17" s="957"/>
      <c r="L17" s="957"/>
      <c r="M17" s="957"/>
      <c r="N17" s="957"/>
      <c r="O17" s="957"/>
      <c r="P17" s="957"/>
      <c r="Q17" s="957"/>
      <c r="R17" s="957"/>
      <c r="S17" s="957"/>
    </row>
    <row r="18" spans="1:19" hidden="1">
      <c r="A18" s="940"/>
      <c r="B18" s="497" t="e">
        <f>'Area Calculations'!#REF!</f>
        <v>#REF!</v>
      </c>
      <c r="C18" s="958" t="s">
        <v>581</v>
      </c>
      <c r="D18" s="506"/>
      <c r="E18" s="506"/>
      <c r="F18" s="506"/>
      <c r="G18" s="60"/>
      <c r="H18" s="957"/>
      <c r="I18" s="957"/>
      <c r="J18" s="957"/>
      <c r="K18" s="957"/>
      <c r="L18" s="957"/>
      <c r="M18" s="957"/>
      <c r="N18" s="957"/>
      <c r="O18" s="957"/>
      <c r="P18" s="957"/>
      <c r="Q18" s="957"/>
      <c r="R18" s="957"/>
      <c r="S18" s="957"/>
    </row>
    <row r="19" spans="1:19" hidden="1">
      <c r="A19" s="940"/>
      <c r="B19" s="497" t="e">
        <f>'Area Calculations'!#REF!</f>
        <v>#REF!</v>
      </c>
      <c r="C19" s="958" t="s">
        <v>581</v>
      </c>
      <c r="D19" s="506"/>
      <c r="E19" s="506"/>
      <c r="F19" s="506"/>
      <c r="G19" s="60"/>
      <c r="H19" s="957"/>
      <c r="I19" s="957"/>
      <c r="J19" s="957"/>
      <c r="K19" s="957"/>
      <c r="L19" s="957"/>
      <c r="M19" s="957"/>
      <c r="N19" s="957"/>
      <c r="O19" s="957"/>
      <c r="P19" s="957"/>
      <c r="Q19" s="957"/>
      <c r="R19" s="957"/>
      <c r="S19" s="957"/>
    </row>
    <row r="20" spans="1:19" ht="15.75" thickTop="1">
      <c r="A20" s="998"/>
      <c r="B20" s="497"/>
      <c r="C20" s="958"/>
      <c r="D20" s="506"/>
      <c r="E20" s="506"/>
      <c r="F20" s="506"/>
      <c r="G20" s="60"/>
      <c r="H20" s="957"/>
      <c r="I20" s="957"/>
      <c r="J20" s="957"/>
      <c r="K20" s="957"/>
      <c r="L20" s="957"/>
      <c r="M20" s="957"/>
      <c r="N20" s="957"/>
      <c r="O20" s="957"/>
      <c r="P20" s="957"/>
      <c r="Q20" s="957"/>
      <c r="R20" s="957"/>
      <c r="S20" s="957"/>
    </row>
    <row r="21" spans="1:19" ht="15.75" thickBot="1">
      <c r="A21" s="999"/>
      <c r="B21" s="959" t="s">
        <v>607</v>
      </c>
      <c r="C21" s="31"/>
      <c r="D21" s="32"/>
      <c r="E21" s="32"/>
      <c r="F21" s="32"/>
      <c r="G21" s="36"/>
      <c r="H21" s="1000"/>
      <c r="I21" s="782"/>
      <c r="J21" s="1000"/>
      <c r="K21" s="782"/>
      <c r="L21" s="1000"/>
      <c r="M21" s="782"/>
      <c r="N21" s="1000"/>
      <c r="O21" s="782"/>
      <c r="P21" s="1000"/>
      <c r="Q21" s="782"/>
      <c r="R21" s="1000"/>
      <c r="S21" s="782"/>
    </row>
    <row r="22" spans="1:19">
      <c r="A22" s="999"/>
      <c r="B22" s="1001" t="s">
        <v>460</v>
      </c>
      <c r="C22" s="958"/>
      <c r="D22" s="506"/>
      <c r="E22" s="506"/>
      <c r="F22" s="506"/>
      <c r="G22" s="60"/>
      <c r="H22" s="1000"/>
      <c r="I22" s="782"/>
      <c r="J22" s="1000"/>
      <c r="K22" s="782"/>
      <c r="L22" s="1000"/>
      <c r="M22" s="782"/>
      <c r="N22" s="1000"/>
      <c r="O22" s="782"/>
      <c r="P22" s="1000"/>
      <c r="Q22" s="782"/>
      <c r="R22" s="1000"/>
      <c r="S22" s="782"/>
    </row>
    <row r="23" spans="1:19">
      <c r="A23" s="999"/>
      <c r="B23" s="963" t="s">
        <v>461</v>
      </c>
      <c r="C23" s="958"/>
      <c r="D23" s="506"/>
      <c r="E23" s="506"/>
      <c r="F23" s="506"/>
      <c r="G23" s="60"/>
      <c r="H23" s="1000"/>
      <c r="I23" s="782"/>
      <c r="J23" s="1000"/>
      <c r="K23" s="783"/>
      <c r="L23" s="1000"/>
      <c r="M23" s="783"/>
      <c r="N23" s="783"/>
      <c r="O23" s="783"/>
      <c r="P23" s="783"/>
      <c r="Q23" s="783"/>
      <c r="R23" s="783"/>
      <c r="S23" s="783"/>
    </row>
    <row r="24" spans="1:19">
      <c r="A24" s="784"/>
      <c r="B24" s="963" t="s">
        <v>462</v>
      </c>
      <c r="C24" s="1002"/>
      <c r="D24" s="506"/>
      <c r="E24" s="506"/>
      <c r="F24" s="506"/>
      <c r="G24" s="60"/>
      <c r="H24" s="1000"/>
      <c r="I24" s="782"/>
      <c r="J24" s="1000"/>
      <c r="K24" s="783"/>
      <c r="L24" s="1000"/>
      <c r="M24" s="783"/>
      <c r="N24" s="783"/>
      <c r="O24" s="783"/>
      <c r="P24" s="783"/>
      <c r="Q24" s="783"/>
      <c r="R24" s="783"/>
      <c r="S24" s="783"/>
    </row>
    <row r="25" spans="1:19">
      <c r="A25" s="784"/>
      <c r="B25" s="965" t="s">
        <v>463</v>
      </c>
      <c r="C25" s="1002"/>
      <c r="D25" s="506"/>
      <c r="E25" s="506"/>
      <c r="F25" s="506"/>
      <c r="G25" s="60"/>
      <c r="H25" s="1000"/>
      <c r="I25" s="782"/>
      <c r="J25" s="1000"/>
      <c r="K25" s="783"/>
      <c r="L25" s="1000"/>
      <c r="M25" s="783"/>
      <c r="N25" s="783"/>
      <c r="O25" s="783"/>
      <c r="P25" s="783"/>
      <c r="Q25" s="783"/>
      <c r="R25" s="783"/>
      <c r="S25" s="783"/>
    </row>
    <row r="26" spans="1:19" s="41" customFormat="1">
      <c r="A26" s="998"/>
      <c r="B26" s="965" t="s">
        <v>464</v>
      </c>
      <c r="C26" s="315"/>
      <c r="D26" s="492"/>
      <c r="E26" s="492"/>
      <c r="F26" s="492"/>
      <c r="G26" s="315"/>
      <c r="H26" s="1000"/>
      <c r="I26" s="782"/>
      <c r="J26" s="1003"/>
      <c r="K26" s="794"/>
      <c r="L26" s="1003"/>
      <c r="M26" s="794"/>
      <c r="N26" s="794"/>
      <c r="O26" s="794"/>
      <c r="P26" s="794"/>
      <c r="Q26" s="794"/>
      <c r="R26" s="794"/>
      <c r="S26" s="794"/>
    </row>
    <row r="27" spans="1:19" s="41" customFormat="1">
      <c r="A27" s="999"/>
      <c r="B27" s="965" t="s">
        <v>465</v>
      </c>
      <c r="C27" s="315"/>
      <c r="D27" s="492"/>
      <c r="E27" s="492"/>
      <c r="F27" s="492"/>
      <c r="G27" s="315"/>
      <c r="H27" s="1000"/>
      <c r="I27" s="782"/>
      <c r="J27" s="1003"/>
      <c r="K27" s="794"/>
      <c r="L27" s="1003"/>
      <c r="M27" s="794"/>
      <c r="N27" s="794"/>
      <c r="O27" s="794"/>
      <c r="P27" s="794"/>
      <c r="Q27" s="794"/>
      <c r="R27" s="794"/>
      <c r="S27" s="794"/>
    </row>
    <row r="28" spans="1:19" s="41" customFormat="1">
      <c r="A28" s="999"/>
      <c r="B28" s="965" t="s">
        <v>466</v>
      </c>
      <c r="C28" s="315"/>
      <c r="D28" s="492"/>
      <c r="E28" s="492"/>
      <c r="F28" s="492"/>
      <c r="G28" s="315"/>
      <c r="H28" s="1000"/>
      <c r="I28" s="782"/>
      <c r="J28" s="1003"/>
      <c r="K28" s="794"/>
      <c r="L28" s="1003"/>
      <c r="M28" s="794"/>
      <c r="N28" s="794"/>
      <c r="O28" s="794"/>
      <c r="P28" s="794"/>
      <c r="Q28" s="794"/>
      <c r="R28" s="794"/>
      <c r="S28" s="794"/>
    </row>
    <row r="29" spans="1:19" s="41" customFormat="1">
      <c r="A29" s="999"/>
      <c r="B29" s="966" t="s">
        <v>467</v>
      </c>
      <c r="C29" s="315"/>
      <c r="D29" s="492"/>
      <c r="E29" s="492"/>
      <c r="F29" s="492"/>
      <c r="G29" s="315"/>
      <c r="H29" s="1000"/>
      <c r="I29" s="782"/>
      <c r="J29" s="1003"/>
      <c r="K29" s="794"/>
      <c r="L29" s="1003"/>
      <c r="M29" s="794"/>
      <c r="N29" s="794"/>
      <c r="O29" s="794"/>
      <c r="P29" s="794"/>
      <c r="Q29" s="794"/>
      <c r="R29" s="794"/>
      <c r="S29" s="794"/>
    </row>
    <row r="30" spans="1:19" s="41" customFormat="1">
      <c r="A30" s="998"/>
      <c r="B30" s="967" t="s">
        <v>468</v>
      </c>
      <c r="C30" s="1004"/>
      <c r="D30" s="1005"/>
      <c r="E30" s="1005"/>
      <c r="F30" s="1005"/>
      <c r="G30" s="1004"/>
      <c r="H30" s="1006"/>
      <c r="I30" s="590"/>
      <c r="J30" s="1007"/>
      <c r="K30" s="791"/>
      <c r="L30" s="1007"/>
      <c r="M30" s="791"/>
      <c r="N30" s="791"/>
      <c r="O30" s="791"/>
      <c r="P30" s="791"/>
      <c r="Q30" s="791"/>
      <c r="R30" s="791"/>
      <c r="S30" s="791"/>
    </row>
    <row r="31" spans="1:19" s="41" customFormat="1">
      <c r="A31" s="998"/>
      <c r="B31" s="1008"/>
      <c r="C31" s="315"/>
      <c r="D31" s="492"/>
      <c r="E31" s="492"/>
      <c r="F31" s="492"/>
      <c r="G31" s="315"/>
      <c r="H31" s="1000"/>
      <c r="I31" s="782"/>
      <c r="J31" s="1003"/>
      <c r="K31" s="794"/>
      <c r="L31" s="1003"/>
      <c r="M31" s="794"/>
      <c r="N31" s="794"/>
      <c r="O31" s="794"/>
      <c r="P31" s="794"/>
      <c r="Q31" s="794"/>
      <c r="R31" s="794"/>
      <c r="S31" s="794"/>
    </row>
    <row r="32" spans="1:19" s="41" customFormat="1">
      <c r="A32" s="999"/>
      <c r="B32" s="1008"/>
      <c r="C32" s="57"/>
      <c r="D32" s="492"/>
      <c r="E32" s="492"/>
      <c r="F32" s="492"/>
      <c r="G32" s="315"/>
      <c r="H32" s="1000"/>
      <c r="I32" s="782"/>
      <c r="J32" s="1003"/>
      <c r="K32" s="794"/>
      <c r="L32" s="1003"/>
      <c r="M32" s="794"/>
      <c r="N32" s="794"/>
      <c r="O32" s="794"/>
      <c r="P32" s="794"/>
      <c r="Q32" s="794"/>
      <c r="R32" s="794"/>
      <c r="S32" s="794"/>
    </row>
    <row r="33" spans="1:19" s="41" customFormat="1">
      <c r="A33" s="999"/>
      <c r="B33" s="1008"/>
      <c r="C33" s="57"/>
      <c r="D33" s="492"/>
      <c r="E33" s="492"/>
      <c r="F33" s="492"/>
      <c r="G33" s="315"/>
      <c r="H33" s="1000"/>
      <c r="I33" s="782"/>
      <c r="J33" s="1003"/>
      <c r="K33" s="794"/>
      <c r="L33" s="1003"/>
      <c r="M33" s="794"/>
      <c r="N33" s="794"/>
      <c r="O33" s="794"/>
      <c r="P33" s="794"/>
      <c r="Q33" s="794"/>
      <c r="R33" s="794"/>
      <c r="S33" s="794"/>
    </row>
    <row r="34" spans="1:19" s="41" customFormat="1">
      <c r="A34" s="999"/>
      <c r="B34" s="1008"/>
      <c r="C34" s="57"/>
      <c r="D34" s="492"/>
      <c r="E34" s="492"/>
      <c r="F34" s="492"/>
      <c r="G34" s="315"/>
      <c r="H34" s="1000"/>
      <c r="I34" s="782"/>
      <c r="J34" s="1003"/>
      <c r="K34" s="794"/>
      <c r="L34" s="1003"/>
      <c r="M34" s="794"/>
      <c r="N34" s="794"/>
      <c r="O34" s="794"/>
      <c r="P34" s="794"/>
      <c r="Q34" s="794"/>
      <c r="R34" s="794"/>
      <c r="S34" s="794"/>
    </row>
    <row r="35" spans="1:19" s="41" customFormat="1">
      <c r="A35" s="999"/>
      <c r="B35" s="1008"/>
      <c r="C35" s="57"/>
      <c r="D35" s="492"/>
      <c r="E35" s="492"/>
      <c r="F35" s="492"/>
      <c r="G35" s="315"/>
      <c r="H35" s="1000"/>
      <c r="I35" s="782"/>
      <c r="J35" s="1003"/>
      <c r="K35" s="794"/>
      <c r="L35" s="1003"/>
      <c r="M35" s="794"/>
      <c r="N35" s="794"/>
      <c r="O35" s="794"/>
      <c r="P35" s="794"/>
      <c r="Q35" s="794"/>
      <c r="R35" s="794"/>
      <c r="S35" s="794"/>
    </row>
    <row r="36" spans="1:19" s="41" customFormat="1">
      <c r="A36" s="999"/>
      <c r="B36" s="1008"/>
      <c r="C36" s="57"/>
      <c r="D36" s="492"/>
      <c r="E36" s="492"/>
      <c r="F36" s="492"/>
      <c r="G36" s="315"/>
      <c r="H36" s="1000"/>
      <c r="I36" s="782"/>
      <c r="J36" s="1003"/>
      <c r="K36" s="794"/>
      <c r="L36" s="1003"/>
      <c r="M36" s="794"/>
      <c r="N36" s="794"/>
      <c r="O36" s="794"/>
      <c r="P36" s="794"/>
      <c r="Q36" s="794"/>
      <c r="R36" s="794"/>
      <c r="S36" s="794"/>
    </row>
    <row r="37" spans="1:19" s="41" customFormat="1">
      <c r="A37" s="999"/>
      <c r="B37" s="1008"/>
      <c r="C37" s="57"/>
      <c r="D37" s="492"/>
      <c r="E37" s="1009"/>
      <c r="F37" s="1010"/>
      <c r="G37" s="315"/>
      <c r="H37" s="1000"/>
      <c r="I37" s="782"/>
      <c r="J37" s="1003"/>
      <c r="K37" s="794"/>
      <c r="L37" s="1003"/>
      <c r="M37" s="794"/>
      <c r="N37" s="794"/>
      <c r="O37" s="794"/>
      <c r="P37" s="794"/>
      <c r="Q37" s="794"/>
      <c r="R37" s="794"/>
      <c r="S37" s="794"/>
    </row>
    <row r="38" spans="1:19" s="41" customFormat="1">
      <c r="A38" s="999"/>
      <c r="B38" s="1008"/>
      <c r="C38" s="57"/>
      <c r="D38" s="492"/>
      <c r="E38" s="1009"/>
      <c r="F38" s="1010"/>
      <c r="G38" s="315"/>
      <c r="H38" s="1000"/>
      <c r="I38" s="782"/>
      <c r="J38" s="1003"/>
      <c r="K38" s="794"/>
      <c r="L38" s="1003"/>
      <c r="M38" s="794"/>
      <c r="N38" s="794"/>
      <c r="O38" s="794"/>
      <c r="P38" s="794"/>
      <c r="Q38" s="794"/>
      <c r="R38" s="794"/>
      <c r="S38" s="794"/>
    </row>
    <row r="39" spans="1:19" s="41" customFormat="1">
      <c r="A39" s="999"/>
      <c r="B39" s="1008"/>
      <c r="C39" s="57"/>
      <c r="D39" s="492"/>
      <c r="E39" s="1009"/>
      <c r="F39" s="1010"/>
      <c r="G39" s="315"/>
      <c r="H39" s="1000"/>
      <c r="I39" s="782"/>
      <c r="J39" s="1003"/>
      <c r="K39" s="794"/>
      <c r="L39" s="1003"/>
      <c r="M39" s="794"/>
      <c r="N39" s="794"/>
      <c r="O39" s="794"/>
      <c r="P39" s="794"/>
      <c r="Q39" s="794"/>
      <c r="R39" s="794"/>
      <c r="S39" s="794"/>
    </row>
    <row r="40" spans="1:19" s="41" customFormat="1">
      <c r="A40" s="999"/>
      <c r="B40" s="1011"/>
      <c r="C40" s="57"/>
      <c r="D40" s="492"/>
      <c r="E40" s="1009"/>
      <c r="F40" s="1010"/>
      <c r="G40" s="315"/>
      <c r="H40" s="1000"/>
      <c r="I40" s="782"/>
      <c r="J40" s="1003"/>
      <c r="K40" s="794"/>
      <c r="L40" s="1003"/>
      <c r="M40" s="794"/>
      <c r="N40" s="794"/>
      <c r="O40" s="794"/>
      <c r="P40" s="794"/>
      <c r="Q40" s="794"/>
      <c r="R40" s="794"/>
      <c r="S40" s="794"/>
    </row>
    <row r="41" spans="1:19" s="41" customFormat="1">
      <c r="A41" s="999"/>
      <c r="B41" s="1012"/>
      <c r="C41" s="57"/>
      <c r="D41" s="492"/>
      <c r="E41" s="1009"/>
      <c r="F41" s="1010"/>
      <c r="G41" s="315"/>
      <c r="H41" s="1000"/>
      <c r="I41" s="782"/>
      <c r="J41" s="1003"/>
      <c r="K41" s="794"/>
      <c r="L41" s="1003"/>
      <c r="M41" s="794"/>
      <c r="N41" s="794"/>
      <c r="O41" s="794"/>
      <c r="P41" s="794"/>
      <c r="Q41" s="794"/>
      <c r="R41" s="794"/>
      <c r="S41" s="794"/>
    </row>
    <row r="42" spans="1:19" s="41" customFormat="1">
      <c r="A42" s="999"/>
      <c r="B42" s="58"/>
      <c r="C42" s="57"/>
      <c r="D42" s="492"/>
      <c r="E42" s="1009"/>
      <c r="F42" s="1010"/>
      <c r="G42" s="315"/>
      <c r="H42" s="1000"/>
      <c r="I42" s="782"/>
      <c r="J42" s="1003"/>
      <c r="K42" s="794"/>
      <c r="L42" s="1003"/>
      <c r="M42" s="794"/>
      <c r="N42" s="794"/>
      <c r="O42" s="794"/>
      <c r="P42" s="794"/>
      <c r="Q42" s="794"/>
      <c r="R42" s="794"/>
      <c r="S42" s="794"/>
    </row>
    <row r="43" spans="1:19" s="41" customFormat="1">
      <c r="A43" s="999"/>
      <c r="B43" s="1008"/>
      <c r="C43" s="57"/>
      <c r="D43" s="492"/>
      <c r="E43" s="1009"/>
      <c r="F43" s="1010"/>
      <c r="G43" s="315"/>
      <c r="H43" s="1000"/>
      <c r="I43" s="782"/>
      <c r="J43" s="1003"/>
      <c r="K43" s="794"/>
      <c r="L43" s="1003"/>
      <c r="M43" s="794"/>
      <c r="N43" s="794"/>
      <c r="O43" s="794"/>
      <c r="P43" s="794"/>
      <c r="Q43" s="794"/>
      <c r="R43" s="794"/>
      <c r="S43" s="794"/>
    </row>
    <row r="44" spans="1:19" s="41" customFormat="1">
      <c r="A44" s="999"/>
      <c r="B44" s="1008"/>
      <c r="C44" s="57"/>
      <c r="D44" s="492"/>
      <c r="E44" s="1009"/>
      <c r="F44" s="1010"/>
      <c r="G44" s="315"/>
      <c r="H44" s="1000"/>
      <c r="I44" s="782"/>
      <c r="J44" s="1003"/>
      <c r="K44" s="794"/>
      <c r="L44" s="1003"/>
      <c r="M44" s="794"/>
      <c r="N44" s="794"/>
      <c r="O44" s="794"/>
      <c r="P44" s="794"/>
      <c r="Q44" s="794"/>
      <c r="R44" s="794"/>
      <c r="S44" s="794"/>
    </row>
    <row r="45" spans="1:19" s="41" customFormat="1">
      <c r="A45" s="999"/>
      <c r="B45" s="1008"/>
      <c r="C45" s="57"/>
      <c r="D45" s="492"/>
      <c r="E45" s="1009"/>
      <c r="F45" s="1010"/>
      <c r="G45" s="315"/>
      <c r="H45" s="1000"/>
      <c r="I45" s="782"/>
      <c r="J45" s="1003"/>
      <c r="K45" s="794"/>
      <c r="L45" s="1003"/>
      <c r="M45" s="794"/>
      <c r="N45" s="794"/>
      <c r="O45" s="794"/>
      <c r="P45" s="794"/>
      <c r="Q45" s="794"/>
      <c r="R45" s="794"/>
      <c r="S45" s="794"/>
    </row>
    <row r="46" spans="1:19" s="41" customFormat="1">
      <c r="A46" s="999"/>
      <c r="B46" s="1008"/>
      <c r="C46" s="57"/>
      <c r="D46" s="492"/>
      <c r="E46" s="1009"/>
      <c r="F46" s="1010"/>
      <c r="G46" s="315"/>
      <c r="H46" s="1000"/>
      <c r="I46" s="782"/>
      <c r="J46" s="1003"/>
      <c r="K46" s="794"/>
      <c r="L46" s="1003"/>
      <c r="M46" s="794"/>
      <c r="N46" s="794"/>
      <c r="O46" s="794"/>
      <c r="P46" s="794"/>
      <c r="Q46" s="794"/>
      <c r="R46" s="794"/>
      <c r="S46" s="794"/>
    </row>
    <row r="47" spans="1:19" s="41" customFormat="1">
      <c r="A47" s="999"/>
      <c r="B47" s="1008"/>
      <c r="C47" s="57"/>
      <c r="D47" s="492"/>
      <c r="E47" s="1009"/>
      <c r="F47" s="1010"/>
      <c r="G47" s="315"/>
      <c r="H47" s="1000"/>
      <c r="I47" s="782"/>
      <c r="J47" s="1003"/>
      <c r="K47" s="794"/>
      <c r="L47" s="1003"/>
      <c r="M47" s="794"/>
      <c r="N47" s="794"/>
      <c r="O47" s="794"/>
      <c r="P47" s="794"/>
      <c r="Q47" s="794"/>
      <c r="R47" s="794"/>
      <c r="S47" s="794"/>
    </row>
    <row r="48" spans="1:19" s="41" customFormat="1">
      <c r="A48" s="999"/>
      <c r="B48" s="1008"/>
      <c r="C48" s="57"/>
      <c r="D48" s="492"/>
      <c r="E48" s="1009"/>
      <c r="F48" s="1010"/>
      <c r="G48" s="315"/>
      <c r="H48" s="1000"/>
      <c r="I48" s="782"/>
      <c r="J48" s="1003"/>
      <c r="K48" s="794"/>
      <c r="L48" s="1003"/>
      <c r="M48" s="794"/>
      <c r="N48" s="794"/>
      <c r="O48" s="794"/>
      <c r="P48" s="794"/>
      <c r="Q48" s="794"/>
      <c r="R48" s="794"/>
      <c r="S48" s="794"/>
    </row>
    <row r="49" spans="1:19" s="41" customFormat="1">
      <c r="A49" s="999"/>
      <c r="B49" s="1008"/>
      <c r="C49" s="57"/>
      <c r="D49" s="492"/>
      <c r="E49" s="1009"/>
      <c r="F49" s="1010"/>
      <c r="G49" s="315"/>
      <c r="H49" s="1000"/>
      <c r="I49" s="782"/>
      <c r="J49" s="1003"/>
      <c r="K49" s="794"/>
      <c r="L49" s="1003"/>
      <c r="M49" s="794"/>
      <c r="N49" s="794"/>
      <c r="O49" s="794"/>
      <c r="P49" s="794"/>
      <c r="Q49" s="794"/>
      <c r="R49" s="794"/>
      <c r="S49" s="794"/>
    </row>
    <row r="50" spans="1:19" s="41" customFormat="1">
      <c r="A50" s="999"/>
      <c r="B50" s="1008"/>
      <c r="C50" s="57"/>
      <c r="D50" s="492"/>
      <c r="E50" s="1009"/>
      <c r="F50" s="1010"/>
      <c r="G50" s="315"/>
      <c r="H50" s="1000"/>
      <c r="I50" s="782"/>
      <c r="J50" s="1003"/>
      <c r="K50" s="794"/>
      <c r="L50" s="1003"/>
      <c r="M50" s="794"/>
      <c r="N50" s="794"/>
      <c r="O50" s="794"/>
      <c r="P50" s="794"/>
      <c r="Q50" s="794"/>
      <c r="R50" s="794"/>
      <c r="S50" s="794"/>
    </row>
    <row r="51" spans="1:19" s="41" customFormat="1">
      <c r="A51" s="999"/>
      <c r="B51" s="1008"/>
      <c r="C51" s="57"/>
      <c r="D51" s="492"/>
      <c r="E51" s="1009"/>
      <c r="F51" s="1010"/>
      <c r="G51" s="315"/>
      <c r="H51" s="1000"/>
      <c r="I51" s="782"/>
      <c r="J51" s="1003"/>
      <c r="K51" s="794"/>
      <c r="L51" s="1003"/>
      <c r="M51" s="794"/>
      <c r="N51" s="794"/>
      <c r="O51" s="794"/>
      <c r="P51" s="794"/>
      <c r="Q51" s="794"/>
      <c r="R51" s="794"/>
      <c r="S51" s="794"/>
    </row>
    <row r="52" spans="1:19" s="41" customFormat="1">
      <c r="A52" s="999"/>
      <c r="B52" s="1008"/>
      <c r="C52" s="57"/>
      <c r="D52" s="492"/>
      <c r="E52" s="1009"/>
      <c r="F52" s="1010"/>
      <c r="G52" s="315"/>
      <c r="H52" s="1000"/>
      <c r="I52" s="782"/>
      <c r="J52" s="1003"/>
      <c r="K52" s="794"/>
      <c r="L52" s="1003"/>
      <c r="M52" s="794"/>
      <c r="N52" s="794"/>
      <c r="O52" s="794"/>
      <c r="P52" s="794"/>
      <c r="Q52" s="794"/>
      <c r="R52" s="794"/>
      <c r="S52" s="794"/>
    </row>
    <row r="53" spans="1:19" s="41" customFormat="1">
      <c r="A53" s="999"/>
      <c r="B53" s="1008"/>
      <c r="C53" s="57"/>
      <c r="D53" s="492"/>
      <c r="E53" s="1009"/>
      <c r="F53" s="1010"/>
      <c r="G53" s="315"/>
      <c r="H53" s="1000"/>
      <c r="I53" s="782"/>
      <c r="J53" s="1003"/>
      <c r="K53" s="794"/>
      <c r="L53" s="1003"/>
      <c r="M53" s="794"/>
      <c r="N53" s="794"/>
      <c r="O53" s="794"/>
      <c r="P53" s="794"/>
      <c r="Q53" s="794"/>
      <c r="R53" s="794"/>
      <c r="S53" s="794"/>
    </row>
    <row r="54" spans="1:19" s="41" customFormat="1">
      <c r="A54" s="998"/>
      <c r="B54" s="1008"/>
      <c r="C54" s="315"/>
      <c r="D54" s="492"/>
      <c r="E54" s="1009"/>
      <c r="F54" s="1010"/>
      <c r="G54" s="315"/>
      <c r="H54" s="1000"/>
      <c r="I54" s="782"/>
      <c r="J54" s="1003"/>
      <c r="K54" s="794"/>
      <c r="L54" s="1003"/>
      <c r="M54" s="794"/>
      <c r="N54" s="794"/>
      <c r="O54" s="794"/>
      <c r="P54" s="794"/>
      <c r="Q54" s="794"/>
      <c r="R54" s="794"/>
      <c r="S54" s="794"/>
    </row>
    <row r="55" spans="1:19">
      <c r="A55" s="784"/>
      <c r="B55" s="1008"/>
      <c r="C55" s="315"/>
      <c r="D55" s="506"/>
      <c r="E55" s="1009"/>
      <c r="F55" s="1010"/>
      <c r="G55" s="60"/>
      <c r="H55" s="1000"/>
      <c r="I55" s="782"/>
      <c r="J55" s="945"/>
      <c r="K55" s="945"/>
      <c r="L55" s="945"/>
      <c r="M55" s="783"/>
      <c r="N55" s="783"/>
      <c r="O55" s="783"/>
      <c r="P55" s="783"/>
      <c r="Q55" s="783"/>
      <c r="R55" s="783"/>
      <c r="S55" s="783"/>
    </row>
    <row r="56" spans="1:19">
      <c r="A56" s="784"/>
      <c r="B56" s="51"/>
      <c r="C56" s="315"/>
      <c r="D56" s="506"/>
      <c r="E56" s="1009"/>
      <c r="F56" s="1010"/>
      <c r="G56" s="60"/>
      <c r="H56" s="1000"/>
      <c r="I56" s="782"/>
      <c r="J56" s="1000"/>
      <c r="K56" s="783"/>
      <c r="L56" s="1000"/>
      <c r="M56" s="783"/>
      <c r="N56" s="783"/>
      <c r="O56" s="783"/>
      <c r="P56" s="783"/>
      <c r="Q56" s="783"/>
      <c r="R56" s="783"/>
      <c r="S56" s="783"/>
    </row>
    <row r="57" spans="1:19">
      <c r="A57" s="784"/>
      <c r="B57" s="1011"/>
      <c r="C57" s="315"/>
      <c r="D57" s="506"/>
      <c r="E57" s="506"/>
      <c r="F57" s="506"/>
      <c r="G57" s="60"/>
      <c r="H57" s="1000"/>
      <c r="I57" s="782"/>
      <c r="J57" s="1000"/>
      <c r="K57" s="783"/>
      <c r="L57" s="1000"/>
      <c r="M57" s="783"/>
      <c r="N57" s="783"/>
      <c r="O57" s="783"/>
      <c r="P57" s="783"/>
      <c r="Q57" s="783"/>
      <c r="R57" s="783"/>
      <c r="S57" s="783"/>
    </row>
    <row r="58" spans="1:19">
      <c r="A58" s="784"/>
      <c r="B58" s="1011"/>
      <c r="C58" s="315"/>
      <c r="D58" s="506"/>
      <c r="E58" s="506"/>
      <c r="F58" s="506"/>
      <c r="G58" s="60"/>
      <c r="H58" s="1000"/>
      <c r="I58" s="783"/>
      <c r="J58" s="945"/>
      <c r="K58" s="783"/>
      <c r="L58" s="1000"/>
      <c r="M58" s="783"/>
      <c r="N58" s="783"/>
      <c r="O58" s="783"/>
      <c r="P58" s="783"/>
      <c r="Q58" s="783"/>
      <c r="R58" s="783"/>
      <c r="S58" s="783"/>
    </row>
    <row r="59" spans="1:19">
      <c r="A59" s="784"/>
      <c r="B59" s="1013"/>
      <c r="C59" s="315"/>
      <c r="D59" s="506"/>
      <c r="E59" s="506"/>
      <c r="F59" s="506"/>
      <c r="G59" s="60"/>
      <c r="H59" s="1000"/>
      <c r="I59" s="783"/>
      <c r="J59" s="1000"/>
      <c r="K59" s="783"/>
      <c r="L59" s="1000"/>
      <c r="M59" s="783"/>
      <c r="N59" s="783"/>
      <c r="O59" s="783"/>
      <c r="P59" s="783"/>
      <c r="Q59" s="783"/>
      <c r="R59" s="783"/>
      <c r="S59" s="783"/>
    </row>
    <row r="60" spans="1:19">
      <c r="A60" s="784"/>
      <c r="B60" s="1014"/>
      <c r="C60" s="315"/>
      <c r="D60" s="506"/>
      <c r="E60" s="506"/>
      <c r="F60" s="506"/>
      <c r="G60" s="60"/>
      <c r="H60" s="1000"/>
      <c r="I60" s="783"/>
      <c r="J60" s="1000"/>
      <c r="K60" s="783"/>
      <c r="L60" s="1000"/>
      <c r="M60" s="783"/>
      <c r="N60" s="783"/>
      <c r="O60" s="783"/>
      <c r="P60" s="783"/>
      <c r="Q60" s="783"/>
      <c r="R60" s="783"/>
      <c r="S60" s="783"/>
    </row>
    <row r="61" spans="1:19">
      <c r="A61" s="784"/>
      <c r="B61" s="1014"/>
      <c r="C61" s="315"/>
      <c r="D61" s="506"/>
      <c r="E61" s="506"/>
      <c r="F61" s="506"/>
      <c r="G61" s="60"/>
      <c r="H61" s="1000"/>
      <c r="I61" s="782"/>
      <c r="J61" s="1000"/>
      <c r="K61" s="782"/>
      <c r="L61" s="783"/>
      <c r="M61" s="782"/>
      <c r="N61" s="783"/>
      <c r="O61" s="782"/>
      <c r="P61" s="783"/>
      <c r="Q61" s="783"/>
      <c r="R61" s="783"/>
      <c r="S61" s="783"/>
    </row>
    <row r="62" spans="1:19">
      <c r="A62" s="784"/>
      <c r="B62" s="1014"/>
      <c r="C62" s="315"/>
      <c r="D62" s="506"/>
      <c r="E62" s="506"/>
      <c r="F62" s="506"/>
      <c r="G62" s="60"/>
      <c r="H62" s="1000"/>
      <c r="I62" s="782"/>
      <c r="J62" s="1000"/>
      <c r="K62" s="782"/>
      <c r="L62" s="783"/>
      <c r="M62" s="782"/>
      <c r="N62" s="783"/>
      <c r="O62" s="782"/>
      <c r="P62" s="783"/>
      <c r="Q62" s="783"/>
      <c r="R62" s="783"/>
      <c r="S62" s="783"/>
    </row>
    <row r="63" spans="1:19">
      <c r="A63" s="784"/>
      <c r="B63" s="1014"/>
      <c r="C63" s="315"/>
      <c r="D63" s="506"/>
      <c r="E63" s="506"/>
      <c r="F63" s="506"/>
      <c r="G63" s="60"/>
      <c r="H63" s="1000"/>
      <c r="I63" s="782"/>
      <c r="J63" s="1000"/>
      <c r="K63" s="782"/>
      <c r="L63" s="783"/>
      <c r="M63" s="782"/>
      <c r="N63" s="783"/>
      <c r="O63" s="782"/>
      <c r="P63" s="783"/>
      <c r="Q63" s="783"/>
      <c r="R63" s="783"/>
      <c r="S63" s="783"/>
    </row>
    <row r="64" spans="1:19">
      <c r="A64" s="784"/>
      <c r="B64" s="1014"/>
      <c r="C64" s="315"/>
      <c r="D64" s="506"/>
      <c r="E64" s="506"/>
      <c r="F64" s="506"/>
      <c r="G64" s="60"/>
      <c r="H64" s="1000"/>
      <c r="I64" s="782"/>
      <c r="J64" s="1000"/>
      <c r="K64" s="782"/>
      <c r="L64" s="783"/>
      <c r="M64" s="782"/>
      <c r="N64" s="783"/>
      <c r="O64" s="782"/>
      <c r="P64" s="783"/>
      <c r="Q64" s="783"/>
      <c r="R64" s="783"/>
      <c r="S64" s="783"/>
    </row>
    <row r="65" spans="1:19" ht="15.75" thickBot="1">
      <c r="A65" s="784"/>
      <c r="B65" s="1014"/>
      <c r="C65" s="315"/>
      <c r="D65" s="506"/>
      <c r="E65" s="506"/>
      <c r="F65" s="506"/>
      <c r="G65" s="60"/>
      <c r="H65" s="1000"/>
      <c r="I65" s="782"/>
      <c r="J65" s="1000"/>
      <c r="K65" s="782"/>
      <c r="L65" s="783"/>
      <c r="M65" s="782"/>
      <c r="N65" s="783"/>
      <c r="O65" s="782"/>
      <c r="P65" s="783"/>
      <c r="Q65" s="783"/>
      <c r="R65" s="783"/>
      <c r="S65" s="783"/>
    </row>
    <row r="66" spans="1:19" ht="15.75" thickTop="1">
      <c r="A66" s="15"/>
      <c r="B66" s="16"/>
      <c r="C66" s="17"/>
      <c r="D66" s="17"/>
      <c r="E66" s="18"/>
      <c r="F66" s="19" t="s">
        <v>470</v>
      </c>
      <c r="G66" s="20"/>
      <c r="H66" s="21"/>
      <c r="I66" s="35">
        <f>SUM(I23:I65)</f>
        <v>0</v>
      </c>
      <c r="J66" s="21"/>
      <c r="K66" s="35">
        <f>SUM(K23:K65)</f>
        <v>0</v>
      </c>
      <c r="L66" s="21"/>
      <c r="M66" s="35">
        <f>SUM(M23:M65)</f>
        <v>0</v>
      </c>
      <c r="N66" s="21"/>
      <c r="O66" s="35">
        <f>SUM(O23:O65)</f>
        <v>0</v>
      </c>
      <c r="P66" s="21"/>
      <c r="Q66" s="35">
        <f>SUM(Q23:Q65)</f>
        <v>0</v>
      </c>
      <c r="R66" s="21"/>
      <c r="S66" s="35">
        <f>SUM(S23:S65)</f>
        <v>0</v>
      </c>
    </row>
    <row r="67" spans="1:19">
      <c r="A67" s="930"/>
      <c r="B67" s="496"/>
      <c r="C67" s="493"/>
      <c r="D67" s="493"/>
      <c r="E67" s="521"/>
      <c r="F67" s="494" t="s">
        <v>471</v>
      </c>
      <c r="G67" s="464"/>
      <c r="H67" s="931">
        <v>0</v>
      </c>
      <c r="I67" s="1015"/>
      <c r="J67" s="931">
        <v>0</v>
      </c>
      <c r="K67" s="1015"/>
      <c r="L67" s="931">
        <v>0</v>
      </c>
      <c r="M67" s="1015"/>
      <c r="N67" s="931">
        <v>0</v>
      </c>
      <c r="O67" s="1015"/>
      <c r="P67" s="931">
        <v>0</v>
      </c>
      <c r="Q67" s="1015"/>
      <c r="R67" s="931">
        <v>0</v>
      </c>
      <c r="S67" s="1015"/>
    </row>
    <row r="68" spans="1:19">
      <c r="A68" s="930"/>
      <c r="B68" s="496"/>
      <c r="C68" s="493"/>
      <c r="D68" s="493"/>
      <c r="E68" s="521"/>
      <c r="F68" s="494" t="s">
        <v>472</v>
      </c>
      <c r="G68" s="464"/>
      <c r="H68" s="932"/>
      <c r="I68" s="1016">
        <f>H67*I66</f>
        <v>0</v>
      </c>
      <c r="J68" s="932"/>
      <c r="K68" s="1016">
        <f>J67*K66</f>
        <v>0</v>
      </c>
      <c r="L68" s="932"/>
      <c r="M68" s="1016">
        <f>L67*M66</f>
        <v>0</v>
      </c>
      <c r="N68" s="932"/>
      <c r="O68" s="1016">
        <f>N67*O66</f>
        <v>0</v>
      </c>
      <c r="P68" s="932"/>
      <c r="Q68" s="1016">
        <f>P67*Q66</f>
        <v>0</v>
      </c>
      <c r="R68" s="932"/>
      <c r="S68" s="1016">
        <f>R67*S66</f>
        <v>0</v>
      </c>
    </row>
    <row r="69" spans="1:19">
      <c r="A69" s="930"/>
      <c r="B69" s="496"/>
      <c r="C69" s="493"/>
      <c r="D69" s="493"/>
      <c r="E69" s="521"/>
      <c r="F69" s="494"/>
      <c r="G69" s="464"/>
      <c r="H69" s="932"/>
      <c r="I69" s="933"/>
      <c r="J69" s="932"/>
      <c r="K69" s="933"/>
      <c r="L69" s="932"/>
      <c r="M69" s="933"/>
      <c r="N69" s="932"/>
      <c r="O69" s="933"/>
      <c r="P69" s="932"/>
      <c r="Q69" s="933"/>
      <c r="R69" s="932"/>
      <c r="S69" s="933"/>
    </row>
    <row r="70" spans="1:19">
      <c r="A70" s="930"/>
      <c r="B70" s="496"/>
      <c r="C70" s="493"/>
      <c r="D70" s="493"/>
      <c r="E70" s="521"/>
      <c r="F70" s="494" t="s">
        <v>473</v>
      </c>
      <c r="G70" s="464"/>
      <c r="H70" s="934"/>
      <c r="I70" s="1017">
        <f>SUM(I66:I68)</f>
        <v>0</v>
      </c>
      <c r="J70" s="934"/>
      <c r="K70" s="1017">
        <f>SUM(K66:K68)</f>
        <v>0</v>
      </c>
      <c r="L70" s="934"/>
      <c r="M70" s="1017">
        <f>SUM(M66:M68)</f>
        <v>0</v>
      </c>
      <c r="N70" s="934"/>
      <c r="O70" s="1017">
        <f>SUM(O66:O68)</f>
        <v>0</v>
      </c>
      <c r="P70" s="934"/>
      <c r="Q70" s="1017">
        <f>SUM(Q66:Q68)</f>
        <v>0</v>
      </c>
      <c r="R70" s="934"/>
      <c r="S70" s="1017">
        <f>SUM(S66:S68)</f>
        <v>0</v>
      </c>
    </row>
    <row r="71" spans="1:19">
      <c r="A71" s="930"/>
      <c r="B71" s="496"/>
      <c r="C71" s="493"/>
      <c r="D71" s="493"/>
      <c r="E71" s="521"/>
      <c r="F71" s="495" t="s">
        <v>474</v>
      </c>
      <c r="G71" s="902"/>
      <c r="H71" s="935"/>
      <c r="I71" s="937">
        <f>I70/'Area Calculations'!$G$5</f>
        <v>0</v>
      </c>
      <c r="J71" s="935"/>
      <c r="K71" s="937">
        <f>K70/'Area Calculations'!$G$5</f>
        <v>0</v>
      </c>
      <c r="L71" s="935"/>
      <c r="M71" s="937">
        <f>M70/'Area Calculations'!$G$5</f>
        <v>0</v>
      </c>
      <c r="N71" s="935"/>
      <c r="O71" s="937">
        <f>O70/'Area Calculations'!$G$5</f>
        <v>0</v>
      </c>
      <c r="P71" s="935"/>
      <c r="Q71" s="937">
        <f>Q70/'Area Calculations'!$G$5</f>
        <v>0</v>
      </c>
      <c r="R71" s="935"/>
      <c r="S71" s="937">
        <f>S70/'Area Calculations'!$G$5</f>
        <v>0</v>
      </c>
    </row>
    <row r="72" spans="1:19">
      <c r="A72" s="930"/>
      <c r="B72" s="496"/>
      <c r="C72" s="493"/>
      <c r="D72" s="493"/>
      <c r="E72" s="521"/>
      <c r="F72" s="495" t="s">
        <v>582</v>
      </c>
      <c r="G72" s="978"/>
      <c r="H72" s="935"/>
      <c r="I72" s="937">
        <f>I70/'Area Calculations'!$G$9</f>
        <v>0</v>
      </c>
      <c r="J72" s="935"/>
      <c r="K72" s="937">
        <f>K70/'Area Calculations'!$G$9</f>
        <v>0</v>
      </c>
      <c r="L72" s="935"/>
      <c r="M72" s="937">
        <f>M70/'Area Calculations'!$G$9</f>
        <v>0</v>
      </c>
      <c r="N72" s="935"/>
      <c r="O72" s="937">
        <f>O70/'Area Calculations'!$G$9</f>
        <v>0</v>
      </c>
      <c r="P72" s="935"/>
      <c r="Q72" s="937">
        <f>Q70/'Area Calculations'!$G$9</f>
        <v>0</v>
      </c>
      <c r="R72" s="935"/>
      <c r="S72" s="937">
        <f>S70/'Area Calculations'!$G$9</f>
        <v>0</v>
      </c>
    </row>
    <row r="73" spans="1:19" ht="15.75" thickBot="1">
      <c r="A73" s="930"/>
      <c r="B73" s="496"/>
      <c r="C73" s="493"/>
      <c r="D73" s="493"/>
      <c r="E73" s="521"/>
      <c r="F73" s="494"/>
      <c r="G73" s="979"/>
      <c r="H73" s="980"/>
      <c r="I73" s="981"/>
      <c r="J73" s="980"/>
      <c r="K73" s="981"/>
      <c r="L73" s="980"/>
      <c r="M73" s="981"/>
      <c r="N73" s="980"/>
      <c r="O73" s="981"/>
      <c r="P73" s="938"/>
      <c r="Q73" s="938"/>
      <c r="R73" s="938"/>
      <c r="S73" s="938"/>
    </row>
    <row r="74" spans="1:19" ht="16.5" thickTop="1" thickBot="1">
      <c r="A74" s="691" t="s">
        <v>475</v>
      </c>
      <c r="B74" s="692"/>
      <c r="C74" s="14"/>
      <c r="D74" s="14"/>
      <c r="E74" s="14"/>
      <c r="F74" s="14"/>
      <c r="G74" s="29"/>
      <c r="H74" s="27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19" ht="15.75" thickTop="1">
      <c r="A75" s="795"/>
      <c r="B75" s="497"/>
      <c r="C75" s="796"/>
      <c r="D75" s="796"/>
      <c r="E75" s="796"/>
      <c r="F75" s="796"/>
      <c r="G75" s="982"/>
      <c r="H75" s="591"/>
      <c r="I75" s="799"/>
      <c r="J75" s="799"/>
      <c r="K75" s="799"/>
      <c r="L75" s="799"/>
      <c r="M75" s="799"/>
      <c r="N75" s="799"/>
      <c r="O75" s="799"/>
      <c r="P75" s="799"/>
      <c r="Q75" s="799"/>
      <c r="R75" s="799"/>
      <c r="S75" s="799"/>
    </row>
    <row r="76" spans="1:19" s="2" customFormat="1">
      <c r="A76" s="795"/>
      <c r="B76" s="497"/>
      <c r="C76" s="796"/>
      <c r="D76" s="796"/>
      <c r="E76" s="796"/>
      <c r="F76" s="796"/>
      <c r="G76" s="982"/>
      <c r="H76" s="591"/>
      <c r="I76" s="799"/>
      <c r="J76" s="799"/>
      <c r="K76" s="799"/>
      <c r="L76" s="799"/>
      <c r="M76" s="799"/>
      <c r="N76" s="799"/>
      <c r="O76" s="799"/>
      <c r="P76" s="799"/>
      <c r="Q76" s="799"/>
      <c r="R76" s="799"/>
      <c r="S76" s="799"/>
    </row>
    <row r="77" spans="1:19" s="2" customFormat="1" ht="15.75" thickBot="1">
      <c r="A77" s="795"/>
      <c r="B77" s="497"/>
      <c r="C77" s="796"/>
      <c r="D77" s="796"/>
      <c r="E77" s="796"/>
      <c r="F77" s="796"/>
      <c r="G77" s="982"/>
      <c r="H77" s="591"/>
      <c r="I77" s="799"/>
      <c r="J77" s="799"/>
      <c r="K77" s="799"/>
      <c r="L77" s="799"/>
      <c r="M77" s="799"/>
      <c r="N77" s="799"/>
      <c r="O77" s="799"/>
      <c r="P77" s="799"/>
      <c r="Q77" s="799"/>
      <c r="R77" s="799"/>
      <c r="S77" s="799"/>
    </row>
    <row r="78" spans="1:19" ht="16.5" thickTop="1" thickBot="1">
      <c r="A78" s="691" t="s">
        <v>476</v>
      </c>
      <c r="B78" s="692"/>
      <c r="C78" s="14"/>
      <c r="D78" s="14"/>
      <c r="E78" s="14"/>
      <c r="F78" s="14"/>
      <c r="G78" s="29"/>
      <c r="H78" s="27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s="2" customFormat="1" ht="15.75" thickTop="1">
      <c r="A79" s="795"/>
      <c r="B79" s="497"/>
      <c r="C79" s="796"/>
      <c r="D79" s="796"/>
      <c r="E79" s="796"/>
      <c r="F79" s="796"/>
      <c r="G79" s="982"/>
      <c r="H79" s="591"/>
      <c r="I79" s="799"/>
      <c r="J79" s="799"/>
      <c r="K79" s="799"/>
      <c r="L79" s="799"/>
      <c r="M79" s="799"/>
      <c r="N79" s="799"/>
      <c r="O79" s="799"/>
      <c r="P79" s="799"/>
      <c r="Q79" s="799"/>
      <c r="R79" s="799"/>
      <c r="S79" s="799"/>
    </row>
    <row r="80" spans="1:19" s="2" customFormat="1">
      <c r="A80" s="795"/>
      <c r="B80" s="497"/>
      <c r="C80" s="796"/>
      <c r="D80" s="796"/>
      <c r="E80" s="796"/>
      <c r="F80" s="796"/>
      <c r="G80" s="982"/>
      <c r="H80" s="591"/>
      <c r="I80" s="799"/>
      <c r="J80" s="799"/>
      <c r="K80" s="799"/>
      <c r="L80" s="799"/>
      <c r="M80" s="799"/>
      <c r="N80" s="799"/>
      <c r="O80" s="799"/>
      <c r="P80" s="799"/>
      <c r="Q80" s="799"/>
      <c r="R80" s="799"/>
      <c r="S80" s="799"/>
    </row>
    <row r="81" spans="1:19" ht="15.75" thickBot="1">
      <c r="A81" s="795"/>
      <c r="B81" s="497"/>
      <c r="C81" s="796"/>
      <c r="D81" s="796"/>
      <c r="E81" s="796"/>
      <c r="F81" s="796"/>
      <c r="G81" s="982"/>
      <c r="H81" s="591"/>
      <c r="I81" s="799"/>
      <c r="J81" s="799"/>
      <c r="K81" s="799"/>
      <c r="L81" s="799"/>
      <c r="M81" s="799"/>
      <c r="N81" s="799"/>
      <c r="O81" s="799"/>
      <c r="P81" s="799"/>
      <c r="Q81" s="799"/>
      <c r="R81" s="799"/>
      <c r="S81" s="799"/>
    </row>
    <row r="82" spans="1:19" ht="16.5" thickTop="1" thickBot="1">
      <c r="A82" s="691" t="s">
        <v>477</v>
      </c>
      <c r="B82" s="692"/>
      <c r="C82" s="14"/>
      <c r="D82" s="14"/>
      <c r="E82" s="14"/>
      <c r="F82" s="14"/>
      <c r="G82" s="29"/>
      <c r="H82" s="27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 spans="1:19" ht="15.75" thickTop="1">
      <c r="A83" s="795"/>
      <c r="B83" s="497"/>
      <c r="C83" s="796"/>
      <c r="D83" s="796"/>
      <c r="E83" s="796"/>
      <c r="F83" s="796"/>
      <c r="G83" s="982"/>
      <c r="H83" s="591"/>
      <c r="I83" s="799"/>
      <c r="J83" s="799"/>
      <c r="K83" s="799"/>
      <c r="L83" s="799"/>
      <c r="M83" s="799"/>
      <c r="N83" s="799"/>
      <c r="O83" s="799"/>
      <c r="P83" s="799"/>
      <c r="Q83" s="799"/>
      <c r="R83" s="799"/>
      <c r="S83" s="799"/>
    </row>
    <row r="84" spans="1:19">
      <c r="A84" s="940"/>
      <c r="B84" s="497"/>
      <c r="C84" s="506"/>
      <c r="D84" s="506"/>
      <c r="E84" s="506"/>
      <c r="F84" s="506"/>
      <c r="G84" s="983"/>
      <c r="H84" s="984"/>
      <c r="I84" s="941"/>
      <c r="J84" s="941"/>
      <c r="K84" s="941"/>
      <c r="L84" s="941"/>
      <c r="M84" s="941"/>
      <c r="N84" s="941"/>
      <c r="O84" s="941"/>
      <c r="P84" s="941"/>
      <c r="Q84" s="941"/>
      <c r="R84" s="941"/>
      <c r="S84" s="941"/>
    </row>
    <row r="85" spans="1:19" ht="15.75" thickBot="1">
      <c r="A85" s="942"/>
      <c r="B85" s="501"/>
      <c r="C85" s="506"/>
      <c r="D85" s="506"/>
      <c r="E85" s="506"/>
      <c r="F85" s="506"/>
      <c r="G85" s="983"/>
      <c r="H85" s="985"/>
      <c r="I85" s="943"/>
      <c r="J85" s="943"/>
      <c r="K85" s="943"/>
      <c r="L85" s="943"/>
      <c r="M85" s="943"/>
      <c r="N85" s="943"/>
      <c r="O85" s="943"/>
      <c r="P85" s="943"/>
      <c r="Q85" s="943"/>
      <c r="R85" s="943"/>
      <c r="S85" s="943"/>
    </row>
    <row r="86" spans="1:19" ht="16.5" thickTop="1" thickBot="1">
      <c r="A86" s="691" t="s">
        <v>478</v>
      </c>
      <c r="B86" s="692"/>
      <c r="C86" s="14"/>
      <c r="D86" s="14"/>
      <c r="E86" s="14"/>
      <c r="F86" s="14"/>
      <c r="G86" s="29"/>
      <c r="H86" s="27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spans="1:19" ht="15.75" thickTop="1">
      <c r="A87" s="800"/>
      <c r="B87" s="801"/>
      <c r="C87" s="796"/>
      <c r="D87" s="796"/>
      <c r="E87" s="796"/>
      <c r="F87" s="796"/>
      <c r="G87" s="982"/>
      <c r="H87" s="591"/>
      <c r="I87" s="799"/>
      <c r="J87" s="799"/>
      <c r="K87" s="799"/>
      <c r="L87" s="799"/>
      <c r="M87" s="799"/>
      <c r="N87" s="799"/>
      <c r="O87" s="799"/>
      <c r="P87" s="799"/>
      <c r="Q87" s="799"/>
      <c r="R87" s="799"/>
      <c r="S87" s="799"/>
    </row>
    <row r="88" spans="1:19">
      <c r="A88" s="942"/>
      <c r="B88" s="501"/>
      <c r="C88" s="506"/>
      <c r="D88" s="506"/>
      <c r="E88" s="506"/>
      <c r="F88" s="506"/>
      <c r="G88" s="983"/>
      <c r="H88" s="986"/>
      <c r="I88" s="944"/>
      <c r="J88" s="944"/>
      <c r="K88" s="944"/>
      <c r="L88" s="944"/>
      <c r="M88" s="944"/>
      <c r="N88" s="944"/>
      <c r="O88" s="944"/>
      <c r="P88" s="944"/>
      <c r="Q88" s="944"/>
      <c r="R88" s="944"/>
      <c r="S88" s="944"/>
    </row>
    <row r="89" spans="1:19" ht="15.75" thickBot="1">
      <c r="A89" s="942"/>
      <c r="B89" s="501"/>
      <c r="C89" s="506"/>
      <c r="D89" s="506"/>
      <c r="E89" s="506"/>
      <c r="F89" s="506"/>
      <c r="G89" s="983"/>
      <c r="H89" s="986"/>
      <c r="I89" s="944"/>
      <c r="J89" s="944"/>
      <c r="K89" s="944"/>
      <c r="L89" s="944"/>
      <c r="M89" s="944"/>
      <c r="N89" s="944"/>
      <c r="O89" s="944"/>
      <c r="P89" s="944"/>
      <c r="Q89" s="944"/>
      <c r="R89" s="944"/>
      <c r="S89" s="944"/>
    </row>
    <row r="90" spans="1:19" ht="16.5" thickTop="1" thickBot="1">
      <c r="A90" s="691" t="s">
        <v>479</v>
      </c>
      <c r="B90" s="692"/>
      <c r="C90" s="14"/>
      <c r="D90" s="14"/>
      <c r="E90" s="14"/>
      <c r="F90" s="14"/>
      <c r="G90" s="29"/>
      <c r="H90" s="27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spans="1:19" ht="15.75" thickTop="1">
      <c r="A91" s="940"/>
      <c r="B91" s="497" t="s">
        <v>480</v>
      </c>
      <c r="C91" s="506"/>
      <c r="D91" s="506"/>
      <c r="E91" s="506"/>
      <c r="F91" s="506"/>
      <c r="G91" s="983"/>
      <c r="H91" s="986"/>
      <c r="I91" s="944"/>
      <c r="J91" s="944"/>
      <c r="K91" s="944"/>
      <c r="L91" s="944"/>
      <c r="M91" s="944"/>
      <c r="N91" s="944"/>
      <c r="O91" s="944"/>
      <c r="P91" s="944"/>
      <c r="Q91" s="944"/>
      <c r="R91" s="944"/>
      <c r="S91" s="944"/>
    </row>
    <row r="92" spans="1:19">
      <c r="A92" s="940"/>
      <c r="B92" s="497" t="s">
        <v>481</v>
      </c>
      <c r="C92" s="506"/>
      <c r="D92" s="506"/>
      <c r="E92" s="506"/>
      <c r="F92" s="506"/>
      <c r="G92" s="983"/>
      <c r="H92" s="986"/>
      <c r="I92" s="944"/>
      <c r="J92" s="944"/>
      <c r="K92" s="944"/>
      <c r="L92" s="944"/>
      <c r="M92" s="944"/>
      <c r="N92" s="944"/>
      <c r="O92" s="944"/>
      <c r="P92" s="944"/>
      <c r="Q92" s="944"/>
      <c r="R92" s="944"/>
      <c r="S92" s="944"/>
    </row>
    <row r="93" spans="1:19">
      <c r="A93" s="940"/>
      <c r="B93" s="497" t="s">
        <v>482</v>
      </c>
      <c r="C93" s="506"/>
      <c r="D93" s="506"/>
      <c r="E93" s="506"/>
      <c r="F93" s="506"/>
      <c r="G93" s="983"/>
      <c r="H93" s="986"/>
      <c r="I93" s="944"/>
      <c r="J93" s="944"/>
      <c r="K93" s="944"/>
      <c r="L93" s="944"/>
      <c r="M93" s="944"/>
      <c r="N93" s="944"/>
      <c r="O93" s="944"/>
      <c r="P93" s="944"/>
      <c r="Q93" s="944"/>
      <c r="R93" s="944"/>
      <c r="S93" s="944"/>
    </row>
    <row r="94" spans="1:19">
      <c r="A94" s="940"/>
      <c r="B94" s="497" t="s">
        <v>483</v>
      </c>
      <c r="C94" s="506"/>
      <c r="D94" s="506"/>
      <c r="E94" s="506"/>
      <c r="F94" s="506"/>
      <c r="G94" s="983"/>
      <c r="H94" s="986"/>
      <c r="I94" s="944"/>
      <c r="J94" s="944"/>
      <c r="K94" s="944"/>
      <c r="L94" s="944"/>
      <c r="M94" s="944"/>
      <c r="N94" s="944"/>
      <c r="O94" s="944"/>
      <c r="P94" s="944"/>
      <c r="Q94" s="944"/>
      <c r="R94" s="944"/>
      <c r="S94" s="944"/>
    </row>
    <row r="95" spans="1:19" ht="15.75" thickBot="1">
      <c r="A95" s="23"/>
      <c r="B95" s="7"/>
      <c r="C95" s="8"/>
      <c r="D95" s="8"/>
      <c r="E95" s="8"/>
      <c r="F95" s="8"/>
      <c r="G95" s="30"/>
      <c r="H95" s="28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</row>
    <row r="96" spans="1:19" ht="16.5" thickTop="1" thickBot="1">
      <c r="A96" s="9" t="s">
        <v>484</v>
      </c>
      <c r="B96" s="10"/>
      <c r="C96" s="14"/>
      <c r="D96" s="14"/>
      <c r="E96" s="14"/>
      <c r="F96" s="14"/>
      <c r="G96" s="29"/>
      <c r="H96" s="27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 spans="1:19" ht="15.75" thickTop="1">
      <c r="A97" s="795"/>
      <c r="B97" s="802" t="s">
        <v>485</v>
      </c>
      <c r="C97" s="796"/>
      <c r="D97" s="796"/>
      <c r="E97" s="796"/>
      <c r="F97" s="796"/>
      <c r="G97" s="982"/>
      <c r="H97" s="783"/>
      <c r="I97" s="803"/>
      <c r="J97" s="803"/>
      <c r="K97" s="803"/>
      <c r="L97" s="803"/>
      <c r="M97" s="803"/>
      <c r="N97" s="803"/>
      <c r="O97" s="803"/>
      <c r="P97" s="803"/>
      <c r="Q97" s="803"/>
      <c r="R97" s="803"/>
      <c r="S97" s="803"/>
    </row>
    <row r="98" spans="1:19">
      <c r="A98" s="940"/>
      <c r="B98" s="497" t="s">
        <v>486</v>
      </c>
      <c r="C98" s="506"/>
      <c r="D98" s="506"/>
      <c r="E98" s="506"/>
      <c r="F98" s="506"/>
      <c r="G98" s="983"/>
      <c r="H98" s="987"/>
      <c r="I98" s="945"/>
      <c r="J98" s="945"/>
      <c r="K98" s="945"/>
      <c r="L98" s="945"/>
      <c r="M98" s="945"/>
      <c r="N98" s="945"/>
      <c r="O98" s="945"/>
      <c r="P98" s="945"/>
      <c r="Q98" s="945"/>
      <c r="R98" s="945"/>
      <c r="S98" s="945"/>
    </row>
    <row r="99" spans="1:19" ht="15.75" thickBot="1">
      <c r="A99" s="865"/>
      <c r="B99" s="866" t="s">
        <v>487</v>
      </c>
      <c r="C99" s="867"/>
      <c r="D99" s="867"/>
      <c r="E99" s="867"/>
      <c r="F99" s="867"/>
      <c r="G99" s="988"/>
      <c r="H99" s="989"/>
      <c r="I99" s="871"/>
      <c r="J99" s="871"/>
      <c r="K99" s="871"/>
      <c r="L99" s="871"/>
      <c r="M99" s="871"/>
      <c r="N99" s="871"/>
      <c r="O99" s="871"/>
      <c r="P99" s="871"/>
      <c r="Q99" s="871"/>
      <c r="R99" s="871"/>
      <c r="S99" s="871"/>
    </row>
    <row r="100" spans="1:19" ht="16.5" thickTop="1" thickBot="1"/>
    <row r="101" spans="1:19" ht="16.5" thickTop="1" thickBot="1">
      <c r="A101" s="42" t="s">
        <v>488</v>
      </c>
      <c r="B101" s="44"/>
    </row>
    <row r="102" spans="1:19" ht="15.75" thickTop="1">
      <c r="A102" s="43" t="s">
        <v>444</v>
      </c>
      <c r="B102" s="946"/>
    </row>
    <row r="103" spans="1:19">
      <c r="A103" s="504" t="s">
        <v>446</v>
      </c>
      <c r="B103" s="946"/>
    </row>
    <row r="104" spans="1:19">
      <c r="A104" s="947" t="s">
        <v>448</v>
      </c>
      <c r="B104" s="948"/>
    </row>
    <row r="105" spans="1:19">
      <c r="A105" s="947" t="s">
        <v>450</v>
      </c>
      <c r="B105" s="949"/>
    </row>
    <row r="106" spans="1:19" ht="15.75" thickBot="1">
      <c r="A106" s="878" t="s">
        <v>489</v>
      </c>
      <c r="B106" s="990"/>
    </row>
    <row r="107" spans="1:19" ht="15.75" thickTop="1"/>
    <row r="108" spans="1:19">
      <c r="A108" s="45"/>
      <c r="B108" s="1" t="s">
        <v>490</v>
      </c>
    </row>
    <row r="109" spans="1:19">
      <c r="A109" s="46"/>
      <c r="B109" s="1" t="s">
        <v>491</v>
      </c>
    </row>
  </sheetData>
  <mergeCells count="47">
    <mergeCell ref="A74:B74"/>
    <mergeCell ref="A78:B78"/>
    <mergeCell ref="A82:B82"/>
    <mergeCell ref="A86:B86"/>
    <mergeCell ref="A90:B90"/>
    <mergeCell ref="R8:S8"/>
    <mergeCell ref="H7:I7"/>
    <mergeCell ref="J7:K7"/>
    <mergeCell ref="L7:M7"/>
    <mergeCell ref="N7:O7"/>
    <mergeCell ref="P7:Q7"/>
    <mergeCell ref="R7:S7"/>
    <mergeCell ref="H8:I8"/>
    <mergeCell ref="J8:K8"/>
    <mergeCell ref="L8:M8"/>
    <mergeCell ref="N8:O8"/>
    <mergeCell ref="P8:Q8"/>
    <mergeCell ref="R6:S6"/>
    <mergeCell ref="H5:I5"/>
    <mergeCell ref="J5:K5"/>
    <mergeCell ref="L5:M5"/>
    <mergeCell ref="N5:O5"/>
    <mergeCell ref="P5:Q5"/>
    <mergeCell ref="R5:S5"/>
    <mergeCell ref="H6:I6"/>
    <mergeCell ref="J6:K6"/>
    <mergeCell ref="L6:M6"/>
    <mergeCell ref="N6:O6"/>
    <mergeCell ref="P6:Q6"/>
    <mergeCell ref="R4:S4"/>
    <mergeCell ref="H3:I3"/>
    <mergeCell ref="J3:K3"/>
    <mergeCell ref="L3:M3"/>
    <mergeCell ref="N3:O3"/>
    <mergeCell ref="P3:Q3"/>
    <mergeCell ref="R3:S3"/>
    <mergeCell ref="H4:I4"/>
    <mergeCell ref="J4:K4"/>
    <mergeCell ref="L4:M4"/>
    <mergeCell ref="N4:O4"/>
    <mergeCell ref="P4:Q4"/>
    <mergeCell ref="R2:S2"/>
    <mergeCell ref="H2:I2"/>
    <mergeCell ref="J2:K2"/>
    <mergeCell ref="L2:M2"/>
    <mergeCell ref="N2:O2"/>
    <mergeCell ref="P2:Q2"/>
  </mergeCells>
  <hyperlinks>
    <hyperlink ref="B3" location="'Cost Summary'!A1" display="BACK TO SUMMARY SHEET" xr:uid="{6875F7F9-888D-46E3-BF19-CB2E6CDB4CFF}"/>
  </hyperlink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47A4-AEBF-44A9-AF6A-87151C928709}">
  <dimension ref="A1:S109"/>
  <sheetViews>
    <sheetView workbookViewId="0">
      <pane xSplit="2" ySplit="9" topLeftCell="G61" activePane="bottomRight" state="frozen"/>
      <selection pane="bottomRight" activeCell="I71" sqref="I71:I72"/>
      <selection pane="bottomLeft" activeCell="A11" sqref="A11"/>
      <selection pane="topRight" activeCell="C1" sqref="C1"/>
    </sheetView>
  </sheetViews>
  <sheetFormatPr defaultRowHeight="15"/>
  <cols>
    <col min="1" max="1" width="11" customWidth="1"/>
    <col min="2" max="2" width="70.7109375" style="1" customWidth="1"/>
    <col min="3" max="3" width="10.85546875" style="2" bestFit="1" customWidth="1"/>
    <col min="4" max="5" width="7.5703125" style="2" customWidth="1"/>
    <col min="6" max="6" width="10.28515625" style="2" customWidth="1"/>
    <col min="7" max="7" width="12.28515625" style="2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E1" s="72"/>
      <c r="F1" s="55"/>
      <c r="G1" s="53" t="s">
        <v>436</v>
      </c>
    </row>
    <row r="2" spans="1:19" ht="15.75" thickBot="1">
      <c r="E2" s="72"/>
      <c r="F2" s="52"/>
      <c r="G2" s="53" t="s">
        <v>438</v>
      </c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</row>
    <row r="3" spans="1:19" ht="21" thickBot="1">
      <c r="B3" s="61" t="s">
        <v>441</v>
      </c>
      <c r="E3" s="72"/>
      <c r="F3" s="54"/>
      <c r="G3" s="53" t="s">
        <v>440</v>
      </c>
      <c r="H3" s="697" t="s">
        <v>569</v>
      </c>
      <c r="I3" s="698"/>
      <c r="J3" s="697" t="s">
        <v>570</v>
      </c>
      <c r="K3" s="698"/>
      <c r="L3" s="697" t="s">
        <v>571</v>
      </c>
      <c r="M3" s="698"/>
      <c r="N3" s="697" t="s">
        <v>572</v>
      </c>
      <c r="O3" s="698"/>
      <c r="P3" s="697" t="s">
        <v>573</v>
      </c>
      <c r="Q3" s="698"/>
      <c r="R3" s="697" t="s">
        <v>574</v>
      </c>
      <c r="S3" s="698"/>
    </row>
    <row r="4" spans="1:19" ht="15.75" thickTop="1">
      <c r="A4" s="3" t="s">
        <v>443</v>
      </c>
      <c r="B4" s="4" t="str">
        <f>'Area Calculations'!B4</f>
        <v>Bourbon Hotel Orlando</v>
      </c>
      <c r="C4" s="5"/>
      <c r="D4" s="5"/>
      <c r="E4" s="5"/>
      <c r="F4" s="5"/>
      <c r="G4" s="6" t="s">
        <v>444</v>
      </c>
      <c r="H4" s="673"/>
      <c r="I4" s="674"/>
      <c r="J4" s="700"/>
      <c r="K4" s="674"/>
      <c r="L4" s="700"/>
      <c r="M4" s="674"/>
      <c r="N4" s="700"/>
      <c r="O4" s="674"/>
      <c r="P4" s="700"/>
      <c r="Q4" s="674"/>
      <c r="R4" s="700"/>
      <c r="S4" s="674"/>
    </row>
    <row r="5" spans="1:19">
      <c r="A5" s="950" t="s">
        <v>575</v>
      </c>
      <c r="B5" s="497" t="s">
        <v>609</v>
      </c>
      <c r="C5" s="506"/>
      <c r="D5" s="506"/>
      <c r="E5" s="506"/>
      <c r="F5" s="506"/>
      <c r="G5" s="462" t="s">
        <v>446</v>
      </c>
      <c r="H5" s="675"/>
      <c r="I5" s="676"/>
      <c r="J5" s="993"/>
      <c r="K5" s="676"/>
      <c r="L5" s="993"/>
      <c r="M5" s="676"/>
      <c r="N5" s="993"/>
      <c r="O5" s="676"/>
      <c r="P5" s="993"/>
      <c r="Q5" s="676"/>
      <c r="R5" s="993"/>
      <c r="S5" s="676"/>
    </row>
    <row r="6" spans="1:19">
      <c r="A6" s="950" t="s">
        <v>577</v>
      </c>
      <c r="B6" s="509" t="s">
        <v>610</v>
      </c>
      <c r="C6" s="506"/>
      <c r="D6" s="506"/>
      <c r="E6" s="506"/>
      <c r="F6" s="506"/>
      <c r="G6" s="462" t="s">
        <v>448</v>
      </c>
      <c r="H6" s="677"/>
      <c r="I6" s="678"/>
      <c r="J6" s="994"/>
      <c r="K6" s="678"/>
      <c r="L6" s="994"/>
      <c r="M6" s="678"/>
      <c r="N6" s="994"/>
      <c r="O6" s="678"/>
      <c r="P6" s="994"/>
      <c r="Q6" s="678"/>
      <c r="R6" s="994"/>
      <c r="S6" s="678"/>
    </row>
    <row r="7" spans="1:19">
      <c r="A7" s="950" t="s">
        <v>579</v>
      </c>
      <c r="B7" s="511"/>
      <c r="C7" s="506"/>
      <c r="D7" s="506"/>
      <c r="E7" s="506"/>
      <c r="F7" s="506"/>
      <c r="G7" s="462" t="s">
        <v>450</v>
      </c>
      <c r="H7" s="679"/>
      <c r="I7" s="680"/>
      <c r="J7" s="995"/>
      <c r="K7" s="680"/>
      <c r="L7" s="995"/>
      <c r="M7" s="680"/>
      <c r="N7" s="995"/>
      <c r="O7" s="680"/>
      <c r="P7" s="995"/>
      <c r="Q7" s="680"/>
      <c r="R7" s="995"/>
      <c r="S7" s="680"/>
    </row>
    <row r="8" spans="1:19" ht="15.75" thickBot="1">
      <c r="A8" s="40" t="s">
        <v>451</v>
      </c>
      <c r="B8" s="7"/>
      <c r="C8" s="8"/>
      <c r="D8" s="8"/>
      <c r="E8" s="8"/>
      <c r="F8" s="8"/>
      <c r="G8" s="40" t="s">
        <v>451</v>
      </c>
      <c r="H8" s="996">
        <f>I70</f>
        <v>0</v>
      </c>
      <c r="I8" s="997"/>
      <c r="J8" s="996">
        <f>K70</f>
        <v>0</v>
      </c>
      <c r="K8" s="997"/>
      <c r="L8" s="996">
        <f>M70</f>
        <v>0</v>
      </c>
      <c r="M8" s="997"/>
      <c r="N8" s="996">
        <f>O70</f>
        <v>0</v>
      </c>
      <c r="O8" s="997"/>
      <c r="P8" s="996">
        <f>Q70</f>
        <v>0</v>
      </c>
      <c r="Q8" s="997"/>
      <c r="R8" s="996">
        <f>S70</f>
        <v>0</v>
      </c>
      <c r="S8" s="997"/>
    </row>
    <row r="9" spans="1:19" ht="31.5" thickTop="1" thickBot="1">
      <c r="A9" s="9" t="s">
        <v>452</v>
      </c>
      <c r="B9" s="10"/>
      <c r="C9" s="11" t="s">
        <v>453</v>
      </c>
      <c r="D9" s="11" t="s">
        <v>454</v>
      </c>
      <c r="E9" s="11" t="s">
        <v>455</v>
      </c>
      <c r="F9" s="11" t="s">
        <v>456</v>
      </c>
      <c r="G9" s="12" t="s">
        <v>457</v>
      </c>
      <c r="H9" s="13" t="s">
        <v>458</v>
      </c>
      <c r="I9" s="13" t="s">
        <v>459</v>
      </c>
      <c r="J9" s="13" t="s">
        <v>458</v>
      </c>
      <c r="K9" s="13" t="s">
        <v>459</v>
      </c>
      <c r="L9" s="13" t="s">
        <v>458</v>
      </c>
      <c r="M9" s="13" t="s">
        <v>459</v>
      </c>
      <c r="N9" s="13" t="s">
        <v>458</v>
      </c>
      <c r="O9" s="13" t="s">
        <v>459</v>
      </c>
      <c r="P9" s="13" t="s">
        <v>458</v>
      </c>
      <c r="Q9" s="13" t="s">
        <v>459</v>
      </c>
      <c r="R9" s="13" t="s">
        <v>458</v>
      </c>
      <c r="S9" s="13" t="s">
        <v>459</v>
      </c>
    </row>
    <row r="10" spans="1:19" ht="15.75" hidden="1" thickTop="1">
      <c r="A10" s="940"/>
      <c r="B10" s="956" t="s">
        <v>580</v>
      </c>
      <c r="C10" s="506"/>
      <c r="D10" s="506"/>
      <c r="E10" s="506"/>
      <c r="F10" s="506"/>
      <c r="G10" s="60"/>
      <c r="H10" s="957"/>
      <c r="I10" s="957"/>
      <c r="J10" s="957"/>
      <c r="K10" s="957"/>
      <c r="L10" s="957"/>
      <c r="M10" s="957"/>
      <c r="N10" s="957"/>
      <c r="O10" s="957"/>
      <c r="P10" s="957"/>
      <c r="Q10" s="957"/>
      <c r="R10" s="957"/>
      <c r="S10" s="957"/>
    </row>
    <row r="11" spans="1:19" hidden="1">
      <c r="A11" s="940"/>
      <c r="B11" s="497" t="e">
        <f>'Area Calculations'!#REF!</f>
        <v>#REF!</v>
      </c>
      <c r="C11" s="958" t="s">
        <v>581</v>
      </c>
      <c r="D11" s="506"/>
      <c r="E11" s="506"/>
      <c r="F11" s="506"/>
      <c r="G11" s="60"/>
      <c r="H11" s="957"/>
      <c r="I11" s="957"/>
      <c r="J11" s="957"/>
      <c r="K11" s="957"/>
      <c r="L11" s="957"/>
      <c r="M11" s="957"/>
      <c r="N11" s="957"/>
      <c r="O11" s="957"/>
      <c r="P11" s="957"/>
      <c r="Q11" s="957"/>
      <c r="R11" s="957"/>
      <c r="S11" s="957"/>
    </row>
    <row r="12" spans="1:19" hidden="1">
      <c r="A12" s="940"/>
      <c r="B12" s="497" t="e">
        <f>'Area Calculations'!#REF!</f>
        <v>#REF!</v>
      </c>
      <c r="C12" s="958" t="s">
        <v>581</v>
      </c>
      <c r="D12" s="506"/>
      <c r="E12" s="506"/>
      <c r="F12" s="506"/>
      <c r="G12" s="60"/>
      <c r="H12" s="957"/>
      <c r="I12" s="957"/>
      <c r="J12" s="957"/>
      <c r="K12" s="957"/>
      <c r="L12" s="957"/>
      <c r="M12" s="957"/>
      <c r="N12" s="957"/>
      <c r="O12" s="957"/>
      <c r="P12" s="957"/>
      <c r="Q12" s="957"/>
      <c r="R12" s="957"/>
      <c r="S12" s="957"/>
    </row>
    <row r="13" spans="1:19" hidden="1">
      <c r="A13" s="940"/>
      <c r="B13" s="497" t="e">
        <f>'Area Calculations'!#REF!</f>
        <v>#REF!</v>
      </c>
      <c r="C13" s="958" t="s">
        <v>581</v>
      </c>
      <c r="D13" s="506"/>
      <c r="E13" s="506"/>
      <c r="F13" s="506"/>
      <c r="G13" s="60"/>
      <c r="H13" s="957"/>
      <c r="I13" s="957"/>
      <c r="J13" s="957"/>
      <c r="K13" s="957"/>
      <c r="L13" s="957"/>
      <c r="M13" s="957"/>
      <c r="N13" s="957"/>
      <c r="O13" s="957"/>
      <c r="P13" s="957"/>
      <c r="Q13" s="957"/>
      <c r="R13" s="957"/>
      <c r="S13" s="957"/>
    </row>
    <row r="14" spans="1:19" hidden="1">
      <c r="A14" s="940"/>
      <c r="B14" s="497" t="e">
        <f>'Area Calculations'!#REF!</f>
        <v>#REF!</v>
      </c>
      <c r="C14" s="958" t="s">
        <v>581</v>
      </c>
      <c r="D14" s="506"/>
      <c r="E14" s="506"/>
      <c r="F14" s="506"/>
      <c r="G14" s="60"/>
      <c r="H14" s="957"/>
      <c r="I14" s="957"/>
      <c r="J14" s="957"/>
      <c r="K14" s="957"/>
      <c r="L14" s="957"/>
      <c r="M14" s="957"/>
      <c r="N14" s="957"/>
      <c r="O14" s="957"/>
      <c r="P14" s="957"/>
      <c r="Q14" s="957"/>
      <c r="R14" s="957"/>
      <c r="S14" s="957"/>
    </row>
    <row r="15" spans="1:19" hidden="1">
      <c r="A15" s="940"/>
      <c r="B15" s="497" t="e">
        <f>'Area Calculations'!#REF!</f>
        <v>#REF!</v>
      </c>
      <c r="C15" s="958" t="s">
        <v>581</v>
      </c>
      <c r="D15" s="506"/>
      <c r="E15" s="506"/>
      <c r="F15" s="506"/>
      <c r="G15" s="60"/>
      <c r="H15" s="957"/>
      <c r="I15" s="957"/>
      <c r="J15" s="957"/>
      <c r="K15" s="957"/>
      <c r="L15" s="957"/>
      <c r="M15" s="957"/>
      <c r="N15" s="957"/>
      <c r="O15" s="957"/>
      <c r="P15" s="957"/>
      <c r="Q15" s="957"/>
      <c r="R15" s="957"/>
      <c r="S15" s="957"/>
    </row>
    <row r="16" spans="1:19" hidden="1">
      <c r="A16" s="940"/>
      <c r="B16" s="497" t="e">
        <f>'Area Calculations'!#REF!</f>
        <v>#REF!</v>
      </c>
      <c r="C16" s="958" t="s">
        <v>581</v>
      </c>
      <c r="D16" s="506"/>
      <c r="E16" s="506"/>
      <c r="F16" s="506"/>
      <c r="G16" s="60"/>
      <c r="H16" s="957"/>
      <c r="I16" s="957"/>
      <c r="J16" s="957"/>
      <c r="K16" s="957"/>
      <c r="L16" s="957"/>
      <c r="M16" s="957"/>
      <c r="N16" s="957"/>
      <c r="O16" s="957"/>
      <c r="P16" s="957"/>
      <c r="Q16" s="957"/>
      <c r="R16" s="957"/>
      <c r="S16" s="957"/>
    </row>
    <row r="17" spans="1:19" hidden="1">
      <c r="A17" s="940"/>
      <c r="B17" s="497" t="e">
        <f>'Area Calculations'!#REF!</f>
        <v>#REF!</v>
      </c>
      <c r="C17" s="958" t="s">
        <v>581</v>
      </c>
      <c r="D17" s="506"/>
      <c r="E17" s="506"/>
      <c r="F17" s="506"/>
      <c r="G17" s="60"/>
      <c r="H17" s="957"/>
      <c r="I17" s="957"/>
      <c r="J17" s="957"/>
      <c r="K17" s="957"/>
      <c r="L17" s="957"/>
      <c r="M17" s="957"/>
      <c r="N17" s="957"/>
      <c r="O17" s="957"/>
      <c r="P17" s="957"/>
      <c r="Q17" s="957"/>
      <c r="R17" s="957"/>
      <c r="S17" s="957"/>
    </row>
    <row r="18" spans="1:19" hidden="1">
      <c r="A18" s="940"/>
      <c r="B18" s="497" t="e">
        <f>'Area Calculations'!#REF!</f>
        <v>#REF!</v>
      </c>
      <c r="C18" s="958" t="s">
        <v>581</v>
      </c>
      <c r="D18" s="506"/>
      <c r="E18" s="506"/>
      <c r="F18" s="506"/>
      <c r="G18" s="60"/>
      <c r="H18" s="957"/>
      <c r="I18" s="957"/>
      <c r="J18" s="957"/>
      <c r="K18" s="957"/>
      <c r="L18" s="957"/>
      <c r="M18" s="957"/>
      <c r="N18" s="957"/>
      <c r="O18" s="957"/>
      <c r="P18" s="957"/>
      <c r="Q18" s="957"/>
      <c r="R18" s="957"/>
      <c r="S18" s="957"/>
    </row>
    <row r="19" spans="1:19" hidden="1">
      <c r="A19" s="940"/>
      <c r="B19" s="497" t="e">
        <f>'Area Calculations'!#REF!</f>
        <v>#REF!</v>
      </c>
      <c r="C19" s="958" t="s">
        <v>581</v>
      </c>
      <c r="D19" s="506"/>
      <c r="E19" s="506"/>
      <c r="F19" s="506"/>
      <c r="G19" s="60"/>
      <c r="H19" s="957"/>
      <c r="I19" s="957"/>
      <c r="J19" s="957"/>
      <c r="K19" s="957"/>
      <c r="L19" s="957"/>
      <c r="M19" s="957"/>
      <c r="N19" s="957"/>
      <c r="O19" s="957"/>
      <c r="P19" s="957"/>
      <c r="Q19" s="957"/>
      <c r="R19" s="957"/>
      <c r="S19" s="957"/>
    </row>
    <row r="20" spans="1:19" ht="15.75" thickTop="1">
      <c r="A20" s="940"/>
      <c r="B20" s="497"/>
      <c r="C20" s="958"/>
      <c r="D20" s="506"/>
      <c r="E20" s="506"/>
      <c r="F20" s="506"/>
      <c r="G20" s="60"/>
      <c r="H20" s="957"/>
      <c r="I20" s="957"/>
      <c r="J20" s="957"/>
      <c r="K20" s="957"/>
      <c r="L20" s="957"/>
      <c r="M20" s="957"/>
      <c r="N20" s="957"/>
      <c r="O20" s="957"/>
      <c r="P20" s="957"/>
      <c r="Q20" s="957"/>
      <c r="R20" s="957"/>
      <c r="S20" s="957"/>
    </row>
    <row r="21" spans="1:19" ht="15.75" thickBot="1">
      <c r="A21" s="34"/>
      <c r="B21" s="959" t="s">
        <v>609</v>
      </c>
      <c r="C21" s="31"/>
      <c r="D21" s="32"/>
      <c r="E21" s="32"/>
      <c r="F21" s="32"/>
      <c r="G21" s="36"/>
      <c r="H21" s="957"/>
      <c r="I21" s="957"/>
      <c r="J21" s="957"/>
      <c r="K21" s="957"/>
      <c r="L21" s="957"/>
      <c r="M21" s="957"/>
      <c r="N21" s="957"/>
      <c r="O21" s="957"/>
      <c r="P21" s="957"/>
      <c r="Q21" s="957"/>
      <c r="R21" s="957"/>
      <c r="S21" s="957"/>
    </row>
    <row r="22" spans="1:19">
      <c r="A22" s="784"/>
      <c r="B22" s="1001" t="s">
        <v>460</v>
      </c>
      <c r="C22" s="958"/>
      <c r="D22" s="506"/>
      <c r="E22" s="506"/>
      <c r="F22" s="506"/>
      <c r="G22" s="60"/>
      <c r="H22" s="803"/>
      <c r="I22" s="783"/>
      <c r="J22" s="783"/>
      <c r="K22" s="783"/>
      <c r="L22" s="1000"/>
      <c r="M22" s="783"/>
      <c r="N22" s="783"/>
      <c r="O22" s="783"/>
      <c r="P22" s="783"/>
      <c r="Q22" s="783"/>
      <c r="R22" s="783"/>
      <c r="S22" s="783"/>
    </row>
    <row r="23" spans="1:19">
      <c r="A23" s="784"/>
      <c r="B23" s="963" t="s">
        <v>461</v>
      </c>
      <c r="C23" s="958"/>
      <c r="D23" s="506"/>
      <c r="E23" s="506"/>
      <c r="F23" s="506"/>
      <c r="G23" s="60"/>
      <c r="H23" s="1000"/>
      <c r="I23" s="782"/>
      <c r="J23" s="1000"/>
      <c r="K23" s="783"/>
      <c r="L23" s="1000"/>
      <c r="M23" s="783"/>
      <c r="N23" s="783"/>
      <c r="O23" s="783"/>
      <c r="P23" s="783"/>
      <c r="Q23" s="783"/>
      <c r="R23" s="783"/>
      <c r="S23" s="783"/>
    </row>
    <row r="24" spans="1:19">
      <c r="A24" s="784"/>
      <c r="B24" s="963" t="s">
        <v>462</v>
      </c>
      <c r="C24" s="1002"/>
      <c r="D24" s="506"/>
      <c r="E24" s="506"/>
      <c r="F24" s="506"/>
      <c r="G24" s="60"/>
      <c r="H24" s="1000"/>
      <c r="I24" s="782"/>
      <c r="J24" s="1000"/>
      <c r="K24" s="783"/>
      <c r="L24" s="1000"/>
      <c r="M24" s="783"/>
      <c r="N24" s="783"/>
      <c r="O24" s="783"/>
      <c r="P24" s="783"/>
      <c r="Q24" s="783"/>
      <c r="R24" s="783"/>
      <c r="S24" s="783"/>
    </row>
    <row r="25" spans="1:19">
      <c r="A25" s="784"/>
      <c r="B25" s="965" t="s">
        <v>463</v>
      </c>
      <c r="C25" s="1002"/>
      <c r="D25" s="506"/>
      <c r="E25" s="506"/>
      <c r="F25" s="506"/>
      <c r="G25" s="60"/>
      <c r="H25" s="1000"/>
      <c r="I25" s="782"/>
      <c r="J25" s="1000"/>
      <c r="K25" s="783"/>
      <c r="L25" s="1000"/>
      <c r="M25" s="783"/>
      <c r="N25" s="783"/>
      <c r="O25" s="783"/>
      <c r="P25" s="783"/>
      <c r="Q25" s="783"/>
      <c r="R25" s="783"/>
      <c r="S25" s="783"/>
    </row>
    <row r="26" spans="1:19" s="41" customFormat="1">
      <c r="A26" s="998"/>
      <c r="B26" s="965" t="s">
        <v>464</v>
      </c>
      <c r="C26" s="315"/>
      <c r="D26" s="492"/>
      <c r="E26" s="492"/>
      <c r="F26" s="492"/>
      <c r="G26" s="315"/>
      <c r="H26" s="1000"/>
      <c r="I26" s="782"/>
      <c r="J26" s="1003"/>
      <c r="K26" s="794"/>
      <c r="L26" s="1003"/>
      <c r="M26" s="794"/>
      <c r="N26" s="794"/>
      <c r="O26" s="794"/>
      <c r="P26" s="794"/>
      <c r="Q26" s="794"/>
      <c r="R26" s="794"/>
      <c r="S26" s="794"/>
    </row>
    <row r="27" spans="1:19" s="41" customFormat="1">
      <c r="A27" s="998"/>
      <c r="B27" s="965" t="s">
        <v>465</v>
      </c>
      <c r="C27" s="315"/>
      <c r="D27" s="492"/>
      <c r="E27" s="492"/>
      <c r="F27" s="492"/>
      <c r="G27" s="315"/>
      <c r="H27" s="1000"/>
      <c r="I27" s="782"/>
      <c r="J27" s="1003"/>
      <c r="K27" s="794"/>
      <c r="L27" s="1003"/>
      <c r="M27" s="794"/>
      <c r="N27" s="794"/>
      <c r="O27" s="794"/>
      <c r="P27" s="794"/>
      <c r="Q27" s="794"/>
      <c r="R27" s="794"/>
      <c r="S27" s="794"/>
    </row>
    <row r="28" spans="1:19" s="41" customFormat="1">
      <c r="A28" s="998"/>
      <c r="B28" s="965" t="s">
        <v>466</v>
      </c>
      <c r="C28" s="315"/>
      <c r="D28" s="492"/>
      <c r="E28" s="492"/>
      <c r="F28" s="492"/>
      <c r="G28" s="315"/>
      <c r="H28" s="1000"/>
      <c r="I28" s="782"/>
      <c r="J28" s="1003"/>
      <c r="K28" s="794"/>
      <c r="L28" s="1003"/>
      <c r="M28" s="794"/>
      <c r="N28" s="794"/>
      <c r="O28" s="794"/>
      <c r="P28" s="794"/>
      <c r="Q28" s="794"/>
      <c r="R28" s="794"/>
      <c r="S28" s="794"/>
    </row>
    <row r="29" spans="1:19" s="41" customFormat="1">
      <c r="A29" s="998"/>
      <c r="B29" s="966" t="s">
        <v>467</v>
      </c>
      <c r="C29" s="315"/>
      <c r="D29" s="492"/>
      <c r="E29" s="492"/>
      <c r="F29" s="492"/>
      <c r="G29" s="315"/>
      <c r="H29" s="1000"/>
      <c r="I29" s="782"/>
      <c r="J29" s="1003"/>
      <c r="K29" s="794"/>
      <c r="L29" s="1003"/>
      <c r="M29" s="794"/>
      <c r="N29" s="794"/>
      <c r="O29" s="794"/>
      <c r="P29" s="794"/>
      <c r="Q29" s="794"/>
      <c r="R29" s="794"/>
      <c r="S29" s="794"/>
    </row>
    <row r="30" spans="1:19" s="41" customFormat="1">
      <c r="A30" s="998"/>
      <c r="B30" s="967" t="s">
        <v>468</v>
      </c>
      <c r="C30" s="1004"/>
      <c r="D30" s="1005"/>
      <c r="E30" s="1005"/>
      <c r="F30" s="1005"/>
      <c r="G30" s="1004"/>
      <c r="H30" s="1006"/>
      <c r="I30" s="590"/>
      <c r="J30" s="1007"/>
      <c r="K30" s="791"/>
      <c r="L30" s="1007"/>
      <c r="M30" s="791"/>
      <c r="N30" s="791"/>
      <c r="O30" s="791"/>
      <c r="P30" s="791"/>
      <c r="Q30" s="791"/>
      <c r="R30" s="791"/>
      <c r="S30" s="791"/>
    </row>
    <row r="31" spans="1:19" s="41" customFormat="1">
      <c r="A31" s="998"/>
      <c r="B31" s="1008"/>
      <c r="C31" s="315"/>
      <c r="D31" s="492"/>
      <c r="E31" s="492"/>
      <c r="F31" s="492"/>
      <c r="G31" s="315"/>
      <c r="H31" s="1000"/>
      <c r="I31" s="782"/>
      <c r="J31" s="1003"/>
      <c r="K31" s="794"/>
      <c r="L31" s="1003"/>
      <c r="M31" s="794"/>
      <c r="N31" s="794"/>
      <c r="O31" s="794"/>
      <c r="P31" s="794"/>
      <c r="Q31" s="794"/>
      <c r="R31" s="794"/>
      <c r="S31" s="794"/>
    </row>
    <row r="32" spans="1:19" s="41" customFormat="1">
      <c r="A32" s="999"/>
      <c r="B32" s="1008"/>
      <c r="C32" s="57"/>
      <c r="D32" s="492"/>
      <c r="E32" s="492"/>
      <c r="F32" s="492"/>
      <c r="G32" s="315"/>
      <c r="H32" s="1000"/>
      <c r="I32" s="782"/>
      <c r="J32" s="1003"/>
      <c r="K32" s="794"/>
      <c r="L32" s="1003"/>
      <c r="M32" s="794"/>
      <c r="N32" s="794"/>
      <c r="O32" s="794"/>
      <c r="P32" s="794"/>
      <c r="Q32" s="794"/>
      <c r="R32" s="794"/>
      <c r="S32" s="794"/>
    </row>
    <row r="33" spans="1:19" s="41" customFormat="1">
      <c r="A33" s="999"/>
      <c r="B33" s="1008"/>
      <c r="C33" s="57"/>
      <c r="D33" s="492"/>
      <c r="E33" s="492"/>
      <c r="F33" s="492"/>
      <c r="G33" s="315"/>
      <c r="H33" s="1000"/>
      <c r="I33" s="782"/>
      <c r="J33" s="1003"/>
      <c r="K33" s="794"/>
      <c r="L33" s="1003"/>
      <c r="M33" s="794"/>
      <c r="N33" s="794"/>
      <c r="O33" s="794"/>
      <c r="P33" s="794"/>
      <c r="Q33" s="794"/>
      <c r="R33" s="794"/>
      <c r="S33" s="794"/>
    </row>
    <row r="34" spans="1:19" s="41" customFormat="1">
      <c r="A34" s="999"/>
      <c r="B34" s="1008"/>
      <c r="C34" s="57"/>
      <c r="D34" s="492"/>
      <c r="E34" s="492"/>
      <c r="F34" s="492"/>
      <c r="G34" s="315"/>
      <c r="H34" s="1000"/>
      <c r="I34" s="782"/>
      <c r="J34" s="1003"/>
      <c r="K34" s="794"/>
      <c r="L34" s="1003"/>
      <c r="M34" s="794"/>
      <c r="N34" s="794"/>
      <c r="O34" s="794"/>
      <c r="P34" s="794"/>
      <c r="Q34" s="794"/>
      <c r="R34" s="794"/>
      <c r="S34" s="794"/>
    </row>
    <row r="35" spans="1:19" s="41" customFormat="1">
      <c r="A35" s="999"/>
      <c r="B35" s="1008"/>
      <c r="C35" s="57"/>
      <c r="D35" s="492"/>
      <c r="E35" s="492"/>
      <c r="F35" s="492"/>
      <c r="G35" s="315"/>
      <c r="H35" s="1000"/>
      <c r="I35" s="782"/>
      <c r="J35" s="1003"/>
      <c r="K35" s="794"/>
      <c r="L35" s="1003"/>
      <c r="M35" s="794"/>
      <c r="N35" s="794"/>
      <c r="O35" s="794"/>
      <c r="P35" s="794"/>
      <c r="Q35" s="794"/>
      <c r="R35" s="794"/>
      <c r="S35" s="794"/>
    </row>
    <row r="36" spans="1:19" s="41" customFormat="1">
      <c r="A36" s="999"/>
      <c r="B36" s="1008"/>
      <c r="C36" s="57"/>
      <c r="D36" s="492"/>
      <c r="E36" s="492"/>
      <c r="F36" s="492"/>
      <c r="G36" s="315"/>
      <c r="H36" s="1000"/>
      <c r="I36" s="782"/>
      <c r="J36" s="1003"/>
      <c r="K36" s="794"/>
      <c r="L36" s="1003"/>
      <c r="M36" s="794"/>
      <c r="N36" s="794"/>
      <c r="O36" s="794"/>
      <c r="P36" s="794"/>
      <c r="Q36" s="794"/>
      <c r="R36" s="794"/>
      <c r="S36" s="794"/>
    </row>
    <row r="37" spans="1:19" s="41" customFormat="1">
      <c r="A37" s="999"/>
      <c r="B37" s="1008"/>
      <c r="C37" s="57"/>
      <c r="D37" s="492"/>
      <c r="E37" s="1009"/>
      <c r="F37" s="1010"/>
      <c r="G37" s="315"/>
      <c r="H37" s="1000"/>
      <c r="I37" s="782"/>
      <c r="J37" s="1003"/>
      <c r="K37" s="794"/>
      <c r="L37" s="1003"/>
      <c r="M37" s="794"/>
      <c r="N37" s="794"/>
      <c r="O37" s="794"/>
      <c r="P37" s="794"/>
      <c r="Q37" s="794"/>
      <c r="R37" s="794"/>
      <c r="S37" s="794"/>
    </row>
    <row r="38" spans="1:19" s="41" customFormat="1">
      <c r="A38" s="999"/>
      <c r="B38" s="1008"/>
      <c r="C38" s="57"/>
      <c r="D38" s="492"/>
      <c r="E38" s="1009"/>
      <c r="F38" s="1010"/>
      <c r="G38" s="315"/>
      <c r="H38" s="1000"/>
      <c r="I38" s="782"/>
      <c r="J38" s="1003"/>
      <c r="K38" s="794"/>
      <c r="L38" s="1003"/>
      <c r="M38" s="794"/>
      <c r="N38" s="794"/>
      <c r="O38" s="794"/>
      <c r="P38" s="794"/>
      <c r="Q38" s="794"/>
      <c r="R38" s="794"/>
      <c r="S38" s="794"/>
    </row>
    <row r="39" spans="1:19" s="41" customFormat="1">
      <c r="A39" s="999"/>
      <c r="B39" s="1008"/>
      <c r="C39" s="57"/>
      <c r="D39" s="492"/>
      <c r="E39" s="1009"/>
      <c r="F39" s="1010"/>
      <c r="G39" s="315"/>
      <c r="H39" s="1000"/>
      <c r="I39" s="782"/>
      <c r="J39" s="1003"/>
      <c r="K39" s="794"/>
      <c r="L39" s="1003"/>
      <c r="M39" s="794"/>
      <c r="N39" s="794"/>
      <c r="O39" s="794"/>
      <c r="P39" s="794"/>
      <c r="Q39" s="794"/>
      <c r="R39" s="794"/>
      <c r="S39" s="794"/>
    </row>
    <row r="40" spans="1:19" s="41" customFormat="1">
      <c r="A40" s="999"/>
      <c r="B40" s="1011"/>
      <c r="C40" s="57"/>
      <c r="D40" s="492"/>
      <c r="E40" s="1009"/>
      <c r="F40" s="1010"/>
      <c r="G40" s="315"/>
      <c r="H40" s="1000"/>
      <c r="I40" s="782"/>
      <c r="J40" s="1003"/>
      <c r="K40" s="794"/>
      <c r="L40" s="1003"/>
      <c r="M40" s="794"/>
      <c r="N40" s="794"/>
      <c r="O40" s="794"/>
      <c r="P40" s="794"/>
      <c r="Q40" s="794"/>
      <c r="R40" s="794"/>
      <c r="S40" s="794"/>
    </row>
    <row r="41" spans="1:19" s="41" customFormat="1">
      <c r="A41" s="999"/>
      <c r="B41" s="1012"/>
      <c r="C41" s="57"/>
      <c r="D41" s="492"/>
      <c r="E41" s="1009"/>
      <c r="F41" s="1010"/>
      <c r="G41" s="315"/>
      <c r="H41" s="1000"/>
      <c r="I41" s="782"/>
      <c r="J41" s="1003"/>
      <c r="K41" s="794"/>
      <c r="L41" s="1003"/>
      <c r="M41" s="794"/>
      <c r="N41" s="794"/>
      <c r="O41" s="794"/>
      <c r="P41" s="794"/>
      <c r="Q41" s="794"/>
      <c r="R41" s="794"/>
      <c r="S41" s="794"/>
    </row>
    <row r="42" spans="1:19" s="41" customFormat="1">
      <c r="A42" s="999"/>
      <c r="B42" s="58"/>
      <c r="C42" s="57"/>
      <c r="D42" s="492"/>
      <c r="E42" s="1009"/>
      <c r="F42" s="1010"/>
      <c r="G42" s="315"/>
      <c r="H42" s="1000"/>
      <c r="I42" s="782"/>
      <c r="J42" s="1003"/>
      <c r="K42" s="794"/>
      <c r="L42" s="1003"/>
      <c r="M42" s="794"/>
      <c r="N42" s="794"/>
      <c r="O42" s="794"/>
      <c r="P42" s="794"/>
      <c r="Q42" s="794"/>
      <c r="R42" s="794"/>
      <c r="S42" s="794"/>
    </row>
    <row r="43" spans="1:19" s="41" customFormat="1">
      <c r="A43" s="999"/>
      <c r="B43" s="1008"/>
      <c r="C43" s="57"/>
      <c r="D43" s="492"/>
      <c r="E43" s="1009"/>
      <c r="F43" s="1010"/>
      <c r="G43" s="315"/>
      <c r="H43" s="1000"/>
      <c r="I43" s="782"/>
      <c r="J43" s="1003"/>
      <c r="K43" s="794"/>
      <c r="L43" s="1003"/>
      <c r="M43" s="794"/>
      <c r="N43" s="794"/>
      <c r="O43" s="794"/>
      <c r="P43" s="794"/>
      <c r="Q43" s="794"/>
      <c r="R43" s="794"/>
      <c r="S43" s="794"/>
    </row>
    <row r="44" spans="1:19" s="41" customFormat="1">
      <c r="A44" s="999"/>
      <c r="B44" s="1008"/>
      <c r="C44" s="57"/>
      <c r="D44" s="492"/>
      <c r="E44" s="1009"/>
      <c r="F44" s="1010"/>
      <c r="G44" s="315"/>
      <c r="H44" s="1000"/>
      <c r="I44" s="782"/>
      <c r="J44" s="1003"/>
      <c r="K44" s="794"/>
      <c r="L44" s="1003"/>
      <c r="M44" s="794"/>
      <c r="N44" s="794"/>
      <c r="O44" s="794"/>
      <c r="P44" s="794"/>
      <c r="Q44" s="794"/>
      <c r="R44" s="794"/>
      <c r="S44" s="794"/>
    </row>
    <row r="45" spans="1:19" s="41" customFormat="1">
      <c r="A45" s="999"/>
      <c r="B45" s="1008"/>
      <c r="C45" s="57"/>
      <c r="D45" s="492"/>
      <c r="E45" s="1009"/>
      <c r="F45" s="1010"/>
      <c r="G45" s="315"/>
      <c r="H45" s="1000"/>
      <c r="I45" s="782"/>
      <c r="J45" s="1003"/>
      <c r="K45" s="794"/>
      <c r="L45" s="1003"/>
      <c r="M45" s="794"/>
      <c r="N45" s="794"/>
      <c r="O45" s="794"/>
      <c r="P45" s="794"/>
      <c r="Q45" s="794"/>
      <c r="R45" s="794"/>
      <c r="S45" s="794"/>
    </row>
    <row r="46" spans="1:19" s="41" customFormat="1">
      <c r="A46" s="999"/>
      <c r="B46" s="1008"/>
      <c r="C46" s="57"/>
      <c r="D46" s="492"/>
      <c r="E46" s="1009"/>
      <c r="F46" s="1010"/>
      <c r="G46" s="315"/>
      <c r="H46" s="1000"/>
      <c r="I46" s="782"/>
      <c r="J46" s="1003"/>
      <c r="K46" s="794"/>
      <c r="L46" s="1003"/>
      <c r="M46" s="794"/>
      <c r="N46" s="794"/>
      <c r="O46" s="794"/>
      <c r="P46" s="794"/>
      <c r="Q46" s="794"/>
      <c r="R46" s="794"/>
      <c r="S46" s="794"/>
    </row>
    <row r="47" spans="1:19" s="41" customFormat="1">
      <c r="A47" s="999"/>
      <c r="B47" s="1008"/>
      <c r="C47" s="57"/>
      <c r="D47" s="492"/>
      <c r="E47" s="1009"/>
      <c r="F47" s="1010"/>
      <c r="G47" s="315"/>
      <c r="H47" s="1000"/>
      <c r="I47" s="782"/>
      <c r="J47" s="1003"/>
      <c r="K47" s="794"/>
      <c r="L47" s="1003"/>
      <c r="M47" s="794"/>
      <c r="N47" s="794"/>
      <c r="O47" s="794"/>
      <c r="P47" s="794"/>
      <c r="Q47" s="794"/>
      <c r="R47" s="794"/>
      <c r="S47" s="794"/>
    </row>
    <row r="48" spans="1:19" s="41" customFormat="1">
      <c r="A48" s="999"/>
      <c r="B48" s="1008"/>
      <c r="C48" s="57"/>
      <c r="D48" s="492"/>
      <c r="E48" s="1009"/>
      <c r="F48" s="1010"/>
      <c r="G48" s="315"/>
      <c r="H48" s="1000"/>
      <c r="I48" s="782"/>
      <c r="J48" s="1003"/>
      <c r="K48" s="794"/>
      <c r="L48" s="1003"/>
      <c r="M48" s="794"/>
      <c r="N48" s="794"/>
      <c r="O48" s="794"/>
      <c r="P48" s="794"/>
      <c r="Q48" s="794"/>
      <c r="R48" s="794"/>
      <c r="S48" s="794"/>
    </row>
    <row r="49" spans="1:19" s="41" customFormat="1">
      <c r="A49" s="999"/>
      <c r="B49" s="1008"/>
      <c r="C49" s="57"/>
      <c r="D49" s="492"/>
      <c r="E49" s="1009"/>
      <c r="F49" s="1010"/>
      <c r="G49" s="315"/>
      <c r="H49" s="1000"/>
      <c r="I49" s="782"/>
      <c r="J49" s="1003"/>
      <c r="K49" s="794"/>
      <c r="L49" s="1003"/>
      <c r="M49" s="794"/>
      <c r="N49" s="794"/>
      <c r="O49" s="794"/>
      <c r="P49" s="794"/>
      <c r="Q49" s="794"/>
      <c r="R49" s="794"/>
      <c r="S49" s="794"/>
    </row>
    <row r="50" spans="1:19" s="41" customFormat="1">
      <c r="A50" s="999"/>
      <c r="B50" s="1008"/>
      <c r="C50" s="57"/>
      <c r="D50" s="492"/>
      <c r="E50" s="1009"/>
      <c r="F50" s="1010"/>
      <c r="G50" s="315"/>
      <c r="H50" s="1000"/>
      <c r="I50" s="782"/>
      <c r="J50" s="1003"/>
      <c r="K50" s="794"/>
      <c r="L50" s="1003"/>
      <c r="M50" s="794"/>
      <c r="N50" s="794"/>
      <c r="O50" s="794"/>
      <c r="P50" s="794"/>
      <c r="Q50" s="794"/>
      <c r="R50" s="794"/>
      <c r="S50" s="794"/>
    </row>
    <row r="51" spans="1:19" s="41" customFormat="1">
      <c r="A51" s="999"/>
      <c r="B51" s="1008"/>
      <c r="C51" s="57"/>
      <c r="D51" s="492"/>
      <c r="E51" s="1009"/>
      <c r="F51" s="1010"/>
      <c r="G51" s="315"/>
      <c r="H51" s="1000"/>
      <c r="I51" s="782"/>
      <c r="J51" s="1003"/>
      <c r="K51" s="794"/>
      <c r="L51" s="1003"/>
      <c r="M51" s="794"/>
      <c r="N51" s="794"/>
      <c r="O51" s="794"/>
      <c r="P51" s="794"/>
      <c r="Q51" s="794"/>
      <c r="R51" s="794"/>
      <c r="S51" s="794"/>
    </row>
    <row r="52" spans="1:19" s="41" customFormat="1">
      <c r="A52" s="999"/>
      <c r="B52" s="1008"/>
      <c r="C52" s="57"/>
      <c r="D52" s="492"/>
      <c r="E52" s="1009"/>
      <c r="F52" s="1010"/>
      <c r="G52" s="315"/>
      <c r="H52" s="1000"/>
      <c r="I52" s="782"/>
      <c r="J52" s="1003"/>
      <c r="K52" s="794"/>
      <c r="L52" s="1003"/>
      <c r="M52" s="794"/>
      <c r="N52" s="794"/>
      <c r="O52" s="794"/>
      <c r="P52" s="794"/>
      <c r="Q52" s="794"/>
      <c r="R52" s="794"/>
      <c r="S52" s="794"/>
    </row>
    <row r="53" spans="1:19" s="41" customFormat="1">
      <c r="A53" s="999"/>
      <c r="B53" s="1008"/>
      <c r="C53" s="57"/>
      <c r="D53" s="492"/>
      <c r="E53" s="1009"/>
      <c r="F53" s="1010"/>
      <c r="G53" s="315"/>
      <c r="H53" s="1000"/>
      <c r="I53" s="782"/>
      <c r="J53" s="1003"/>
      <c r="K53" s="794"/>
      <c r="L53" s="1003"/>
      <c r="M53" s="794"/>
      <c r="N53" s="794"/>
      <c r="O53" s="794"/>
      <c r="P53" s="794"/>
      <c r="Q53" s="794"/>
      <c r="R53" s="794"/>
      <c r="S53" s="794"/>
    </row>
    <row r="54" spans="1:19" s="41" customFormat="1">
      <c r="A54" s="998"/>
      <c r="B54" s="1008"/>
      <c r="C54" s="315"/>
      <c r="D54" s="492"/>
      <c r="E54" s="1009"/>
      <c r="F54" s="1010"/>
      <c r="G54" s="315"/>
      <c r="H54" s="1000"/>
      <c r="I54" s="782"/>
      <c r="J54" s="1003"/>
      <c r="K54" s="794"/>
      <c r="L54" s="1003"/>
      <c r="M54" s="794"/>
      <c r="N54" s="794"/>
      <c r="O54" s="794"/>
      <c r="P54" s="794"/>
      <c r="Q54" s="794"/>
      <c r="R54" s="794"/>
      <c r="S54" s="794"/>
    </row>
    <row r="55" spans="1:19">
      <c r="A55" s="784"/>
      <c r="B55" s="1008"/>
      <c r="C55" s="315"/>
      <c r="D55" s="506"/>
      <c r="E55" s="1009"/>
      <c r="F55" s="1010"/>
      <c r="G55" s="60"/>
      <c r="H55" s="1000"/>
      <c r="I55" s="782"/>
      <c r="J55" s="945"/>
      <c r="K55" s="945"/>
      <c r="L55" s="945"/>
      <c r="M55" s="783"/>
      <c r="N55" s="783"/>
      <c r="O55" s="783"/>
      <c r="P55" s="783"/>
      <c r="Q55" s="783"/>
      <c r="R55" s="783"/>
      <c r="S55" s="783"/>
    </row>
    <row r="56" spans="1:19">
      <c r="A56" s="784"/>
      <c r="B56" s="1008"/>
      <c r="C56" s="315"/>
      <c r="D56" s="506"/>
      <c r="E56" s="1009"/>
      <c r="F56" s="1010"/>
      <c r="G56" s="60"/>
      <c r="H56" s="1000"/>
      <c r="I56" s="782"/>
      <c r="J56" s="1000"/>
      <c r="K56" s="783"/>
      <c r="L56" s="1000"/>
      <c r="M56" s="783"/>
      <c r="N56" s="783"/>
      <c r="O56" s="783"/>
      <c r="P56" s="783"/>
      <c r="Q56" s="783"/>
      <c r="R56" s="783"/>
      <c r="S56" s="783"/>
    </row>
    <row r="57" spans="1:19">
      <c r="A57" s="784"/>
      <c r="B57" s="1008"/>
      <c r="C57" s="315"/>
      <c r="D57" s="506"/>
      <c r="E57" s="506"/>
      <c r="F57" s="506"/>
      <c r="G57" s="60"/>
      <c r="H57" s="1000"/>
      <c r="I57" s="782"/>
      <c r="J57" s="1000"/>
      <c r="K57" s="783"/>
      <c r="L57" s="1000"/>
      <c r="M57" s="783"/>
      <c r="N57" s="783"/>
      <c r="O57" s="783"/>
      <c r="P57" s="783"/>
      <c r="Q57" s="783"/>
      <c r="R57" s="783"/>
      <c r="S57" s="783"/>
    </row>
    <row r="58" spans="1:19">
      <c r="A58" s="784"/>
      <c r="B58" s="1008"/>
      <c r="C58" s="315"/>
      <c r="D58" s="506"/>
      <c r="E58" s="506"/>
      <c r="F58" s="506"/>
      <c r="G58" s="60"/>
      <c r="H58" s="1000"/>
      <c r="I58" s="783"/>
      <c r="J58" s="945"/>
      <c r="K58" s="783"/>
      <c r="L58" s="1000"/>
      <c r="M58" s="783"/>
      <c r="N58" s="783"/>
      <c r="O58" s="783"/>
      <c r="P58" s="783"/>
      <c r="Q58" s="783"/>
      <c r="R58" s="783"/>
      <c r="S58" s="783"/>
    </row>
    <row r="59" spans="1:19">
      <c r="A59" s="784"/>
      <c r="B59" s="1013"/>
      <c r="C59" s="315"/>
      <c r="D59" s="506"/>
      <c r="E59" s="506"/>
      <c r="F59" s="506"/>
      <c r="G59" s="60"/>
      <c r="H59" s="1000"/>
      <c r="I59" s="783"/>
      <c r="J59" s="1000"/>
      <c r="K59" s="783"/>
      <c r="L59" s="1000"/>
      <c r="M59" s="783"/>
      <c r="N59" s="783"/>
      <c r="O59" s="783"/>
      <c r="P59" s="783"/>
      <c r="Q59" s="783"/>
      <c r="R59" s="783"/>
      <c r="S59" s="783"/>
    </row>
    <row r="60" spans="1:19">
      <c r="A60" s="784"/>
      <c r="B60" s="1014"/>
      <c r="C60" s="315"/>
      <c r="D60" s="506"/>
      <c r="E60" s="506"/>
      <c r="F60" s="506"/>
      <c r="G60" s="60"/>
      <c r="H60" s="1000"/>
      <c r="I60" s="783"/>
      <c r="J60" s="1000"/>
      <c r="K60" s="783"/>
      <c r="L60" s="1000"/>
      <c r="M60" s="783"/>
      <c r="N60" s="783"/>
      <c r="O60" s="783"/>
      <c r="P60" s="783"/>
      <c r="Q60" s="783"/>
      <c r="R60" s="783"/>
      <c r="S60" s="783"/>
    </row>
    <row r="61" spans="1:19">
      <c r="A61" s="784"/>
      <c r="B61" s="1014"/>
      <c r="C61" s="315"/>
      <c r="D61" s="506"/>
      <c r="E61" s="506"/>
      <c r="F61" s="506"/>
      <c r="G61" s="60"/>
      <c r="H61" s="1000"/>
      <c r="I61" s="782"/>
      <c r="J61" s="1000"/>
      <c r="K61" s="782"/>
      <c r="L61" s="783"/>
      <c r="M61" s="782"/>
      <c r="N61" s="783"/>
      <c r="O61" s="782"/>
      <c r="P61" s="783"/>
      <c r="Q61" s="783"/>
      <c r="R61" s="783"/>
      <c r="S61" s="783"/>
    </row>
    <row r="62" spans="1:19">
      <c r="A62" s="784"/>
      <c r="B62" s="1014"/>
      <c r="C62" s="315"/>
      <c r="D62" s="506"/>
      <c r="E62" s="506"/>
      <c r="F62" s="506"/>
      <c r="G62" s="60"/>
      <c r="H62" s="1000"/>
      <c r="I62" s="782"/>
      <c r="J62" s="1000"/>
      <c r="K62" s="782"/>
      <c r="L62" s="783"/>
      <c r="M62" s="782"/>
      <c r="N62" s="783"/>
      <c r="O62" s="782"/>
      <c r="P62" s="783"/>
      <c r="Q62" s="783"/>
      <c r="R62" s="783"/>
      <c r="S62" s="783"/>
    </row>
    <row r="63" spans="1:19">
      <c r="A63" s="784"/>
      <c r="B63" s="1014"/>
      <c r="C63" s="315"/>
      <c r="D63" s="506"/>
      <c r="E63" s="506"/>
      <c r="F63" s="506"/>
      <c r="G63" s="60"/>
      <c r="H63" s="1000"/>
      <c r="I63" s="782"/>
      <c r="J63" s="1000"/>
      <c r="K63" s="782"/>
      <c r="L63" s="783"/>
      <c r="M63" s="782"/>
      <c r="N63" s="783"/>
      <c r="O63" s="782"/>
      <c r="P63" s="783"/>
      <c r="Q63" s="783"/>
      <c r="R63" s="783"/>
      <c r="S63" s="783"/>
    </row>
    <row r="64" spans="1:19">
      <c r="A64" s="784"/>
      <c r="B64" s="1014"/>
      <c r="C64" s="315"/>
      <c r="D64" s="506"/>
      <c r="E64" s="506"/>
      <c r="F64" s="506"/>
      <c r="G64" s="60"/>
      <c r="H64" s="1000"/>
      <c r="I64" s="782"/>
      <c r="J64" s="1000"/>
      <c r="K64" s="782"/>
      <c r="L64" s="783"/>
      <c r="M64" s="782"/>
      <c r="N64" s="783"/>
      <c r="O64" s="782"/>
      <c r="P64" s="783"/>
      <c r="Q64" s="783"/>
      <c r="R64" s="783"/>
      <c r="S64" s="783"/>
    </row>
    <row r="65" spans="1:19" ht="15.75" thickBot="1">
      <c r="A65" s="784"/>
      <c r="B65" s="1014"/>
      <c r="C65" s="315"/>
      <c r="D65" s="506"/>
      <c r="E65" s="506"/>
      <c r="F65" s="506"/>
      <c r="G65" s="60"/>
      <c r="H65" s="1000"/>
      <c r="I65" s="782"/>
      <c r="J65" s="1000"/>
      <c r="K65" s="782"/>
      <c r="L65" s="783"/>
      <c r="M65" s="782"/>
      <c r="N65" s="783"/>
      <c r="O65" s="782"/>
      <c r="P65" s="783"/>
      <c r="Q65" s="783"/>
      <c r="R65" s="783"/>
      <c r="S65" s="783"/>
    </row>
    <row r="66" spans="1:19" ht="15.75" thickTop="1">
      <c r="A66" s="15"/>
      <c r="B66" s="16"/>
      <c r="C66" s="17"/>
      <c r="D66" s="17"/>
      <c r="E66" s="18"/>
      <c r="F66" s="19" t="s">
        <v>470</v>
      </c>
      <c r="G66" s="20"/>
      <c r="H66" s="21"/>
      <c r="I66" s="35">
        <f>SUM(I23:I65)</f>
        <v>0</v>
      </c>
      <c r="J66" s="21"/>
      <c r="K66" s="35">
        <f>SUM(K23:K65)</f>
        <v>0</v>
      </c>
      <c r="L66" s="21"/>
      <c r="M66" s="35">
        <f>SUM(M23:M65)</f>
        <v>0</v>
      </c>
      <c r="N66" s="21"/>
      <c r="O66" s="35">
        <f>SUM(O23:O65)</f>
        <v>0</v>
      </c>
      <c r="P66" s="21"/>
      <c r="Q66" s="35">
        <f>SUM(Q23:Q65)</f>
        <v>0</v>
      </c>
      <c r="R66" s="21"/>
      <c r="S66" s="35">
        <f>SUM(S23:S65)</f>
        <v>0</v>
      </c>
    </row>
    <row r="67" spans="1:19">
      <c r="A67" s="930"/>
      <c r="B67" s="496"/>
      <c r="C67" s="493"/>
      <c r="D67" s="493"/>
      <c r="E67" s="521"/>
      <c r="F67" s="494" t="s">
        <v>471</v>
      </c>
      <c r="G67" s="464"/>
      <c r="H67" s="931">
        <v>0</v>
      </c>
      <c r="I67" s="1015"/>
      <c r="J67" s="931">
        <v>0</v>
      </c>
      <c r="K67" s="1015"/>
      <c r="L67" s="931">
        <v>0</v>
      </c>
      <c r="M67" s="1015"/>
      <c r="N67" s="931">
        <v>0</v>
      </c>
      <c r="O67" s="1015"/>
      <c r="P67" s="931">
        <v>0</v>
      </c>
      <c r="Q67" s="1015"/>
      <c r="R67" s="931">
        <v>0</v>
      </c>
      <c r="S67" s="1015"/>
    </row>
    <row r="68" spans="1:19">
      <c r="A68" s="930"/>
      <c r="B68" s="496"/>
      <c r="C68" s="493"/>
      <c r="D68" s="493"/>
      <c r="E68" s="521"/>
      <c r="F68" s="494" t="s">
        <v>472</v>
      </c>
      <c r="G68" s="464"/>
      <c r="H68" s="932"/>
      <c r="I68" s="1016">
        <f>H67*I66</f>
        <v>0</v>
      </c>
      <c r="J68" s="932"/>
      <c r="K68" s="1016">
        <f>J67*K66</f>
        <v>0</v>
      </c>
      <c r="L68" s="932"/>
      <c r="M68" s="1016">
        <f>L67*M66</f>
        <v>0</v>
      </c>
      <c r="N68" s="932"/>
      <c r="O68" s="1016">
        <f>N67*O66</f>
        <v>0</v>
      </c>
      <c r="P68" s="932"/>
      <c r="Q68" s="1016">
        <f>P67*Q66</f>
        <v>0</v>
      </c>
      <c r="R68" s="932"/>
      <c r="S68" s="1016">
        <f>R67*S66</f>
        <v>0</v>
      </c>
    </row>
    <row r="69" spans="1:19">
      <c r="A69" s="930"/>
      <c r="B69" s="496"/>
      <c r="C69" s="493"/>
      <c r="D69" s="493"/>
      <c r="E69" s="521"/>
      <c r="F69" s="494"/>
      <c r="G69" s="464"/>
      <c r="H69" s="932"/>
      <c r="I69" s="933"/>
      <c r="J69" s="932"/>
      <c r="K69" s="933"/>
      <c r="L69" s="932"/>
      <c r="M69" s="933"/>
      <c r="N69" s="932"/>
      <c r="O69" s="933"/>
      <c r="P69" s="932"/>
      <c r="Q69" s="933"/>
      <c r="R69" s="932"/>
      <c r="S69" s="933"/>
    </row>
    <row r="70" spans="1:19">
      <c r="A70" s="930"/>
      <c r="B70" s="496"/>
      <c r="C70" s="493"/>
      <c r="D70" s="493"/>
      <c r="E70" s="521"/>
      <c r="F70" s="494" t="s">
        <v>473</v>
      </c>
      <c r="G70" s="464"/>
      <c r="H70" s="934"/>
      <c r="I70" s="1017">
        <f>SUM(I66:I68)</f>
        <v>0</v>
      </c>
      <c r="J70" s="934"/>
      <c r="K70" s="1017">
        <f>SUM(K66:K68)</f>
        <v>0</v>
      </c>
      <c r="L70" s="934"/>
      <c r="M70" s="1017">
        <f>SUM(M66:M68)</f>
        <v>0</v>
      </c>
      <c r="N70" s="934"/>
      <c r="O70" s="1017">
        <f>SUM(O66:O68)</f>
        <v>0</v>
      </c>
      <c r="P70" s="934"/>
      <c r="Q70" s="1017">
        <f>SUM(Q66:Q68)</f>
        <v>0</v>
      </c>
      <c r="R70" s="934"/>
      <c r="S70" s="1017">
        <f>SUM(S66:S68)</f>
        <v>0</v>
      </c>
    </row>
    <row r="71" spans="1:19">
      <c r="A71" s="930"/>
      <c r="B71" s="496"/>
      <c r="C71" s="493"/>
      <c r="D71" s="493"/>
      <c r="E71" s="521"/>
      <c r="F71" s="495" t="s">
        <v>474</v>
      </c>
      <c r="G71" s="902"/>
      <c r="H71" s="935"/>
      <c r="I71" s="937">
        <f>I70/'Area Calculations'!$G$5</f>
        <v>0</v>
      </c>
      <c r="J71" s="935"/>
      <c r="K71" s="937">
        <f>K70/'Area Calculations'!$G$5</f>
        <v>0</v>
      </c>
      <c r="L71" s="935"/>
      <c r="M71" s="937">
        <f>M70/'Area Calculations'!$G$5</f>
        <v>0</v>
      </c>
      <c r="N71" s="935"/>
      <c r="O71" s="937">
        <f>O70/'Area Calculations'!$G$5</f>
        <v>0</v>
      </c>
      <c r="P71" s="935"/>
      <c r="Q71" s="937">
        <f>Q70/'Area Calculations'!$G$5</f>
        <v>0</v>
      </c>
      <c r="R71" s="935"/>
      <c r="S71" s="937">
        <f>S70/'Area Calculations'!$G$5</f>
        <v>0</v>
      </c>
    </row>
    <row r="72" spans="1:19">
      <c r="A72" s="930"/>
      <c r="B72" s="496"/>
      <c r="C72" s="493"/>
      <c r="D72" s="493"/>
      <c r="E72" s="521"/>
      <c r="F72" s="495" t="s">
        <v>582</v>
      </c>
      <c r="G72" s="978"/>
      <c r="H72" s="935"/>
      <c r="I72" s="937">
        <f>I70/'Area Calculations'!$G$9</f>
        <v>0</v>
      </c>
      <c r="J72" s="935"/>
      <c r="K72" s="937">
        <f>K70/'Area Calculations'!$G$9</f>
        <v>0</v>
      </c>
      <c r="L72" s="935"/>
      <c r="M72" s="937">
        <f>M70/'Area Calculations'!$G$9</f>
        <v>0</v>
      </c>
      <c r="N72" s="935"/>
      <c r="O72" s="937">
        <f>O70/'Area Calculations'!$G$9</f>
        <v>0</v>
      </c>
      <c r="P72" s="935"/>
      <c r="Q72" s="937">
        <f>Q70/'Area Calculations'!$G$9</f>
        <v>0</v>
      </c>
      <c r="R72" s="935"/>
      <c r="S72" s="937">
        <f>S70/'Area Calculations'!$G$9</f>
        <v>0</v>
      </c>
    </row>
    <row r="73" spans="1:19" ht="15.75" thickBot="1">
      <c r="A73" s="930"/>
      <c r="B73" s="496"/>
      <c r="C73" s="493"/>
      <c r="D73" s="493"/>
      <c r="E73" s="521"/>
      <c r="F73" s="494"/>
      <c r="G73" s="979"/>
      <c r="H73" s="980"/>
      <c r="I73" s="981"/>
      <c r="J73" s="980"/>
      <c r="K73" s="981"/>
      <c r="L73" s="980"/>
      <c r="M73" s="981"/>
      <c r="N73" s="980"/>
      <c r="O73" s="981"/>
      <c r="P73" s="980"/>
      <c r="Q73" s="981"/>
      <c r="R73" s="980"/>
      <c r="S73" s="981"/>
    </row>
    <row r="74" spans="1:19" ht="16.5" thickTop="1" thickBot="1">
      <c r="A74" s="691" t="s">
        <v>475</v>
      </c>
      <c r="B74" s="692"/>
      <c r="C74" s="14"/>
      <c r="D74" s="14"/>
      <c r="E74" s="14"/>
      <c r="F74" s="14"/>
      <c r="G74" s="29"/>
      <c r="H74" s="27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19" ht="15.75" thickTop="1">
      <c r="A75" s="795"/>
      <c r="B75" s="497"/>
      <c r="C75" s="796"/>
      <c r="D75" s="796"/>
      <c r="E75" s="796"/>
      <c r="F75" s="796"/>
      <c r="G75" s="982"/>
      <c r="H75" s="591"/>
      <c r="I75" s="799"/>
      <c r="J75" s="799"/>
      <c r="K75" s="799"/>
      <c r="L75" s="799"/>
      <c r="M75" s="799"/>
      <c r="N75" s="799"/>
      <c r="O75" s="799"/>
      <c r="P75" s="799"/>
      <c r="Q75" s="799"/>
      <c r="R75" s="799"/>
      <c r="S75" s="799"/>
    </row>
    <row r="76" spans="1:19" s="2" customFormat="1">
      <c r="A76" s="795"/>
      <c r="B76" s="497"/>
      <c r="C76" s="796"/>
      <c r="D76" s="796"/>
      <c r="E76" s="796"/>
      <c r="F76" s="796"/>
      <c r="G76" s="982"/>
      <c r="H76" s="591"/>
      <c r="I76" s="799"/>
      <c r="J76" s="799"/>
      <c r="K76" s="799"/>
      <c r="L76" s="799"/>
      <c r="M76" s="799"/>
      <c r="N76" s="799"/>
      <c r="O76" s="799"/>
      <c r="P76" s="799"/>
      <c r="Q76" s="799"/>
      <c r="R76" s="799"/>
      <c r="S76" s="799"/>
    </row>
    <row r="77" spans="1:19" s="2" customFormat="1" ht="15.75" thickBot="1">
      <c r="A77" s="795"/>
      <c r="B77" s="497"/>
      <c r="C77" s="796"/>
      <c r="D77" s="796"/>
      <c r="E77" s="796"/>
      <c r="F77" s="796"/>
      <c r="G77" s="982"/>
      <c r="H77" s="591"/>
      <c r="I77" s="799"/>
      <c r="J77" s="799"/>
      <c r="K77" s="799"/>
      <c r="L77" s="799"/>
      <c r="M77" s="799"/>
      <c r="N77" s="799"/>
      <c r="O77" s="799"/>
      <c r="P77" s="799"/>
      <c r="Q77" s="799"/>
      <c r="R77" s="799"/>
      <c r="S77" s="799"/>
    </row>
    <row r="78" spans="1:19" ht="16.5" thickTop="1" thickBot="1">
      <c r="A78" s="691" t="s">
        <v>476</v>
      </c>
      <c r="B78" s="692"/>
      <c r="C78" s="14"/>
      <c r="D78" s="14"/>
      <c r="E78" s="14"/>
      <c r="F78" s="14"/>
      <c r="G78" s="29"/>
      <c r="H78" s="27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s="2" customFormat="1" ht="15.75" thickTop="1">
      <c r="A79" s="795"/>
      <c r="B79" s="497"/>
      <c r="C79" s="796"/>
      <c r="D79" s="796"/>
      <c r="E79" s="796"/>
      <c r="F79" s="796"/>
      <c r="G79" s="982"/>
      <c r="H79" s="591"/>
      <c r="I79" s="799"/>
      <c r="J79" s="799"/>
      <c r="K79" s="799"/>
      <c r="L79" s="799"/>
      <c r="M79" s="799"/>
      <c r="N79" s="799"/>
      <c r="O79" s="799"/>
      <c r="P79" s="799"/>
      <c r="Q79" s="799"/>
      <c r="R79" s="799"/>
      <c r="S79" s="799"/>
    </row>
    <row r="80" spans="1:19" s="2" customFormat="1">
      <c r="A80" s="795"/>
      <c r="B80" s="497"/>
      <c r="C80" s="796"/>
      <c r="D80" s="796"/>
      <c r="E80" s="796"/>
      <c r="F80" s="796"/>
      <c r="G80" s="982"/>
      <c r="H80" s="591"/>
      <c r="I80" s="799"/>
      <c r="J80" s="799"/>
      <c r="K80" s="799"/>
      <c r="L80" s="799"/>
      <c r="M80" s="799"/>
      <c r="N80" s="799"/>
      <c r="O80" s="799"/>
      <c r="P80" s="799"/>
      <c r="Q80" s="799"/>
      <c r="R80" s="799"/>
      <c r="S80" s="799"/>
    </row>
    <row r="81" spans="1:19" ht="15.75" thickBot="1">
      <c r="A81" s="795"/>
      <c r="B81" s="497"/>
      <c r="C81" s="796"/>
      <c r="D81" s="796"/>
      <c r="E81" s="796"/>
      <c r="F81" s="796"/>
      <c r="G81" s="982"/>
      <c r="H81" s="591"/>
      <c r="I81" s="799"/>
      <c r="J81" s="799"/>
      <c r="K81" s="799"/>
      <c r="L81" s="799"/>
      <c r="M81" s="799"/>
      <c r="N81" s="799"/>
      <c r="O81" s="799"/>
      <c r="P81" s="799"/>
      <c r="Q81" s="799"/>
      <c r="R81" s="799"/>
      <c r="S81" s="799"/>
    </row>
    <row r="82" spans="1:19" ht="16.5" thickTop="1" thickBot="1">
      <c r="A82" s="691" t="s">
        <v>477</v>
      </c>
      <c r="B82" s="692"/>
      <c r="C82" s="14"/>
      <c r="D82" s="14"/>
      <c r="E82" s="14"/>
      <c r="F82" s="14"/>
      <c r="G82" s="29"/>
      <c r="H82" s="27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 spans="1:19" ht="15.75" thickTop="1">
      <c r="A83" s="795"/>
      <c r="B83" s="497"/>
      <c r="C83" s="796"/>
      <c r="D83" s="796"/>
      <c r="E83" s="796"/>
      <c r="F83" s="796"/>
      <c r="G83" s="982"/>
      <c r="H83" s="591"/>
      <c r="I83" s="799"/>
      <c r="J83" s="799"/>
      <c r="K83" s="799"/>
      <c r="L83" s="799"/>
      <c r="M83" s="799"/>
      <c r="N83" s="799"/>
      <c r="O83" s="799"/>
      <c r="P83" s="799"/>
      <c r="Q83" s="799"/>
      <c r="R83" s="799"/>
      <c r="S83" s="799"/>
    </row>
    <row r="84" spans="1:19">
      <c r="A84" s="940"/>
      <c r="B84" s="497"/>
      <c r="C84" s="506"/>
      <c r="D84" s="506"/>
      <c r="E84" s="506"/>
      <c r="F84" s="506"/>
      <c r="G84" s="983"/>
      <c r="H84" s="984"/>
      <c r="I84" s="941"/>
      <c r="J84" s="941"/>
      <c r="K84" s="941"/>
      <c r="L84" s="941"/>
      <c r="M84" s="941"/>
      <c r="N84" s="941"/>
      <c r="O84" s="941"/>
      <c r="P84" s="941"/>
      <c r="Q84" s="941"/>
      <c r="R84" s="941"/>
      <c r="S84" s="941"/>
    </row>
    <row r="85" spans="1:19" ht="15.75" thickBot="1">
      <c r="A85" s="942"/>
      <c r="B85" s="501"/>
      <c r="C85" s="506"/>
      <c r="D85" s="506"/>
      <c r="E85" s="506"/>
      <c r="F85" s="506"/>
      <c r="G85" s="983"/>
      <c r="H85" s="985"/>
      <c r="I85" s="943"/>
      <c r="J85" s="943"/>
      <c r="K85" s="943"/>
      <c r="L85" s="943"/>
      <c r="M85" s="943"/>
      <c r="N85" s="943"/>
      <c r="O85" s="943"/>
      <c r="P85" s="943"/>
      <c r="Q85" s="943"/>
      <c r="R85" s="943"/>
      <c r="S85" s="943"/>
    </row>
    <row r="86" spans="1:19" ht="16.5" thickTop="1" thickBot="1">
      <c r="A86" s="691" t="s">
        <v>478</v>
      </c>
      <c r="B86" s="692"/>
      <c r="C86" s="14"/>
      <c r="D86" s="14"/>
      <c r="E86" s="14"/>
      <c r="F86" s="14"/>
      <c r="G86" s="29"/>
      <c r="H86" s="27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spans="1:19" ht="15.75" thickTop="1">
      <c r="A87" s="800"/>
      <c r="B87" s="801"/>
      <c r="C87" s="796"/>
      <c r="D87" s="796"/>
      <c r="E87" s="796"/>
      <c r="F87" s="796"/>
      <c r="G87" s="982"/>
      <c r="H87" s="591"/>
      <c r="I87" s="799"/>
      <c r="J87" s="799"/>
      <c r="K87" s="799"/>
      <c r="L87" s="799"/>
      <c r="M87" s="799"/>
      <c r="N87" s="799"/>
      <c r="O87" s="799"/>
      <c r="P87" s="799"/>
      <c r="Q87" s="799"/>
      <c r="R87" s="799"/>
      <c r="S87" s="799"/>
    </row>
    <row r="88" spans="1:19">
      <c r="A88" s="942"/>
      <c r="B88" s="501"/>
      <c r="C88" s="506"/>
      <c r="D88" s="506"/>
      <c r="E88" s="506"/>
      <c r="F88" s="506"/>
      <c r="G88" s="983"/>
      <c r="H88" s="986"/>
      <c r="I88" s="944"/>
      <c r="J88" s="944"/>
      <c r="K88" s="944"/>
      <c r="L88" s="944"/>
      <c r="M88" s="944"/>
      <c r="N88" s="944"/>
      <c r="O88" s="944"/>
      <c r="P88" s="944"/>
      <c r="Q88" s="944"/>
      <c r="R88" s="944"/>
      <c r="S88" s="944"/>
    </row>
    <row r="89" spans="1:19" ht="15.75" thickBot="1">
      <c r="A89" s="942"/>
      <c r="B89" s="501"/>
      <c r="C89" s="506"/>
      <c r="D89" s="506"/>
      <c r="E89" s="506"/>
      <c r="F89" s="506"/>
      <c r="G89" s="983"/>
      <c r="H89" s="986"/>
      <c r="I89" s="944"/>
      <c r="J89" s="944"/>
      <c r="K89" s="944"/>
      <c r="L89" s="944"/>
      <c r="M89" s="944"/>
      <c r="N89" s="944"/>
      <c r="O89" s="944"/>
      <c r="P89" s="944"/>
      <c r="Q89" s="944"/>
      <c r="R89" s="944"/>
      <c r="S89" s="944"/>
    </row>
    <row r="90" spans="1:19" ht="16.5" thickTop="1" thickBot="1">
      <c r="A90" s="691" t="s">
        <v>479</v>
      </c>
      <c r="B90" s="692"/>
      <c r="C90" s="14"/>
      <c r="D90" s="14"/>
      <c r="E90" s="14"/>
      <c r="F90" s="14"/>
      <c r="G90" s="29"/>
      <c r="H90" s="27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spans="1:19" ht="15.75" thickTop="1">
      <c r="A91" s="940"/>
      <c r="B91" s="497" t="s">
        <v>480</v>
      </c>
      <c r="C91" s="506"/>
      <c r="D91" s="506"/>
      <c r="E91" s="506"/>
      <c r="F91" s="506"/>
      <c r="G91" s="983"/>
      <c r="H91" s="986"/>
      <c r="I91" s="944"/>
      <c r="J91" s="944"/>
      <c r="K91" s="944"/>
      <c r="L91" s="944"/>
      <c r="M91" s="944"/>
      <c r="N91" s="944"/>
      <c r="O91" s="944"/>
      <c r="P91" s="944"/>
      <c r="Q91" s="944"/>
      <c r="R91" s="944"/>
      <c r="S91" s="944"/>
    </row>
    <row r="92" spans="1:19">
      <c r="A92" s="940"/>
      <c r="B92" s="497" t="s">
        <v>481</v>
      </c>
      <c r="C92" s="506"/>
      <c r="D92" s="506"/>
      <c r="E92" s="506"/>
      <c r="F92" s="506"/>
      <c r="G92" s="983"/>
      <c r="H92" s="986"/>
      <c r="I92" s="944"/>
      <c r="J92" s="944"/>
      <c r="K92" s="944"/>
      <c r="L92" s="944"/>
      <c r="M92" s="944"/>
      <c r="N92" s="944"/>
      <c r="O92" s="944"/>
      <c r="P92" s="944"/>
      <c r="Q92" s="944"/>
      <c r="R92" s="944"/>
      <c r="S92" s="944"/>
    </row>
    <row r="93" spans="1:19">
      <c r="A93" s="940"/>
      <c r="B93" s="497" t="s">
        <v>482</v>
      </c>
      <c r="C93" s="506"/>
      <c r="D93" s="506"/>
      <c r="E93" s="506"/>
      <c r="F93" s="506"/>
      <c r="G93" s="983"/>
      <c r="H93" s="986"/>
      <c r="I93" s="944"/>
      <c r="J93" s="944"/>
      <c r="K93" s="944"/>
      <c r="L93" s="944"/>
      <c r="M93" s="944"/>
      <c r="N93" s="944"/>
      <c r="O93" s="944"/>
      <c r="P93" s="944"/>
      <c r="Q93" s="944"/>
      <c r="R93" s="944"/>
      <c r="S93" s="944"/>
    </row>
    <row r="94" spans="1:19">
      <c r="A94" s="940"/>
      <c r="B94" s="497" t="s">
        <v>483</v>
      </c>
      <c r="C94" s="506"/>
      <c r="D94" s="506"/>
      <c r="E94" s="506"/>
      <c r="F94" s="506"/>
      <c r="G94" s="983"/>
      <c r="H94" s="986"/>
      <c r="I94" s="944"/>
      <c r="J94" s="944"/>
      <c r="K94" s="944"/>
      <c r="L94" s="944"/>
      <c r="M94" s="944"/>
      <c r="N94" s="944"/>
      <c r="O94" s="944"/>
      <c r="P94" s="944"/>
      <c r="Q94" s="944"/>
      <c r="R94" s="944"/>
      <c r="S94" s="944"/>
    </row>
    <row r="95" spans="1:19" ht="15.75" thickBot="1">
      <c r="A95" s="23"/>
      <c r="B95" s="7"/>
      <c r="C95" s="8"/>
      <c r="D95" s="8"/>
      <c r="E95" s="8"/>
      <c r="F95" s="8"/>
      <c r="G95" s="30"/>
      <c r="H95" s="28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</row>
    <row r="96" spans="1:19" ht="16.5" thickTop="1" thickBot="1">
      <c r="A96" s="9" t="s">
        <v>484</v>
      </c>
      <c r="B96" s="10"/>
      <c r="C96" s="14"/>
      <c r="D96" s="14"/>
      <c r="E96" s="14"/>
      <c r="F96" s="14"/>
      <c r="G96" s="29"/>
      <c r="H96" s="27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 spans="1:19" ht="15.75" thickTop="1">
      <c r="A97" s="795"/>
      <c r="B97" s="802" t="s">
        <v>485</v>
      </c>
      <c r="C97" s="796"/>
      <c r="D97" s="796"/>
      <c r="E97" s="796"/>
      <c r="F97" s="796"/>
      <c r="G97" s="982"/>
      <c r="H97" s="783"/>
      <c r="I97" s="803"/>
      <c r="J97" s="803"/>
      <c r="K97" s="803"/>
      <c r="L97" s="803"/>
      <c r="M97" s="803"/>
      <c r="N97" s="803"/>
      <c r="O97" s="803"/>
      <c r="P97" s="803"/>
      <c r="Q97" s="803"/>
      <c r="R97" s="803"/>
      <c r="S97" s="803"/>
    </row>
    <row r="98" spans="1:19">
      <c r="A98" s="940"/>
      <c r="B98" s="497" t="s">
        <v>486</v>
      </c>
      <c r="C98" s="506"/>
      <c r="D98" s="506"/>
      <c r="E98" s="506"/>
      <c r="F98" s="506"/>
      <c r="G98" s="983"/>
      <c r="H98" s="987"/>
      <c r="I98" s="945"/>
      <c r="J98" s="945"/>
      <c r="K98" s="945"/>
      <c r="L98" s="945"/>
      <c r="M98" s="945"/>
      <c r="N98" s="945"/>
      <c r="O98" s="945"/>
      <c r="P98" s="945"/>
      <c r="Q98" s="945"/>
      <c r="R98" s="945"/>
      <c r="S98" s="945"/>
    </row>
    <row r="99" spans="1:19" ht="15.75" thickBot="1">
      <c r="A99" s="865"/>
      <c r="B99" s="866" t="s">
        <v>487</v>
      </c>
      <c r="C99" s="867"/>
      <c r="D99" s="867"/>
      <c r="E99" s="867"/>
      <c r="F99" s="867"/>
      <c r="G99" s="988"/>
      <c r="H99" s="989"/>
      <c r="I99" s="871"/>
      <c r="J99" s="871"/>
      <c r="K99" s="871"/>
      <c r="L99" s="871"/>
      <c r="M99" s="871"/>
      <c r="N99" s="871"/>
      <c r="O99" s="871"/>
      <c r="P99" s="871"/>
      <c r="Q99" s="871"/>
      <c r="R99" s="871"/>
      <c r="S99" s="871"/>
    </row>
    <row r="100" spans="1:19" ht="16.5" thickTop="1" thickBot="1"/>
    <row r="101" spans="1:19" ht="16.5" thickTop="1" thickBot="1">
      <c r="A101" s="42" t="s">
        <v>488</v>
      </c>
      <c r="B101" s="44"/>
    </row>
    <row r="102" spans="1:19" ht="15.75" thickTop="1">
      <c r="A102" s="43" t="s">
        <v>444</v>
      </c>
      <c r="B102" s="946"/>
    </row>
    <row r="103" spans="1:19">
      <c r="A103" s="504" t="s">
        <v>446</v>
      </c>
      <c r="B103" s="946"/>
    </row>
    <row r="104" spans="1:19">
      <c r="A104" s="947" t="s">
        <v>448</v>
      </c>
      <c r="B104" s="948"/>
    </row>
    <row r="105" spans="1:19">
      <c r="A105" s="947" t="s">
        <v>450</v>
      </c>
      <c r="B105" s="949"/>
    </row>
    <row r="106" spans="1:19" ht="15.75" thickBot="1">
      <c r="A106" s="878" t="s">
        <v>489</v>
      </c>
      <c r="B106" s="990"/>
    </row>
    <row r="107" spans="1:19" ht="15.75" thickTop="1"/>
    <row r="108" spans="1:19">
      <c r="A108" s="45"/>
      <c r="B108" s="1" t="s">
        <v>490</v>
      </c>
    </row>
    <row r="109" spans="1:19">
      <c r="A109" s="46"/>
      <c r="B109" s="1" t="s">
        <v>491</v>
      </c>
    </row>
  </sheetData>
  <mergeCells count="47">
    <mergeCell ref="A74:B74"/>
    <mergeCell ref="A78:B78"/>
    <mergeCell ref="A82:B82"/>
    <mergeCell ref="A86:B86"/>
    <mergeCell ref="A90:B90"/>
    <mergeCell ref="R8:S8"/>
    <mergeCell ref="H7:I7"/>
    <mergeCell ref="J7:K7"/>
    <mergeCell ref="L7:M7"/>
    <mergeCell ref="N7:O7"/>
    <mergeCell ref="P7:Q7"/>
    <mergeCell ref="R7:S7"/>
    <mergeCell ref="H8:I8"/>
    <mergeCell ref="J8:K8"/>
    <mergeCell ref="L8:M8"/>
    <mergeCell ref="N8:O8"/>
    <mergeCell ref="P8:Q8"/>
    <mergeCell ref="R6:S6"/>
    <mergeCell ref="H5:I5"/>
    <mergeCell ref="J5:K5"/>
    <mergeCell ref="L5:M5"/>
    <mergeCell ref="N5:O5"/>
    <mergeCell ref="P5:Q5"/>
    <mergeCell ref="R5:S5"/>
    <mergeCell ref="H6:I6"/>
    <mergeCell ref="J6:K6"/>
    <mergeCell ref="L6:M6"/>
    <mergeCell ref="N6:O6"/>
    <mergeCell ref="P6:Q6"/>
    <mergeCell ref="R4:S4"/>
    <mergeCell ref="H3:I3"/>
    <mergeCell ref="J3:K3"/>
    <mergeCell ref="L3:M3"/>
    <mergeCell ref="N3:O3"/>
    <mergeCell ref="P3:Q3"/>
    <mergeCell ref="R3:S3"/>
    <mergeCell ref="H4:I4"/>
    <mergeCell ref="J4:K4"/>
    <mergeCell ref="L4:M4"/>
    <mergeCell ref="N4:O4"/>
    <mergeCell ref="P4:Q4"/>
    <mergeCell ref="R2:S2"/>
    <mergeCell ref="H2:I2"/>
    <mergeCell ref="J2:K2"/>
    <mergeCell ref="L2:M2"/>
    <mergeCell ref="N2:O2"/>
    <mergeCell ref="P2:Q2"/>
  </mergeCells>
  <hyperlinks>
    <hyperlink ref="B3" location="'Cost Summary'!A1" display="BACK TO SUMMARY SHEET" xr:uid="{545205F6-FA4E-4375-9979-3E2AD6C37031}"/>
  </hyperlink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5DE5-D4D4-49FD-9281-8D2A88638A28}">
  <dimension ref="A1:S90"/>
  <sheetViews>
    <sheetView zoomScale="85" zoomScaleNormal="85" workbookViewId="0">
      <pane xSplit="2" ySplit="9" topLeftCell="C34" activePane="bottomRight" state="frozen"/>
      <selection pane="bottomRight" activeCell="I52" sqref="I52:I53"/>
      <selection pane="bottomLeft" activeCell="A11" sqref="A11"/>
      <selection pane="topRight" activeCell="C1" sqref="C1"/>
    </sheetView>
  </sheetViews>
  <sheetFormatPr defaultRowHeight="15"/>
  <cols>
    <col min="1" max="1" width="11" customWidth="1"/>
    <col min="2" max="2" width="70.7109375" style="1" customWidth="1"/>
    <col min="3" max="3" width="10.85546875" style="2" bestFit="1" customWidth="1"/>
    <col min="4" max="5" width="7.5703125" style="2" customWidth="1"/>
    <col min="6" max="6" width="10.28515625" style="2" customWidth="1"/>
    <col min="7" max="7" width="12.28515625" style="2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E1" s="72"/>
      <c r="F1" s="55"/>
      <c r="G1" s="53" t="s">
        <v>436</v>
      </c>
    </row>
    <row r="2" spans="1:19" ht="15.75" thickBot="1">
      <c r="E2" s="72"/>
      <c r="F2" s="52"/>
      <c r="G2" s="53" t="s">
        <v>438</v>
      </c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</row>
    <row r="3" spans="1:19" ht="21" thickBot="1">
      <c r="B3" s="61" t="s">
        <v>441</v>
      </c>
      <c r="E3" s="72"/>
      <c r="F3" s="54"/>
      <c r="G3" s="53" t="s">
        <v>440</v>
      </c>
      <c r="H3" s="697" t="s">
        <v>569</v>
      </c>
      <c r="I3" s="698"/>
      <c r="J3" s="697" t="s">
        <v>570</v>
      </c>
      <c r="K3" s="698"/>
      <c r="L3" s="697" t="s">
        <v>571</v>
      </c>
      <c r="M3" s="698"/>
      <c r="N3" s="697" t="s">
        <v>572</v>
      </c>
      <c r="O3" s="698"/>
      <c r="P3" s="697" t="s">
        <v>573</v>
      </c>
      <c r="Q3" s="698"/>
      <c r="R3" s="697" t="s">
        <v>574</v>
      </c>
      <c r="S3" s="698"/>
    </row>
    <row r="4" spans="1:19" ht="15.75" thickTop="1">
      <c r="A4" s="3" t="s">
        <v>443</v>
      </c>
      <c r="B4" s="4" t="str">
        <f>'Area Calculations'!B4</f>
        <v>Bourbon Hotel Orlando</v>
      </c>
      <c r="C4" s="5"/>
      <c r="D4" s="5"/>
      <c r="E4" s="5"/>
      <c r="F4" s="5"/>
      <c r="G4" s="6" t="s">
        <v>444</v>
      </c>
      <c r="H4" s="673"/>
      <c r="I4" s="674"/>
      <c r="J4" s="700"/>
      <c r="K4" s="674"/>
      <c r="L4" s="700"/>
      <c r="M4" s="674"/>
      <c r="N4" s="700"/>
      <c r="O4" s="674"/>
      <c r="P4" s="700"/>
      <c r="Q4" s="674"/>
      <c r="R4" s="700"/>
      <c r="S4" s="674"/>
    </row>
    <row r="5" spans="1:19">
      <c r="A5" s="950" t="s">
        <v>575</v>
      </c>
      <c r="B5" s="497" t="s">
        <v>611</v>
      </c>
      <c r="C5" s="506"/>
      <c r="D5" s="506"/>
      <c r="E5" s="506"/>
      <c r="F5" s="506"/>
      <c r="G5" s="462" t="s">
        <v>446</v>
      </c>
      <c r="H5" s="675"/>
      <c r="I5" s="676"/>
      <c r="J5" s="993"/>
      <c r="K5" s="676"/>
      <c r="L5" s="993"/>
      <c r="M5" s="676"/>
      <c r="N5" s="993"/>
      <c r="O5" s="676"/>
      <c r="P5" s="993"/>
      <c r="Q5" s="676"/>
      <c r="R5" s="993"/>
      <c r="S5" s="676"/>
    </row>
    <row r="6" spans="1:19">
      <c r="A6" s="950" t="s">
        <v>577</v>
      </c>
      <c r="B6" s="509" t="s">
        <v>612</v>
      </c>
      <c r="C6" s="506"/>
      <c r="D6" s="506"/>
      <c r="E6" s="506"/>
      <c r="F6" s="506"/>
      <c r="G6" s="462" t="s">
        <v>448</v>
      </c>
      <c r="H6" s="677"/>
      <c r="I6" s="678"/>
      <c r="J6" s="994"/>
      <c r="K6" s="678"/>
      <c r="L6" s="994"/>
      <c r="M6" s="678"/>
      <c r="N6" s="994"/>
      <c r="O6" s="678"/>
      <c r="P6" s="994"/>
      <c r="Q6" s="678"/>
      <c r="R6" s="994"/>
      <c r="S6" s="678"/>
    </row>
    <row r="7" spans="1:19">
      <c r="A7" s="950" t="s">
        <v>579</v>
      </c>
      <c r="B7" s="511"/>
      <c r="C7" s="506"/>
      <c r="D7" s="506"/>
      <c r="E7" s="506"/>
      <c r="F7" s="506"/>
      <c r="G7" s="462" t="s">
        <v>450</v>
      </c>
      <c r="H7" s="679"/>
      <c r="I7" s="680"/>
      <c r="J7" s="995"/>
      <c r="K7" s="680"/>
      <c r="L7" s="995"/>
      <c r="M7" s="680"/>
      <c r="N7" s="995"/>
      <c r="O7" s="680"/>
      <c r="P7" s="995"/>
      <c r="Q7" s="680"/>
      <c r="R7" s="995"/>
      <c r="S7" s="680"/>
    </row>
    <row r="8" spans="1:19" ht="15.75" thickBot="1">
      <c r="A8" s="40" t="s">
        <v>451</v>
      </c>
      <c r="B8" s="7"/>
      <c r="C8" s="8"/>
      <c r="D8" s="8"/>
      <c r="E8" s="8"/>
      <c r="F8" s="8"/>
      <c r="G8" s="40" t="s">
        <v>451</v>
      </c>
      <c r="H8" s="996">
        <f>I51</f>
        <v>0</v>
      </c>
      <c r="I8" s="997"/>
      <c r="J8" s="996">
        <f>K51</f>
        <v>0</v>
      </c>
      <c r="K8" s="997"/>
      <c r="L8" s="996">
        <f>M51</f>
        <v>0</v>
      </c>
      <c r="M8" s="997"/>
      <c r="N8" s="996">
        <f>O51</f>
        <v>0</v>
      </c>
      <c r="O8" s="997"/>
      <c r="P8" s="996">
        <f>Q51</f>
        <v>0</v>
      </c>
      <c r="Q8" s="997"/>
      <c r="R8" s="996">
        <f>S51</f>
        <v>0</v>
      </c>
      <c r="S8" s="997"/>
    </row>
    <row r="9" spans="1:19" ht="31.5" thickTop="1" thickBot="1">
      <c r="A9" s="9" t="s">
        <v>452</v>
      </c>
      <c r="B9" s="10"/>
      <c r="C9" s="11" t="s">
        <v>453</v>
      </c>
      <c r="D9" s="11" t="s">
        <v>454</v>
      </c>
      <c r="E9" s="11" t="s">
        <v>455</v>
      </c>
      <c r="F9" s="11" t="s">
        <v>456</v>
      </c>
      <c r="G9" s="12" t="s">
        <v>457</v>
      </c>
      <c r="H9" s="13" t="s">
        <v>458</v>
      </c>
      <c r="I9" s="13" t="s">
        <v>459</v>
      </c>
      <c r="J9" s="13" t="s">
        <v>458</v>
      </c>
      <c r="K9" s="13" t="s">
        <v>459</v>
      </c>
      <c r="L9" s="13" t="s">
        <v>458</v>
      </c>
      <c r="M9" s="13" t="s">
        <v>459</v>
      </c>
      <c r="N9" s="13" t="s">
        <v>458</v>
      </c>
      <c r="O9" s="13" t="s">
        <v>459</v>
      </c>
      <c r="P9" s="13" t="s">
        <v>458</v>
      </c>
      <c r="Q9" s="13" t="s">
        <v>459</v>
      </c>
      <c r="R9" s="13" t="s">
        <v>458</v>
      </c>
      <c r="S9" s="13" t="s">
        <v>459</v>
      </c>
    </row>
    <row r="10" spans="1:19" ht="15.75" hidden="1" thickTop="1">
      <c r="A10" s="940"/>
      <c r="B10" s="956" t="s">
        <v>580</v>
      </c>
      <c r="C10" s="506"/>
      <c r="D10" s="506"/>
      <c r="E10" s="506"/>
      <c r="F10" s="506"/>
      <c r="G10" s="60"/>
      <c r="H10" s="957"/>
      <c r="I10" s="957"/>
      <c r="J10" s="957"/>
      <c r="K10" s="957"/>
      <c r="L10" s="957"/>
      <c r="M10" s="957"/>
      <c r="N10" s="957"/>
      <c r="O10" s="957"/>
      <c r="P10" s="957"/>
      <c r="Q10" s="957"/>
      <c r="R10" s="957"/>
      <c r="S10" s="957"/>
    </row>
    <row r="11" spans="1:19" hidden="1">
      <c r="A11" s="940"/>
      <c r="B11" s="497" t="e">
        <f>'Area Calculations'!#REF!</f>
        <v>#REF!</v>
      </c>
      <c r="C11" s="958" t="s">
        <v>581</v>
      </c>
      <c r="D11" s="506"/>
      <c r="E11" s="506"/>
      <c r="F11" s="506"/>
      <c r="G11" s="60"/>
      <c r="H11" s="957"/>
      <c r="I11" s="957"/>
      <c r="J11" s="957"/>
      <c r="K11" s="957"/>
      <c r="L11" s="957"/>
      <c r="M11" s="957"/>
      <c r="N11" s="957"/>
      <c r="O11" s="957"/>
      <c r="P11" s="957"/>
      <c r="Q11" s="957"/>
      <c r="R11" s="957"/>
      <c r="S11" s="957"/>
    </row>
    <row r="12" spans="1:19" hidden="1">
      <c r="A12" s="940"/>
      <c r="B12" s="497" t="e">
        <f>'Area Calculations'!#REF!</f>
        <v>#REF!</v>
      </c>
      <c r="C12" s="958" t="s">
        <v>581</v>
      </c>
      <c r="D12" s="506"/>
      <c r="E12" s="506"/>
      <c r="F12" s="506"/>
      <c r="G12" s="60"/>
      <c r="H12" s="957"/>
      <c r="I12" s="957"/>
      <c r="J12" s="957"/>
      <c r="K12" s="957"/>
      <c r="L12" s="957"/>
      <c r="M12" s="957"/>
      <c r="N12" s="957"/>
      <c r="O12" s="957"/>
      <c r="P12" s="957"/>
      <c r="Q12" s="957"/>
      <c r="R12" s="957"/>
      <c r="S12" s="957"/>
    </row>
    <row r="13" spans="1:19" hidden="1">
      <c r="A13" s="940"/>
      <c r="B13" s="497" t="e">
        <f>'Area Calculations'!#REF!</f>
        <v>#REF!</v>
      </c>
      <c r="C13" s="958" t="s">
        <v>581</v>
      </c>
      <c r="D13" s="506"/>
      <c r="E13" s="506"/>
      <c r="F13" s="506"/>
      <c r="G13" s="60"/>
      <c r="H13" s="957"/>
      <c r="I13" s="957"/>
      <c r="J13" s="957"/>
      <c r="K13" s="957"/>
      <c r="L13" s="957"/>
      <c r="M13" s="957"/>
      <c r="N13" s="957"/>
      <c r="O13" s="957"/>
      <c r="P13" s="957"/>
      <c r="Q13" s="957"/>
      <c r="R13" s="957"/>
      <c r="S13" s="957"/>
    </row>
    <row r="14" spans="1:19" hidden="1">
      <c r="A14" s="940"/>
      <c r="B14" s="497" t="e">
        <f>'Area Calculations'!#REF!</f>
        <v>#REF!</v>
      </c>
      <c r="C14" s="958" t="s">
        <v>581</v>
      </c>
      <c r="D14" s="506"/>
      <c r="E14" s="506"/>
      <c r="F14" s="506"/>
      <c r="G14" s="60"/>
      <c r="H14" s="957"/>
      <c r="I14" s="957"/>
      <c r="J14" s="957"/>
      <c r="K14" s="957"/>
      <c r="L14" s="957"/>
      <c r="M14" s="957"/>
      <c r="N14" s="957"/>
      <c r="O14" s="957"/>
      <c r="P14" s="957"/>
      <c r="Q14" s="957"/>
      <c r="R14" s="957"/>
      <c r="S14" s="957"/>
    </row>
    <row r="15" spans="1:19" hidden="1">
      <c r="A15" s="940"/>
      <c r="B15" s="497" t="e">
        <f>'Area Calculations'!#REF!</f>
        <v>#REF!</v>
      </c>
      <c r="C15" s="958" t="s">
        <v>581</v>
      </c>
      <c r="D15" s="506"/>
      <c r="E15" s="506"/>
      <c r="F15" s="506"/>
      <c r="G15" s="60"/>
      <c r="H15" s="957"/>
      <c r="I15" s="957"/>
      <c r="J15" s="957"/>
      <c r="K15" s="957"/>
      <c r="L15" s="957"/>
      <c r="M15" s="957"/>
      <c r="N15" s="957"/>
      <c r="O15" s="957"/>
      <c r="P15" s="957"/>
      <c r="Q15" s="957"/>
      <c r="R15" s="957"/>
      <c r="S15" s="957"/>
    </row>
    <row r="16" spans="1:19" hidden="1">
      <c r="A16" s="940"/>
      <c r="B16" s="497" t="e">
        <f>'Area Calculations'!#REF!</f>
        <v>#REF!</v>
      </c>
      <c r="C16" s="958" t="s">
        <v>581</v>
      </c>
      <c r="D16" s="506"/>
      <c r="E16" s="506"/>
      <c r="F16" s="506"/>
      <c r="G16" s="60"/>
      <c r="H16" s="957"/>
      <c r="I16" s="957"/>
      <c r="J16" s="957"/>
      <c r="K16" s="957"/>
      <c r="L16" s="957"/>
      <c r="M16" s="957"/>
      <c r="N16" s="957"/>
      <c r="O16" s="957"/>
      <c r="P16" s="957"/>
      <c r="Q16" s="957"/>
      <c r="R16" s="957"/>
      <c r="S16" s="957"/>
    </row>
    <row r="17" spans="1:19" hidden="1">
      <c r="A17" s="940"/>
      <c r="B17" s="497" t="e">
        <f>'Area Calculations'!#REF!</f>
        <v>#REF!</v>
      </c>
      <c r="C17" s="958" t="s">
        <v>581</v>
      </c>
      <c r="D17" s="506"/>
      <c r="E17" s="506"/>
      <c r="F17" s="506"/>
      <c r="G17" s="60"/>
      <c r="H17" s="957"/>
      <c r="I17" s="957"/>
      <c r="J17" s="957"/>
      <c r="K17" s="957"/>
      <c r="L17" s="957"/>
      <c r="M17" s="957"/>
      <c r="N17" s="957"/>
      <c r="O17" s="957"/>
      <c r="P17" s="957"/>
      <c r="Q17" s="957"/>
      <c r="R17" s="957"/>
      <c r="S17" s="957"/>
    </row>
    <row r="18" spans="1:19" hidden="1">
      <c r="A18" s="940"/>
      <c r="B18" s="497" t="e">
        <f>'Area Calculations'!#REF!</f>
        <v>#REF!</v>
      </c>
      <c r="C18" s="958" t="s">
        <v>581</v>
      </c>
      <c r="D18" s="506"/>
      <c r="E18" s="506"/>
      <c r="F18" s="506"/>
      <c r="G18" s="60"/>
      <c r="H18" s="957"/>
      <c r="I18" s="957"/>
      <c r="J18" s="957"/>
      <c r="K18" s="957"/>
      <c r="L18" s="957"/>
      <c r="M18" s="957"/>
      <c r="N18" s="957"/>
      <c r="O18" s="957"/>
      <c r="P18" s="957"/>
      <c r="Q18" s="957"/>
      <c r="R18" s="957"/>
      <c r="S18" s="957"/>
    </row>
    <row r="19" spans="1:19" hidden="1">
      <c r="A19" s="940"/>
      <c r="B19" s="497" t="e">
        <f>'Area Calculations'!#REF!</f>
        <v>#REF!</v>
      </c>
      <c r="C19" s="958" t="s">
        <v>581</v>
      </c>
      <c r="D19" s="506"/>
      <c r="E19" s="506"/>
      <c r="F19" s="506"/>
      <c r="G19" s="60"/>
      <c r="H19" s="957"/>
      <c r="I19" s="957"/>
      <c r="J19" s="957"/>
      <c r="K19" s="957"/>
      <c r="L19" s="957"/>
      <c r="M19" s="957"/>
      <c r="N19" s="957"/>
      <c r="O19" s="957"/>
      <c r="P19" s="957"/>
      <c r="Q19" s="957"/>
      <c r="R19" s="957"/>
      <c r="S19" s="957"/>
    </row>
    <row r="20" spans="1:19" ht="15.75" thickTop="1">
      <c r="A20" s="998"/>
      <c r="B20" s="497"/>
      <c r="C20" s="958"/>
      <c r="D20" s="506"/>
      <c r="E20" s="506"/>
      <c r="F20" s="506"/>
      <c r="G20" s="60"/>
      <c r="H20" s="957"/>
      <c r="I20" s="957"/>
      <c r="J20" s="957"/>
      <c r="K20" s="957"/>
      <c r="L20" s="957"/>
      <c r="M20" s="957"/>
      <c r="N20" s="957"/>
      <c r="O20" s="957"/>
      <c r="P20" s="957"/>
      <c r="Q20" s="957"/>
      <c r="R20" s="957"/>
      <c r="S20" s="957"/>
    </row>
    <row r="21" spans="1:19" ht="15.75" thickBot="1">
      <c r="A21" s="998"/>
      <c r="B21" s="959" t="s">
        <v>611</v>
      </c>
      <c r="C21" s="31"/>
      <c r="D21" s="32"/>
      <c r="E21" s="32"/>
      <c r="F21" s="32"/>
      <c r="G21" s="36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1:19">
      <c r="A22" s="998"/>
      <c r="B22" s="1001" t="s">
        <v>460</v>
      </c>
      <c r="C22" s="958"/>
      <c r="D22" s="506"/>
      <c r="E22" s="506"/>
      <c r="F22" s="506"/>
      <c r="G22" s="60"/>
      <c r="H22" s="803"/>
      <c r="I22" s="783"/>
      <c r="J22" s="783"/>
      <c r="K22" s="783"/>
      <c r="L22" s="1000"/>
      <c r="M22" s="783"/>
      <c r="N22" s="783"/>
      <c r="O22" s="783"/>
      <c r="P22" s="783"/>
      <c r="Q22" s="783"/>
      <c r="R22" s="783"/>
      <c r="S22" s="783"/>
    </row>
    <row r="23" spans="1:19">
      <c r="A23" s="784"/>
      <c r="B23" s="963" t="s">
        <v>461</v>
      </c>
      <c r="C23" s="958"/>
      <c r="D23" s="506"/>
      <c r="E23" s="506"/>
      <c r="F23" s="506"/>
      <c r="G23" s="60"/>
      <c r="H23" s="1000"/>
      <c r="I23" s="782"/>
      <c r="J23" s="1000"/>
      <c r="K23" s="783"/>
      <c r="L23" s="1000"/>
      <c r="M23" s="783"/>
      <c r="N23" s="783"/>
      <c r="O23" s="783"/>
      <c r="P23" s="783"/>
      <c r="Q23" s="783"/>
      <c r="R23" s="783"/>
      <c r="S23" s="783"/>
    </row>
    <row r="24" spans="1:19">
      <c r="A24" s="784"/>
      <c r="B24" s="963" t="s">
        <v>462</v>
      </c>
      <c r="C24" s="1002"/>
      <c r="D24" s="506"/>
      <c r="E24" s="506"/>
      <c r="F24" s="506"/>
      <c r="G24" s="60"/>
      <c r="H24" s="1000"/>
      <c r="I24" s="782"/>
      <c r="J24" s="1000"/>
      <c r="K24" s="783"/>
      <c r="L24" s="1000"/>
      <c r="M24" s="783"/>
      <c r="N24" s="783"/>
      <c r="O24" s="783"/>
      <c r="P24" s="783"/>
      <c r="Q24" s="783"/>
      <c r="R24" s="783"/>
      <c r="S24" s="783"/>
    </row>
    <row r="25" spans="1:19">
      <c r="A25" s="784"/>
      <c r="B25" s="965" t="s">
        <v>463</v>
      </c>
      <c r="C25" s="1002"/>
      <c r="D25" s="506"/>
      <c r="E25" s="506"/>
      <c r="F25" s="506"/>
      <c r="G25" s="60"/>
      <c r="H25" s="1000"/>
      <c r="I25" s="782"/>
      <c r="J25" s="1000"/>
      <c r="K25" s="783"/>
      <c r="L25" s="1000"/>
      <c r="M25" s="783"/>
      <c r="N25" s="783"/>
      <c r="O25" s="783"/>
      <c r="P25" s="783"/>
      <c r="Q25" s="783"/>
      <c r="R25" s="783"/>
      <c r="S25" s="783"/>
    </row>
    <row r="26" spans="1:19" s="41" customFormat="1">
      <c r="A26" s="998"/>
      <c r="B26" s="965" t="s">
        <v>464</v>
      </c>
      <c r="C26" s="315"/>
      <c r="D26" s="492"/>
      <c r="E26" s="492"/>
      <c r="F26" s="492"/>
      <c r="G26" s="315"/>
      <c r="H26" s="1000"/>
      <c r="I26" s="782"/>
      <c r="J26" s="1003"/>
      <c r="K26" s="794"/>
      <c r="L26" s="1003"/>
      <c r="M26" s="794"/>
      <c r="N26" s="794"/>
      <c r="O26" s="794"/>
      <c r="P26" s="794"/>
      <c r="Q26" s="794"/>
      <c r="R26" s="794"/>
      <c r="S26" s="794"/>
    </row>
    <row r="27" spans="1:19" s="41" customFormat="1">
      <c r="A27" s="998"/>
      <c r="B27" s="965" t="s">
        <v>465</v>
      </c>
      <c r="C27" s="315"/>
      <c r="D27" s="492"/>
      <c r="E27" s="492"/>
      <c r="F27" s="492"/>
      <c r="G27" s="315"/>
      <c r="H27" s="1000"/>
      <c r="I27" s="782"/>
      <c r="J27" s="1003"/>
      <c r="K27" s="794"/>
      <c r="L27" s="1003"/>
      <c r="M27" s="794"/>
      <c r="N27" s="794"/>
      <c r="O27" s="794"/>
      <c r="P27" s="794"/>
      <c r="Q27" s="794"/>
      <c r="R27" s="794"/>
      <c r="S27" s="794"/>
    </row>
    <row r="28" spans="1:19" s="41" customFormat="1">
      <c r="A28" s="998"/>
      <c r="B28" s="965" t="s">
        <v>466</v>
      </c>
      <c r="C28" s="315"/>
      <c r="D28" s="492"/>
      <c r="E28" s="492"/>
      <c r="F28" s="492"/>
      <c r="G28" s="315"/>
      <c r="H28" s="1000"/>
      <c r="I28" s="782"/>
      <c r="J28" s="1003"/>
      <c r="K28" s="794"/>
      <c r="L28" s="1003"/>
      <c r="M28" s="794"/>
      <c r="N28" s="794"/>
      <c r="O28" s="794"/>
      <c r="P28" s="794"/>
      <c r="Q28" s="794"/>
      <c r="R28" s="794"/>
      <c r="S28" s="794"/>
    </row>
    <row r="29" spans="1:19" s="41" customFormat="1">
      <c r="A29" s="998"/>
      <c r="B29" s="966" t="s">
        <v>467</v>
      </c>
      <c r="C29" s="315"/>
      <c r="D29" s="492"/>
      <c r="E29" s="492"/>
      <c r="F29" s="492"/>
      <c r="G29" s="315"/>
      <c r="H29" s="1000"/>
      <c r="I29" s="782"/>
      <c r="J29" s="1003"/>
      <c r="K29" s="794"/>
      <c r="L29" s="1003"/>
      <c r="M29" s="794"/>
      <c r="N29" s="794"/>
      <c r="O29" s="794"/>
      <c r="P29" s="794"/>
      <c r="Q29" s="794"/>
      <c r="R29" s="794"/>
      <c r="S29" s="794"/>
    </row>
    <row r="30" spans="1:19" s="41" customFormat="1">
      <c r="A30" s="998"/>
      <c r="B30" s="967" t="s">
        <v>468</v>
      </c>
      <c r="C30" s="1004"/>
      <c r="D30" s="1005"/>
      <c r="E30" s="1005"/>
      <c r="F30" s="1005"/>
      <c r="G30" s="1004"/>
      <c r="H30" s="1006"/>
      <c r="I30" s="590"/>
      <c r="J30" s="1007"/>
      <c r="K30" s="791"/>
      <c r="L30" s="1007"/>
      <c r="M30" s="791"/>
      <c r="N30" s="791"/>
      <c r="O30" s="791"/>
      <c r="P30" s="791"/>
      <c r="Q30" s="791"/>
      <c r="R30" s="791"/>
      <c r="S30" s="791"/>
    </row>
    <row r="31" spans="1:19" s="41" customFormat="1">
      <c r="A31" s="999"/>
      <c r="B31" s="1008"/>
      <c r="C31" s="57"/>
      <c r="D31" s="492"/>
      <c r="E31" s="492"/>
      <c r="F31" s="492"/>
      <c r="G31" s="315"/>
      <c r="H31" s="1000"/>
      <c r="I31" s="782"/>
      <c r="J31" s="1003"/>
      <c r="K31" s="794"/>
      <c r="L31" s="1003"/>
      <c r="M31" s="794"/>
      <c r="N31" s="794"/>
      <c r="O31" s="794"/>
      <c r="P31" s="794"/>
      <c r="Q31" s="794"/>
      <c r="R31" s="794"/>
      <c r="S31" s="794"/>
    </row>
    <row r="32" spans="1:19" s="41" customFormat="1">
      <c r="A32" s="999"/>
      <c r="B32" s="1008"/>
      <c r="C32" s="57"/>
      <c r="D32" s="492"/>
      <c r="E32" s="492"/>
      <c r="F32" s="492"/>
      <c r="G32" s="315"/>
      <c r="H32" s="1000"/>
      <c r="I32" s="782"/>
      <c r="J32" s="1003"/>
      <c r="K32" s="794"/>
      <c r="L32" s="1003"/>
      <c r="M32" s="794"/>
      <c r="N32" s="794"/>
      <c r="O32" s="794"/>
      <c r="P32" s="794"/>
      <c r="Q32" s="794"/>
      <c r="R32" s="794"/>
      <c r="S32" s="794"/>
    </row>
    <row r="33" spans="1:19" s="41" customFormat="1">
      <c r="A33" s="999"/>
      <c r="B33" s="1008"/>
      <c r="C33" s="57"/>
      <c r="D33" s="492"/>
      <c r="E33" s="492"/>
      <c r="F33" s="492"/>
      <c r="G33" s="315"/>
      <c r="H33" s="1000"/>
      <c r="I33" s="782"/>
      <c r="J33" s="1003"/>
      <c r="K33" s="794"/>
      <c r="L33" s="1003"/>
      <c r="M33" s="794"/>
      <c r="N33" s="794"/>
      <c r="O33" s="794"/>
      <c r="P33" s="794"/>
      <c r="Q33" s="794"/>
      <c r="R33" s="794"/>
      <c r="S33" s="794"/>
    </row>
    <row r="34" spans="1:19" s="41" customFormat="1">
      <c r="A34" s="999"/>
      <c r="B34" s="1008"/>
      <c r="C34" s="57"/>
      <c r="D34" s="492"/>
      <c r="E34" s="1009"/>
      <c r="F34" s="1010"/>
      <c r="G34" s="315"/>
      <c r="H34" s="1000"/>
      <c r="I34" s="782"/>
      <c r="J34" s="1003"/>
      <c r="K34" s="794"/>
      <c r="L34" s="1003"/>
      <c r="M34" s="794"/>
      <c r="N34" s="794"/>
      <c r="O34" s="794"/>
      <c r="P34" s="794"/>
      <c r="Q34" s="794"/>
      <c r="R34" s="794"/>
      <c r="S34" s="794"/>
    </row>
    <row r="35" spans="1:19" s="41" customFormat="1">
      <c r="A35" s="999"/>
      <c r="B35" s="1008"/>
      <c r="C35" s="57"/>
      <c r="D35" s="492"/>
      <c r="E35" s="1009"/>
      <c r="F35" s="1010"/>
      <c r="G35" s="315"/>
      <c r="H35" s="1000"/>
      <c r="I35" s="782"/>
      <c r="J35" s="1003"/>
      <c r="K35" s="794"/>
      <c r="L35" s="1003"/>
      <c r="M35" s="794"/>
      <c r="N35" s="794"/>
      <c r="O35" s="794"/>
      <c r="P35" s="794"/>
      <c r="Q35" s="794"/>
      <c r="R35" s="794"/>
      <c r="S35" s="794"/>
    </row>
    <row r="36" spans="1:19" s="41" customFormat="1">
      <c r="A36" s="999"/>
      <c r="B36" s="1008"/>
      <c r="C36" s="57"/>
      <c r="D36" s="492"/>
      <c r="E36" s="1009"/>
      <c r="F36" s="1010"/>
      <c r="G36" s="315"/>
      <c r="H36" s="1000"/>
      <c r="I36" s="782"/>
      <c r="J36" s="1003"/>
      <c r="K36" s="794"/>
      <c r="L36" s="1003"/>
      <c r="M36" s="794"/>
      <c r="N36" s="794"/>
      <c r="O36" s="794"/>
      <c r="P36" s="794"/>
      <c r="Q36" s="794"/>
      <c r="R36" s="794"/>
      <c r="S36" s="794"/>
    </row>
    <row r="37" spans="1:19" s="41" customFormat="1">
      <c r="A37" s="999"/>
      <c r="B37" s="1011"/>
      <c r="C37" s="57"/>
      <c r="D37" s="492"/>
      <c r="E37" s="1009"/>
      <c r="F37" s="1010"/>
      <c r="G37" s="315"/>
      <c r="H37" s="1000"/>
      <c r="I37" s="782"/>
      <c r="J37" s="1003"/>
      <c r="K37" s="794"/>
      <c r="L37" s="1003"/>
      <c r="M37" s="794"/>
      <c r="N37" s="794"/>
      <c r="O37" s="794"/>
      <c r="P37" s="794"/>
      <c r="Q37" s="794"/>
      <c r="R37" s="794"/>
      <c r="S37" s="794"/>
    </row>
    <row r="38" spans="1:19" s="41" customFormat="1">
      <c r="A38" s="999"/>
      <c r="B38" s="1012"/>
      <c r="C38" s="57"/>
      <c r="D38" s="492"/>
      <c r="E38" s="1009"/>
      <c r="F38" s="1010"/>
      <c r="G38" s="315"/>
      <c r="H38" s="1000"/>
      <c r="I38" s="782"/>
      <c r="J38" s="1003"/>
      <c r="K38" s="794"/>
      <c r="L38" s="1003"/>
      <c r="M38" s="794"/>
      <c r="N38" s="794"/>
      <c r="O38" s="794"/>
      <c r="P38" s="794"/>
      <c r="Q38" s="794"/>
      <c r="R38" s="794"/>
      <c r="S38" s="794"/>
    </row>
    <row r="39" spans="1:19" s="41" customFormat="1">
      <c r="A39" s="999"/>
      <c r="B39" s="58"/>
      <c r="C39" s="57"/>
      <c r="D39" s="492"/>
      <c r="E39" s="1009"/>
      <c r="F39" s="1010"/>
      <c r="G39" s="315"/>
      <c r="H39" s="1000"/>
      <c r="I39" s="782"/>
      <c r="J39" s="1003"/>
      <c r="K39" s="794"/>
      <c r="L39" s="1003"/>
      <c r="M39" s="794"/>
      <c r="N39" s="794"/>
      <c r="O39" s="794"/>
      <c r="P39" s="794"/>
      <c r="Q39" s="794"/>
      <c r="R39" s="794"/>
      <c r="S39" s="794"/>
    </row>
    <row r="40" spans="1:19" s="41" customFormat="1">
      <c r="A40" s="999"/>
      <c r="B40" s="1008"/>
      <c r="C40" s="57"/>
      <c r="D40" s="492"/>
      <c r="E40" s="1009"/>
      <c r="F40" s="1010"/>
      <c r="G40" s="315"/>
      <c r="H40" s="1000"/>
      <c r="I40" s="782"/>
      <c r="J40" s="1003"/>
      <c r="K40" s="794"/>
      <c r="L40" s="1003"/>
      <c r="M40" s="794"/>
      <c r="N40" s="794"/>
      <c r="O40" s="794"/>
      <c r="P40" s="794"/>
      <c r="Q40" s="794"/>
      <c r="R40" s="794"/>
      <c r="S40" s="794"/>
    </row>
    <row r="41" spans="1:19" s="41" customFormat="1">
      <c r="A41" s="999"/>
      <c r="B41" s="1008"/>
      <c r="C41" s="57"/>
      <c r="D41" s="492"/>
      <c r="E41" s="1009"/>
      <c r="F41" s="1010"/>
      <c r="G41" s="315"/>
      <c r="H41" s="1000"/>
      <c r="I41" s="782"/>
      <c r="J41" s="1003"/>
      <c r="K41" s="794"/>
      <c r="L41" s="1003"/>
      <c r="M41" s="794"/>
      <c r="N41" s="794"/>
      <c r="O41" s="794"/>
      <c r="P41" s="794"/>
      <c r="Q41" s="794"/>
      <c r="R41" s="794"/>
      <c r="S41" s="794"/>
    </row>
    <row r="42" spans="1:19" s="41" customFormat="1">
      <c r="A42" s="999"/>
      <c r="B42" s="1008"/>
      <c r="C42" s="57"/>
      <c r="D42" s="492"/>
      <c r="E42" s="1009"/>
      <c r="F42" s="1010"/>
      <c r="G42" s="315"/>
      <c r="H42" s="1000"/>
      <c r="I42" s="782"/>
      <c r="J42" s="1003"/>
      <c r="K42" s="794"/>
      <c r="L42" s="1003"/>
      <c r="M42" s="794"/>
      <c r="N42" s="794"/>
      <c r="O42" s="794"/>
      <c r="P42" s="794"/>
      <c r="Q42" s="794"/>
      <c r="R42" s="794"/>
      <c r="S42" s="794"/>
    </row>
    <row r="43" spans="1:19" s="41" customFormat="1">
      <c r="A43" s="999"/>
      <c r="B43" s="1008"/>
      <c r="C43" s="57"/>
      <c r="D43" s="492"/>
      <c r="E43" s="1009"/>
      <c r="F43" s="1010"/>
      <c r="G43" s="315"/>
      <c r="H43" s="1000"/>
      <c r="I43" s="782"/>
      <c r="J43" s="1003"/>
      <c r="K43" s="794"/>
      <c r="L43" s="1003"/>
      <c r="M43" s="794"/>
      <c r="N43" s="794"/>
      <c r="O43" s="794"/>
      <c r="P43" s="794"/>
      <c r="Q43" s="794"/>
      <c r="R43" s="794"/>
      <c r="S43" s="794"/>
    </row>
    <row r="44" spans="1:19" s="41" customFormat="1">
      <c r="A44" s="999"/>
      <c r="B44" s="1008"/>
      <c r="C44" s="57"/>
      <c r="D44" s="492"/>
      <c r="E44" s="1009"/>
      <c r="F44" s="1010"/>
      <c r="G44" s="315"/>
      <c r="H44" s="1000"/>
      <c r="I44" s="782"/>
      <c r="J44" s="1003"/>
      <c r="K44" s="794"/>
      <c r="L44" s="1003"/>
      <c r="M44" s="794"/>
      <c r="N44" s="794"/>
      <c r="O44" s="794"/>
      <c r="P44" s="794"/>
      <c r="Q44" s="794"/>
      <c r="R44" s="794"/>
      <c r="S44" s="794"/>
    </row>
    <row r="45" spans="1:19" s="41" customFormat="1">
      <c r="A45" s="999"/>
      <c r="B45" s="1008"/>
      <c r="C45" s="57"/>
      <c r="D45" s="492"/>
      <c r="E45" s="1009"/>
      <c r="F45" s="1010"/>
      <c r="G45" s="315"/>
      <c r="H45" s="1000"/>
      <c r="I45" s="782"/>
      <c r="J45" s="1003"/>
      <c r="K45" s="794"/>
      <c r="L45" s="1003"/>
      <c r="M45" s="794"/>
      <c r="N45" s="794"/>
      <c r="O45" s="794"/>
      <c r="P45" s="794"/>
      <c r="Q45" s="794"/>
      <c r="R45" s="794"/>
      <c r="S45" s="794"/>
    </row>
    <row r="46" spans="1:19" s="41" customFormat="1" ht="15.75" thickBot="1">
      <c r="A46" s="999"/>
      <c r="B46" s="1008"/>
      <c r="C46" s="57"/>
      <c r="D46" s="492"/>
      <c r="E46" s="1009"/>
      <c r="F46" s="1010"/>
      <c r="G46" s="315"/>
      <c r="H46" s="1000"/>
      <c r="I46" s="782"/>
      <c r="J46" s="1003"/>
      <c r="K46" s="794"/>
      <c r="L46" s="1003"/>
      <c r="M46" s="794"/>
      <c r="N46" s="794"/>
      <c r="O46" s="794"/>
      <c r="P46" s="794"/>
      <c r="Q46" s="794"/>
      <c r="R46" s="794"/>
      <c r="S46" s="794"/>
    </row>
    <row r="47" spans="1:19" ht="15.75" thickTop="1">
      <c r="A47" s="15"/>
      <c r="B47" s="16"/>
      <c r="C47" s="17"/>
      <c r="D47" s="17"/>
      <c r="E47" s="18"/>
      <c r="F47" s="19" t="s">
        <v>470</v>
      </c>
      <c r="G47" s="20"/>
      <c r="H47" s="21"/>
      <c r="I47" s="35">
        <f>SUM(I23:I46)</f>
        <v>0</v>
      </c>
      <c r="J47" s="21"/>
      <c r="K47" s="35">
        <f>SUM(K23:K46)</f>
        <v>0</v>
      </c>
      <c r="L47" s="21"/>
      <c r="M47" s="35">
        <f>SUM(M23:M46)</f>
        <v>0</v>
      </c>
      <c r="N47" s="21"/>
      <c r="O47" s="35">
        <f>SUM(O23:O46)</f>
        <v>0</v>
      </c>
      <c r="P47" s="21"/>
      <c r="Q47" s="35">
        <f>SUM(Q23:Q46)</f>
        <v>0</v>
      </c>
      <c r="R47" s="21"/>
      <c r="S47" s="35">
        <f>SUM(S23:S46)</f>
        <v>0</v>
      </c>
    </row>
    <row r="48" spans="1:19">
      <c r="A48" s="930"/>
      <c r="B48" s="496"/>
      <c r="C48" s="493"/>
      <c r="D48" s="493"/>
      <c r="E48" s="521"/>
      <c r="F48" s="494" t="s">
        <v>471</v>
      </c>
      <c r="G48" s="464"/>
      <c r="H48" s="931">
        <v>0</v>
      </c>
      <c r="I48" s="1015"/>
      <c r="J48" s="931">
        <v>0</v>
      </c>
      <c r="K48" s="1015"/>
      <c r="L48" s="931">
        <v>0</v>
      </c>
      <c r="M48" s="1015"/>
      <c r="N48" s="931">
        <v>0</v>
      </c>
      <c r="O48" s="1015"/>
      <c r="P48" s="931">
        <v>0</v>
      </c>
      <c r="Q48" s="1015"/>
      <c r="R48" s="931">
        <v>0</v>
      </c>
      <c r="S48" s="1015"/>
    </row>
    <row r="49" spans="1:19">
      <c r="A49" s="930"/>
      <c r="B49" s="496"/>
      <c r="C49" s="493"/>
      <c r="D49" s="493"/>
      <c r="E49" s="521"/>
      <c r="F49" s="494" t="s">
        <v>472</v>
      </c>
      <c r="G49" s="464"/>
      <c r="H49" s="932"/>
      <c r="I49" s="1016">
        <f>H48*I47</f>
        <v>0</v>
      </c>
      <c r="J49" s="932"/>
      <c r="K49" s="1016">
        <f>J48*K47</f>
        <v>0</v>
      </c>
      <c r="L49" s="932"/>
      <c r="M49" s="1016">
        <f>L48*M47</f>
        <v>0</v>
      </c>
      <c r="N49" s="932"/>
      <c r="O49" s="1016">
        <f>N48*O47</f>
        <v>0</v>
      </c>
      <c r="P49" s="932"/>
      <c r="Q49" s="1016">
        <f>P48*Q47</f>
        <v>0</v>
      </c>
      <c r="R49" s="932"/>
      <c r="S49" s="1016">
        <f>R48*S47</f>
        <v>0</v>
      </c>
    </row>
    <row r="50" spans="1:19">
      <c r="A50" s="930"/>
      <c r="B50" s="496"/>
      <c r="C50" s="493"/>
      <c r="D50" s="493"/>
      <c r="E50" s="521"/>
      <c r="F50" s="494"/>
      <c r="G50" s="464"/>
      <c r="H50" s="932"/>
      <c r="I50" s="933"/>
      <c r="J50" s="932"/>
      <c r="K50" s="933"/>
      <c r="L50" s="932"/>
      <c r="M50" s="933"/>
      <c r="N50" s="932"/>
      <c r="O50" s="933"/>
      <c r="P50" s="932"/>
      <c r="Q50" s="933"/>
      <c r="R50" s="932"/>
      <c r="S50" s="933"/>
    </row>
    <row r="51" spans="1:19">
      <c r="A51" s="930"/>
      <c r="B51" s="496"/>
      <c r="C51" s="493"/>
      <c r="D51" s="493"/>
      <c r="E51" s="521"/>
      <c r="F51" s="494" t="s">
        <v>473</v>
      </c>
      <c r="G51" s="464"/>
      <c r="H51" s="934"/>
      <c r="I51" s="1017">
        <f>SUM(I47:I49)</f>
        <v>0</v>
      </c>
      <c r="J51" s="934"/>
      <c r="K51" s="1017">
        <f>SUM(K47:K49)</f>
        <v>0</v>
      </c>
      <c r="L51" s="934"/>
      <c r="M51" s="1017">
        <f>SUM(M47:M49)</f>
        <v>0</v>
      </c>
      <c r="N51" s="934"/>
      <c r="O51" s="1017">
        <f>SUM(O47:O49)</f>
        <v>0</v>
      </c>
      <c r="P51" s="934"/>
      <c r="Q51" s="1017">
        <f>SUM(Q47:Q49)</f>
        <v>0</v>
      </c>
      <c r="R51" s="934"/>
      <c r="S51" s="1017">
        <f>SUM(S47:S49)</f>
        <v>0</v>
      </c>
    </row>
    <row r="52" spans="1:19">
      <c r="A52" s="930"/>
      <c r="B52" s="496"/>
      <c r="C52" s="493"/>
      <c r="D52" s="493"/>
      <c r="E52" s="521"/>
      <c r="F52" s="495" t="s">
        <v>474</v>
      </c>
      <c r="G52" s="902"/>
      <c r="H52" s="935"/>
      <c r="I52" s="937">
        <f>I51/'Area Calculations'!$G$5</f>
        <v>0</v>
      </c>
      <c r="J52" s="935"/>
      <c r="K52" s="937">
        <f>K51/'Area Calculations'!$G$5</f>
        <v>0</v>
      </c>
      <c r="L52" s="935"/>
      <c r="M52" s="937">
        <f>M51/'Area Calculations'!$G$5</f>
        <v>0</v>
      </c>
      <c r="N52" s="935"/>
      <c r="O52" s="937">
        <f>O51/'Area Calculations'!$G$5</f>
        <v>0</v>
      </c>
      <c r="P52" s="935"/>
      <c r="Q52" s="937">
        <f>Q51/'Area Calculations'!$G$5</f>
        <v>0</v>
      </c>
      <c r="R52" s="935"/>
      <c r="S52" s="937">
        <f>S51/'Area Calculations'!$G$5</f>
        <v>0</v>
      </c>
    </row>
    <row r="53" spans="1:19">
      <c r="A53" s="930"/>
      <c r="B53" s="496"/>
      <c r="C53" s="493"/>
      <c r="D53" s="493"/>
      <c r="E53" s="521"/>
      <c r="F53" s="495" t="s">
        <v>582</v>
      </c>
      <c r="G53" s="978"/>
      <c r="H53" s="935"/>
      <c r="I53" s="937">
        <f>I51/'Area Calculations'!$G$9</f>
        <v>0</v>
      </c>
      <c r="J53" s="935"/>
      <c r="K53" s="937">
        <f>K51/'Area Calculations'!$G$9</f>
        <v>0</v>
      </c>
      <c r="L53" s="935"/>
      <c r="M53" s="937">
        <f>M51/'Area Calculations'!$G$9</f>
        <v>0</v>
      </c>
      <c r="N53" s="935"/>
      <c r="O53" s="937">
        <f>O51/'Area Calculations'!$G$9</f>
        <v>0</v>
      </c>
      <c r="P53" s="935"/>
      <c r="Q53" s="937">
        <f>Q51/'Area Calculations'!$G$9</f>
        <v>0</v>
      </c>
      <c r="R53" s="935"/>
      <c r="S53" s="937">
        <f>S51/'Area Calculations'!$G$9</f>
        <v>0</v>
      </c>
    </row>
    <row r="54" spans="1:19" ht="15.75" thickBot="1">
      <c r="A54" s="930"/>
      <c r="B54" s="496"/>
      <c r="C54" s="493"/>
      <c r="D54" s="493"/>
      <c r="E54" s="521"/>
      <c r="F54" s="494"/>
      <c r="G54" s="979"/>
      <c r="H54" s="980"/>
      <c r="I54" s="981"/>
      <c r="J54" s="980"/>
      <c r="K54" s="981"/>
      <c r="L54" s="980"/>
      <c r="M54" s="981"/>
      <c r="N54" s="980"/>
      <c r="O54" s="981"/>
      <c r="P54" s="980"/>
      <c r="Q54" s="981"/>
      <c r="R54" s="980"/>
      <c r="S54" s="981"/>
    </row>
    <row r="55" spans="1:19" ht="16.5" thickTop="1" thickBot="1">
      <c r="A55" s="691" t="s">
        <v>475</v>
      </c>
      <c r="B55" s="692"/>
      <c r="C55" s="14"/>
      <c r="D55" s="14"/>
      <c r="E55" s="14"/>
      <c r="F55" s="14"/>
      <c r="G55" s="29"/>
      <c r="H55" s="27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</row>
    <row r="56" spans="1:19" ht="15.75" thickTop="1">
      <c r="A56" s="795"/>
      <c r="B56" s="497"/>
      <c r="C56" s="796"/>
      <c r="D56" s="796"/>
      <c r="E56" s="796"/>
      <c r="F56" s="796"/>
      <c r="G56" s="982"/>
      <c r="H56" s="591"/>
      <c r="I56" s="799"/>
      <c r="J56" s="799"/>
      <c r="K56" s="799"/>
      <c r="L56" s="799"/>
      <c r="M56" s="799"/>
      <c r="N56" s="799"/>
      <c r="O56" s="799"/>
      <c r="P56" s="799"/>
      <c r="Q56" s="799"/>
      <c r="R56" s="799"/>
      <c r="S56" s="799"/>
    </row>
    <row r="57" spans="1:19" s="2" customFormat="1">
      <c r="A57" s="795"/>
      <c r="B57" s="497"/>
      <c r="C57" s="796"/>
      <c r="D57" s="796"/>
      <c r="E57" s="796"/>
      <c r="F57" s="796"/>
      <c r="G57" s="982"/>
      <c r="H57" s="591"/>
      <c r="I57" s="799"/>
      <c r="J57" s="799"/>
      <c r="K57" s="799"/>
      <c r="L57" s="799"/>
      <c r="M57" s="799"/>
      <c r="N57" s="799"/>
      <c r="O57" s="799"/>
      <c r="P57" s="799"/>
      <c r="Q57" s="799"/>
      <c r="R57" s="799"/>
      <c r="S57" s="799"/>
    </row>
    <row r="58" spans="1:19" s="2" customFormat="1" ht="15.75" thickBot="1">
      <c r="A58" s="795"/>
      <c r="B58" s="497"/>
      <c r="C58" s="796"/>
      <c r="D58" s="796"/>
      <c r="E58" s="796"/>
      <c r="F58" s="796"/>
      <c r="G58" s="982"/>
      <c r="H58" s="591"/>
      <c r="I58" s="799"/>
      <c r="J58" s="799"/>
      <c r="K58" s="799"/>
      <c r="L58" s="799"/>
      <c r="M58" s="799"/>
      <c r="N58" s="799"/>
      <c r="O58" s="799"/>
      <c r="P58" s="799"/>
      <c r="Q58" s="799"/>
      <c r="R58" s="799"/>
      <c r="S58" s="799"/>
    </row>
    <row r="59" spans="1:19" ht="16.5" thickTop="1" thickBot="1">
      <c r="A59" s="691" t="s">
        <v>476</v>
      </c>
      <c r="B59" s="692"/>
      <c r="C59" s="14"/>
      <c r="D59" s="14"/>
      <c r="E59" s="14"/>
      <c r="F59" s="14"/>
      <c r="G59" s="29"/>
      <c r="H59" s="27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spans="1:19" s="2" customFormat="1" ht="15.75" thickTop="1">
      <c r="A60" s="795"/>
      <c r="B60" s="497"/>
      <c r="C60" s="796"/>
      <c r="D60" s="796"/>
      <c r="E60" s="796"/>
      <c r="F60" s="796"/>
      <c r="G60" s="982"/>
      <c r="H60" s="591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19" s="2" customFormat="1">
      <c r="A61" s="795"/>
      <c r="B61" s="497"/>
      <c r="C61" s="796"/>
      <c r="D61" s="796"/>
      <c r="E61" s="796"/>
      <c r="F61" s="796"/>
      <c r="G61" s="982"/>
      <c r="H61" s="591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19" ht="15.75" thickBot="1">
      <c r="A62" s="795"/>
      <c r="B62" s="497"/>
      <c r="C62" s="796"/>
      <c r="D62" s="796"/>
      <c r="E62" s="796"/>
      <c r="F62" s="796"/>
      <c r="G62" s="982"/>
      <c r="H62" s="591"/>
      <c r="I62" s="799"/>
      <c r="J62" s="799"/>
      <c r="K62" s="799"/>
      <c r="L62" s="799"/>
      <c r="M62" s="799"/>
      <c r="N62" s="799"/>
      <c r="O62" s="799"/>
      <c r="P62" s="799"/>
      <c r="Q62" s="799"/>
      <c r="R62" s="799"/>
      <c r="S62" s="799"/>
    </row>
    <row r="63" spans="1:19" ht="16.5" thickTop="1" thickBot="1">
      <c r="A63" s="691" t="s">
        <v>477</v>
      </c>
      <c r="B63" s="692"/>
      <c r="C63" s="14"/>
      <c r="D63" s="14"/>
      <c r="E63" s="14"/>
      <c r="F63" s="14"/>
      <c r="G63" s="29"/>
      <c r="H63" s="27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 spans="1:19" ht="15.75" thickTop="1">
      <c r="A64" s="795"/>
      <c r="B64" s="497"/>
      <c r="C64" s="796"/>
      <c r="D64" s="796"/>
      <c r="E64" s="796"/>
      <c r="F64" s="796"/>
      <c r="G64" s="982"/>
      <c r="H64" s="591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</row>
    <row r="65" spans="1:19">
      <c r="A65" s="940"/>
      <c r="B65" s="497"/>
      <c r="C65" s="506"/>
      <c r="D65" s="506"/>
      <c r="E65" s="506"/>
      <c r="F65" s="506"/>
      <c r="G65" s="983"/>
      <c r="H65" s="984"/>
      <c r="I65" s="941"/>
      <c r="J65" s="941"/>
      <c r="K65" s="941"/>
      <c r="L65" s="941"/>
      <c r="M65" s="941"/>
      <c r="N65" s="941"/>
      <c r="O65" s="941"/>
      <c r="P65" s="941"/>
      <c r="Q65" s="941"/>
      <c r="R65" s="941"/>
      <c r="S65" s="941"/>
    </row>
    <row r="66" spans="1:19" ht="15.75" thickBot="1">
      <c r="A66" s="942"/>
      <c r="B66" s="501"/>
      <c r="C66" s="506"/>
      <c r="D66" s="506"/>
      <c r="E66" s="506"/>
      <c r="F66" s="506"/>
      <c r="G66" s="983"/>
      <c r="H66" s="985"/>
      <c r="I66" s="943"/>
      <c r="J66" s="943"/>
      <c r="K66" s="943"/>
      <c r="L66" s="943"/>
      <c r="M66" s="943"/>
      <c r="N66" s="943"/>
      <c r="O66" s="943"/>
      <c r="P66" s="943"/>
      <c r="Q66" s="943"/>
      <c r="R66" s="943"/>
      <c r="S66" s="943"/>
    </row>
    <row r="67" spans="1:19" ht="16.5" thickTop="1" thickBot="1">
      <c r="A67" s="691" t="s">
        <v>478</v>
      </c>
      <c r="B67" s="692"/>
      <c r="C67" s="14"/>
      <c r="D67" s="14"/>
      <c r="E67" s="14"/>
      <c r="F67" s="14"/>
      <c r="G67" s="29"/>
      <c r="H67" s="27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 spans="1:19" ht="15.75" thickTop="1">
      <c r="A68" s="800"/>
      <c r="B68" s="801"/>
      <c r="C68" s="796"/>
      <c r="D68" s="796"/>
      <c r="E68" s="796"/>
      <c r="F68" s="796"/>
      <c r="G68" s="982"/>
      <c r="H68" s="591"/>
      <c r="I68" s="799"/>
      <c r="J68" s="799"/>
      <c r="K68" s="799"/>
      <c r="L68" s="799"/>
      <c r="M68" s="799"/>
      <c r="N68" s="799"/>
      <c r="O68" s="799"/>
      <c r="P68" s="799"/>
      <c r="Q68" s="799"/>
      <c r="R68" s="799"/>
      <c r="S68" s="799"/>
    </row>
    <row r="69" spans="1:19">
      <c r="A69" s="942"/>
      <c r="B69" s="501"/>
      <c r="C69" s="506"/>
      <c r="D69" s="506"/>
      <c r="E69" s="506"/>
      <c r="F69" s="506"/>
      <c r="G69" s="983"/>
      <c r="H69" s="986"/>
      <c r="I69" s="944"/>
      <c r="J69" s="944"/>
      <c r="K69" s="944"/>
      <c r="L69" s="944"/>
      <c r="M69" s="944"/>
      <c r="N69" s="944"/>
      <c r="O69" s="944"/>
      <c r="P69" s="944"/>
      <c r="Q69" s="944"/>
      <c r="R69" s="944"/>
      <c r="S69" s="944"/>
    </row>
    <row r="70" spans="1:19" ht="15.75" thickBot="1">
      <c r="A70" s="942"/>
      <c r="B70" s="501"/>
      <c r="C70" s="506"/>
      <c r="D70" s="506"/>
      <c r="E70" s="506"/>
      <c r="F70" s="506"/>
      <c r="G70" s="983"/>
      <c r="H70" s="986"/>
      <c r="I70" s="944"/>
      <c r="J70" s="944"/>
      <c r="K70" s="944"/>
      <c r="L70" s="944"/>
      <c r="M70" s="944"/>
      <c r="N70" s="944"/>
      <c r="O70" s="944"/>
      <c r="P70" s="944"/>
      <c r="Q70" s="944"/>
      <c r="R70" s="944"/>
      <c r="S70" s="944"/>
    </row>
    <row r="71" spans="1:19" ht="16.5" thickTop="1" thickBot="1">
      <c r="A71" s="691" t="s">
        <v>479</v>
      </c>
      <c r="B71" s="692"/>
      <c r="C71" s="14"/>
      <c r="D71" s="14"/>
      <c r="E71" s="14"/>
      <c r="F71" s="14"/>
      <c r="G71" s="29"/>
      <c r="H71" s="27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 spans="1:19" ht="15.75" thickTop="1">
      <c r="A72" s="940"/>
      <c r="B72" s="497" t="s">
        <v>480</v>
      </c>
      <c r="C72" s="506"/>
      <c r="D72" s="506"/>
      <c r="E72" s="506"/>
      <c r="F72" s="506"/>
      <c r="G72" s="983"/>
      <c r="H72" s="986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</row>
    <row r="73" spans="1:19">
      <c r="A73" s="940"/>
      <c r="B73" s="497" t="s">
        <v>481</v>
      </c>
      <c r="C73" s="506"/>
      <c r="D73" s="506"/>
      <c r="E73" s="506"/>
      <c r="F73" s="506"/>
      <c r="G73" s="983"/>
      <c r="H73" s="986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</row>
    <row r="74" spans="1:19">
      <c r="A74" s="940"/>
      <c r="B74" s="497" t="s">
        <v>482</v>
      </c>
      <c r="C74" s="506"/>
      <c r="D74" s="506"/>
      <c r="E74" s="506"/>
      <c r="F74" s="506"/>
      <c r="G74" s="983"/>
      <c r="H74" s="986"/>
      <c r="I74" s="944"/>
      <c r="J74" s="944"/>
      <c r="K74" s="944"/>
      <c r="L74" s="944"/>
      <c r="M74" s="944"/>
      <c r="N74" s="944"/>
      <c r="O74" s="944"/>
      <c r="P74" s="944"/>
      <c r="Q74" s="944"/>
      <c r="R74" s="944"/>
      <c r="S74" s="944"/>
    </row>
    <row r="75" spans="1:19">
      <c r="A75" s="940"/>
      <c r="B75" s="497" t="s">
        <v>483</v>
      </c>
      <c r="C75" s="506"/>
      <c r="D75" s="506"/>
      <c r="E75" s="506"/>
      <c r="F75" s="506"/>
      <c r="G75" s="983"/>
      <c r="H75" s="986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19" ht="15.75" thickBot="1">
      <c r="A76" s="23"/>
      <c r="B76" s="7"/>
      <c r="C76" s="8"/>
      <c r="D76" s="8"/>
      <c r="E76" s="8"/>
      <c r="F76" s="8"/>
      <c r="G76" s="30"/>
      <c r="H76" s="28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</row>
    <row r="77" spans="1:19" ht="16.5" thickTop="1" thickBot="1">
      <c r="A77" s="9" t="s">
        <v>484</v>
      </c>
      <c r="B77" s="10"/>
      <c r="C77" s="14"/>
      <c r="D77" s="14"/>
      <c r="E77" s="14"/>
      <c r="F77" s="14"/>
      <c r="G77" s="29"/>
      <c r="H77" s="27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spans="1:19" ht="15.75" thickTop="1">
      <c r="A78" s="795"/>
      <c r="B78" s="802" t="s">
        <v>485</v>
      </c>
      <c r="C78" s="796"/>
      <c r="D78" s="796"/>
      <c r="E78" s="796"/>
      <c r="F78" s="796"/>
      <c r="G78" s="982"/>
      <c r="H78" s="783"/>
      <c r="I78" s="803"/>
      <c r="J78" s="803"/>
      <c r="K78" s="803"/>
      <c r="L78" s="803"/>
      <c r="M78" s="803"/>
      <c r="N78" s="803"/>
      <c r="O78" s="803"/>
      <c r="P78" s="803"/>
      <c r="Q78" s="803"/>
      <c r="R78" s="803"/>
      <c r="S78" s="803"/>
    </row>
    <row r="79" spans="1:19">
      <c r="A79" s="940"/>
      <c r="B79" s="497" t="s">
        <v>486</v>
      </c>
      <c r="C79" s="506"/>
      <c r="D79" s="506"/>
      <c r="E79" s="506"/>
      <c r="F79" s="506"/>
      <c r="G79" s="983"/>
      <c r="H79" s="987"/>
      <c r="I79" s="945"/>
      <c r="J79" s="945"/>
      <c r="K79" s="945"/>
      <c r="L79" s="945"/>
      <c r="M79" s="945"/>
      <c r="N79" s="945"/>
      <c r="O79" s="945"/>
      <c r="P79" s="945"/>
      <c r="Q79" s="945"/>
      <c r="R79" s="945"/>
      <c r="S79" s="945"/>
    </row>
    <row r="80" spans="1:19" ht="15.75" thickBot="1">
      <c r="A80" s="865"/>
      <c r="B80" s="866" t="s">
        <v>487</v>
      </c>
      <c r="C80" s="867"/>
      <c r="D80" s="867"/>
      <c r="E80" s="867"/>
      <c r="F80" s="867"/>
      <c r="G80" s="988"/>
      <c r="H80" s="989"/>
      <c r="I80" s="871"/>
      <c r="J80" s="871"/>
      <c r="K80" s="871"/>
      <c r="L80" s="871"/>
      <c r="M80" s="871"/>
      <c r="N80" s="871"/>
      <c r="O80" s="871"/>
      <c r="P80" s="871"/>
      <c r="Q80" s="871"/>
      <c r="R80" s="871"/>
      <c r="S80" s="871"/>
    </row>
    <row r="81" spans="1:2" ht="16.5" thickTop="1" thickBot="1"/>
    <row r="82" spans="1:2" ht="16.5" thickTop="1" thickBot="1">
      <c r="A82" s="42" t="s">
        <v>488</v>
      </c>
      <c r="B82" s="44"/>
    </row>
    <row r="83" spans="1:2" ht="15.75" thickTop="1">
      <c r="A83" s="43" t="s">
        <v>444</v>
      </c>
      <c r="B83" s="946"/>
    </row>
    <row r="84" spans="1:2">
      <c r="A84" s="504" t="s">
        <v>446</v>
      </c>
      <c r="B84" s="946"/>
    </row>
    <row r="85" spans="1:2">
      <c r="A85" s="947" t="s">
        <v>448</v>
      </c>
      <c r="B85" s="948"/>
    </row>
    <row r="86" spans="1:2">
      <c r="A86" s="947" t="s">
        <v>450</v>
      </c>
      <c r="B86" s="949"/>
    </row>
    <row r="87" spans="1:2" ht="15.75" thickBot="1">
      <c r="A87" s="878" t="s">
        <v>489</v>
      </c>
      <c r="B87" s="990"/>
    </row>
    <row r="88" spans="1:2" ht="15.75" thickTop="1"/>
    <row r="89" spans="1:2">
      <c r="A89" s="45"/>
      <c r="B89" s="1" t="s">
        <v>490</v>
      </c>
    </row>
    <row r="90" spans="1:2">
      <c r="A90" s="46"/>
      <c r="B90" s="1" t="s">
        <v>491</v>
      </c>
    </row>
  </sheetData>
  <mergeCells count="47">
    <mergeCell ref="A55:B55"/>
    <mergeCell ref="A59:B59"/>
    <mergeCell ref="A63:B63"/>
    <mergeCell ref="A67:B67"/>
    <mergeCell ref="A71:B71"/>
    <mergeCell ref="R8:S8"/>
    <mergeCell ref="H7:I7"/>
    <mergeCell ref="J7:K7"/>
    <mergeCell ref="L7:M7"/>
    <mergeCell ref="N7:O7"/>
    <mergeCell ref="P7:Q7"/>
    <mergeCell ref="R7:S7"/>
    <mergeCell ref="H8:I8"/>
    <mergeCell ref="J8:K8"/>
    <mergeCell ref="L8:M8"/>
    <mergeCell ref="N8:O8"/>
    <mergeCell ref="P8:Q8"/>
    <mergeCell ref="R6:S6"/>
    <mergeCell ref="H5:I5"/>
    <mergeCell ref="J5:K5"/>
    <mergeCell ref="L5:M5"/>
    <mergeCell ref="N5:O5"/>
    <mergeCell ref="P5:Q5"/>
    <mergeCell ref="R5:S5"/>
    <mergeCell ref="H6:I6"/>
    <mergeCell ref="J6:K6"/>
    <mergeCell ref="L6:M6"/>
    <mergeCell ref="N6:O6"/>
    <mergeCell ref="P6:Q6"/>
    <mergeCell ref="R4:S4"/>
    <mergeCell ref="H3:I3"/>
    <mergeCell ref="J3:K3"/>
    <mergeCell ref="L3:M3"/>
    <mergeCell ref="N3:O3"/>
    <mergeCell ref="P3:Q3"/>
    <mergeCell ref="R3:S3"/>
    <mergeCell ref="H4:I4"/>
    <mergeCell ref="J4:K4"/>
    <mergeCell ref="L4:M4"/>
    <mergeCell ref="N4:O4"/>
    <mergeCell ref="P4:Q4"/>
    <mergeCell ref="R2:S2"/>
    <mergeCell ref="H2:I2"/>
    <mergeCell ref="J2:K2"/>
    <mergeCell ref="L2:M2"/>
    <mergeCell ref="N2:O2"/>
    <mergeCell ref="P2:Q2"/>
  </mergeCells>
  <hyperlinks>
    <hyperlink ref="B3" location="'Cost Summary'!A1" display="BACK TO SUMMARY SHEET" xr:uid="{F607242E-FC33-4222-A664-21244331EF68}"/>
  </hyperlink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7046-FC4E-4B66-9C5E-7A3C677392D0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B25" sqref="B25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/>
      <c r="I5" s="68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153</v>
      </c>
      <c r="C6" s="506"/>
      <c r="D6" s="507"/>
      <c r="E6" s="508"/>
      <c r="F6" s="506"/>
      <c r="G6" s="462" t="s">
        <v>446</v>
      </c>
      <c r="H6" s="685"/>
      <c r="I6" s="68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152</v>
      </c>
      <c r="C7" s="506"/>
      <c r="D7" s="507"/>
      <c r="E7" s="508"/>
      <c r="F7" s="506"/>
      <c r="G7" s="510" t="s">
        <v>448</v>
      </c>
      <c r="H7" s="687"/>
      <c r="I7" s="68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89"/>
      <c r="I8" s="69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312233</v>
      </c>
      <c r="I9" s="895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991" t="s">
        <v>460</v>
      </c>
      <c r="C11" s="484"/>
      <c r="D11" s="507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1018" t="s">
        <v>461</v>
      </c>
      <c r="C12" s="506"/>
      <c r="D12" s="507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 t="s">
        <v>613</v>
      </c>
      <c r="C21" s="506"/>
      <c r="D21" s="507">
        <v>390291</v>
      </c>
      <c r="E21" s="508" t="s">
        <v>179</v>
      </c>
      <c r="F21" s="517">
        <v>0.8</v>
      </c>
      <c r="G21" s="315">
        <f t="shared" ref="G21:G48" si="5">ROUND(D21*F21,0)</f>
        <v>312233</v>
      </c>
      <c r="H21" s="951"/>
      <c r="I21" s="793">
        <f>G21</f>
        <v>312233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792"/>
      <c r="C22" s="506"/>
      <c r="D22" s="507"/>
      <c r="E22" s="508"/>
      <c r="F22" s="517"/>
      <c r="G22" s="315">
        <f t="shared" si="5"/>
        <v>0</v>
      </c>
      <c r="H22" s="951"/>
      <c r="I22" s="793">
        <f t="shared" ref="I22:I48" si="6">G22</f>
        <v>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792"/>
      <c r="C23" s="506"/>
      <c r="D23" s="507"/>
      <c r="E23" s="508"/>
      <c r="F23" s="517"/>
      <c r="G23" s="315">
        <f t="shared" si="5"/>
        <v>0</v>
      </c>
      <c r="H23" s="951"/>
      <c r="I23" s="793">
        <f t="shared" si="6"/>
        <v>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/>
      <c r="C24" s="506"/>
      <c r="D24" s="507"/>
      <c r="E24" s="508"/>
      <c r="F24" s="517"/>
      <c r="G24" s="315">
        <f t="shared" si="5"/>
        <v>0</v>
      </c>
      <c r="H24" s="951"/>
      <c r="I24" s="793">
        <f t="shared" si="6"/>
        <v>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792"/>
      <c r="C25" s="506"/>
      <c r="D25" s="507"/>
      <c r="E25" s="508"/>
      <c r="F25" s="517"/>
      <c r="G25" s="315">
        <f t="shared" si="5"/>
        <v>0</v>
      </c>
      <c r="H25" s="951"/>
      <c r="I25" s="793">
        <f t="shared" si="6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792"/>
      <c r="C26" s="506"/>
      <c r="D26" s="507"/>
      <c r="E26" s="508"/>
      <c r="F26" s="517"/>
      <c r="G26" s="315">
        <f t="shared" si="5"/>
        <v>0</v>
      </c>
      <c r="H26" s="951"/>
      <c r="I26" s="793">
        <f t="shared" si="6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/>
      <c r="C27" s="506"/>
      <c r="D27" s="507"/>
      <c r="E27" s="508"/>
      <c r="F27" s="517"/>
      <c r="G27" s="315">
        <f t="shared" si="5"/>
        <v>0</v>
      </c>
      <c r="H27" s="951"/>
      <c r="I27" s="793">
        <f t="shared" si="6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si="5"/>
        <v>0</v>
      </c>
      <c r="H28" s="951"/>
      <c r="I28" s="793">
        <f t="shared" si="6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5"/>
        <v>0</v>
      </c>
      <c r="H29" s="951"/>
      <c r="I29" s="793">
        <f t="shared" si="6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5"/>
        <v>0</v>
      </c>
      <c r="H30" s="951"/>
      <c r="I30" s="793">
        <f t="shared" si="6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5"/>
        <v>0</v>
      </c>
      <c r="H31" s="951"/>
      <c r="I31" s="793">
        <f t="shared" si="6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5"/>
        <v>0</v>
      </c>
      <c r="H32" s="951"/>
      <c r="I32" s="793">
        <f t="shared" si="6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5"/>
        <v>0</v>
      </c>
      <c r="H33" s="951"/>
      <c r="I33" s="793">
        <f t="shared" si="6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5"/>
        <v>0</v>
      </c>
      <c r="H34" s="951"/>
      <c r="I34" s="793">
        <f t="shared" si="6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5"/>
        <v>0</v>
      </c>
      <c r="H35" s="951"/>
      <c r="I35" s="793">
        <f t="shared" si="6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5"/>
        <v>0</v>
      </c>
      <c r="H36" s="951"/>
      <c r="I36" s="793">
        <f t="shared" si="6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5"/>
        <v>0</v>
      </c>
      <c r="H37" s="951"/>
      <c r="I37" s="793">
        <f t="shared" si="6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5"/>
        <v>0</v>
      </c>
      <c r="H38" s="951"/>
      <c r="I38" s="793">
        <f t="shared" si="6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5"/>
        <v>0</v>
      </c>
      <c r="H39" s="951"/>
      <c r="I39" s="793">
        <f t="shared" si="6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5"/>
        <v>0</v>
      </c>
      <c r="H40" s="951"/>
      <c r="I40" s="793">
        <f t="shared" si="6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5"/>
        <v>0</v>
      </c>
      <c r="H41" s="951"/>
      <c r="I41" s="793">
        <f t="shared" si="6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5"/>
        <v>0</v>
      </c>
      <c r="H42" s="951"/>
      <c r="I42" s="793">
        <f t="shared" si="6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5"/>
        <v>0</v>
      </c>
      <c r="H43" s="951"/>
      <c r="I43" s="793">
        <f t="shared" si="6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5"/>
        <v>0</v>
      </c>
      <c r="H44" s="951"/>
      <c r="I44" s="793">
        <f t="shared" si="6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5"/>
        <v>0</v>
      </c>
      <c r="H45" s="951"/>
      <c r="I45" s="793">
        <f t="shared" si="6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5"/>
        <v>0</v>
      </c>
      <c r="H46" s="951"/>
      <c r="I46" s="793">
        <f t="shared" si="6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5"/>
        <v>0</v>
      </c>
      <c r="H47" s="951"/>
      <c r="I47" s="793">
        <f t="shared" si="6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5"/>
        <v>0</v>
      </c>
      <c r="H48" s="951"/>
      <c r="I48" s="793">
        <f t="shared" si="6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518"/>
      <c r="C49" s="491"/>
      <c r="D49" s="922"/>
      <c r="E49" s="508"/>
      <c r="F49" s="492"/>
      <c r="G49" s="315"/>
      <c r="H49" s="951"/>
      <c r="I49" s="793"/>
      <c r="J49" s="951"/>
      <c r="K49" s="793"/>
      <c r="L49" s="951"/>
      <c r="M49" s="793"/>
      <c r="N49" s="951"/>
      <c r="O49" s="793"/>
      <c r="P49" s="951"/>
      <c r="Q49" s="793"/>
      <c r="R49" s="951"/>
      <c r="S49" s="793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4"/>
      <c r="L50" s="951"/>
      <c r="M50" s="794"/>
      <c r="N50" s="951"/>
      <c r="O50" s="794"/>
      <c r="P50" s="951"/>
      <c r="Q50" s="794"/>
      <c r="R50" s="951"/>
      <c r="S50" s="794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312233</v>
      </c>
      <c r="H51" s="21"/>
      <c r="I51" s="217">
        <f>SUBTOTAL(9,I21:I50)</f>
        <v>312233</v>
      </c>
      <c r="J51" s="21"/>
      <c r="K51" s="162">
        <f>SUM(K19:K50)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312233</v>
      </c>
      <c r="H55" s="934"/>
      <c r="I55" s="933">
        <f>SUM(I51:I53)</f>
        <v>312233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0.80198960760088667</v>
      </c>
      <c r="H56" s="935"/>
      <c r="I56" s="936">
        <f>I55/'Area Calculations'!$G$5</f>
        <v>0.80198960760088667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9"/>
      <c r="J57" s="938"/>
      <c r="K57" s="938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312233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R5:S5"/>
    <mergeCell ref="R6:S6"/>
    <mergeCell ref="R7:S7"/>
    <mergeCell ref="R8:S8"/>
    <mergeCell ref="A74:B74"/>
    <mergeCell ref="R9:S9"/>
    <mergeCell ref="A58:B58"/>
    <mergeCell ref="A62:B62"/>
    <mergeCell ref="A66:B66"/>
    <mergeCell ref="A70:B70"/>
    <mergeCell ref="H9:I9"/>
    <mergeCell ref="J9:K9"/>
    <mergeCell ref="L9:M9"/>
    <mergeCell ref="N9:O9"/>
    <mergeCell ref="P9:Q9"/>
    <mergeCell ref="H8:I8"/>
    <mergeCell ref="J8:K8"/>
    <mergeCell ref="L8:M8"/>
    <mergeCell ref="N8:O8"/>
    <mergeCell ref="P8:Q8"/>
    <mergeCell ref="H6:I6"/>
    <mergeCell ref="J6:K6"/>
    <mergeCell ref="L6:M6"/>
    <mergeCell ref="N6:O6"/>
    <mergeCell ref="P6:Q6"/>
    <mergeCell ref="H7:I7"/>
    <mergeCell ref="J7:K7"/>
    <mergeCell ref="L7:M7"/>
    <mergeCell ref="N7:O7"/>
    <mergeCell ref="P7:Q7"/>
    <mergeCell ref="H5:I5"/>
    <mergeCell ref="J5:K5"/>
    <mergeCell ref="L5:M5"/>
    <mergeCell ref="N5:O5"/>
    <mergeCell ref="P5:Q5"/>
  </mergeCells>
  <conditionalFormatting sqref="H11:H18 J11:J18 L11:L18 N11:N18 P11:P18 R11:R18">
    <cfRule type="cellIs" dxfId="59" priority="7" operator="equal">
      <formula>"X"</formula>
    </cfRule>
    <cfRule type="cellIs" dxfId="58" priority="8" operator="equal">
      <formula>"I"</formula>
    </cfRule>
  </conditionalFormatting>
  <conditionalFormatting sqref="H20:H50">
    <cfRule type="cellIs" dxfId="57" priority="3" operator="equal">
      <formula>"X"</formula>
    </cfRule>
    <cfRule type="cellIs" dxfId="56" priority="4" operator="equal">
      <formula>"I"</formula>
    </cfRule>
  </conditionalFormatting>
  <conditionalFormatting sqref="J20:J50 L20:L50 N20:N50 P20:P50 R20:R50">
    <cfRule type="cellIs" dxfId="55" priority="5" operator="equal">
      <formula>"X"</formula>
    </cfRule>
    <cfRule type="cellIs" dxfId="54" priority="6" operator="equal">
      <formula>"I"</formula>
    </cfRule>
  </conditionalFormatting>
  <hyperlinks>
    <hyperlink ref="B4" location="'Cost Summary'!A1" display="BACK TO SUMMARY SHEET" xr:uid="{4EBD81A8-6475-4998-BB7B-71D1BBF478D1}"/>
  </hyperlinks>
  <pageMargins left="0.2" right="0.2" top="0.5" bottom="0.75" header="0.3" footer="0.3"/>
  <pageSetup paperSize="3" scale="77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C086-972E-46E3-AFAB-D8FE9BE34F83}">
  <dimension ref="A1:S91"/>
  <sheetViews>
    <sheetView zoomScale="85" zoomScaleNormal="85" workbookViewId="0">
      <pane xSplit="2" ySplit="19" topLeftCell="C49" activePane="bottomRight" state="frozen"/>
      <selection pane="bottomRight" activeCell="I53" sqref="I53:I54"/>
      <selection pane="bottomLeft" activeCell="A20" sqref="A20"/>
      <selection pane="topRight" activeCell="C1" sqref="C1"/>
    </sheetView>
  </sheetViews>
  <sheetFormatPr defaultRowHeight="15"/>
  <cols>
    <col min="1" max="1" width="11" customWidth="1"/>
    <col min="2" max="2" width="70.7109375" style="1" customWidth="1"/>
    <col min="3" max="3" width="10.85546875" style="2" bestFit="1" customWidth="1"/>
    <col min="4" max="5" width="7.5703125" style="2" customWidth="1"/>
    <col min="6" max="6" width="10.28515625" style="2" customWidth="1"/>
    <col min="7" max="7" width="12.28515625" style="2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E1" s="72"/>
      <c r="F1" s="55"/>
      <c r="G1" s="53" t="s">
        <v>436</v>
      </c>
    </row>
    <row r="2" spans="1:19" ht="15.75" thickBot="1">
      <c r="E2" s="72"/>
      <c r="F2" s="52"/>
      <c r="G2" s="53" t="s">
        <v>438</v>
      </c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</row>
    <row r="3" spans="1:19" ht="21" thickBot="1">
      <c r="B3" s="61" t="s">
        <v>441</v>
      </c>
      <c r="E3" s="72"/>
      <c r="F3" s="54"/>
      <c r="G3" s="53" t="s">
        <v>440</v>
      </c>
      <c r="H3" s="697" t="s">
        <v>569</v>
      </c>
      <c r="I3" s="698"/>
      <c r="J3" s="697" t="s">
        <v>570</v>
      </c>
      <c r="K3" s="698"/>
      <c r="L3" s="697" t="s">
        <v>571</v>
      </c>
      <c r="M3" s="698"/>
      <c r="N3" s="697" t="s">
        <v>572</v>
      </c>
      <c r="O3" s="698"/>
      <c r="P3" s="697" t="s">
        <v>573</v>
      </c>
      <c r="Q3" s="698"/>
      <c r="R3" s="697" t="s">
        <v>574</v>
      </c>
      <c r="S3" s="698"/>
    </row>
    <row r="4" spans="1:19" ht="15.75" thickTop="1">
      <c r="A4" s="3" t="s">
        <v>443</v>
      </c>
      <c r="B4" s="4" t="str">
        <f>'Area Calculations'!B4</f>
        <v>Bourbon Hotel Orlando</v>
      </c>
      <c r="C4" s="5"/>
      <c r="D4" s="5"/>
      <c r="E4" s="5"/>
      <c r="F4" s="5"/>
      <c r="G4" s="6" t="s">
        <v>444</v>
      </c>
      <c r="H4" s="673"/>
      <c r="I4" s="674"/>
      <c r="J4" s="700"/>
      <c r="K4" s="674"/>
      <c r="L4" s="700"/>
      <c r="M4" s="674"/>
      <c r="N4" s="700"/>
      <c r="O4" s="674"/>
      <c r="P4" s="700"/>
      <c r="Q4" s="674"/>
      <c r="R4" s="700"/>
      <c r="S4" s="674"/>
    </row>
    <row r="5" spans="1:19">
      <c r="A5" s="950" t="s">
        <v>575</v>
      </c>
      <c r="B5" s="497" t="s">
        <v>614</v>
      </c>
      <c r="C5" s="506"/>
      <c r="D5" s="506"/>
      <c r="E5" s="506"/>
      <c r="F5" s="506"/>
      <c r="G5" s="462" t="s">
        <v>446</v>
      </c>
      <c r="H5" s="675"/>
      <c r="I5" s="676"/>
      <c r="J5" s="993"/>
      <c r="K5" s="676"/>
      <c r="L5" s="993"/>
      <c r="M5" s="676"/>
      <c r="N5" s="993"/>
      <c r="O5" s="676"/>
      <c r="P5" s="993"/>
      <c r="Q5" s="676"/>
      <c r="R5" s="993"/>
      <c r="S5" s="676"/>
    </row>
    <row r="6" spans="1:19">
      <c r="A6" s="950" t="s">
        <v>577</v>
      </c>
      <c r="B6" s="509" t="s">
        <v>615</v>
      </c>
      <c r="C6" s="506"/>
      <c r="D6" s="506"/>
      <c r="E6" s="506"/>
      <c r="F6" s="506"/>
      <c r="G6" s="462" t="s">
        <v>448</v>
      </c>
      <c r="H6" s="677"/>
      <c r="I6" s="678"/>
      <c r="J6" s="994"/>
      <c r="K6" s="678"/>
      <c r="L6" s="994"/>
      <c r="M6" s="678"/>
      <c r="N6" s="994"/>
      <c r="O6" s="678"/>
      <c r="P6" s="994"/>
      <c r="Q6" s="678"/>
      <c r="R6" s="994"/>
      <c r="S6" s="678"/>
    </row>
    <row r="7" spans="1:19">
      <c r="A7" s="950" t="s">
        <v>579</v>
      </c>
      <c r="B7" s="511"/>
      <c r="C7" s="506"/>
      <c r="D7" s="506"/>
      <c r="E7" s="506"/>
      <c r="F7" s="506"/>
      <c r="G7" s="462" t="s">
        <v>450</v>
      </c>
      <c r="H7" s="679"/>
      <c r="I7" s="680"/>
      <c r="J7" s="995"/>
      <c r="K7" s="680"/>
      <c r="L7" s="995"/>
      <c r="M7" s="680"/>
      <c r="N7" s="995"/>
      <c r="O7" s="680"/>
      <c r="P7" s="995"/>
      <c r="Q7" s="680"/>
      <c r="R7" s="995"/>
      <c r="S7" s="680"/>
    </row>
    <row r="8" spans="1:19" ht="15.75" thickBot="1">
      <c r="A8" s="40" t="s">
        <v>451</v>
      </c>
      <c r="B8" s="7"/>
      <c r="C8" s="8"/>
      <c r="D8" s="8"/>
      <c r="E8" s="8"/>
      <c r="F8" s="8"/>
      <c r="G8" s="40" t="s">
        <v>451</v>
      </c>
      <c r="H8" s="996">
        <f>I52</f>
        <v>0</v>
      </c>
      <c r="I8" s="997"/>
      <c r="J8" s="996">
        <f>K52</f>
        <v>0</v>
      </c>
      <c r="K8" s="997"/>
      <c r="L8" s="996">
        <f>M52</f>
        <v>0</v>
      </c>
      <c r="M8" s="997"/>
      <c r="N8" s="996">
        <f>O52</f>
        <v>0</v>
      </c>
      <c r="O8" s="997"/>
      <c r="P8" s="996">
        <f>Q52</f>
        <v>0</v>
      </c>
      <c r="Q8" s="997"/>
      <c r="R8" s="996">
        <f>S52</f>
        <v>0</v>
      </c>
      <c r="S8" s="997"/>
    </row>
    <row r="9" spans="1:19" ht="31.5" thickTop="1" thickBot="1">
      <c r="A9" s="9" t="s">
        <v>452</v>
      </c>
      <c r="B9" s="10"/>
      <c r="C9" s="11" t="s">
        <v>453</v>
      </c>
      <c r="D9" s="11" t="s">
        <v>454</v>
      </c>
      <c r="E9" s="11" t="s">
        <v>455</v>
      </c>
      <c r="F9" s="11" t="s">
        <v>456</v>
      </c>
      <c r="G9" s="12" t="s">
        <v>457</v>
      </c>
      <c r="H9" s="13" t="s">
        <v>458</v>
      </c>
      <c r="I9" s="13" t="s">
        <v>459</v>
      </c>
      <c r="J9" s="13" t="s">
        <v>458</v>
      </c>
      <c r="K9" s="13" t="s">
        <v>459</v>
      </c>
      <c r="L9" s="13" t="s">
        <v>458</v>
      </c>
      <c r="M9" s="13" t="s">
        <v>459</v>
      </c>
      <c r="N9" s="13" t="s">
        <v>458</v>
      </c>
      <c r="O9" s="13" t="s">
        <v>459</v>
      </c>
      <c r="P9" s="13" t="s">
        <v>458</v>
      </c>
      <c r="Q9" s="13" t="s">
        <v>459</v>
      </c>
      <c r="R9" s="13" t="s">
        <v>458</v>
      </c>
      <c r="S9" s="13" t="s">
        <v>459</v>
      </c>
    </row>
    <row r="10" spans="1:19" ht="15.75" hidden="1" thickTop="1">
      <c r="A10" s="940"/>
      <c r="B10" s="956" t="s">
        <v>580</v>
      </c>
      <c r="C10" s="506"/>
      <c r="D10" s="506"/>
      <c r="E10" s="506"/>
      <c r="F10" s="506"/>
      <c r="G10" s="60"/>
      <c r="H10" s="957"/>
      <c r="I10" s="957"/>
      <c r="J10" s="957"/>
      <c r="K10" s="957"/>
      <c r="L10" s="957"/>
      <c r="M10" s="957"/>
      <c r="N10" s="957"/>
      <c r="O10" s="957"/>
      <c r="P10" s="957"/>
      <c r="Q10" s="957"/>
      <c r="R10" s="957"/>
      <c r="S10" s="957"/>
    </row>
    <row r="11" spans="1:19" hidden="1">
      <c r="A11" s="940"/>
      <c r="B11" s="497" t="e">
        <f>'Area Calculations'!#REF!</f>
        <v>#REF!</v>
      </c>
      <c r="C11" s="958" t="s">
        <v>581</v>
      </c>
      <c r="D11" s="506"/>
      <c r="E11" s="506"/>
      <c r="F11" s="506"/>
      <c r="G11" s="60"/>
      <c r="H11" s="957"/>
      <c r="I11" s="957"/>
      <c r="J11" s="957"/>
      <c r="K11" s="957"/>
      <c r="L11" s="957"/>
      <c r="M11" s="957"/>
      <c r="N11" s="957"/>
      <c r="O11" s="957"/>
      <c r="P11" s="957"/>
      <c r="Q11" s="957"/>
      <c r="R11" s="957"/>
      <c r="S11" s="957"/>
    </row>
    <row r="12" spans="1:19" hidden="1">
      <c r="A12" s="940"/>
      <c r="B12" s="497" t="e">
        <f>'Area Calculations'!#REF!</f>
        <v>#REF!</v>
      </c>
      <c r="C12" s="958" t="s">
        <v>581</v>
      </c>
      <c r="D12" s="506"/>
      <c r="E12" s="506"/>
      <c r="F12" s="506"/>
      <c r="G12" s="60"/>
      <c r="H12" s="957"/>
      <c r="I12" s="957"/>
      <c r="J12" s="957"/>
      <c r="K12" s="957"/>
      <c r="L12" s="957"/>
      <c r="M12" s="957"/>
      <c r="N12" s="957"/>
      <c r="O12" s="957"/>
      <c r="P12" s="957"/>
      <c r="Q12" s="957"/>
      <c r="R12" s="957"/>
      <c r="S12" s="957"/>
    </row>
    <row r="13" spans="1:19" hidden="1">
      <c r="A13" s="940"/>
      <c r="B13" s="497" t="e">
        <f>'Area Calculations'!#REF!</f>
        <v>#REF!</v>
      </c>
      <c r="C13" s="958" t="s">
        <v>581</v>
      </c>
      <c r="D13" s="506"/>
      <c r="E13" s="506"/>
      <c r="F13" s="506"/>
      <c r="G13" s="60"/>
      <c r="H13" s="957"/>
      <c r="I13" s="957"/>
      <c r="J13" s="957"/>
      <c r="K13" s="957"/>
      <c r="L13" s="957"/>
      <c r="M13" s="957"/>
      <c r="N13" s="957"/>
      <c r="O13" s="957"/>
      <c r="P13" s="957"/>
      <c r="Q13" s="957"/>
      <c r="R13" s="957"/>
      <c r="S13" s="957"/>
    </row>
    <row r="14" spans="1:19" hidden="1">
      <c r="A14" s="940"/>
      <c r="B14" s="497" t="e">
        <f>'Area Calculations'!#REF!</f>
        <v>#REF!</v>
      </c>
      <c r="C14" s="958" t="s">
        <v>581</v>
      </c>
      <c r="D14" s="506"/>
      <c r="E14" s="506"/>
      <c r="F14" s="506"/>
      <c r="G14" s="60"/>
      <c r="H14" s="957"/>
      <c r="I14" s="957"/>
      <c r="J14" s="957"/>
      <c r="K14" s="957"/>
      <c r="L14" s="957"/>
      <c r="M14" s="957"/>
      <c r="N14" s="957"/>
      <c r="O14" s="957"/>
      <c r="P14" s="957"/>
      <c r="Q14" s="957"/>
      <c r="R14" s="957"/>
      <c r="S14" s="957"/>
    </row>
    <row r="15" spans="1:19" hidden="1">
      <c r="A15" s="940"/>
      <c r="B15" s="497" t="e">
        <f>'Area Calculations'!#REF!</f>
        <v>#REF!</v>
      </c>
      <c r="C15" s="958" t="s">
        <v>581</v>
      </c>
      <c r="D15" s="506"/>
      <c r="E15" s="506"/>
      <c r="F15" s="506"/>
      <c r="G15" s="60"/>
      <c r="H15" s="957"/>
      <c r="I15" s="957"/>
      <c r="J15" s="957"/>
      <c r="K15" s="957"/>
      <c r="L15" s="957"/>
      <c r="M15" s="957"/>
      <c r="N15" s="957"/>
      <c r="O15" s="957"/>
      <c r="P15" s="957"/>
      <c r="Q15" s="957"/>
      <c r="R15" s="957"/>
      <c r="S15" s="957"/>
    </row>
    <row r="16" spans="1:19" hidden="1">
      <c r="A16" s="940"/>
      <c r="B16" s="497" t="e">
        <f>'Area Calculations'!#REF!</f>
        <v>#REF!</v>
      </c>
      <c r="C16" s="958" t="s">
        <v>581</v>
      </c>
      <c r="D16" s="506"/>
      <c r="E16" s="506"/>
      <c r="F16" s="506"/>
      <c r="G16" s="60"/>
      <c r="H16" s="957"/>
      <c r="I16" s="957"/>
      <c r="J16" s="957"/>
      <c r="K16" s="957"/>
      <c r="L16" s="957"/>
      <c r="M16" s="957"/>
      <c r="N16" s="957"/>
      <c r="O16" s="957"/>
      <c r="P16" s="957"/>
      <c r="Q16" s="957"/>
      <c r="R16" s="957"/>
      <c r="S16" s="957"/>
    </row>
    <row r="17" spans="1:19" hidden="1">
      <c r="A17" s="940"/>
      <c r="B17" s="497" t="e">
        <f>'Area Calculations'!#REF!</f>
        <v>#REF!</v>
      </c>
      <c r="C17" s="958" t="s">
        <v>581</v>
      </c>
      <c r="D17" s="506"/>
      <c r="E17" s="506"/>
      <c r="F17" s="506"/>
      <c r="G17" s="60"/>
      <c r="H17" s="957"/>
      <c r="I17" s="957"/>
      <c r="J17" s="957"/>
      <c r="K17" s="957"/>
      <c r="L17" s="957"/>
      <c r="M17" s="957"/>
      <c r="N17" s="957"/>
      <c r="O17" s="957"/>
      <c r="P17" s="957"/>
      <c r="Q17" s="957"/>
      <c r="R17" s="957"/>
      <c r="S17" s="957"/>
    </row>
    <row r="18" spans="1:19" hidden="1">
      <c r="A18" s="940"/>
      <c r="B18" s="497" t="e">
        <f>'Area Calculations'!#REF!</f>
        <v>#REF!</v>
      </c>
      <c r="C18" s="958" t="s">
        <v>581</v>
      </c>
      <c r="D18" s="506"/>
      <c r="E18" s="506"/>
      <c r="F18" s="506"/>
      <c r="G18" s="60"/>
      <c r="H18" s="957"/>
      <c r="I18" s="957"/>
      <c r="J18" s="957"/>
      <c r="K18" s="957"/>
      <c r="L18" s="957"/>
      <c r="M18" s="957"/>
      <c r="N18" s="957"/>
      <c r="O18" s="957"/>
      <c r="P18" s="957"/>
      <c r="Q18" s="957"/>
      <c r="R18" s="957"/>
      <c r="S18" s="957"/>
    </row>
    <row r="19" spans="1:19" hidden="1">
      <c r="A19" s="940"/>
      <c r="B19" s="497" t="e">
        <f>'Area Calculations'!#REF!</f>
        <v>#REF!</v>
      </c>
      <c r="C19" s="958" t="s">
        <v>581</v>
      </c>
      <c r="D19" s="506"/>
      <c r="E19" s="506"/>
      <c r="F19" s="506"/>
      <c r="G19" s="60"/>
      <c r="H19" s="957"/>
      <c r="I19" s="957"/>
      <c r="J19" s="957"/>
      <c r="K19" s="957"/>
      <c r="L19" s="957"/>
      <c r="M19" s="957"/>
      <c r="N19" s="957"/>
      <c r="O19" s="957"/>
      <c r="P19" s="957"/>
      <c r="Q19" s="957"/>
      <c r="R19" s="957"/>
      <c r="S19" s="957"/>
    </row>
    <row r="20" spans="1:19" ht="15.75" thickTop="1">
      <c r="A20" s="940"/>
      <c r="B20" s="497"/>
      <c r="C20" s="958"/>
      <c r="D20" s="506"/>
      <c r="E20" s="506"/>
      <c r="F20" s="506"/>
      <c r="G20" s="60"/>
      <c r="H20" s="957"/>
      <c r="I20" s="957"/>
      <c r="J20" s="957"/>
      <c r="K20" s="957"/>
      <c r="L20" s="957"/>
      <c r="M20" s="957"/>
      <c r="N20" s="957"/>
      <c r="O20" s="957"/>
      <c r="P20" s="957"/>
      <c r="Q20" s="957"/>
      <c r="R20" s="957"/>
      <c r="S20" s="957"/>
    </row>
    <row r="21" spans="1:19" ht="15.75" thickBot="1">
      <c r="A21" s="940"/>
      <c r="B21" s="959" t="s">
        <v>614</v>
      </c>
      <c r="C21" s="958"/>
      <c r="D21" s="506"/>
      <c r="E21" s="506"/>
      <c r="F21" s="506"/>
      <c r="G21" s="60"/>
      <c r="H21" s="957"/>
      <c r="I21" s="957"/>
      <c r="J21" s="957"/>
      <c r="K21" s="957"/>
      <c r="L21" s="957"/>
      <c r="M21" s="957"/>
      <c r="N21" s="957"/>
      <c r="O21" s="957"/>
      <c r="P21" s="957"/>
      <c r="Q21" s="957"/>
      <c r="R21" s="957"/>
      <c r="S21" s="957"/>
    </row>
    <row r="22" spans="1:19">
      <c r="A22" s="784"/>
      <c r="B22" s="1019" t="s">
        <v>460</v>
      </c>
      <c r="C22" s="958"/>
      <c r="D22" s="506"/>
      <c r="E22" s="506"/>
      <c r="F22" s="506"/>
      <c r="G22" s="60"/>
      <c r="H22" s="803"/>
      <c r="I22" s="783"/>
      <c r="J22" s="783"/>
      <c r="K22" s="783"/>
      <c r="L22" s="1000"/>
      <c r="M22" s="783"/>
      <c r="N22" s="783"/>
      <c r="O22" s="783"/>
      <c r="P22" s="783"/>
      <c r="Q22" s="783"/>
      <c r="R22" s="783"/>
      <c r="S22" s="783"/>
    </row>
    <row r="23" spans="1:19">
      <c r="A23" s="784"/>
      <c r="B23" s="963" t="s">
        <v>461</v>
      </c>
      <c r="C23" s="958"/>
      <c r="D23" s="506"/>
      <c r="E23" s="506"/>
      <c r="F23" s="506"/>
      <c r="G23" s="60"/>
      <c r="H23" s="1000"/>
      <c r="I23" s="782"/>
      <c r="J23" s="1000"/>
      <c r="K23" s="783"/>
      <c r="L23" s="1000"/>
      <c r="M23" s="783"/>
      <c r="N23" s="783"/>
      <c r="O23" s="783"/>
      <c r="P23" s="783"/>
      <c r="Q23" s="783"/>
      <c r="R23" s="783"/>
      <c r="S23" s="783"/>
    </row>
    <row r="24" spans="1:19">
      <c r="A24" s="784"/>
      <c r="B24" s="963" t="s">
        <v>462</v>
      </c>
      <c r="C24" s="1002"/>
      <c r="D24" s="506"/>
      <c r="E24" s="506"/>
      <c r="F24" s="506"/>
      <c r="G24" s="60"/>
      <c r="H24" s="1000"/>
      <c r="I24" s="782"/>
      <c r="J24" s="1000"/>
      <c r="K24" s="783"/>
      <c r="L24" s="1000"/>
      <c r="M24" s="783"/>
      <c r="N24" s="783"/>
      <c r="O24" s="783"/>
      <c r="P24" s="783"/>
      <c r="Q24" s="783"/>
      <c r="R24" s="783"/>
      <c r="S24" s="783"/>
    </row>
    <row r="25" spans="1:19">
      <c r="A25" s="784"/>
      <c r="B25" s="965" t="s">
        <v>463</v>
      </c>
      <c r="C25" s="1002"/>
      <c r="D25" s="506"/>
      <c r="E25" s="506"/>
      <c r="F25" s="506"/>
      <c r="G25" s="60"/>
      <c r="H25" s="1000"/>
      <c r="I25" s="782"/>
      <c r="J25" s="1000"/>
      <c r="K25" s="783"/>
      <c r="L25" s="1000"/>
      <c r="M25" s="783"/>
      <c r="N25" s="783"/>
      <c r="O25" s="783"/>
      <c r="P25" s="783"/>
      <c r="Q25" s="783"/>
      <c r="R25" s="783"/>
      <c r="S25" s="783"/>
    </row>
    <row r="26" spans="1:19" s="41" customFormat="1">
      <c r="A26" s="998"/>
      <c r="B26" s="965" t="s">
        <v>464</v>
      </c>
      <c r="C26" s="315"/>
      <c r="D26" s="492"/>
      <c r="E26" s="492"/>
      <c r="F26" s="492"/>
      <c r="G26" s="315"/>
      <c r="H26" s="1000"/>
      <c r="I26" s="782"/>
      <c r="J26" s="1003"/>
      <c r="K26" s="794"/>
      <c r="L26" s="1003"/>
      <c r="M26" s="794"/>
      <c r="N26" s="794"/>
      <c r="O26" s="794"/>
      <c r="P26" s="794"/>
      <c r="Q26" s="794"/>
      <c r="R26" s="794"/>
      <c r="S26" s="794"/>
    </row>
    <row r="27" spans="1:19" s="41" customFormat="1">
      <c r="A27" s="998"/>
      <c r="B27" s="965" t="s">
        <v>465</v>
      </c>
      <c r="C27" s="315"/>
      <c r="D27" s="492"/>
      <c r="E27" s="492"/>
      <c r="F27" s="492"/>
      <c r="G27" s="315"/>
      <c r="H27" s="1000"/>
      <c r="I27" s="782"/>
      <c r="J27" s="1003"/>
      <c r="K27" s="794"/>
      <c r="L27" s="1003"/>
      <c r="M27" s="794"/>
      <c r="N27" s="794"/>
      <c r="O27" s="794"/>
      <c r="P27" s="794"/>
      <c r="Q27" s="794"/>
      <c r="R27" s="794"/>
      <c r="S27" s="794"/>
    </row>
    <row r="28" spans="1:19" s="41" customFormat="1">
      <c r="A28" s="998"/>
      <c r="B28" s="965" t="s">
        <v>466</v>
      </c>
      <c r="C28" s="315"/>
      <c r="D28" s="492"/>
      <c r="E28" s="492"/>
      <c r="F28" s="492"/>
      <c r="G28" s="315"/>
      <c r="H28" s="1000"/>
      <c r="I28" s="782"/>
      <c r="J28" s="1003"/>
      <c r="K28" s="794"/>
      <c r="L28" s="1003"/>
      <c r="M28" s="794"/>
      <c r="N28" s="794"/>
      <c r="O28" s="794"/>
      <c r="P28" s="794"/>
      <c r="Q28" s="794"/>
      <c r="R28" s="794"/>
      <c r="S28" s="794"/>
    </row>
    <row r="29" spans="1:19" s="41" customFormat="1">
      <c r="A29" s="998"/>
      <c r="B29" s="966" t="s">
        <v>467</v>
      </c>
      <c r="C29" s="315"/>
      <c r="D29" s="492"/>
      <c r="E29" s="492"/>
      <c r="F29" s="492"/>
      <c r="G29" s="315"/>
      <c r="H29" s="1000"/>
      <c r="I29" s="782"/>
      <c r="J29" s="1003"/>
      <c r="K29" s="794"/>
      <c r="L29" s="1003"/>
      <c r="M29" s="794"/>
      <c r="N29" s="794"/>
      <c r="O29" s="794"/>
      <c r="P29" s="794"/>
      <c r="Q29" s="794"/>
      <c r="R29" s="794"/>
      <c r="S29" s="794"/>
    </row>
    <row r="30" spans="1:19" s="41" customFormat="1">
      <c r="A30" s="998"/>
      <c r="B30" s="967" t="s">
        <v>468</v>
      </c>
      <c r="C30" s="1004"/>
      <c r="D30" s="1005"/>
      <c r="E30" s="1005"/>
      <c r="F30" s="1005"/>
      <c r="G30" s="1004"/>
      <c r="H30" s="1006"/>
      <c r="I30" s="590"/>
      <c r="J30" s="1007"/>
      <c r="K30" s="791"/>
      <c r="L30" s="1007"/>
      <c r="M30" s="791"/>
      <c r="N30" s="791"/>
      <c r="O30" s="791"/>
      <c r="P30" s="791"/>
      <c r="Q30" s="791"/>
      <c r="R30" s="791"/>
      <c r="S30" s="791"/>
    </row>
    <row r="31" spans="1:19" s="41" customFormat="1">
      <c r="A31" s="998"/>
      <c r="B31" s="56"/>
      <c r="C31" s="315"/>
      <c r="D31" s="492"/>
      <c r="E31" s="492"/>
      <c r="F31" s="492"/>
      <c r="G31" s="315"/>
      <c r="H31" s="1000"/>
      <c r="I31" s="782"/>
      <c r="J31" s="1003"/>
      <c r="K31" s="794"/>
      <c r="L31" s="1003"/>
      <c r="M31" s="794"/>
      <c r="N31" s="794"/>
      <c r="O31" s="794"/>
      <c r="P31" s="794"/>
      <c r="Q31" s="794"/>
      <c r="R31" s="794"/>
      <c r="S31" s="794"/>
    </row>
    <row r="32" spans="1:19" s="41" customFormat="1">
      <c r="A32" s="999"/>
      <c r="B32" s="1013"/>
      <c r="C32" s="57"/>
      <c r="D32" s="492"/>
      <c r="E32" s="492"/>
      <c r="F32" s="492"/>
      <c r="G32" s="315"/>
      <c r="H32" s="1000"/>
      <c r="I32" s="782"/>
      <c r="J32" s="1003"/>
      <c r="K32" s="794"/>
      <c r="L32" s="1003"/>
      <c r="M32" s="794"/>
      <c r="N32" s="794"/>
      <c r="O32" s="794"/>
      <c r="P32" s="794"/>
      <c r="Q32" s="794"/>
      <c r="R32" s="794"/>
      <c r="S32" s="794"/>
    </row>
    <row r="33" spans="1:19" s="41" customFormat="1">
      <c r="A33" s="999"/>
      <c r="B33" s="1014"/>
      <c r="C33" s="57"/>
      <c r="D33" s="492"/>
      <c r="E33" s="492"/>
      <c r="F33" s="492"/>
      <c r="G33" s="315"/>
      <c r="H33" s="1000"/>
      <c r="I33" s="782"/>
      <c r="J33" s="1003"/>
      <c r="K33" s="794"/>
      <c r="L33" s="1003"/>
      <c r="M33" s="794"/>
      <c r="N33" s="794"/>
      <c r="O33" s="794"/>
      <c r="P33" s="794"/>
      <c r="Q33" s="794"/>
      <c r="R33" s="794"/>
      <c r="S33" s="794"/>
    </row>
    <row r="34" spans="1:19" s="41" customFormat="1">
      <c r="A34" s="999"/>
      <c r="B34" s="1014"/>
      <c r="C34" s="57"/>
      <c r="D34" s="492"/>
      <c r="E34" s="492"/>
      <c r="F34" s="492"/>
      <c r="G34" s="315"/>
      <c r="H34" s="1000"/>
      <c r="I34" s="782"/>
      <c r="J34" s="1003"/>
      <c r="K34" s="794"/>
      <c r="L34" s="1003"/>
      <c r="M34" s="794"/>
      <c r="N34" s="794"/>
      <c r="O34" s="794"/>
      <c r="P34" s="794"/>
      <c r="Q34" s="794"/>
      <c r="R34" s="794"/>
      <c r="S34" s="794"/>
    </row>
    <row r="35" spans="1:19" s="41" customFormat="1">
      <c r="A35" s="999"/>
      <c r="B35" s="1020"/>
      <c r="C35" s="57"/>
      <c r="D35" s="492"/>
      <c r="E35" s="492"/>
      <c r="F35" s="492"/>
      <c r="G35" s="315"/>
      <c r="H35" s="1000"/>
      <c r="I35" s="782"/>
      <c r="J35" s="1003"/>
      <c r="K35" s="794"/>
      <c r="L35" s="1003"/>
      <c r="M35" s="794"/>
      <c r="N35" s="794"/>
      <c r="O35" s="794"/>
      <c r="P35" s="794"/>
      <c r="Q35" s="794"/>
      <c r="R35" s="794"/>
      <c r="S35" s="794"/>
    </row>
    <row r="36" spans="1:19" s="41" customFormat="1">
      <c r="A36" s="999"/>
      <c r="B36" s="1014"/>
      <c r="C36" s="57"/>
      <c r="D36" s="492"/>
      <c r="E36" s="492"/>
      <c r="F36" s="492"/>
      <c r="G36" s="315"/>
      <c r="H36" s="1000"/>
      <c r="I36" s="782"/>
      <c r="J36" s="1003"/>
      <c r="K36" s="794"/>
      <c r="L36" s="1003"/>
      <c r="M36" s="794"/>
      <c r="N36" s="794"/>
      <c r="O36" s="794"/>
      <c r="P36" s="794"/>
      <c r="Q36" s="794"/>
      <c r="R36" s="794"/>
      <c r="S36" s="794"/>
    </row>
    <row r="37" spans="1:19" s="41" customFormat="1">
      <c r="A37" s="999"/>
      <c r="B37" s="1014"/>
      <c r="C37" s="57"/>
      <c r="D37" s="492"/>
      <c r="E37" s="1009"/>
      <c r="F37" s="1010"/>
      <c r="G37" s="315"/>
      <c r="H37" s="1000"/>
      <c r="I37" s="782"/>
      <c r="J37" s="1003"/>
      <c r="K37" s="794"/>
      <c r="L37" s="1003"/>
      <c r="M37" s="794"/>
      <c r="N37" s="794"/>
      <c r="O37" s="794"/>
      <c r="P37" s="794"/>
      <c r="Q37" s="794"/>
      <c r="R37" s="794"/>
      <c r="S37" s="794"/>
    </row>
    <row r="38" spans="1:19" s="41" customFormat="1">
      <c r="A38" s="999"/>
      <c r="B38" s="1014"/>
      <c r="C38" s="57"/>
      <c r="D38" s="492"/>
      <c r="E38" s="1009"/>
      <c r="F38" s="1010"/>
      <c r="G38" s="315"/>
      <c r="H38" s="1000"/>
      <c r="I38" s="782"/>
      <c r="J38" s="1003"/>
      <c r="K38" s="794"/>
      <c r="L38" s="1003"/>
      <c r="M38" s="794"/>
      <c r="N38" s="794"/>
      <c r="O38" s="794"/>
      <c r="P38" s="794"/>
      <c r="Q38" s="794"/>
      <c r="R38" s="794"/>
      <c r="S38" s="794"/>
    </row>
    <row r="39" spans="1:19" s="41" customFormat="1">
      <c r="A39" s="999"/>
      <c r="B39" s="1014"/>
      <c r="C39" s="57"/>
      <c r="D39" s="492"/>
      <c r="E39" s="1009"/>
      <c r="F39" s="1010"/>
      <c r="G39" s="315"/>
      <c r="H39" s="1000"/>
      <c r="I39" s="782"/>
      <c r="J39" s="1003"/>
      <c r="K39" s="794"/>
      <c r="L39" s="1003"/>
      <c r="M39" s="794"/>
      <c r="N39" s="794"/>
      <c r="O39" s="794"/>
      <c r="P39" s="794"/>
      <c r="Q39" s="794"/>
      <c r="R39" s="794"/>
      <c r="S39" s="794"/>
    </row>
    <row r="40" spans="1:19" s="41" customFormat="1">
      <c r="A40" s="999"/>
      <c r="B40" s="1011"/>
      <c r="C40" s="57"/>
      <c r="D40" s="492"/>
      <c r="E40" s="1009"/>
      <c r="F40" s="1010"/>
      <c r="G40" s="315"/>
      <c r="H40" s="1000"/>
      <c r="I40" s="782"/>
      <c r="J40" s="1003"/>
      <c r="K40" s="794"/>
      <c r="L40" s="1003"/>
      <c r="M40" s="794"/>
      <c r="N40" s="794"/>
      <c r="O40" s="794"/>
      <c r="P40" s="794"/>
      <c r="Q40" s="794"/>
      <c r="R40" s="794"/>
      <c r="S40" s="794"/>
    </row>
    <row r="41" spans="1:19" s="41" customFormat="1">
      <c r="A41" s="999"/>
      <c r="B41" s="1012"/>
      <c r="C41" s="57"/>
      <c r="D41" s="492"/>
      <c r="E41" s="1009"/>
      <c r="F41" s="1010"/>
      <c r="G41" s="315"/>
      <c r="H41" s="1000"/>
      <c r="I41" s="782"/>
      <c r="J41" s="1003"/>
      <c r="K41" s="794"/>
      <c r="L41" s="1003"/>
      <c r="M41" s="794"/>
      <c r="N41" s="794"/>
      <c r="O41" s="794"/>
      <c r="P41" s="794"/>
      <c r="Q41" s="794"/>
      <c r="R41" s="794"/>
      <c r="S41" s="794"/>
    </row>
    <row r="42" spans="1:19" s="41" customFormat="1">
      <c r="A42" s="999"/>
      <c r="B42" s="58"/>
      <c r="C42" s="57"/>
      <c r="D42" s="492"/>
      <c r="E42" s="1009"/>
      <c r="F42" s="1010"/>
      <c r="G42" s="315"/>
      <c r="H42" s="1000"/>
      <c r="I42" s="782"/>
      <c r="J42" s="1003"/>
      <c r="K42" s="794"/>
      <c r="L42" s="1003"/>
      <c r="M42" s="794"/>
      <c r="N42" s="794"/>
      <c r="O42" s="794"/>
      <c r="P42" s="794"/>
      <c r="Q42" s="794"/>
      <c r="R42" s="794"/>
      <c r="S42" s="794"/>
    </row>
    <row r="43" spans="1:19" s="41" customFormat="1">
      <c r="A43" s="999"/>
      <c r="B43" s="1008"/>
      <c r="C43" s="57"/>
      <c r="D43" s="492"/>
      <c r="E43" s="1009"/>
      <c r="F43" s="1010"/>
      <c r="G43" s="315"/>
      <c r="H43" s="1000"/>
      <c r="I43" s="782"/>
      <c r="J43" s="1003"/>
      <c r="K43" s="794"/>
      <c r="L43" s="1003"/>
      <c r="M43" s="794"/>
      <c r="N43" s="794"/>
      <c r="O43" s="794"/>
      <c r="P43" s="794"/>
      <c r="Q43" s="794"/>
      <c r="R43" s="794"/>
      <c r="S43" s="794"/>
    </row>
    <row r="44" spans="1:19" s="41" customFormat="1">
      <c r="A44" s="999"/>
      <c r="B44" s="1008"/>
      <c r="C44" s="57"/>
      <c r="D44" s="492"/>
      <c r="E44" s="1009"/>
      <c r="F44" s="1010"/>
      <c r="G44" s="315"/>
      <c r="H44" s="1000"/>
      <c r="I44" s="782"/>
      <c r="J44" s="1003"/>
      <c r="K44" s="794"/>
      <c r="L44" s="1003"/>
      <c r="M44" s="794"/>
      <c r="N44" s="794"/>
      <c r="O44" s="794"/>
      <c r="P44" s="794"/>
      <c r="Q44" s="794"/>
      <c r="R44" s="794"/>
      <c r="S44" s="794"/>
    </row>
    <row r="45" spans="1:19" s="41" customFormat="1">
      <c r="A45" s="999"/>
      <c r="B45" s="1008"/>
      <c r="C45" s="57"/>
      <c r="D45" s="492"/>
      <c r="E45" s="1009"/>
      <c r="F45" s="1010"/>
      <c r="G45" s="315"/>
      <c r="H45" s="1000"/>
      <c r="I45" s="782"/>
      <c r="J45" s="1003"/>
      <c r="K45" s="794"/>
      <c r="L45" s="1003"/>
      <c r="M45" s="794"/>
      <c r="N45" s="794"/>
      <c r="O45" s="794"/>
      <c r="P45" s="794"/>
      <c r="Q45" s="794"/>
      <c r="R45" s="794"/>
      <c r="S45" s="794"/>
    </row>
    <row r="46" spans="1:19" s="41" customFormat="1">
      <c r="A46" s="999"/>
      <c r="B46" s="1008"/>
      <c r="C46" s="57"/>
      <c r="D46" s="492"/>
      <c r="E46" s="1009"/>
      <c r="F46" s="1010"/>
      <c r="G46" s="315"/>
      <c r="H46" s="1000"/>
      <c r="I46" s="782"/>
      <c r="J46" s="1003"/>
      <c r="K46" s="794"/>
      <c r="L46" s="1003"/>
      <c r="M46" s="794"/>
      <c r="N46" s="794"/>
      <c r="O46" s="794"/>
      <c r="P46" s="794"/>
      <c r="Q46" s="794"/>
      <c r="R46" s="794"/>
      <c r="S46" s="794"/>
    </row>
    <row r="47" spans="1:19" s="41" customFormat="1" ht="15.75" thickBot="1">
      <c r="A47" s="999"/>
      <c r="B47" s="1008"/>
      <c r="C47" s="57"/>
      <c r="D47" s="492"/>
      <c r="E47" s="1009"/>
      <c r="F47" s="1010"/>
      <c r="G47" s="315"/>
      <c r="H47" s="1000"/>
      <c r="I47" s="782"/>
      <c r="J47" s="1003"/>
      <c r="K47" s="794"/>
      <c r="L47" s="1003"/>
      <c r="M47" s="794"/>
      <c r="N47" s="794"/>
      <c r="O47" s="794"/>
      <c r="P47" s="794"/>
      <c r="Q47" s="794"/>
      <c r="R47" s="794"/>
      <c r="S47" s="794"/>
    </row>
    <row r="48" spans="1:19" ht="15.75" thickTop="1">
      <c r="A48" s="15"/>
      <c r="B48" s="16"/>
      <c r="C48" s="17"/>
      <c r="D48" s="17"/>
      <c r="E48" s="18"/>
      <c r="F48" s="19" t="s">
        <v>470</v>
      </c>
      <c r="G48" s="20"/>
      <c r="H48" s="21"/>
      <c r="I48" s="35">
        <f>SUM(I23:I47)</f>
        <v>0</v>
      </c>
      <c r="J48" s="21"/>
      <c r="K48" s="35">
        <f>SUM(K23:K47)</f>
        <v>0</v>
      </c>
      <c r="L48" s="21"/>
      <c r="M48" s="35">
        <f>SUM(M23:M47)</f>
        <v>0</v>
      </c>
      <c r="N48" s="21"/>
      <c r="O48" s="35">
        <f>SUM(O23:O47)</f>
        <v>0</v>
      </c>
      <c r="P48" s="21"/>
      <c r="Q48" s="35">
        <f>SUM(Q23:Q47)</f>
        <v>0</v>
      </c>
      <c r="R48" s="21"/>
      <c r="S48" s="35">
        <f>SUM(S23:S47)</f>
        <v>0</v>
      </c>
    </row>
    <row r="49" spans="1:19">
      <c r="A49" s="930"/>
      <c r="B49" s="496"/>
      <c r="C49" s="493"/>
      <c r="D49" s="493"/>
      <c r="E49" s="521"/>
      <c r="F49" s="494" t="s">
        <v>471</v>
      </c>
      <c r="G49" s="464"/>
      <c r="H49" s="931">
        <v>0</v>
      </c>
      <c r="I49" s="1015"/>
      <c r="J49" s="931">
        <v>0</v>
      </c>
      <c r="K49" s="1015"/>
      <c r="L49" s="931">
        <v>0</v>
      </c>
      <c r="M49" s="1015"/>
      <c r="N49" s="931">
        <v>0</v>
      </c>
      <c r="O49" s="1015"/>
      <c r="P49" s="931">
        <v>0</v>
      </c>
      <c r="Q49" s="1015"/>
      <c r="R49" s="931">
        <v>0</v>
      </c>
      <c r="S49" s="1015"/>
    </row>
    <row r="50" spans="1:19">
      <c r="A50" s="930"/>
      <c r="B50" s="496"/>
      <c r="C50" s="493"/>
      <c r="D50" s="493"/>
      <c r="E50" s="521"/>
      <c r="F50" s="494" t="s">
        <v>472</v>
      </c>
      <c r="G50" s="464"/>
      <c r="H50" s="932"/>
      <c r="I50" s="1016">
        <f>H49*I48</f>
        <v>0</v>
      </c>
      <c r="J50" s="932"/>
      <c r="K50" s="1016">
        <f>J49*K48</f>
        <v>0</v>
      </c>
      <c r="L50" s="932"/>
      <c r="M50" s="1016">
        <f>L49*M48</f>
        <v>0</v>
      </c>
      <c r="N50" s="932"/>
      <c r="O50" s="1016">
        <f>N49*O48</f>
        <v>0</v>
      </c>
      <c r="P50" s="932"/>
      <c r="Q50" s="1016">
        <f>P49*Q48</f>
        <v>0</v>
      </c>
      <c r="R50" s="932"/>
      <c r="S50" s="1016">
        <f>R49*S48</f>
        <v>0</v>
      </c>
    </row>
    <row r="51" spans="1:19">
      <c r="A51" s="930"/>
      <c r="B51" s="496"/>
      <c r="C51" s="493"/>
      <c r="D51" s="493"/>
      <c r="E51" s="521"/>
      <c r="F51" s="494"/>
      <c r="G51" s="464"/>
      <c r="H51" s="932"/>
      <c r="I51" s="933"/>
      <c r="J51" s="932"/>
      <c r="K51" s="933"/>
      <c r="L51" s="932"/>
      <c r="M51" s="933"/>
      <c r="N51" s="932"/>
      <c r="O51" s="933"/>
      <c r="P51" s="932"/>
      <c r="Q51" s="933"/>
      <c r="R51" s="932"/>
      <c r="S51" s="933"/>
    </row>
    <row r="52" spans="1:19">
      <c r="A52" s="930"/>
      <c r="B52" s="496"/>
      <c r="C52" s="493"/>
      <c r="D52" s="493"/>
      <c r="E52" s="521"/>
      <c r="F52" s="494" t="s">
        <v>473</v>
      </c>
      <c r="G52" s="464"/>
      <c r="H52" s="934"/>
      <c r="I52" s="1017">
        <f>SUM(I48:I50)</f>
        <v>0</v>
      </c>
      <c r="J52" s="934"/>
      <c r="K52" s="1017">
        <f>SUM(K48:K50)</f>
        <v>0</v>
      </c>
      <c r="L52" s="934"/>
      <c r="M52" s="1017">
        <f>SUM(M48:M50)</f>
        <v>0</v>
      </c>
      <c r="N52" s="934"/>
      <c r="O52" s="1017">
        <f>SUM(O48:O50)</f>
        <v>0</v>
      </c>
      <c r="P52" s="934"/>
      <c r="Q52" s="1017">
        <f>SUM(Q48:Q50)</f>
        <v>0</v>
      </c>
      <c r="R52" s="934"/>
      <c r="S52" s="1017">
        <f>SUM(S48:S50)</f>
        <v>0</v>
      </c>
    </row>
    <row r="53" spans="1:19">
      <c r="A53" s="930"/>
      <c r="B53" s="496"/>
      <c r="C53" s="493"/>
      <c r="D53" s="493"/>
      <c r="E53" s="521"/>
      <c r="F53" s="495" t="s">
        <v>474</v>
      </c>
      <c r="G53" s="902"/>
      <c r="H53" s="935"/>
      <c r="I53" s="937">
        <f>I52/'Area Calculations'!$G$5</f>
        <v>0</v>
      </c>
      <c r="J53" s="935"/>
      <c r="K53" s="937">
        <f>K52/'Area Calculations'!$G$5</f>
        <v>0</v>
      </c>
      <c r="L53" s="935"/>
      <c r="M53" s="937">
        <f>M52/'Area Calculations'!$G$5</f>
        <v>0</v>
      </c>
      <c r="N53" s="935"/>
      <c r="O53" s="937">
        <f>O52/'Area Calculations'!$G$5</f>
        <v>0</v>
      </c>
      <c r="P53" s="935"/>
      <c r="Q53" s="937">
        <f>Q52/'Area Calculations'!$G$5</f>
        <v>0</v>
      </c>
      <c r="R53" s="935"/>
      <c r="S53" s="937">
        <f>S52/'Area Calculations'!$G$5</f>
        <v>0</v>
      </c>
    </row>
    <row r="54" spans="1:19">
      <c r="A54" s="930"/>
      <c r="B54" s="496"/>
      <c r="C54" s="493"/>
      <c r="D54" s="493"/>
      <c r="E54" s="521"/>
      <c r="F54" s="495" t="s">
        <v>582</v>
      </c>
      <c r="G54" s="978"/>
      <c r="H54" s="935"/>
      <c r="I54" s="937">
        <f>I52/'Area Calculations'!$G$9</f>
        <v>0</v>
      </c>
      <c r="J54" s="935"/>
      <c r="K54" s="937">
        <f>K52/'Area Calculations'!$G$9</f>
        <v>0</v>
      </c>
      <c r="L54" s="935"/>
      <c r="M54" s="937">
        <f>M52/'Area Calculations'!$G$9</f>
        <v>0</v>
      </c>
      <c r="N54" s="935"/>
      <c r="O54" s="937">
        <f>O52/'Area Calculations'!$G$9</f>
        <v>0</v>
      </c>
      <c r="P54" s="935"/>
      <c r="Q54" s="937">
        <f>Q52/'Area Calculations'!$G$9</f>
        <v>0</v>
      </c>
      <c r="R54" s="935"/>
      <c r="S54" s="937">
        <f>S52/'Area Calculations'!$G$9</f>
        <v>0</v>
      </c>
    </row>
    <row r="55" spans="1:19" ht="15.75" thickBot="1">
      <c r="A55" s="930"/>
      <c r="B55" s="496"/>
      <c r="C55" s="493"/>
      <c r="D55" s="493"/>
      <c r="E55" s="521"/>
      <c r="F55" s="494"/>
      <c r="G55" s="979"/>
      <c r="H55" s="980"/>
      <c r="I55" s="981"/>
      <c r="J55" s="980"/>
      <c r="K55" s="981"/>
      <c r="L55" s="980"/>
      <c r="M55" s="981"/>
      <c r="N55" s="980"/>
      <c r="O55" s="981"/>
      <c r="P55" s="980"/>
      <c r="Q55" s="981"/>
      <c r="R55" s="980"/>
      <c r="S55" s="981"/>
    </row>
    <row r="56" spans="1:19" ht="16.5" thickTop="1" thickBot="1">
      <c r="A56" s="691" t="s">
        <v>475</v>
      </c>
      <c r="B56" s="692"/>
      <c r="C56" s="14"/>
      <c r="D56" s="14"/>
      <c r="E56" s="14"/>
      <c r="F56" s="14"/>
      <c r="G56" s="29"/>
      <c r="H56" s="27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 spans="1:19" ht="15.75" thickTop="1">
      <c r="A57" s="795"/>
      <c r="B57" s="497"/>
      <c r="C57" s="796"/>
      <c r="D57" s="796"/>
      <c r="E57" s="796"/>
      <c r="F57" s="796"/>
      <c r="G57" s="982"/>
      <c r="H57" s="591"/>
      <c r="I57" s="799"/>
      <c r="J57" s="799"/>
      <c r="K57" s="799"/>
      <c r="L57" s="799"/>
      <c r="M57" s="799"/>
      <c r="N57" s="799"/>
      <c r="O57" s="799"/>
      <c r="P57" s="799"/>
      <c r="Q57" s="799"/>
      <c r="R57" s="799"/>
      <c r="S57" s="799"/>
    </row>
    <row r="58" spans="1:19" s="2" customFormat="1">
      <c r="A58" s="795"/>
      <c r="B58" s="497"/>
      <c r="C58" s="796"/>
      <c r="D58" s="796"/>
      <c r="E58" s="796"/>
      <c r="F58" s="796"/>
      <c r="G58" s="982"/>
      <c r="H58" s="591"/>
      <c r="I58" s="799"/>
      <c r="J58" s="799"/>
      <c r="K58" s="799"/>
      <c r="L58" s="799"/>
      <c r="M58" s="799"/>
      <c r="N58" s="799"/>
      <c r="O58" s="799"/>
      <c r="P58" s="799"/>
      <c r="Q58" s="799"/>
      <c r="R58" s="799"/>
      <c r="S58" s="799"/>
    </row>
    <row r="59" spans="1:19" s="2" customFormat="1" ht="15.75" thickBot="1">
      <c r="A59" s="795"/>
      <c r="B59" s="497"/>
      <c r="C59" s="796"/>
      <c r="D59" s="796"/>
      <c r="E59" s="796"/>
      <c r="F59" s="796"/>
      <c r="G59" s="982"/>
      <c r="H59" s="591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19" ht="16.5" thickTop="1" thickBot="1">
      <c r="A60" s="691" t="s">
        <v>476</v>
      </c>
      <c r="B60" s="692"/>
      <c r="C60" s="14"/>
      <c r="D60" s="14"/>
      <c r="E60" s="14"/>
      <c r="F60" s="14"/>
      <c r="G60" s="29"/>
      <c r="H60" s="27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r="61" spans="1:19" s="2" customFormat="1" ht="15.75" thickTop="1">
      <c r="A61" s="795"/>
      <c r="B61" s="497"/>
      <c r="C61" s="796"/>
      <c r="D61" s="796"/>
      <c r="E61" s="796"/>
      <c r="F61" s="796"/>
      <c r="G61" s="982"/>
      <c r="H61" s="591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19" s="2" customFormat="1">
      <c r="A62" s="795"/>
      <c r="B62" s="497"/>
      <c r="C62" s="796"/>
      <c r="D62" s="796"/>
      <c r="E62" s="796"/>
      <c r="F62" s="796"/>
      <c r="G62" s="982"/>
      <c r="H62" s="591"/>
      <c r="I62" s="799"/>
      <c r="J62" s="799"/>
      <c r="K62" s="799"/>
      <c r="L62" s="799"/>
      <c r="M62" s="799"/>
      <c r="N62" s="799"/>
      <c r="O62" s="799"/>
      <c r="P62" s="799"/>
      <c r="Q62" s="799"/>
      <c r="R62" s="799"/>
      <c r="S62" s="799"/>
    </row>
    <row r="63" spans="1:19" ht="15.75" thickBot="1">
      <c r="A63" s="795"/>
      <c r="B63" s="497"/>
      <c r="C63" s="796"/>
      <c r="D63" s="796"/>
      <c r="E63" s="796"/>
      <c r="F63" s="796"/>
      <c r="G63" s="982"/>
      <c r="H63" s="591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</row>
    <row r="64" spans="1:19" ht="16.5" thickTop="1" thickBot="1">
      <c r="A64" s="691" t="s">
        <v>477</v>
      </c>
      <c r="B64" s="692"/>
      <c r="C64" s="14"/>
      <c r="D64" s="14"/>
      <c r="E64" s="14"/>
      <c r="F64" s="14"/>
      <c r="G64" s="29"/>
      <c r="H64" s="27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r="65" spans="1:19" ht="15.75" thickTop="1">
      <c r="A65" s="795"/>
      <c r="B65" s="497"/>
      <c r="C65" s="796"/>
      <c r="D65" s="796"/>
      <c r="E65" s="796"/>
      <c r="F65" s="796"/>
      <c r="G65" s="982"/>
      <c r="H65" s="591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19">
      <c r="A66" s="940"/>
      <c r="B66" s="497"/>
      <c r="C66" s="506"/>
      <c r="D66" s="506"/>
      <c r="E66" s="506"/>
      <c r="F66" s="506"/>
      <c r="G66" s="983"/>
      <c r="H66" s="984"/>
      <c r="I66" s="941"/>
      <c r="J66" s="941"/>
      <c r="K66" s="941"/>
      <c r="L66" s="941"/>
      <c r="M66" s="941"/>
      <c r="N66" s="941"/>
      <c r="O66" s="941"/>
      <c r="P66" s="941"/>
      <c r="Q66" s="941"/>
      <c r="R66" s="941"/>
      <c r="S66" s="941"/>
    </row>
    <row r="67" spans="1:19" ht="15.75" thickBot="1">
      <c r="A67" s="942"/>
      <c r="B67" s="501"/>
      <c r="C67" s="506"/>
      <c r="D67" s="506"/>
      <c r="E67" s="506"/>
      <c r="F67" s="506"/>
      <c r="G67" s="983"/>
      <c r="H67" s="985"/>
      <c r="I67" s="943"/>
      <c r="J67" s="943"/>
      <c r="K67" s="943"/>
      <c r="L67" s="943"/>
      <c r="M67" s="943"/>
      <c r="N67" s="943"/>
      <c r="O67" s="943"/>
      <c r="P67" s="943"/>
      <c r="Q67" s="943"/>
      <c r="R67" s="943"/>
      <c r="S67" s="943"/>
    </row>
    <row r="68" spans="1:19" ht="16.5" thickTop="1" thickBot="1">
      <c r="A68" s="691" t="s">
        <v>478</v>
      </c>
      <c r="B68" s="692"/>
      <c r="C68" s="14"/>
      <c r="D68" s="14"/>
      <c r="E68" s="14"/>
      <c r="F68" s="14"/>
      <c r="G68" s="29"/>
      <c r="H68" s="27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 spans="1:19" ht="15.75" thickTop="1">
      <c r="A69" s="800"/>
      <c r="B69" s="801"/>
      <c r="C69" s="796"/>
      <c r="D69" s="796"/>
      <c r="E69" s="796"/>
      <c r="F69" s="796"/>
      <c r="G69" s="982"/>
      <c r="H69" s="591"/>
      <c r="I69" s="799"/>
      <c r="J69" s="799"/>
      <c r="K69" s="799"/>
      <c r="L69" s="799"/>
      <c r="M69" s="799"/>
      <c r="N69" s="799"/>
      <c r="O69" s="799"/>
      <c r="P69" s="799"/>
      <c r="Q69" s="799"/>
      <c r="R69" s="799"/>
      <c r="S69" s="799"/>
    </row>
    <row r="70" spans="1:19">
      <c r="A70" s="942"/>
      <c r="B70" s="501"/>
      <c r="C70" s="506"/>
      <c r="D70" s="506"/>
      <c r="E70" s="506"/>
      <c r="F70" s="506"/>
      <c r="G70" s="983"/>
      <c r="H70" s="986"/>
      <c r="I70" s="944"/>
      <c r="J70" s="944"/>
      <c r="K70" s="944"/>
      <c r="L70" s="944"/>
      <c r="M70" s="944"/>
      <c r="N70" s="944"/>
      <c r="O70" s="944"/>
      <c r="P70" s="944"/>
      <c r="Q70" s="944"/>
      <c r="R70" s="944"/>
      <c r="S70" s="944"/>
    </row>
    <row r="71" spans="1:19" ht="15.75" thickBot="1">
      <c r="A71" s="942"/>
      <c r="B71" s="501"/>
      <c r="C71" s="506"/>
      <c r="D71" s="506"/>
      <c r="E71" s="506"/>
      <c r="F71" s="506"/>
      <c r="G71" s="983"/>
      <c r="H71" s="986"/>
      <c r="I71" s="944"/>
      <c r="J71" s="944"/>
      <c r="K71" s="944"/>
      <c r="L71" s="944"/>
      <c r="M71" s="944"/>
      <c r="N71" s="944"/>
      <c r="O71" s="944"/>
      <c r="P71" s="944"/>
      <c r="Q71" s="944"/>
      <c r="R71" s="944"/>
      <c r="S71" s="944"/>
    </row>
    <row r="72" spans="1:19" ht="16.5" thickTop="1" thickBot="1">
      <c r="A72" s="691" t="s">
        <v>479</v>
      </c>
      <c r="B72" s="692"/>
      <c r="C72" s="14"/>
      <c r="D72" s="14"/>
      <c r="E72" s="14"/>
      <c r="F72" s="14"/>
      <c r="G72" s="29"/>
      <c r="H72" s="27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r="73" spans="1:19" ht="15.75" thickTop="1">
      <c r="A73" s="940"/>
      <c r="B73" s="497" t="s">
        <v>480</v>
      </c>
      <c r="C73" s="506"/>
      <c r="D73" s="506"/>
      <c r="E73" s="506"/>
      <c r="F73" s="506"/>
      <c r="G73" s="983"/>
      <c r="H73" s="986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</row>
    <row r="74" spans="1:19">
      <c r="A74" s="940"/>
      <c r="B74" s="497" t="s">
        <v>481</v>
      </c>
      <c r="C74" s="506"/>
      <c r="D74" s="506"/>
      <c r="E74" s="506"/>
      <c r="F74" s="506"/>
      <c r="G74" s="983"/>
      <c r="H74" s="986"/>
      <c r="I74" s="944"/>
      <c r="J74" s="944"/>
      <c r="K74" s="944"/>
      <c r="L74" s="944"/>
      <c r="M74" s="944"/>
      <c r="N74" s="944"/>
      <c r="O74" s="944"/>
      <c r="P74" s="944"/>
      <c r="Q74" s="944"/>
      <c r="R74" s="944"/>
      <c r="S74" s="944"/>
    </row>
    <row r="75" spans="1:19">
      <c r="A75" s="940"/>
      <c r="B75" s="497" t="s">
        <v>482</v>
      </c>
      <c r="C75" s="506"/>
      <c r="D75" s="506"/>
      <c r="E75" s="506"/>
      <c r="F75" s="506"/>
      <c r="G75" s="983"/>
      <c r="H75" s="986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19">
      <c r="A76" s="940"/>
      <c r="B76" s="497" t="s">
        <v>483</v>
      </c>
      <c r="C76" s="506"/>
      <c r="D76" s="506"/>
      <c r="E76" s="506"/>
      <c r="F76" s="506"/>
      <c r="G76" s="983"/>
      <c r="H76" s="986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19" ht="15.75" thickBot="1">
      <c r="A77" s="23"/>
      <c r="B77" s="7"/>
      <c r="C77" s="8"/>
      <c r="D77" s="8"/>
      <c r="E77" s="8"/>
      <c r="F77" s="8"/>
      <c r="G77" s="30"/>
      <c r="H77" s="28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</row>
    <row r="78" spans="1:19" ht="16.5" thickTop="1" thickBot="1">
      <c r="A78" s="9" t="s">
        <v>484</v>
      </c>
      <c r="B78" s="10"/>
      <c r="C78" s="14"/>
      <c r="D78" s="14"/>
      <c r="E78" s="14"/>
      <c r="F78" s="14"/>
      <c r="G78" s="29"/>
      <c r="H78" s="27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ht="15.75" thickTop="1">
      <c r="A79" s="795"/>
      <c r="B79" s="802" t="s">
        <v>485</v>
      </c>
      <c r="C79" s="796"/>
      <c r="D79" s="796"/>
      <c r="E79" s="796"/>
      <c r="F79" s="796"/>
      <c r="G79" s="982"/>
      <c r="H79" s="783"/>
      <c r="I79" s="803"/>
      <c r="J79" s="803"/>
      <c r="K79" s="803"/>
      <c r="L79" s="803"/>
      <c r="M79" s="803"/>
      <c r="N79" s="803"/>
      <c r="O79" s="803"/>
      <c r="P79" s="803"/>
      <c r="Q79" s="803"/>
      <c r="R79" s="803"/>
      <c r="S79" s="803"/>
    </row>
    <row r="80" spans="1:19">
      <c r="A80" s="940"/>
      <c r="B80" s="497" t="s">
        <v>486</v>
      </c>
      <c r="C80" s="506"/>
      <c r="D80" s="506"/>
      <c r="E80" s="506"/>
      <c r="F80" s="506"/>
      <c r="G80" s="983"/>
      <c r="H80" s="987"/>
      <c r="I80" s="945"/>
      <c r="J80" s="945"/>
      <c r="K80" s="945"/>
      <c r="L80" s="945"/>
      <c r="M80" s="945"/>
      <c r="N80" s="945"/>
      <c r="O80" s="945"/>
      <c r="P80" s="945"/>
      <c r="Q80" s="945"/>
      <c r="R80" s="945"/>
      <c r="S80" s="945"/>
    </row>
    <row r="81" spans="1:19" ht="15.75" thickBot="1">
      <c r="A81" s="865"/>
      <c r="B81" s="866" t="s">
        <v>487</v>
      </c>
      <c r="C81" s="867"/>
      <c r="D81" s="867"/>
      <c r="E81" s="867"/>
      <c r="F81" s="867"/>
      <c r="G81" s="988"/>
      <c r="H81" s="989"/>
      <c r="I81" s="871"/>
      <c r="J81" s="871"/>
      <c r="K81" s="871"/>
      <c r="L81" s="871"/>
      <c r="M81" s="871"/>
      <c r="N81" s="871"/>
      <c r="O81" s="871"/>
      <c r="P81" s="871"/>
      <c r="Q81" s="871"/>
      <c r="R81" s="871"/>
      <c r="S81" s="871"/>
    </row>
    <row r="82" spans="1:19" ht="16.5" thickTop="1" thickBot="1"/>
    <row r="83" spans="1:19" ht="16.5" thickTop="1" thickBot="1">
      <c r="A83" s="42" t="s">
        <v>488</v>
      </c>
      <c r="B83" s="44"/>
    </row>
    <row r="84" spans="1:19" ht="15.75" thickTop="1">
      <c r="A84" s="43" t="s">
        <v>444</v>
      </c>
      <c r="B84" s="946"/>
    </row>
    <row r="85" spans="1:19">
      <c r="A85" s="504" t="s">
        <v>446</v>
      </c>
      <c r="B85" s="946"/>
    </row>
    <row r="86" spans="1:19">
      <c r="A86" s="947" t="s">
        <v>448</v>
      </c>
      <c r="B86" s="948"/>
    </row>
    <row r="87" spans="1:19">
      <c r="A87" s="947" t="s">
        <v>450</v>
      </c>
      <c r="B87" s="949"/>
    </row>
    <row r="88" spans="1:19" ht="15.75" thickBot="1">
      <c r="A88" s="878" t="s">
        <v>489</v>
      </c>
      <c r="B88" s="990"/>
    </row>
    <row r="89" spans="1:19" ht="15.75" thickTop="1"/>
    <row r="90" spans="1:19">
      <c r="A90" s="45"/>
      <c r="B90" s="1" t="s">
        <v>490</v>
      </c>
    </row>
    <row r="91" spans="1:19">
      <c r="A91" s="46"/>
      <c r="B91" s="1" t="s">
        <v>491</v>
      </c>
    </row>
  </sheetData>
  <mergeCells count="47">
    <mergeCell ref="A56:B56"/>
    <mergeCell ref="A60:B60"/>
    <mergeCell ref="A64:B64"/>
    <mergeCell ref="A68:B68"/>
    <mergeCell ref="A72:B72"/>
    <mergeCell ref="R8:S8"/>
    <mergeCell ref="H7:I7"/>
    <mergeCell ref="J7:K7"/>
    <mergeCell ref="L7:M7"/>
    <mergeCell ref="N7:O7"/>
    <mergeCell ref="P7:Q7"/>
    <mergeCell ref="R7:S7"/>
    <mergeCell ref="H8:I8"/>
    <mergeCell ref="J8:K8"/>
    <mergeCell ref="L8:M8"/>
    <mergeCell ref="N8:O8"/>
    <mergeCell ref="P8:Q8"/>
    <mergeCell ref="R6:S6"/>
    <mergeCell ref="H5:I5"/>
    <mergeCell ref="J5:K5"/>
    <mergeCell ref="L5:M5"/>
    <mergeCell ref="N5:O5"/>
    <mergeCell ref="P5:Q5"/>
    <mergeCell ref="R5:S5"/>
    <mergeCell ref="H6:I6"/>
    <mergeCell ref="J6:K6"/>
    <mergeCell ref="L6:M6"/>
    <mergeCell ref="N6:O6"/>
    <mergeCell ref="P6:Q6"/>
    <mergeCell ref="R4:S4"/>
    <mergeCell ref="H3:I3"/>
    <mergeCell ref="J3:K3"/>
    <mergeCell ref="L3:M3"/>
    <mergeCell ref="N3:O3"/>
    <mergeCell ref="P3:Q3"/>
    <mergeCell ref="R3:S3"/>
    <mergeCell ref="H4:I4"/>
    <mergeCell ref="J4:K4"/>
    <mergeCell ref="L4:M4"/>
    <mergeCell ref="N4:O4"/>
    <mergeCell ref="P4:Q4"/>
    <mergeCell ref="R2:S2"/>
    <mergeCell ref="H2:I2"/>
    <mergeCell ref="J2:K2"/>
    <mergeCell ref="L2:M2"/>
    <mergeCell ref="N2:O2"/>
    <mergeCell ref="P2:Q2"/>
  </mergeCells>
  <hyperlinks>
    <hyperlink ref="B3" location="'Cost Summary'!A1" display="BACK TO SUMMARY SHEET" xr:uid="{86984F60-E640-4713-964D-DBE038698EA4}"/>
  </hyperlink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7DEA-3ACB-4080-9874-3EAD46B7C00D}">
  <dimension ref="A1:S97"/>
  <sheetViews>
    <sheetView workbookViewId="0">
      <pane xSplit="2" ySplit="9" topLeftCell="F46" activePane="bottomRight" state="frozen"/>
      <selection pane="bottomRight" activeCell="I59" sqref="I59:I60"/>
      <selection pane="bottomLeft" activeCell="A11" sqref="A11"/>
      <selection pane="topRight" activeCell="C1" sqref="C1"/>
    </sheetView>
  </sheetViews>
  <sheetFormatPr defaultRowHeight="15"/>
  <cols>
    <col min="1" max="1" width="11" customWidth="1"/>
    <col min="2" max="2" width="70.7109375" style="1" customWidth="1"/>
    <col min="3" max="3" width="10.85546875" style="2" bestFit="1" customWidth="1"/>
    <col min="4" max="5" width="7.5703125" style="2" customWidth="1"/>
    <col min="6" max="6" width="10.28515625" style="2" customWidth="1"/>
    <col min="7" max="7" width="12.28515625" style="2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E1" s="72"/>
      <c r="F1" s="55"/>
      <c r="G1" s="53" t="s">
        <v>436</v>
      </c>
    </row>
    <row r="2" spans="1:19" ht="15.75" thickBot="1">
      <c r="E2" s="72"/>
      <c r="F2" s="52"/>
      <c r="G2" s="53" t="s">
        <v>438</v>
      </c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</row>
    <row r="3" spans="1:19" ht="21" thickBot="1">
      <c r="B3" s="61" t="s">
        <v>441</v>
      </c>
      <c r="E3" s="72"/>
      <c r="F3" s="54"/>
      <c r="G3" s="53" t="s">
        <v>440</v>
      </c>
      <c r="H3" s="697" t="s">
        <v>569</v>
      </c>
      <c r="I3" s="698"/>
      <c r="J3" s="697" t="s">
        <v>570</v>
      </c>
      <c r="K3" s="698"/>
      <c r="L3" s="697" t="s">
        <v>571</v>
      </c>
      <c r="M3" s="698"/>
      <c r="N3" s="697" t="s">
        <v>572</v>
      </c>
      <c r="O3" s="698"/>
      <c r="P3" s="697" t="s">
        <v>573</v>
      </c>
      <c r="Q3" s="698"/>
      <c r="R3" s="697" t="s">
        <v>574</v>
      </c>
      <c r="S3" s="698"/>
    </row>
    <row r="4" spans="1:19" ht="15.75" thickTop="1">
      <c r="A4" s="3" t="s">
        <v>443</v>
      </c>
      <c r="B4" s="4" t="str">
        <f>'Area Calculations'!B4</f>
        <v>Bourbon Hotel Orlando</v>
      </c>
      <c r="C4" s="5"/>
      <c r="D4" s="5"/>
      <c r="E4" s="5"/>
      <c r="F4" s="5"/>
      <c r="G4" s="6" t="s">
        <v>444</v>
      </c>
      <c r="H4" s="673"/>
      <c r="I4" s="674"/>
      <c r="J4" s="700"/>
      <c r="K4" s="674"/>
      <c r="L4" s="700"/>
      <c r="M4" s="674"/>
      <c r="N4" s="700"/>
      <c r="O4" s="674"/>
      <c r="P4" s="700"/>
      <c r="Q4" s="674"/>
      <c r="R4" s="700"/>
      <c r="S4" s="674"/>
    </row>
    <row r="5" spans="1:19">
      <c r="A5" s="950" t="s">
        <v>575</v>
      </c>
      <c r="B5" s="497" t="s">
        <v>616</v>
      </c>
      <c r="C5" s="506"/>
      <c r="D5" s="506"/>
      <c r="E5" s="506"/>
      <c r="F5" s="506"/>
      <c r="G5" s="462" t="s">
        <v>446</v>
      </c>
      <c r="H5" s="675"/>
      <c r="I5" s="676"/>
      <c r="J5" s="993"/>
      <c r="K5" s="676"/>
      <c r="L5" s="993"/>
      <c r="M5" s="676"/>
      <c r="N5" s="993"/>
      <c r="O5" s="676"/>
      <c r="P5" s="993"/>
      <c r="Q5" s="676"/>
      <c r="R5" s="993"/>
      <c r="S5" s="676"/>
    </row>
    <row r="6" spans="1:19">
      <c r="A6" s="950" t="s">
        <v>577</v>
      </c>
      <c r="B6" s="509" t="s">
        <v>617</v>
      </c>
      <c r="C6" s="506"/>
      <c r="D6" s="506"/>
      <c r="E6" s="506"/>
      <c r="F6" s="506"/>
      <c r="G6" s="462" t="s">
        <v>448</v>
      </c>
      <c r="H6" s="677"/>
      <c r="I6" s="678"/>
      <c r="J6" s="994"/>
      <c r="K6" s="678"/>
      <c r="L6" s="994"/>
      <c r="M6" s="678"/>
      <c r="N6" s="994"/>
      <c r="O6" s="678"/>
      <c r="P6" s="994"/>
      <c r="Q6" s="678"/>
      <c r="R6" s="994"/>
      <c r="S6" s="678"/>
    </row>
    <row r="7" spans="1:19">
      <c r="A7" s="950" t="s">
        <v>579</v>
      </c>
      <c r="B7" s="511"/>
      <c r="C7" s="506"/>
      <c r="D7" s="506"/>
      <c r="E7" s="506"/>
      <c r="F7" s="506"/>
      <c r="G7" s="462" t="s">
        <v>450</v>
      </c>
      <c r="H7" s="679"/>
      <c r="I7" s="680"/>
      <c r="J7" s="995"/>
      <c r="K7" s="680"/>
      <c r="L7" s="995"/>
      <c r="M7" s="680"/>
      <c r="N7" s="995"/>
      <c r="O7" s="680"/>
      <c r="P7" s="995"/>
      <c r="Q7" s="680"/>
      <c r="R7" s="995"/>
      <c r="S7" s="680"/>
    </row>
    <row r="8" spans="1:19" ht="15.75" thickBot="1">
      <c r="A8" s="40" t="s">
        <v>451</v>
      </c>
      <c r="B8" s="7"/>
      <c r="C8" s="8"/>
      <c r="D8" s="8"/>
      <c r="E8" s="8"/>
      <c r="F8" s="8"/>
      <c r="G8" s="40" t="s">
        <v>451</v>
      </c>
      <c r="H8" s="996">
        <f>I58</f>
        <v>0</v>
      </c>
      <c r="I8" s="997"/>
      <c r="J8" s="996">
        <f>K58</f>
        <v>0</v>
      </c>
      <c r="K8" s="997"/>
      <c r="L8" s="996">
        <f>M58</f>
        <v>0</v>
      </c>
      <c r="M8" s="997"/>
      <c r="N8" s="996">
        <f>O58</f>
        <v>0</v>
      </c>
      <c r="O8" s="997"/>
      <c r="P8" s="996">
        <f>Q58</f>
        <v>0</v>
      </c>
      <c r="Q8" s="997"/>
      <c r="R8" s="996">
        <f>S58</f>
        <v>0</v>
      </c>
      <c r="S8" s="997"/>
    </row>
    <row r="9" spans="1:19" ht="31.5" thickTop="1" thickBot="1">
      <c r="A9" s="9" t="s">
        <v>452</v>
      </c>
      <c r="B9" s="10"/>
      <c r="C9" s="11" t="s">
        <v>453</v>
      </c>
      <c r="D9" s="11" t="s">
        <v>454</v>
      </c>
      <c r="E9" s="11" t="s">
        <v>455</v>
      </c>
      <c r="F9" s="11" t="s">
        <v>456</v>
      </c>
      <c r="G9" s="12" t="s">
        <v>457</v>
      </c>
      <c r="H9" s="13" t="s">
        <v>458</v>
      </c>
      <c r="I9" s="13" t="s">
        <v>459</v>
      </c>
      <c r="J9" s="13" t="s">
        <v>458</v>
      </c>
      <c r="K9" s="13" t="s">
        <v>459</v>
      </c>
      <c r="L9" s="13" t="s">
        <v>458</v>
      </c>
      <c r="M9" s="13" t="s">
        <v>459</v>
      </c>
      <c r="N9" s="13" t="s">
        <v>458</v>
      </c>
      <c r="O9" s="13" t="s">
        <v>459</v>
      </c>
      <c r="P9" s="13" t="s">
        <v>458</v>
      </c>
      <c r="Q9" s="13" t="s">
        <v>459</v>
      </c>
      <c r="R9" s="13" t="s">
        <v>458</v>
      </c>
      <c r="S9" s="13" t="s">
        <v>459</v>
      </c>
    </row>
    <row r="10" spans="1:19" ht="15.75" hidden="1" thickTop="1">
      <c r="A10" s="940"/>
      <c r="B10" s="956" t="s">
        <v>580</v>
      </c>
      <c r="C10" s="506"/>
      <c r="D10" s="506"/>
      <c r="E10" s="506"/>
      <c r="F10" s="506"/>
      <c r="G10" s="60"/>
      <c r="H10" s="957"/>
      <c r="I10" s="957"/>
      <c r="J10" s="957"/>
      <c r="K10" s="957"/>
      <c r="L10" s="957"/>
      <c r="M10" s="957"/>
      <c r="N10" s="957"/>
      <c r="O10" s="957"/>
      <c r="P10" s="957"/>
      <c r="Q10" s="957"/>
      <c r="R10" s="957"/>
      <c r="S10" s="957"/>
    </row>
    <row r="11" spans="1:19" hidden="1">
      <c r="A11" s="940"/>
      <c r="B11" s="497" t="e">
        <f>'Area Calculations'!#REF!</f>
        <v>#REF!</v>
      </c>
      <c r="C11" s="958" t="s">
        <v>581</v>
      </c>
      <c r="D11" s="506"/>
      <c r="E11" s="506"/>
      <c r="F11" s="506"/>
      <c r="G11" s="60"/>
      <c r="H11" s="957"/>
      <c r="I11" s="957"/>
      <c r="J11" s="957"/>
      <c r="K11" s="957"/>
      <c r="L11" s="957"/>
      <c r="M11" s="957"/>
      <c r="N11" s="957"/>
      <c r="O11" s="957"/>
      <c r="P11" s="957"/>
      <c r="Q11" s="957"/>
      <c r="R11" s="957"/>
      <c r="S11" s="957"/>
    </row>
    <row r="12" spans="1:19" hidden="1">
      <c r="A12" s="940"/>
      <c r="B12" s="497" t="e">
        <f>'Area Calculations'!#REF!</f>
        <v>#REF!</v>
      </c>
      <c r="C12" s="958" t="s">
        <v>581</v>
      </c>
      <c r="D12" s="506"/>
      <c r="E12" s="506"/>
      <c r="F12" s="506"/>
      <c r="G12" s="60"/>
      <c r="H12" s="957"/>
      <c r="I12" s="957"/>
      <c r="J12" s="957"/>
      <c r="K12" s="957"/>
      <c r="L12" s="957"/>
      <c r="M12" s="957"/>
      <c r="N12" s="957"/>
      <c r="O12" s="957"/>
      <c r="P12" s="957"/>
      <c r="Q12" s="957"/>
      <c r="R12" s="957"/>
      <c r="S12" s="957"/>
    </row>
    <row r="13" spans="1:19" hidden="1">
      <c r="A13" s="940"/>
      <c r="B13" s="497" t="e">
        <f>'Area Calculations'!#REF!</f>
        <v>#REF!</v>
      </c>
      <c r="C13" s="958" t="s">
        <v>581</v>
      </c>
      <c r="D13" s="506"/>
      <c r="E13" s="506"/>
      <c r="F13" s="506"/>
      <c r="G13" s="60"/>
      <c r="H13" s="957"/>
      <c r="I13" s="957"/>
      <c r="J13" s="957"/>
      <c r="K13" s="957"/>
      <c r="L13" s="957"/>
      <c r="M13" s="957"/>
      <c r="N13" s="957"/>
      <c r="O13" s="957"/>
      <c r="P13" s="957"/>
      <c r="Q13" s="957"/>
      <c r="R13" s="957"/>
      <c r="S13" s="957"/>
    </row>
    <row r="14" spans="1:19" hidden="1">
      <c r="A14" s="940"/>
      <c r="B14" s="497" t="e">
        <f>'Area Calculations'!#REF!</f>
        <v>#REF!</v>
      </c>
      <c r="C14" s="958" t="s">
        <v>581</v>
      </c>
      <c r="D14" s="506"/>
      <c r="E14" s="506"/>
      <c r="F14" s="506"/>
      <c r="G14" s="60"/>
      <c r="H14" s="957"/>
      <c r="I14" s="957"/>
      <c r="J14" s="957"/>
      <c r="K14" s="957"/>
      <c r="L14" s="957"/>
      <c r="M14" s="957"/>
      <c r="N14" s="957"/>
      <c r="O14" s="957"/>
      <c r="P14" s="957"/>
      <c r="Q14" s="957"/>
      <c r="R14" s="957"/>
      <c r="S14" s="957"/>
    </row>
    <row r="15" spans="1:19" hidden="1">
      <c r="A15" s="940"/>
      <c r="B15" s="497" t="e">
        <f>'Area Calculations'!#REF!</f>
        <v>#REF!</v>
      </c>
      <c r="C15" s="958" t="s">
        <v>581</v>
      </c>
      <c r="D15" s="506"/>
      <c r="E15" s="506"/>
      <c r="F15" s="506"/>
      <c r="G15" s="60"/>
      <c r="H15" s="957"/>
      <c r="I15" s="957"/>
      <c r="J15" s="957"/>
      <c r="K15" s="957"/>
      <c r="L15" s="957"/>
      <c r="M15" s="957"/>
      <c r="N15" s="957"/>
      <c r="O15" s="957"/>
      <c r="P15" s="957"/>
      <c r="Q15" s="957"/>
      <c r="R15" s="957"/>
      <c r="S15" s="957"/>
    </row>
    <row r="16" spans="1:19" hidden="1">
      <c r="A16" s="940"/>
      <c r="B16" s="497" t="e">
        <f>'Area Calculations'!#REF!</f>
        <v>#REF!</v>
      </c>
      <c r="C16" s="958" t="s">
        <v>581</v>
      </c>
      <c r="D16" s="506"/>
      <c r="E16" s="506"/>
      <c r="F16" s="506"/>
      <c r="G16" s="60"/>
      <c r="H16" s="957"/>
      <c r="I16" s="957"/>
      <c r="J16" s="957"/>
      <c r="K16" s="957"/>
      <c r="L16" s="957"/>
      <c r="M16" s="957"/>
      <c r="N16" s="957"/>
      <c r="O16" s="957"/>
      <c r="P16" s="957"/>
      <c r="Q16" s="957"/>
      <c r="R16" s="957"/>
      <c r="S16" s="957"/>
    </row>
    <row r="17" spans="1:19" hidden="1">
      <c r="A17" s="940"/>
      <c r="B17" s="497" t="e">
        <f>'Area Calculations'!#REF!</f>
        <v>#REF!</v>
      </c>
      <c r="C17" s="958" t="s">
        <v>581</v>
      </c>
      <c r="D17" s="506"/>
      <c r="E17" s="506"/>
      <c r="F17" s="506"/>
      <c r="G17" s="60"/>
      <c r="H17" s="957"/>
      <c r="I17" s="957"/>
      <c r="J17" s="957"/>
      <c r="K17" s="957"/>
      <c r="L17" s="957"/>
      <c r="M17" s="957"/>
      <c r="N17" s="957"/>
      <c r="O17" s="957"/>
      <c r="P17" s="957"/>
      <c r="Q17" s="957"/>
      <c r="R17" s="957"/>
      <c r="S17" s="957"/>
    </row>
    <row r="18" spans="1:19" hidden="1">
      <c r="A18" s="940"/>
      <c r="B18" s="497" t="e">
        <f>'Area Calculations'!#REF!</f>
        <v>#REF!</v>
      </c>
      <c r="C18" s="958" t="s">
        <v>581</v>
      </c>
      <c r="D18" s="506"/>
      <c r="E18" s="506"/>
      <c r="F18" s="506"/>
      <c r="G18" s="60"/>
      <c r="H18" s="957"/>
      <c r="I18" s="957"/>
      <c r="J18" s="957"/>
      <c r="K18" s="957"/>
      <c r="L18" s="957"/>
      <c r="M18" s="957"/>
      <c r="N18" s="957"/>
      <c r="O18" s="957"/>
      <c r="P18" s="957"/>
      <c r="Q18" s="957"/>
      <c r="R18" s="957"/>
      <c r="S18" s="957"/>
    </row>
    <row r="19" spans="1:19" hidden="1">
      <c r="A19" s="940"/>
      <c r="B19" s="497" t="e">
        <f>'Area Calculations'!#REF!</f>
        <v>#REF!</v>
      </c>
      <c r="C19" s="958" t="s">
        <v>581</v>
      </c>
      <c r="D19" s="506"/>
      <c r="E19" s="506"/>
      <c r="F19" s="506"/>
      <c r="G19" s="60"/>
      <c r="H19" s="957"/>
      <c r="I19" s="957"/>
      <c r="J19" s="957"/>
      <c r="K19" s="957"/>
      <c r="L19" s="957"/>
      <c r="M19" s="957"/>
      <c r="N19" s="957"/>
      <c r="O19" s="957"/>
      <c r="P19" s="957"/>
      <c r="Q19" s="957"/>
      <c r="R19" s="957"/>
      <c r="S19" s="957"/>
    </row>
    <row r="20" spans="1:19" ht="15.75" thickTop="1">
      <c r="A20" s="784"/>
      <c r="B20" s="497"/>
      <c r="C20" s="958"/>
      <c r="D20" s="506"/>
      <c r="E20" s="506"/>
      <c r="F20" s="506"/>
      <c r="G20" s="60"/>
      <c r="H20" s="957"/>
      <c r="I20" s="957"/>
      <c r="J20" s="957"/>
      <c r="K20" s="957"/>
      <c r="L20" s="957"/>
      <c r="M20" s="957"/>
      <c r="N20" s="957"/>
      <c r="O20" s="957"/>
      <c r="P20" s="957"/>
      <c r="Q20" s="957"/>
      <c r="R20" s="957"/>
      <c r="S20" s="957"/>
    </row>
    <row r="21" spans="1:19" ht="15.75" thickBot="1">
      <c r="A21" s="998"/>
      <c r="B21" s="959" t="s">
        <v>616</v>
      </c>
      <c r="C21" s="31"/>
      <c r="D21" s="32"/>
      <c r="E21" s="32"/>
      <c r="F21" s="32"/>
      <c r="G21" s="36"/>
      <c r="H21" s="1000"/>
      <c r="I21" s="782"/>
      <c r="J21" s="1000"/>
      <c r="K21" s="783"/>
      <c r="L21" s="1000"/>
      <c r="M21" s="783"/>
      <c r="N21" s="783"/>
      <c r="O21" s="783"/>
      <c r="P21" s="783"/>
      <c r="Q21" s="783"/>
      <c r="R21" s="783"/>
      <c r="S21" s="783"/>
    </row>
    <row r="22" spans="1:19">
      <c r="A22" s="998"/>
      <c r="B22" s="1019" t="s">
        <v>460</v>
      </c>
      <c r="C22" s="958"/>
      <c r="D22" s="506"/>
      <c r="E22" s="506"/>
      <c r="F22" s="506"/>
      <c r="G22" s="60"/>
      <c r="H22" s="1000"/>
      <c r="I22" s="782"/>
      <c r="J22" s="1000"/>
      <c r="K22" s="783"/>
      <c r="L22" s="1000"/>
      <c r="M22" s="783"/>
      <c r="N22" s="783"/>
      <c r="O22" s="783"/>
      <c r="P22" s="783"/>
      <c r="Q22" s="783"/>
      <c r="R22" s="783"/>
      <c r="S22" s="783"/>
    </row>
    <row r="23" spans="1:19">
      <c r="A23" s="998"/>
      <c r="B23" s="963" t="s">
        <v>461</v>
      </c>
      <c r="C23" s="958"/>
      <c r="D23" s="506"/>
      <c r="E23" s="506"/>
      <c r="F23" s="506"/>
      <c r="G23" s="60"/>
      <c r="H23" s="1000"/>
      <c r="I23" s="782"/>
      <c r="J23" s="1000"/>
      <c r="K23" s="783"/>
      <c r="L23" s="1000"/>
      <c r="M23" s="783"/>
      <c r="N23" s="783"/>
      <c r="O23" s="783"/>
      <c r="P23" s="783"/>
      <c r="Q23" s="783"/>
      <c r="R23" s="783"/>
      <c r="S23" s="783"/>
    </row>
    <row r="24" spans="1:19">
      <c r="A24" s="998"/>
      <c r="B24" s="963" t="s">
        <v>462</v>
      </c>
      <c r="C24" s="1002"/>
      <c r="D24" s="506"/>
      <c r="E24" s="506"/>
      <c r="F24" s="506"/>
      <c r="G24" s="60"/>
      <c r="H24" s="1000"/>
      <c r="I24" s="782"/>
      <c r="J24" s="1000"/>
      <c r="K24" s="783"/>
      <c r="L24" s="1000"/>
      <c r="M24" s="783"/>
      <c r="N24" s="783"/>
      <c r="O24" s="783"/>
      <c r="P24" s="783"/>
      <c r="Q24" s="783"/>
      <c r="R24" s="783"/>
      <c r="S24" s="783"/>
    </row>
    <row r="25" spans="1:19">
      <c r="A25" s="784"/>
      <c r="B25" s="965" t="s">
        <v>463</v>
      </c>
      <c r="C25" s="1002"/>
      <c r="D25" s="506"/>
      <c r="E25" s="506"/>
      <c r="F25" s="506"/>
      <c r="G25" s="60"/>
      <c r="H25" s="1000"/>
      <c r="I25" s="782"/>
      <c r="J25" s="1000"/>
      <c r="K25" s="783"/>
      <c r="L25" s="1000"/>
      <c r="M25" s="783"/>
      <c r="N25" s="783"/>
      <c r="O25" s="783"/>
      <c r="P25" s="783"/>
      <c r="Q25" s="783"/>
      <c r="R25" s="783"/>
      <c r="S25" s="783"/>
    </row>
    <row r="26" spans="1:19" s="41" customFormat="1">
      <c r="A26" s="998"/>
      <c r="B26" s="965" t="s">
        <v>464</v>
      </c>
      <c r="C26" s="315"/>
      <c r="D26" s="492"/>
      <c r="E26" s="492"/>
      <c r="F26" s="492"/>
      <c r="G26" s="315"/>
      <c r="H26" s="1000"/>
      <c r="I26" s="782"/>
      <c r="J26" s="1003"/>
      <c r="K26" s="794"/>
      <c r="L26" s="1003"/>
      <c r="M26" s="794"/>
      <c r="N26" s="794"/>
      <c r="O26" s="794"/>
      <c r="P26" s="794"/>
      <c r="Q26" s="794"/>
      <c r="R26" s="794"/>
      <c r="S26" s="794"/>
    </row>
    <row r="27" spans="1:19" s="41" customFormat="1">
      <c r="A27" s="998"/>
      <c r="B27" s="965" t="s">
        <v>465</v>
      </c>
      <c r="C27" s="315"/>
      <c r="D27" s="492"/>
      <c r="E27" s="492"/>
      <c r="F27" s="492"/>
      <c r="G27" s="315"/>
      <c r="H27" s="1000"/>
      <c r="I27" s="782"/>
      <c r="J27" s="1003"/>
      <c r="K27" s="794"/>
      <c r="L27" s="1003"/>
      <c r="M27" s="794"/>
      <c r="N27" s="794"/>
      <c r="O27" s="794"/>
      <c r="P27" s="794"/>
      <c r="Q27" s="794"/>
      <c r="R27" s="794"/>
      <c r="S27" s="794"/>
    </row>
    <row r="28" spans="1:19" s="41" customFormat="1">
      <c r="A28" s="998"/>
      <c r="B28" s="965" t="s">
        <v>466</v>
      </c>
      <c r="C28" s="315"/>
      <c r="D28" s="492"/>
      <c r="E28" s="492"/>
      <c r="F28" s="492"/>
      <c r="G28" s="315"/>
      <c r="H28" s="1000"/>
      <c r="I28" s="782"/>
      <c r="J28" s="1003"/>
      <c r="K28" s="794"/>
      <c r="L28" s="1003"/>
      <c r="M28" s="794"/>
      <c r="N28" s="794"/>
      <c r="O28" s="794"/>
      <c r="P28" s="794"/>
      <c r="Q28" s="794"/>
      <c r="R28" s="794"/>
      <c r="S28" s="794"/>
    </row>
    <row r="29" spans="1:19" s="41" customFormat="1">
      <c r="A29" s="998"/>
      <c r="B29" s="966" t="s">
        <v>467</v>
      </c>
      <c r="C29" s="315"/>
      <c r="D29" s="492"/>
      <c r="E29" s="492"/>
      <c r="F29" s="492"/>
      <c r="G29" s="315"/>
      <c r="H29" s="1000"/>
      <c r="I29" s="1000"/>
      <c r="J29" s="1003"/>
      <c r="K29" s="794"/>
      <c r="L29" s="1003"/>
      <c r="M29" s="794"/>
      <c r="N29" s="794"/>
      <c r="O29" s="794"/>
      <c r="P29" s="794"/>
      <c r="Q29" s="794"/>
      <c r="R29" s="794"/>
      <c r="S29" s="794"/>
    </row>
    <row r="30" spans="1:19" s="41" customFormat="1">
      <c r="A30" s="998"/>
      <c r="B30" s="967" t="s">
        <v>468</v>
      </c>
      <c r="C30" s="1004"/>
      <c r="D30" s="1005"/>
      <c r="E30" s="1005"/>
      <c r="F30" s="1005"/>
      <c r="G30" s="1004"/>
      <c r="H30" s="1006"/>
      <c r="I30" s="590"/>
      <c r="J30" s="1007"/>
      <c r="K30" s="791"/>
      <c r="L30" s="1007"/>
      <c r="M30" s="791"/>
      <c r="N30" s="791"/>
      <c r="O30" s="791"/>
      <c r="P30" s="791"/>
      <c r="Q30" s="791"/>
      <c r="R30" s="791"/>
      <c r="S30" s="791"/>
    </row>
    <row r="31" spans="1:19" s="41" customFormat="1">
      <c r="A31" s="998"/>
      <c r="B31" s="56"/>
      <c r="C31" s="315"/>
      <c r="D31" s="492"/>
      <c r="E31" s="492"/>
      <c r="F31" s="492"/>
      <c r="G31" s="315"/>
      <c r="H31" s="1000"/>
      <c r="I31" s="782"/>
      <c r="J31" s="1003"/>
      <c r="K31" s="794"/>
      <c r="L31" s="1003"/>
      <c r="M31" s="794"/>
      <c r="N31" s="794"/>
      <c r="O31" s="794"/>
      <c r="P31" s="794"/>
      <c r="Q31" s="794"/>
      <c r="R31" s="794"/>
      <c r="S31" s="794"/>
    </row>
    <row r="32" spans="1:19" s="41" customFormat="1">
      <c r="A32" s="999"/>
      <c r="B32" s="1021"/>
      <c r="C32" s="57"/>
      <c r="D32" s="492"/>
      <c r="E32" s="492"/>
      <c r="F32" s="492"/>
      <c r="G32" s="315"/>
      <c r="H32" s="1000"/>
      <c r="I32" s="782"/>
      <c r="J32" s="1003"/>
      <c r="K32" s="794"/>
      <c r="L32" s="1003"/>
      <c r="M32" s="794"/>
      <c r="N32" s="794"/>
      <c r="O32" s="794"/>
      <c r="P32" s="794"/>
      <c r="Q32" s="794"/>
      <c r="R32" s="794"/>
      <c r="S32" s="794"/>
    </row>
    <row r="33" spans="1:19" s="41" customFormat="1">
      <c r="A33" s="999"/>
      <c r="B33" s="1021"/>
      <c r="C33" s="57"/>
      <c r="D33" s="492"/>
      <c r="E33" s="492"/>
      <c r="F33" s="492"/>
      <c r="G33" s="315"/>
      <c r="H33" s="1000"/>
      <c r="I33" s="782"/>
      <c r="J33" s="1003"/>
      <c r="K33" s="794"/>
      <c r="L33" s="1003"/>
      <c r="M33" s="794"/>
      <c r="N33" s="794"/>
      <c r="O33" s="794"/>
      <c r="P33" s="794"/>
      <c r="Q33" s="794"/>
      <c r="R33" s="794"/>
      <c r="S33" s="794"/>
    </row>
    <row r="34" spans="1:19" s="41" customFormat="1">
      <c r="A34" s="999"/>
      <c r="B34" s="1021"/>
      <c r="C34" s="57"/>
      <c r="D34" s="492"/>
      <c r="E34" s="492"/>
      <c r="F34" s="492"/>
      <c r="G34" s="315"/>
      <c r="H34" s="1000"/>
      <c r="I34" s="782"/>
      <c r="J34" s="1003"/>
      <c r="K34" s="794"/>
      <c r="L34" s="1003"/>
      <c r="M34" s="794"/>
      <c r="N34" s="794"/>
      <c r="O34" s="794"/>
      <c r="P34" s="794"/>
      <c r="Q34" s="794"/>
      <c r="R34" s="794"/>
      <c r="S34" s="794"/>
    </row>
    <row r="35" spans="1:19" s="41" customFormat="1">
      <c r="A35" s="999"/>
      <c r="B35" s="1021"/>
      <c r="C35" s="57"/>
      <c r="D35" s="492"/>
      <c r="E35" s="492"/>
      <c r="F35" s="492"/>
      <c r="G35" s="315"/>
      <c r="H35" s="1000"/>
      <c r="I35" s="782"/>
      <c r="J35" s="1003"/>
      <c r="K35" s="794"/>
      <c r="L35" s="1003"/>
      <c r="M35" s="794"/>
      <c r="N35" s="794"/>
      <c r="O35" s="794"/>
      <c r="P35" s="794"/>
      <c r="Q35" s="794"/>
      <c r="R35" s="794"/>
      <c r="S35" s="794"/>
    </row>
    <row r="36" spans="1:19" s="41" customFormat="1">
      <c r="A36" s="999"/>
      <c r="B36" s="1021"/>
      <c r="C36" s="57"/>
      <c r="D36" s="492"/>
      <c r="E36" s="492"/>
      <c r="F36" s="492"/>
      <c r="G36" s="315"/>
      <c r="H36" s="1000"/>
      <c r="I36" s="782"/>
      <c r="J36" s="1003"/>
      <c r="K36" s="794"/>
      <c r="L36" s="1003"/>
      <c r="M36" s="794"/>
      <c r="N36" s="794"/>
      <c r="O36" s="794"/>
      <c r="P36" s="794"/>
      <c r="Q36" s="794"/>
      <c r="R36" s="794"/>
      <c r="S36" s="794"/>
    </row>
    <row r="37" spans="1:19" s="41" customFormat="1">
      <c r="A37" s="999"/>
      <c r="B37" s="1021"/>
      <c r="C37" s="57"/>
      <c r="D37" s="492"/>
      <c r="E37" s="1009"/>
      <c r="F37" s="1010"/>
      <c r="G37" s="315"/>
      <c r="H37" s="1000"/>
      <c r="I37" s="782"/>
      <c r="J37" s="1003"/>
      <c r="K37" s="794"/>
      <c r="L37" s="1003"/>
      <c r="M37" s="794"/>
      <c r="N37" s="794"/>
      <c r="O37" s="794"/>
      <c r="P37" s="794"/>
      <c r="Q37" s="794"/>
      <c r="R37" s="794"/>
      <c r="S37" s="794"/>
    </row>
    <row r="38" spans="1:19" s="41" customFormat="1">
      <c r="A38" s="999"/>
      <c r="B38" s="1021"/>
      <c r="C38" s="57"/>
      <c r="D38" s="492"/>
      <c r="E38" s="1009"/>
      <c r="F38" s="1010"/>
      <c r="G38" s="315"/>
      <c r="H38" s="1000"/>
      <c r="I38" s="782"/>
      <c r="J38" s="1003"/>
      <c r="K38" s="794"/>
      <c r="L38" s="1003"/>
      <c r="M38" s="794"/>
      <c r="N38" s="794"/>
      <c r="O38" s="794"/>
      <c r="P38" s="794"/>
      <c r="Q38" s="794"/>
      <c r="R38" s="794"/>
      <c r="S38" s="794"/>
    </row>
    <row r="39" spans="1:19" s="41" customFormat="1">
      <c r="A39" s="999"/>
      <c r="B39" s="1021"/>
      <c r="C39" s="57"/>
      <c r="D39" s="492"/>
      <c r="E39" s="1009"/>
      <c r="F39" s="1010"/>
      <c r="G39" s="315"/>
      <c r="H39" s="1000"/>
      <c r="I39" s="782"/>
      <c r="J39" s="1003"/>
      <c r="K39" s="794"/>
      <c r="L39" s="1003"/>
      <c r="M39" s="794"/>
      <c r="N39" s="794"/>
      <c r="O39" s="794"/>
      <c r="P39" s="794"/>
      <c r="Q39" s="794"/>
      <c r="R39" s="794"/>
      <c r="S39" s="794"/>
    </row>
    <row r="40" spans="1:19" s="41" customFormat="1">
      <c r="A40" s="999"/>
      <c r="B40" s="1021"/>
      <c r="C40" s="57"/>
      <c r="D40" s="492"/>
      <c r="E40" s="1009"/>
      <c r="F40" s="1010"/>
      <c r="G40" s="315"/>
      <c r="H40" s="1000"/>
      <c r="I40" s="782"/>
      <c r="J40" s="1003"/>
      <c r="K40" s="794"/>
      <c r="L40" s="1003"/>
      <c r="M40" s="794"/>
      <c r="N40" s="794"/>
      <c r="O40" s="794"/>
      <c r="P40" s="794"/>
      <c r="Q40" s="794"/>
      <c r="R40" s="794"/>
      <c r="S40" s="794"/>
    </row>
    <row r="41" spans="1:19" s="41" customFormat="1">
      <c r="A41" s="999"/>
      <c r="B41" s="1021"/>
      <c r="C41" s="57"/>
      <c r="D41" s="492"/>
      <c r="E41" s="1009"/>
      <c r="F41" s="1010"/>
      <c r="G41" s="315"/>
      <c r="H41" s="1000"/>
      <c r="I41" s="782"/>
      <c r="J41" s="1003"/>
      <c r="K41" s="794"/>
      <c r="L41" s="1003"/>
      <c r="M41" s="794"/>
      <c r="N41" s="794"/>
      <c r="O41" s="794"/>
      <c r="P41" s="794"/>
      <c r="Q41" s="794"/>
      <c r="R41" s="794"/>
      <c r="S41" s="794"/>
    </row>
    <row r="42" spans="1:19" s="41" customFormat="1">
      <c r="A42" s="999"/>
      <c r="B42" s="1021"/>
      <c r="C42" s="57"/>
      <c r="D42" s="492"/>
      <c r="E42" s="1009"/>
      <c r="F42" s="1010"/>
      <c r="G42" s="315"/>
      <c r="H42" s="1000"/>
      <c r="I42" s="782"/>
      <c r="J42" s="1003"/>
      <c r="K42" s="794"/>
      <c r="L42" s="1003"/>
      <c r="M42" s="794"/>
      <c r="N42" s="794"/>
      <c r="O42" s="794"/>
      <c r="P42" s="794"/>
      <c r="Q42" s="794"/>
      <c r="R42" s="794"/>
      <c r="S42" s="794"/>
    </row>
    <row r="43" spans="1:19" s="41" customFormat="1">
      <c r="A43" s="999"/>
      <c r="B43" s="1021"/>
      <c r="C43" s="57"/>
      <c r="D43" s="492"/>
      <c r="E43" s="1009"/>
      <c r="F43" s="1010"/>
      <c r="G43" s="315"/>
      <c r="H43" s="1000"/>
      <c r="I43" s="782"/>
      <c r="J43" s="1003"/>
      <c r="K43" s="794"/>
      <c r="L43" s="1003"/>
      <c r="M43" s="794"/>
      <c r="N43" s="794"/>
      <c r="O43" s="794"/>
      <c r="P43" s="794"/>
      <c r="Q43" s="794"/>
      <c r="R43" s="794"/>
      <c r="S43" s="794"/>
    </row>
    <row r="44" spans="1:19" s="41" customFormat="1">
      <c r="A44" s="999"/>
      <c r="B44" s="1021"/>
      <c r="C44" s="57"/>
      <c r="D44" s="492"/>
      <c r="E44" s="1009"/>
      <c r="F44" s="1010"/>
      <c r="G44" s="315"/>
      <c r="H44" s="1000"/>
      <c r="I44" s="782"/>
      <c r="J44" s="1003"/>
      <c r="K44" s="794"/>
      <c r="L44" s="1003"/>
      <c r="M44" s="794"/>
      <c r="N44" s="794"/>
      <c r="O44" s="794"/>
      <c r="P44" s="794"/>
      <c r="Q44" s="794"/>
      <c r="R44" s="794"/>
      <c r="S44" s="794"/>
    </row>
    <row r="45" spans="1:19" s="41" customFormat="1">
      <c r="A45" s="999"/>
      <c r="B45" s="1021"/>
      <c r="C45" s="57"/>
      <c r="D45" s="492"/>
      <c r="E45" s="1009"/>
      <c r="F45" s="1010"/>
      <c r="G45" s="315"/>
      <c r="H45" s="1000"/>
      <c r="I45" s="782"/>
      <c r="J45" s="1003"/>
      <c r="K45" s="794"/>
      <c r="L45" s="1003"/>
      <c r="M45" s="794"/>
      <c r="N45" s="794"/>
      <c r="O45" s="794"/>
      <c r="P45" s="794"/>
      <c r="Q45" s="794"/>
      <c r="R45" s="794"/>
      <c r="S45" s="794"/>
    </row>
    <row r="46" spans="1:19" s="41" customFormat="1">
      <c r="A46" s="999"/>
      <c r="B46" s="1021"/>
      <c r="C46" s="57"/>
      <c r="D46" s="492"/>
      <c r="E46" s="1009"/>
      <c r="F46" s="1010"/>
      <c r="G46" s="315"/>
      <c r="H46" s="1000"/>
      <c r="I46" s="782"/>
      <c r="J46" s="1003"/>
      <c r="K46" s="794"/>
      <c r="L46" s="1003"/>
      <c r="M46" s="794"/>
      <c r="N46" s="794"/>
      <c r="O46" s="794"/>
      <c r="P46" s="794"/>
      <c r="Q46" s="794"/>
      <c r="R46" s="794"/>
      <c r="S46" s="794"/>
    </row>
    <row r="47" spans="1:19" s="41" customFormat="1">
      <c r="A47" s="999"/>
      <c r="B47" s="1021"/>
      <c r="C47" s="57"/>
      <c r="D47" s="492"/>
      <c r="E47" s="1009"/>
      <c r="F47" s="1010"/>
      <c r="G47" s="315"/>
      <c r="H47" s="1000"/>
      <c r="I47" s="782"/>
      <c r="J47" s="1003"/>
      <c r="K47" s="794"/>
      <c r="L47" s="1003"/>
      <c r="M47" s="794"/>
      <c r="N47" s="794"/>
      <c r="O47" s="794"/>
      <c r="P47" s="794"/>
      <c r="Q47" s="794"/>
      <c r="R47" s="794"/>
      <c r="S47" s="794"/>
    </row>
    <row r="48" spans="1:19" s="41" customFormat="1">
      <c r="A48" s="999"/>
      <c r="B48" s="1021"/>
      <c r="C48" s="57"/>
      <c r="D48" s="492"/>
      <c r="E48" s="1009"/>
      <c r="F48" s="1010"/>
      <c r="G48" s="315"/>
      <c r="H48" s="1000"/>
      <c r="I48" s="782"/>
      <c r="J48" s="1003"/>
      <c r="K48" s="794"/>
      <c r="L48" s="1003"/>
      <c r="M48" s="794"/>
      <c r="N48" s="794"/>
      <c r="O48" s="794"/>
      <c r="P48" s="794"/>
      <c r="Q48" s="794"/>
      <c r="R48" s="794"/>
      <c r="S48" s="794"/>
    </row>
    <row r="49" spans="1:19" s="41" customFormat="1">
      <c r="A49" s="999"/>
      <c r="B49" s="1021"/>
      <c r="C49" s="57"/>
      <c r="D49" s="492"/>
      <c r="E49" s="1009"/>
      <c r="F49" s="1010"/>
      <c r="G49" s="315"/>
      <c r="H49" s="1000"/>
      <c r="I49" s="782"/>
      <c r="J49" s="1003"/>
      <c r="K49" s="794"/>
      <c r="L49" s="1003"/>
      <c r="M49" s="794"/>
      <c r="N49" s="794"/>
      <c r="O49" s="794"/>
      <c r="P49" s="794"/>
      <c r="Q49" s="794"/>
      <c r="R49" s="794"/>
      <c r="S49" s="794"/>
    </row>
    <row r="50" spans="1:19" s="41" customFormat="1">
      <c r="A50" s="999"/>
      <c r="B50" s="1021"/>
      <c r="C50" s="57"/>
      <c r="D50" s="492"/>
      <c r="E50" s="1009"/>
      <c r="F50" s="1010"/>
      <c r="G50" s="315"/>
      <c r="H50" s="1000"/>
      <c r="I50" s="782"/>
      <c r="J50" s="1003"/>
      <c r="K50" s="794"/>
      <c r="L50" s="1003"/>
      <c r="M50" s="794"/>
      <c r="N50" s="794"/>
      <c r="O50" s="794"/>
      <c r="P50" s="794"/>
      <c r="Q50" s="794"/>
      <c r="R50" s="794"/>
      <c r="S50" s="794"/>
    </row>
    <row r="51" spans="1:19" s="41" customFormat="1">
      <c r="A51" s="999"/>
      <c r="B51" s="1008"/>
      <c r="C51" s="57"/>
      <c r="D51" s="492"/>
      <c r="E51" s="1009"/>
      <c r="F51" s="1010"/>
      <c r="G51" s="315"/>
      <c r="H51" s="1000"/>
      <c r="I51" s="782"/>
      <c r="J51" s="1003"/>
      <c r="K51" s="794"/>
      <c r="L51" s="1003"/>
      <c r="M51" s="794"/>
      <c r="N51" s="794"/>
      <c r="O51" s="794"/>
      <c r="P51" s="794"/>
      <c r="Q51" s="794"/>
      <c r="R51" s="794"/>
      <c r="S51" s="794"/>
    </row>
    <row r="52" spans="1:19" s="41" customFormat="1">
      <c r="A52" s="999"/>
      <c r="B52" s="1008"/>
      <c r="C52" s="57"/>
      <c r="D52" s="492"/>
      <c r="E52" s="1009"/>
      <c r="F52" s="1010"/>
      <c r="G52" s="315"/>
      <c r="H52" s="1000"/>
      <c r="I52" s="782"/>
      <c r="J52" s="1003"/>
      <c r="K52" s="794"/>
      <c r="L52" s="1003"/>
      <c r="M52" s="794"/>
      <c r="N52" s="794"/>
      <c r="O52" s="794"/>
      <c r="P52" s="794"/>
      <c r="Q52" s="794"/>
      <c r="R52" s="794"/>
      <c r="S52" s="794"/>
    </row>
    <row r="53" spans="1:19" s="41" customFormat="1" ht="15.75" thickBot="1">
      <c r="A53" s="999"/>
      <c r="B53" s="1008"/>
      <c r="C53" s="57"/>
      <c r="D53" s="492"/>
      <c r="E53" s="1009"/>
      <c r="F53" s="1010"/>
      <c r="G53" s="315"/>
      <c r="H53" s="1000"/>
      <c r="I53" s="782"/>
      <c r="J53" s="1003"/>
      <c r="K53" s="794"/>
      <c r="L53" s="1003"/>
      <c r="M53" s="794"/>
      <c r="N53" s="794"/>
      <c r="O53" s="794"/>
      <c r="P53" s="794"/>
      <c r="Q53" s="794"/>
      <c r="R53" s="794"/>
      <c r="S53" s="794"/>
    </row>
    <row r="54" spans="1:19" ht="15.75" thickTop="1">
      <c r="A54" s="15"/>
      <c r="B54" s="16"/>
      <c r="C54" s="17"/>
      <c r="D54" s="17"/>
      <c r="E54" s="18"/>
      <c r="F54" s="19" t="s">
        <v>470</v>
      </c>
      <c r="G54" s="20"/>
      <c r="H54" s="21"/>
      <c r="I54" s="35">
        <f>SUM(I23:I53)</f>
        <v>0</v>
      </c>
      <c r="J54" s="21"/>
      <c r="K54" s="35">
        <f>SUM(K23:K53)</f>
        <v>0</v>
      </c>
      <c r="L54" s="21"/>
      <c r="M54" s="35">
        <f>SUM(M23:M53)</f>
        <v>0</v>
      </c>
      <c r="N54" s="21"/>
      <c r="O54" s="35">
        <f>SUM(O23:O53)</f>
        <v>0</v>
      </c>
      <c r="P54" s="21"/>
      <c r="Q54" s="35">
        <f>SUM(Q23:Q53)</f>
        <v>0</v>
      </c>
      <c r="R54" s="21"/>
      <c r="S54" s="35">
        <f>SUM(S23:S53)</f>
        <v>0</v>
      </c>
    </row>
    <row r="55" spans="1:19">
      <c r="A55" s="930"/>
      <c r="B55" s="496"/>
      <c r="C55" s="493"/>
      <c r="D55" s="493"/>
      <c r="E55" s="521"/>
      <c r="F55" s="494" t="s">
        <v>471</v>
      </c>
      <c r="G55" s="464"/>
      <c r="H55" s="931">
        <v>0</v>
      </c>
      <c r="I55" s="1015"/>
      <c r="J55" s="931">
        <v>0</v>
      </c>
      <c r="K55" s="1015"/>
      <c r="L55" s="931">
        <v>0</v>
      </c>
      <c r="M55" s="1015"/>
      <c r="N55" s="931">
        <v>0</v>
      </c>
      <c r="O55" s="1015"/>
      <c r="P55" s="931">
        <v>0</v>
      </c>
      <c r="Q55" s="1015"/>
      <c r="R55" s="931">
        <v>0</v>
      </c>
      <c r="S55" s="1015"/>
    </row>
    <row r="56" spans="1:19">
      <c r="A56" s="930"/>
      <c r="B56" s="496"/>
      <c r="C56" s="493"/>
      <c r="D56" s="493"/>
      <c r="E56" s="521"/>
      <c r="F56" s="494" t="s">
        <v>472</v>
      </c>
      <c r="G56" s="464"/>
      <c r="H56" s="932"/>
      <c r="I56" s="1016">
        <f>H55*I54</f>
        <v>0</v>
      </c>
      <c r="J56" s="932"/>
      <c r="K56" s="1016">
        <f>J55*K54</f>
        <v>0</v>
      </c>
      <c r="L56" s="932"/>
      <c r="M56" s="1016">
        <f>L55*M54</f>
        <v>0</v>
      </c>
      <c r="N56" s="932"/>
      <c r="O56" s="1016">
        <f>N55*O54</f>
        <v>0</v>
      </c>
      <c r="P56" s="932"/>
      <c r="Q56" s="1016">
        <f>P55*Q54</f>
        <v>0</v>
      </c>
      <c r="R56" s="932"/>
      <c r="S56" s="1016">
        <f>R55*S54</f>
        <v>0</v>
      </c>
    </row>
    <row r="57" spans="1:19">
      <c r="A57" s="930"/>
      <c r="B57" s="496"/>
      <c r="C57" s="493"/>
      <c r="D57" s="493"/>
      <c r="E57" s="521"/>
      <c r="F57" s="494"/>
      <c r="G57" s="464"/>
      <c r="H57" s="932"/>
      <c r="I57" s="933"/>
      <c r="J57" s="932"/>
      <c r="K57" s="933"/>
      <c r="L57" s="932"/>
      <c r="M57" s="933"/>
      <c r="N57" s="932"/>
      <c r="O57" s="933"/>
      <c r="P57" s="932"/>
      <c r="Q57" s="933"/>
      <c r="R57" s="932"/>
      <c r="S57" s="933"/>
    </row>
    <row r="58" spans="1:19">
      <c r="A58" s="930"/>
      <c r="B58" s="496"/>
      <c r="C58" s="493"/>
      <c r="D58" s="493"/>
      <c r="E58" s="521"/>
      <c r="F58" s="494" t="s">
        <v>473</v>
      </c>
      <c r="G58" s="464"/>
      <c r="H58" s="934"/>
      <c r="I58" s="1017">
        <f>SUM(I54:I56)</f>
        <v>0</v>
      </c>
      <c r="J58" s="934"/>
      <c r="K58" s="1017">
        <f>SUM(K54:K56)</f>
        <v>0</v>
      </c>
      <c r="L58" s="934"/>
      <c r="M58" s="1017">
        <f>SUM(M54:M56)</f>
        <v>0</v>
      </c>
      <c r="N58" s="934"/>
      <c r="O58" s="1017">
        <f>SUM(O54:O56)</f>
        <v>0</v>
      </c>
      <c r="P58" s="934"/>
      <c r="Q58" s="1017">
        <f>SUM(Q54:Q56)</f>
        <v>0</v>
      </c>
      <c r="R58" s="934"/>
      <c r="S58" s="1017">
        <f>SUM(S54:S56)</f>
        <v>0</v>
      </c>
    </row>
    <row r="59" spans="1:19">
      <c r="A59" s="930"/>
      <c r="B59" s="496"/>
      <c r="C59" s="493"/>
      <c r="D59" s="493"/>
      <c r="E59" s="521"/>
      <c r="F59" s="495" t="s">
        <v>474</v>
      </c>
      <c r="G59" s="902"/>
      <c r="H59" s="935"/>
      <c r="I59" s="937">
        <f>I58/'Area Calculations'!$G$5</f>
        <v>0</v>
      </c>
      <c r="J59" s="935"/>
      <c r="K59" s="937">
        <f>K58/'Area Calculations'!$G$5</f>
        <v>0</v>
      </c>
      <c r="L59" s="935"/>
      <c r="M59" s="937">
        <f>M58/'Area Calculations'!$G$5</f>
        <v>0</v>
      </c>
      <c r="N59" s="935"/>
      <c r="O59" s="937">
        <f>O58/'Area Calculations'!$G$5</f>
        <v>0</v>
      </c>
      <c r="P59" s="935"/>
      <c r="Q59" s="937">
        <f>Q58/'Area Calculations'!$G$5</f>
        <v>0</v>
      </c>
      <c r="R59" s="935"/>
      <c r="S59" s="937">
        <f>S58/'Area Calculations'!$G$5</f>
        <v>0</v>
      </c>
    </row>
    <row r="60" spans="1:19">
      <c r="A60" s="930"/>
      <c r="B60" s="496"/>
      <c r="C60" s="493"/>
      <c r="D60" s="493"/>
      <c r="E60" s="521"/>
      <c r="F60" s="495" t="s">
        <v>582</v>
      </c>
      <c r="G60" s="978"/>
      <c r="H60" s="935"/>
      <c r="I60" s="937">
        <f>I58/'Area Calculations'!$G$9</f>
        <v>0</v>
      </c>
      <c r="J60" s="935"/>
      <c r="K60" s="937">
        <f>K58/'Area Calculations'!$G$9</f>
        <v>0</v>
      </c>
      <c r="L60" s="935"/>
      <c r="M60" s="937">
        <f>M58/'Area Calculations'!$G$9</f>
        <v>0</v>
      </c>
      <c r="N60" s="935"/>
      <c r="O60" s="937">
        <f>O58/'Area Calculations'!$G$9</f>
        <v>0</v>
      </c>
      <c r="P60" s="935"/>
      <c r="Q60" s="937">
        <f>Q58/'Area Calculations'!$G$9</f>
        <v>0</v>
      </c>
      <c r="R60" s="935"/>
      <c r="S60" s="937">
        <f>S58/'Area Calculations'!$G$9</f>
        <v>0</v>
      </c>
    </row>
    <row r="61" spans="1:19" ht="15.75" thickBot="1">
      <c r="A61" s="930"/>
      <c r="B61" s="496"/>
      <c r="C61" s="493"/>
      <c r="D61" s="493"/>
      <c r="E61" s="521"/>
      <c r="F61" s="494"/>
      <c r="G61" s="979"/>
      <c r="H61" s="980"/>
      <c r="I61" s="981"/>
      <c r="J61" s="980"/>
      <c r="K61" s="981"/>
      <c r="L61" s="980"/>
      <c r="M61" s="981"/>
      <c r="N61" s="980"/>
      <c r="O61" s="981"/>
      <c r="P61" s="980"/>
      <c r="Q61" s="981"/>
      <c r="R61" s="980"/>
      <c r="S61" s="981"/>
    </row>
    <row r="62" spans="1:19" ht="16.5" thickTop="1" thickBot="1">
      <c r="A62" s="691" t="s">
        <v>475</v>
      </c>
      <c r="B62" s="692"/>
      <c r="C62" s="14"/>
      <c r="D62" s="14"/>
      <c r="E62" s="14"/>
      <c r="F62" s="14"/>
      <c r="G62" s="29"/>
      <c r="H62" s="27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 spans="1:19" ht="15.75" thickTop="1">
      <c r="A63" s="795"/>
      <c r="B63" s="497"/>
      <c r="C63" s="796"/>
      <c r="D63" s="796"/>
      <c r="E63" s="796"/>
      <c r="F63" s="796"/>
      <c r="G63" s="982"/>
      <c r="H63" s="591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</row>
    <row r="64" spans="1:19" s="2" customFormat="1">
      <c r="A64" s="795"/>
      <c r="B64" s="497"/>
      <c r="C64" s="796"/>
      <c r="D64" s="796"/>
      <c r="E64" s="796"/>
      <c r="F64" s="796"/>
      <c r="G64" s="982"/>
      <c r="H64" s="591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</row>
    <row r="65" spans="1:19" s="2" customFormat="1" ht="15.75" thickBot="1">
      <c r="A65" s="795"/>
      <c r="B65" s="497"/>
      <c r="C65" s="796"/>
      <c r="D65" s="796"/>
      <c r="E65" s="796"/>
      <c r="F65" s="796"/>
      <c r="G65" s="982"/>
      <c r="H65" s="591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19" ht="16.5" thickTop="1" thickBot="1">
      <c r="A66" s="691" t="s">
        <v>476</v>
      </c>
      <c r="B66" s="692"/>
      <c r="C66" s="14"/>
      <c r="D66" s="14"/>
      <c r="E66" s="14"/>
      <c r="F66" s="14"/>
      <c r="G66" s="29"/>
      <c r="H66" s="27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1:19" s="2" customFormat="1" ht="15.75" thickTop="1">
      <c r="A67" s="795"/>
      <c r="B67" s="497"/>
      <c r="C67" s="796"/>
      <c r="D67" s="796"/>
      <c r="E67" s="796"/>
      <c r="F67" s="796"/>
      <c r="G67" s="982"/>
      <c r="H67" s="591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</row>
    <row r="68" spans="1:19" s="2" customFormat="1">
      <c r="A68" s="795"/>
      <c r="B68" s="497"/>
      <c r="C68" s="796"/>
      <c r="D68" s="796"/>
      <c r="E68" s="796"/>
      <c r="F68" s="796"/>
      <c r="G68" s="982"/>
      <c r="H68" s="591"/>
      <c r="I68" s="799"/>
      <c r="J68" s="799"/>
      <c r="K68" s="799"/>
      <c r="L68" s="799"/>
      <c r="M68" s="799"/>
      <c r="N68" s="799"/>
      <c r="O68" s="799"/>
      <c r="P68" s="799"/>
      <c r="Q68" s="799"/>
      <c r="R68" s="799"/>
      <c r="S68" s="799"/>
    </row>
    <row r="69" spans="1:19" ht="15.75" thickBot="1">
      <c r="A69" s="795"/>
      <c r="B69" s="497"/>
      <c r="C69" s="796"/>
      <c r="D69" s="796"/>
      <c r="E69" s="796"/>
      <c r="F69" s="796"/>
      <c r="G69" s="982"/>
      <c r="H69" s="591"/>
      <c r="I69" s="799"/>
      <c r="J69" s="799"/>
      <c r="K69" s="799"/>
      <c r="L69" s="799"/>
      <c r="M69" s="799"/>
      <c r="N69" s="799"/>
      <c r="O69" s="799"/>
      <c r="P69" s="799"/>
      <c r="Q69" s="799"/>
      <c r="R69" s="799"/>
      <c r="S69" s="799"/>
    </row>
    <row r="70" spans="1:19" ht="16.5" thickTop="1" thickBot="1">
      <c r="A70" s="691" t="s">
        <v>477</v>
      </c>
      <c r="B70" s="692"/>
      <c r="C70" s="14"/>
      <c r="D70" s="14"/>
      <c r="E70" s="14"/>
      <c r="F70" s="14"/>
      <c r="G70" s="29"/>
      <c r="H70" s="27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</row>
    <row r="71" spans="1:19" ht="15.75" thickTop="1">
      <c r="A71" s="795"/>
      <c r="B71" s="497"/>
      <c r="C71" s="796"/>
      <c r="D71" s="796"/>
      <c r="E71" s="796"/>
      <c r="F71" s="796"/>
      <c r="G71" s="982"/>
      <c r="H71" s="591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</row>
    <row r="72" spans="1:19">
      <c r="A72" s="940"/>
      <c r="B72" s="497"/>
      <c r="C72" s="506"/>
      <c r="D72" s="506"/>
      <c r="E72" s="506"/>
      <c r="F72" s="506"/>
      <c r="G72" s="983"/>
      <c r="H72" s="984"/>
      <c r="I72" s="941"/>
      <c r="J72" s="941"/>
      <c r="K72" s="941"/>
      <c r="L72" s="941"/>
      <c r="M72" s="941"/>
      <c r="N72" s="941"/>
      <c r="O72" s="941"/>
      <c r="P72" s="941"/>
      <c r="Q72" s="941"/>
      <c r="R72" s="941"/>
      <c r="S72" s="941"/>
    </row>
    <row r="73" spans="1:19" ht="15.75" thickBot="1">
      <c r="A73" s="942"/>
      <c r="B73" s="501"/>
      <c r="C73" s="506"/>
      <c r="D73" s="506"/>
      <c r="E73" s="506"/>
      <c r="F73" s="506"/>
      <c r="G73" s="983"/>
      <c r="H73" s="985"/>
      <c r="I73" s="943"/>
      <c r="J73" s="943"/>
      <c r="K73" s="943"/>
      <c r="L73" s="943"/>
      <c r="M73" s="943"/>
      <c r="N73" s="943"/>
      <c r="O73" s="943"/>
      <c r="P73" s="943"/>
      <c r="Q73" s="943"/>
      <c r="R73" s="943"/>
      <c r="S73" s="943"/>
    </row>
    <row r="74" spans="1:19" ht="16.5" thickTop="1" thickBot="1">
      <c r="A74" s="691" t="s">
        <v>478</v>
      </c>
      <c r="B74" s="692"/>
      <c r="C74" s="14"/>
      <c r="D74" s="14"/>
      <c r="E74" s="14"/>
      <c r="F74" s="14"/>
      <c r="G74" s="29"/>
      <c r="H74" s="27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19" ht="15.75" thickTop="1">
      <c r="A75" s="800"/>
      <c r="B75" s="801"/>
      <c r="C75" s="796"/>
      <c r="D75" s="796"/>
      <c r="E75" s="796"/>
      <c r="F75" s="796"/>
      <c r="G75" s="982"/>
      <c r="H75" s="591"/>
      <c r="I75" s="799"/>
      <c r="J75" s="799"/>
      <c r="K75" s="799"/>
      <c r="L75" s="799"/>
      <c r="M75" s="799"/>
      <c r="N75" s="799"/>
      <c r="O75" s="799"/>
      <c r="P75" s="799"/>
      <c r="Q75" s="799"/>
      <c r="R75" s="799"/>
      <c r="S75" s="799"/>
    </row>
    <row r="76" spans="1:19">
      <c r="A76" s="942"/>
      <c r="B76" s="501"/>
      <c r="C76" s="506"/>
      <c r="D76" s="506"/>
      <c r="E76" s="506"/>
      <c r="F76" s="506"/>
      <c r="G76" s="983"/>
      <c r="H76" s="986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19" ht="15.75" thickBot="1">
      <c r="A77" s="942"/>
      <c r="B77" s="501"/>
      <c r="C77" s="506"/>
      <c r="D77" s="506"/>
      <c r="E77" s="506"/>
      <c r="F77" s="506"/>
      <c r="G77" s="983"/>
      <c r="H77" s="986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19" ht="16.5" thickTop="1" thickBot="1">
      <c r="A78" s="691" t="s">
        <v>479</v>
      </c>
      <c r="B78" s="692"/>
      <c r="C78" s="14"/>
      <c r="D78" s="14"/>
      <c r="E78" s="14"/>
      <c r="F78" s="14"/>
      <c r="G78" s="29"/>
      <c r="H78" s="27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ht="15.75" thickTop="1">
      <c r="A79" s="940"/>
      <c r="B79" s="497" t="s">
        <v>480</v>
      </c>
      <c r="C79" s="506"/>
      <c r="D79" s="506"/>
      <c r="E79" s="506"/>
      <c r="F79" s="506"/>
      <c r="G79" s="983"/>
      <c r="H79" s="986"/>
      <c r="I79" s="944"/>
      <c r="J79" s="944"/>
      <c r="K79" s="944"/>
      <c r="L79" s="944"/>
      <c r="M79" s="944"/>
      <c r="N79" s="944"/>
      <c r="O79" s="944"/>
      <c r="P79" s="944"/>
      <c r="Q79" s="944"/>
      <c r="R79" s="944"/>
      <c r="S79" s="944"/>
    </row>
    <row r="80" spans="1:19">
      <c r="A80" s="940"/>
      <c r="B80" s="497" t="s">
        <v>481</v>
      </c>
      <c r="C80" s="506"/>
      <c r="D80" s="506"/>
      <c r="E80" s="506"/>
      <c r="F80" s="506"/>
      <c r="G80" s="983"/>
      <c r="H80" s="986"/>
      <c r="I80" s="944"/>
      <c r="J80" s="944"/>
      <c r="K80" s="944"/>
      <c r="L80" s="944"/>
      <c r="M80" s="944"/>
      <c r="N80" s="944"/>
      <c r="O80" s="944"/>
      <c r="P80" s="944"/>
      <c r="Q80" s="944"/>
      <c r="R80" s="944"/>
      <c r="S80" s="944"/>
    </row>
    <row r="81" spans="1:19">
      <c r="A81" s="940"/>
      <c r="B81" s="497" t="s">
        <v>482</v>
      </c>
      <c r="C81" s="506"/>
      <c r="D81" s="506"/>
      <c r="E81" s="506"/>
      <c r="F81" s="506"/>
      <c r="G81" s="983"/>
      <c r="H81" s="986"/>
      <c r="I81" s="944"/>
      <c r="J81" s="944"/>
      <c r="K81" s="944"/>
      <c r="L81" s="944"/>
      <c r="M81" s="944"/>
      <c r="N81" s="944"/>
      <c r="O81" s="944"/>
      <c r="P81" s="944"/>
      <c r="Q81" s="944"/>
      <c r="R81" s="944"/>
      <c r="S81" s="944"/>
    </row>
    <row r="82" spans="1:19">
      <c r="A82" s="940"/>
      <c r="B82" s="497" t="s">
        <v>483</v>
      </c>
      <c r="C82" s="506"/>
      <c r="D82" s="506"/>
      <c r="E82" s="506"/>
      <c r="F82" s="506"/>
      <c r="G82" s="983"/>
      <c r="H82" s="986"/>
      <c r="I82" s="944"/>
      <c r="J82" s="944"/>
      <c r="K82" s="944"/>
      <c r="L82" s="944"/>
      <c r="M82" s="944"/>
      <c r="N82" s="944"/>
      <c r="O82" s="944"/>
      <c r="P82" s="944"/>
      <c r="Q82" s="944"/>
      <c r="R82" s="944"/>
      <c r="S82" s="944"/>
    </row>
    <row r="83" spans="1:19" ht="15.75" thickBot="1">
      <c r="A83" s="23"/>
      <c r="B83" s="7"/>
      <c r="C83" s="8"/>
      <c r="D83" s="8"/>
      <c r="E83" s="8"/>
      <c r="F83" s="8"/>
      <c r="G83" s="30"/>
      <c r="H83" s="28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</row>
    <row r="84" spans="1:19" ht="16.5" thickTop="1" thickBot="1">
      <c r="A84" s="9" t="s">
        <v>484</v>
      </c>
      <c r="B84" s="10"/>
      <c r="C84" s="14"/>
      <c r="D84" s="14"/>
      <c r="E84" s="14"/>
      <c r="F84" s="14"/>
      <c r="G84" s="29"/>
      <c r="H84" s="27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 spans="1:19" ht="15.75" thickTop="1">
      <c r="A85" s="795"/>
      <c r="B85" s="802" t="s">
        <v>485</v>
      </c>
      <c r="C85" s="796"/>
      <c r="D85" s="796"/>
      <c r="E85" s="796"/>
      <c r="F85" s="796"/>
      <c r="G85" s="982"/>
      <c r="H85" s="783"/>
      <c r="I85" s="803"/>
      <c r="J85" s="803"/>
      <c r="K85" s="803"/>
      <c r="L85" s="803"/>
      <c r="M85" s="803"/>
      <c r="N85" s="803"/>
      <c r="O85" s="803"/>
      <c r="P85" s="803"/>
      <c r="Q85" s="803"/>
      <c r="R85" s="803"/>
      <c r="S85" s="803"/>
    </row>
    <row r="86" spans="1:19">
      <c r="A86" s="940"/>
      <c r="B86" s="497" t="s">
        <v>486</v>
      </c>
      <c r="C86" s="506"/>
      <c r="D86" s="506"/>
      <c r="E86" s="506"/>
      <c r="F86" s="506"/>
      <c r="G86" s="983"/>
      <c r="H86" s="987"/>
      <c r="I86" s="945"/>
      <c r="J86" s="945"/>
      <c r="K86" s="945"/>
      <c r="L86" s="945"/>
      <c r="M86" s="945"/>
      <c r="N86" s="945"/>
      <c r="O86" s="945"/>
      <c r="P86" s="945"/>
      <c r="Q86" s="945"/>
      <c r="R86" s="945"/>
      <c r="S86" s="945"/>
    </row>
    <row r="87" spans="1:19" ht="15.75" thickBot="1">
      <c r="A87" s="865"/>
      <c r="B87" s="866" t="s">
        <v>487</v>
      </c>
      <c r="C87" s="867"/>
      <c r="D87" s="867"/>
      <c r="E87" s="867"/>
      <c r="F87" s="867"/>
      <c r="G87" s="988"/>
      <c r="H87" s="989"/>
      <c r="I87" s="871"/>
      <c r="J87" s="871"/>
      <c r="K87" s="871"/>
      <c r="L87" s="871"/>
      <c r="M87" s="871"/>
      <c r="N87" s="871"/>
      <c r="O87" s="871"/>
      <c r="P87" s="871"/>
      <c r="Q87" s="871"/>
      <c r="R87" s="871"/>
      <c r="S87" s="871"/>
    </row>
    <row r="88" spans="1:19" ht="16.5" thickTop="1" thickBot="1"/>
    <row r="89" spans="1:19" ht="16.5" thickTop="1" thickBot="1">
      <c r="A89" s="42" t="s">
        <v>488</v>
      </c>
      <c r="B89" s="44"/>
    </row>
    <row r="90" spans="1:19" ht="15.75" thickTop="1">
      <c r="A90" s="43" t="s">
        <v>444</v>
      </c>
      <c r="B90" s="946"/>
    </row>
    <row r="91" spans="1:19">
      <c r="A91" s="504" t="s">
        <v>446</v>
      </c>
      <c r="B91" s="946"/>
    </row>
    <row r="92" spans="1:19">
      <c r="A92" s="947" t="s">
        <v>448</v>
      </c>
      <c r="B92" s="948"/>
    </row>
    <row r="93" spans="1:19">
      <c r="A93" s="947" t="s">
        <v>450</v>
      </c>
      <c r="B93" s="949"/>
    </row>
    <row r="94" spans="1:19" ht="15.75" thickBot="1">
      <c r="A94" s="878" t="s">
        <v>489</v>
      </c>
      <c r="B94" s="990"/>
    </row>
    <row r="95" spans="1:19" ht="15.75" thickTop="1"/>
    <row r="96" spans="1:19">
      <c r="A96" s="45"/>
      <c r="B96" s="1" t="s">
        <v>490</v>
      </c>
    </row>
    <row r="97" spans="1:2">
      <c r="A97" s="46"/>
      <c r="B97" s="1" t="s">
        <v>491</v>
      </c>
    </row>
  </sheetData>
  <mergeCells count="47">
    <mergeCell ref="A62:B62"/>
    <mergeCell ref="A66:B66"/>
    <mergeCell ref="A70:B70"/>
    <mergeCell ref="A74:B74"/>
    <mergeCell ref="A78:B78"/>
    <mergeCell ref="R8:S8"/>
    <mergeCell ref="H7:I7"/>
    <mergeCell ref="J7:K7"/>
    <mergeCell ref="L7:M7"/>
    <mergeCell ref="N7:O7"/>
    <mergeCell ref="P7:Q7"/>
    <mergeCell ref="R7:S7"/>
    <mergeCell ref="H8:I8"/>
    <mergeCell ref="J8:K8"/>
    <mergeCell ref="L8:M8"/>
    <mergeCell ref="N8:O8"/>
    <mergeCell ref="P8:Q8"/>
    <mergeCell ref="R6:S6"/>
    <mergeCell ref="H5:I5"/>
    <mergeCell ref="J5:K5"/>
    <mergeCell ref="L5:M5"/>
    <mergeCell ref="N5:O5"/>
    <mergeCell ref="P5:Q5"/>
    <mergeCell ref="R5:S5"/>
    <mergeCell ref="H6:I6"/>
    <mergeCell ref="J6:K6"/>
    <mergeCell ref="L6:M6"/>
    <mergeCell ref="N6:O6"/>
    <mergeCell ref="P6:Q6"/>
    <mergeCell ref="R4:S4"/>
    <mergeCell ref="H3:I3"/>
    <mergeCell ref="J3:K3"/>
    <mergeCell ref="L3:M3"/>
    <mergeCell ref="N3:O3"/>
    <mergeCell ref="P3:Q3"/>
    <mergeCell ref="R3:S3"/>
    <mergeCell ref="H4:I4"/>
    <mergeCell ref="J4:K4"/>
    <mergeCell ref="L4:M4"/>
    <mergeCell ref="N4:O4"/>
    <mergeCell ref="P4:Q4"/>
    <mergeCell ref="R2:S2"/>
    <mergeCell ref="H2:I2"/>
    <mergeCell ref="J2:K2"/>
    <mergeCell ref="L2:M2"/>
    <mergeCell ref="N2:O2"/>
    <mergeCell ref="P2:Q2"/>
  </mergeCells>
  <hyperlinks>
    <hyperlink ref="B3" location="'Cost Summary'!A1" display="BACK TO SUMMARY SHEET" xr:uid="{DE4921A3-2112-41F9-9469-923CC900A199}"/>
  </hyperlink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F9CA-9750-4CFF-AE87-38925F2ADB42}">
  <sheetPr>
    <tabColor rgb="FFFFFF00"/>
    <pageSetUpPr fitToPage="1"/>
  </sheetPr>
  <dimension ref="A1:AH94"/>
  <sheetViews>
    <sheetView zoomScale="90" zoomScaleNormal="90" workbookViewId="0">
      <pane ySplit="10" topLeftCell="A11" activePane="bottomLeft" state="frozen"/>
      <selection pane="bottomLeft" activeCell="B28" sqref="B28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/>
      <c r="I5" s="68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157</v>
      </c>
      <c r="C6" s="506"/>
      <c r="D6" s="507"/>
      <c r="E6" s="508"/>
      <c r="F6" s="506"/>
      <c r="G6" s="462" t="s">
        <v>446</v>
      </c>
      <c r="H6" s="685"/>
      <c r="I6" s="68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156</v>
      </c>
      <c r="C7" s="506"/>
      <c r="D7" s="507"/>
      <c r="E7" s="508"/>
      <c r="F7" s="506"/>
      <c r="G7" s="510" t="s">
        <v>448</v>
      </c>
      <c r="H7" s="687"/>
      <c r="I7" s="68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89"/>
      <c r="I8" s="69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I$56</f>
        <v>4174180</v>
      </c>
      <c r="I9" s="895"/>
      <c r="J9" s="892">
        <f t="shared" ref="J9" si="0">K$56</f>
        <v>0</v>
      </c>
      <c r="K9" s="893"/>
      <c r="L9" s="892">
        <f t="shared" ref="L9" si="1">M$56</f>
        <v>0</v>
      </c>
      <c r="M9" s="893"/>
      <c r="N9" s="892">
        <f t="shared" ref="N9" si="2">O$56</f>
        <v>0</v>
      </c>
      <c r="O9" s="893"/>
      <c r="P9" s="892">
        <f t="shared" ref="P9" si="3">Q$56</f>
        <v>0</v>
      </c>
      <c r="Q9" s="893"/>
      <c r="R9" s="892">
        <f t="shared" ref="R9" si="4">S$56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1022" t="s">
        <v>460</v>
      </c>
      <c r="C11" s="484"/>
      <c r="D11" s="507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1018" t="s">
        <v>461</v>
      </c>
      <c r="C12" s="506"/>
      <c r="D12" s="507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 t="s">
        <v>618</v>
      </c>
      <c r="C21" s="506"/>
      <c r="D21" s="507">
        <v>3130</v>
      </c>
      <c r="E21" s="508" t="s">
        <v>179</v>
      </c>
      <c r="F21" s="517">
        <f>1488840/2280</f>
        <v>653</v>
      </c>
      <c r="G21" s="315">
        <f t="shared" ref="G21:G49" si="5">ROUND(D21*F21,0)</f>
        <v>2043890</v>
      </c>
      <c r="H21" s="951"/>
      <c r="I21" s="793">
        <f>G21</f>
        <v>2043890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792" t="s">
        <v>619</v>
      </c>
      <c r="C22" s="506"/>
      <c r="D22" s="507">
        <v>330</v>
      </c>
      <c r="E22" s="508" t="s">
        <v>179</v>
      </c>
      <c r="F22" s="517">
        <f>1488840/2280</f>
        <v>653</v>
      </c>
      <c r="G22" s="315">
        <f t="shared" ref="G22" si="6">ROUND(D22*F22,0)</f>
        <v>215490</v>
      </c>
      <c r="H22" s="951"/>
      <c r="I22" s="793">
        <f>G22</f>
        <v>215490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792" t="s">
        <v>620</v>
      </c>
      <c r="C23" s="506"/>
      <c r="D23" s="507">
        <v>623</v>
      </c>
      <c r="E23" s="508" t="s">
        <v>179</v>
      </c>
      <c r="F23" s="517">
        <v>400</v>
      </c>
      <c r="G23" s="315">
        <f t="shared" si="5"/>
        <v>249200</v>
      </c>
      <c r="H23" s="951"/>
      <c r="I23" s="793">
        <f t="shared" ref="I23:I49" si="7">G23</f>
        <v>249200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 t="s">
        <v>621</v>
      </c>
      <c r="C24" s="506"/>
      <c r="D24" s="507">
        <v>4447</v>
      </c>
      <c r="E24" s="508" t="s">
        <v>179</v>
      </c>
      <c r="F24" s="517">
        <f>F23*0.75</f>
        <v>300</v>
      </c>
      <c r="G24" s="315">
        <f t="shared" ref="G24" si="8">ROUND(D24*F24,0)</f>
        <v>1334100</v>
      </c>
      <c r="H24" s="951"/>
      <c r="I24" s="793">
        <f t="shared" ref="I24" si="9">G24</f>
        <v>1334100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792" t="s">
        <v>622</v>
      </c>
      <c r="C25" s="506"/>
      <c r="D25" s="507">
        <v>805</v>
      </c>
      <c r="E25" s="508" t="s">
        <v>179</v>
      </c>
      <c r="F25" s="517">
        <v>300</v>
      </c>
      <c r="G25" s="315">
        <f t="shared" si="5"/>
        <v>241500</v>
      </c>
      <c r="H25" s="951"/>
      <c r="I25" s="793">
        <f t="shared" si="7"/>
        <v>241500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792"/>
      <c r="C26" s="506"/>
      <c r="D26" s="507"/>
      <c r="E26" s="508"/>
      <c r="F26" s="517"/>
      <c r="G26" s="315">
        <f t="shared" si="5"/>
        <v>0</v>
      </c>
      <c r="H26" s="951"/>
      <c r="I26" s="793">
        <f t="shared" si="7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 t="s">
        <v>623</v>
      </c>
      <c r="C27" s="506"/>
      <c r="D27" s="507">
        <v>160</v>
      </c>
      <c r="E27" s="508" t="s">
        <v>179</v>
      </c>
      <c r="F27" s="517">
        <v>450</v>
      </c>
      <c r="G27" s="315">
        <f t="shared" si="5"/>
        <v>72000</v>
      </c>
      <c r="H27" s="951"/>
      <c r="I27" s="793">
        <f t="shared" si="7"/>
        <v>72000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 t="s">
        <v>624</v>
      </c>
      <c r="C28" s="506"/>
      <c r="D28" s="507">
        <v>60</v>
      </c>
      <c r="E28" s="508" t="s">
        <v>286</v>
      </c>
      <c r="F28" s="517">
        <v>300</v>
      </c>
      <c r="G28" s="315">
        <f t="shared" si="5"/>
        <v>18000</v>
      </c>
      <c r="H28" s="951"/>
      <c r="I28" s="793">
        <f t="shared" si="7"/>
        <v>18000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5"/>
        <v>0</v>
      </c>
      <c r="H29" s="951"/>
      <c r="I29" s="793">
        <f t="shared" si="7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5"/>
        <v>0</v>
      </c>
      <c r="H30" s="951"/>
      <c r="I30" s="793">
        <f t="shared" si="7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5"/>
        <v>0</v>
      </c>
      <c r="H31" s="951"/>
      <c r="I31" s="793">
        <f t="shared" si="7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5"/>
        <v>0</v>
      </c>
      <c r="H32" s="951"/>
      <c r="I32" s="793">
        <f t="shared" si="7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5"/>
        <v>0</v>
      </c>
      <c r="H33" s="951"/>
      <c r="I33" s="793">
        <f t="shared" si="7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5"/>
        <v>0</v>
      </c>
      <c r="H34" s="951"/>
      <c r="I34" s="793">
        <f t="shared" si="7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5"/>
        <v>0</v>
      </c>
      <c r="H35" s="951"/>
      <c r="I35" s="793">
        <f t="shared" si="7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5"/>
        <v>0</v>
      </c>
      <c r="H36" s="951"/>
      <c r="I36" s="793">
        <f t="shared" si="7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5"/>
        <v>0</v>
      </c>
      <c r="H37" s="951"/>
      <c r="I37" s="793">
        <f t="shared" si="7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5"/>
        <v>0</v>
      </c>
      <c r="H38" s="951"/>
      <c r="I38" s="793">
        <f t="shared" si="7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5"/>
        <v>0</v>
      </c>
      <c r="H39" s="951"/>
      <c r="I39" s="793">
        <f t="shared" si="7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5"/>
        <v>0</v>
      </c>
      <c r="H40" s="951"/>
      <c r="I40" s="793">
        <f t="shared" si="7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5"/>
        <v>0</v>
      </c>
      <c r="H41" s="951"/>
      <c r="I41" s="793">
        <f t="shared" si="7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5"/>
        <v>0</v>
      </c>
      <c r="H42" s="951"/>
      <c r="I42" s="793">
        <f t="shared" si="7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5"/>
        <v>0</v>
      </c>
      <c r="H43" s="951"/>
      <c r="I43" s="793">
        <f t="shared" si="7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5"/>
        <v>0</v>
      </c>
      <c r="H44" s="951"/>
      <c r="I44" s="793">
        <f t="shared" si="7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5"/>
        <v>0</v>
      </c>
      <c r="H45" s="951"/>
      <c r="I45" s="793">
        <f t="shared" si="7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5"/>
        <v>0</v>
      </c>
      <c r="H46" s="951"/>
      <c r="I46" s="793">
        <f t="shared" si="7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5"/>
        <v>0</v>
      </c>
      <c r="H47" s="951"/>
      <c r="I47" s="793">
        <f t="shared" si="7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5"/>
        <v>0</v>
      </c>
      <c r="H48" s="951"/>
      <c r="I48" s="793">
        <f t="shared" si="7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si="5"/>
        <v>0</v>
      </c>
      <c r="H49" s="951"/>
      <c r="I49" s="793">
        <f t="shared" si="7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Bot="1">
      <c r="A51" s="952"/>
      <c r="B51" s="518"/>
      <c r="C51" s="491"/>
      <c r="D51" s="922"/>
      <c r="E51" s="508"/>
      <c r="F51" s="492"/>
      <c r="G51" s="315"/>
      <c r="H51" s="951"/>
      <c r="I51" s="793"/>
      <c r="J51" s="951"/>
      <c r="K51" s="794"/>
      <c r="L51" s="951"/>
      <c r="M51" s="794"/>
      <c r="N51" s="951"/>
      <c r="O51" s="794"/>
      <c r="P51" s="951"/>
      <c r="Q51" s="794"/>
      <c r="R51" s="951"/>
      <c r="S51" s="794"/>
    </row>
    <row r="52" spans="1:34" ht="15.75" thickTop="1">
      <c r="A52" s="15"/>
      <c r="B52" s="218" t="s">
        <v>518</v>
      </c>
      <c r="C52" s="17"/>
      <c r="D52" s="168"/>
      <c r="E52" s="177"/>
      <c r="F52" s="19"/>
      <c r="G52" s="219">
        <f>SUBTOTAL(9,G21:G51)</f>
        <v>4174180</v>
      </c>
      <c r="H52" s="21"/>
      <c r="I52" s="217">
        <f>SUBTOTAL(9,I21:I51)</f>
        <v>4174180</v>
      </c>
      <c r="J52" s="21"/>
      <c r="K52" s="162">
        <f>SUM(K19:K51)</f>
        <v>0</v>
      </c>
      <c r="L52" s="21"/>
      <c r="M52" s="162">
        <f>SUM(M19:M51)</f>
        <v>0</v>
      </c>
      <c r="N52" s="21"/>
      <c r="O52" s="162">
        <f>SUM(O19:O51)</f>
        <v>0</v>
      </c>
      <c r="P52" s="21"/>
      <c r="Q52" s="162">
        <f>SUM(Q19:Q51)</f>
        <v>0</v>
      </c>
      <c r="R52" s="21"/>
      <c r="S52" s="162">
        <f>SUM(S19:S51)</f>
        <v>0</v>
      </c>
    </row>
    <row r="53" spans="1:34">
      <c r="A53" s="930"/>
      <c r="B53" s="923" t="s">
        <v>471</v>
      </c>
      <c r="C53" s="493"/>
      <c r="D53" s="924"/>
      <c r="E53" s="925"/>
      <c r="F53" s="494"/>
      <c r="G53" s="901"/>
      <c r="H53" s="931">
        <v>0</v>
      </c>
      <c r="I53" s="163"/>
      <c r="J53" s="931">
        <v>0</v>
      </c>
      <c r="K53" s="163"/>
      <c r="L53" s="931">
        <v>0</v>
      </c>
      <c r="M53" s="163"/>
      <c r="N53" s="931">
        <v>0</v>
      </c>
      <c r="O53" s="163"/>
      <c r="P53" s="931">
        <v>0</v>
      </c>
      <c r="Q53" s="163"/>
      <c r="R53" s="931">
        <v>0</v>
      </c>
      <c r="S53" s="163"/>
    </row>
    <row r="54" spans="1:34">
      <c r="A54" s="930"/>
      <c r="B54" s="923" t="s">
        <v>472</v>
      </c>
      <c r="C54" s="493"/>
      <c r="D54" s="924"/>
      <c r="E54" s="925"/>
      <c r="F54" s="494"/>
      <c r="G54" s="901">
        <f>F53*G52</f>
        <v>0</v>
      </c>
      <c r="H54" s="932"/>
      <c r="I54" s="933">
        <f>H53*I52</f>
        <v>0</v>
      </c>
      <c r="J54" s="932"/>
      <c r="K54" s="933">
        <f>J53*K52</f>
        <v>0</v>
      </c>
      <c r="L54" s="932"/>
      <c r="M54" s="933">
        <f>L53*M52</f>
        <v>0</v>
      </c>
      <c r="N54" s="932"/>
      <c r="O54" s="933">
        <f>N53*O52</f>
        <v>0</v>
      </c>
      <c r="P54" s="932"/>
      <c r="Q54" s="933">
        <f>P53*Q52</f>
        <v>0</v>
      </c>
      <c r="R54" s="932"/>
      <c r="S54" s="933">
        <f>R53*S52</f>
        <v>0</v>
      </c>
    </row>
    <row r="55" spans="1:34">
      <c r="A55" s="930"/>
      <c r="B55" s="923"/>
      <c r="C55" s="493"/>
      <c r="D55" s="924"/>
      <c r="E55" s="925"/>
      <c r="F55" s="494"/>
      <c r="G55" s="901"/>
      <c r="H55" s="932"/>
      <c r="I55" s="933"/>
      <c r="J55" s="932"/>
      <c r="K55" s="933"/>
      <c r="L55" s="932"/>
      <c r="M55" s="933"/>
      <c r="N55" s="932"/>
      <c r="O55" s="933"/>
      <c r="P55" s="932"/>
      <c r="Q55" s="933"/>
      <c r="R55" s="932"/>
      <c r="S55" s="933"/>
    </row>
    <row r="56" spans="1:34">
      <c r="A56" s="930"/>
      <c r="B56" s="923" t="s">
        <v>473</v>
      </c>
      <c r="C56" s="493"/>
      <c r="D56" s="924"/>
      <c r="E56" s="925"/>
      <c r="F56" s="494"/>
      <c r="G56" s="901">
        <f>SUM(G52:G54)</f>
        <v>4174180</v>
      </c>
      <c r="H56" s="934"/>
      <c r="I56" s="933">
        <f>SUM(I52:I54)</f>
        <v>4174180</v>
      </c>
      <c r="J56" s="934"/>
      <c r="K56" s="933">
        <f>SUM(K52:K54)</f>
        <v>0</v>
      </c>
      <c r="L56" s="934"/>
      <c r="M56" s="933">
        <f>SUM(M52:M54)</f>
        <v>0</v>
      </c>
      <c r="N56" s="934"/>
      <c r="O56" s="933">
        <f>SUM(O52:O54)</f>
        <v>0</v>
      </c>
      <c r="P56" s="934"/>
      <c r="Q56" s="933">
        <f>SUM(Q52:Q54)</f>
        <v>0</v>
      </c>
      <c r="R56" s="934"/>
      <c r="S56" s="933">
        <f>SUM(S52:S54)</f>
        <v>0</v>
      </c>
    </row>
    <row r="57" spans="1:34">
      <c r="A57" s="930"/>
      <c r="B57" s="495" t="s">
        <v>474</v>
      </c>
      <c r="C57" s="493"/>
      <c r="D57" s="924"/>
      <c r="E57" s="925"/>
      <c r="F57" s="495"/>
      <c r="G57" s="902">
        <f>G56/'Area Calculations'!$G$5</f>
        <v>10.721637303729809</v>
      </c>
      <c r="H57" s="935"/>
      <c r="I57" s="936">
        <f>I56/'Area Calculations'!$G$5</f>
        <v>10.721637303729809</v>
      </c>
      <c r="J57" s="935"/>
      <c r="K57" s="936">
        <f>K56/'Area Calculations'!$G$5</f>
        <v>0</v>
      </c>
      <c r="L57" s="935"/>
      <c r="M57" s="936">
        <f>M56/'Area Calculations'!$G$5</f>
        <v>0</v>
      </c>
      <c r="N57" s="935"/>
      <c r="O57" s="936">
        <f>O56/'Area Calculations'!$G$5</f>
        <v>0</v>
      </c>
      <c r="P57" s="935"/>
      <c r="Q57" s="936">
        <f>Q56/'Area Calculations'!$G$5</f>
        <v>0</v>
      </c>
      <c r="R57" s="937"/>
      <c r="S57" s="936">
        <f>S56/'Area Calculations'!$G$5</f>
        <v>0</v>
      </c>
    </row>
    <row r="58" spans="1:34" ht="15.75" thickBot="1">
      <c r="A58" s="930"/>
      <c r="B58" s="496"/>
      <c r="C58" s="493"/>
      <c r="D58" s="924"/>
      <c r="E58" s="925"/>
      <c r="F58" s="494"/>
      <c r="G58" s="464"/>
      <c r="H58" s="938"/>
      <c r="I58" s="939"/>
      <c r="J58" s="938"/>
      <c r="K58" s="938"/>
      <c r="L58" s="938"/>
      <c r="M58" s="938"/>
      <c r="N58" s="938"/>
      <c r="O58" s="938"/>
      <c r="P58" s="938"/>
      <c r="Q58" s="938"/>
      <c r="R58" s="938"/>
      <c r="S58" s="938"/>
    </row>
    <row r="59" spans="1:34" ht="16.5" thickTop="1" thickBot="1">
      <c r="A59" s="691" t="s">
        <v>475</v>
      </c>
      <c r="B59" s="692"/>
      <c r="C59" s="14"/>
      <c r="D59" s="169"/>
      <c r="E59" s="178"/>
      <c r="F59" s="14"/>
      <c r="G59" s="220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spans="1:34" ht="15.75" thickTop="1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ht="15.75" thickBot="1">
      <c r="A62" s="795"/>
      <c r="B62" s="497"/>
      <c r="C62" s="796"/>
      <c r="D62" s="851"/>
      <c r="E62" s="852"/>
      <c r="F62" s="796"/>
      <c r="G62" s="798"/>
      <c r="H62" s="799"/>
      <c r="I62" s="799"/>
      <c r="J62" s="799"/>
      <c r="K62" s="799"/>
      <c r="L62" s="799"/>
      <c r="M62" s="799"/>
      <c r="N62" s="799"/>
      <c r="O62" s="799"/>
      <c r="P62" s="799"/>
      <c r="Q62" s="799"/>
      <c r="R62" s="799"/>
      <c r="S62" s="799"/>
    </row>
    <row r="63" spans="1:34" s="2" customFormat="1" ht="16.5" thickTop="1" thickBot="1">
      <c r="A63" s="691" t="s">
        <v>476</v>
      </c>
      <c r="B63" s="692"/>
      <c r="C63" s="14"/>
      <c r="D63" s="169"/>
      <c r="E63" s="178"/>
      <c r="F63" s="14"/>
      <c r="G63" s="220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 ht="15.75" thickTop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s="2" customForma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5.75" thickBot="1">
      <c r="A66" s="795"/>
      <c r="B66" s="497"/>
      <c r="C66" s="796"/>
      <c r="D66" s="851"/>
      <c r="E66" s="852"/>
      <c r="F66" s="796"/>
      <c r="G66" s="798"/>
      <c r="H66" s="799"/>
      <c r="I66" s="799"/>
      <c r="J66" s="799"/>
      <c r="K66" s="799"/>
      <c r="L66" s="799"/>
      <c r="M66" s="799"/>
      <c r="N66" s="799"/>
      <c r="O66" s="799"/>
      <c r="P66" s="799"/>
      <c r="Q66" s="799"/>
      <c r="R66" s="799"/>
      <c r="S66" s="799"/>
    </row>
    <row r="67" spans="1:34" s="2" customFormat="1" ht="16.5" thickTop="1" thickBot="1">
      <c r="A67" s="691" t="s">
        <v>477</v>
      </c>
      <c r="B67" s="692"/>
      <c r="C67" s="14"/>
      <c r="D67" s="169"/>
      <c r="E67" s="178"/>
      <c r="F67" s="14"/>
      <c r="G67" s="220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 ht="15.75" thickTop="1">
      <c r="A68" s="795"/>
      <c r="B68" s="497"/>
      <c r="C68" s="796"/>
      <c r="D68" s="851"/>
      <c r="E68" s="852"/>
      <c r="F68" s="796"/>
      <c r="G68" s="798"/>
      <c r="H68" s="799"/>
      <c r="I68" s="799"/>
      <c r="J68" s="799"/>
      <c r="K68" s="799"/>
      <c r="L68" s="799"/>
      <c r="M68" s="799"/>
      <c r="N68" s="799"/>
      <c r="O68" s="799"/>
      <c r="P68" s="799"/>
      <c r="Q68" s="799"/>
      <c r="R68" s="799"/>
      <c r="S68" s="799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>
      <c r="A69" s="940"/>
      <c r="B69" s="497"/>
      <c r="C69" s="506"/>
      <c r="D69" s="507"/>
      <c r="E69" s="508"/>
      <c r="F69" s="506"/>
      <c r="G69" s="498"/>
      <c r="H69" s="941"/>
      <c r="I69" s="941"/>
      <c r="J69" s="941"/>
      <c r="K69" s="941"/>
      <c r="L69" s="941"/>
      <c r="M69" s="941"/>
      <c r="N69" s="941"/>
      <c r="O69" s="941"/>
      <c r="P69" s="941"/>
      <c r="Q69" s="941"/>
      <c r="R69" s="941"/>
      <c r="S69" s="941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s="2" customFormat="1" ht="15.75" thickBot="1">
      <c r="A70" s="942"/>
      <c r="B70" s="501"/>
      <c r="C70" s="506"/>
      <c r="D70" s="507"/>
      <c r="E70" s="508"/>
      <c r="F70" s="506"/>
      <c r="G70" s="498"/>
      <c r="H70" s="943"/>
      <c r="I70" s="943"/>
      <c r="J70" s="943"/>
      <c r="K70" s="943"/>
      <c r="L70" s="943"/>
      <c r="M70" s="943"/>
      <c r="N70" s="943"/>
      <c r="O70" s="943"/>
      <c r="P70" s="943"/>
      <c r="Q70" s="943"/>
      <c r="R70" s="943"/>
      <c r="S70" s="943"/>
    </row>
    <row r="71" spans="1:34" s="2" customFormat="1" ht="16.5" thickTop="1" thickBot="1">
      <c r="A71" s="691" t="s">
        <v>478</v>
      </c>
      <c r="B71" s="692"/>
      <c r="C71" s="14"/>
      <c r="D71" s="169"/>
      <c r="E71" s="178"/>
      <c r="F71" s="14"/>
      <c r="G71" s="220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5.75" thickTop="1">
      <c r="A72" s="800"/>
      <c r="B72" s="801"/>
      <c r="C72" s="796"/>
      <c r="D72" s="851"/>
      <c r="E72" s="852"/>
      <c r="F72" s="796"/>
      <c r="G72" s="798"/>
      <c r="H72" s="799"/>
      <c r="I72" s="799"/>
      <c r="J72" s="799"/>
      <c r="K72" s="799"/>
      <c r="L72" s="799"/>
      <c r="M72" s="799"/>
      <c r="N72" s="799"/>
      <c r="O72" s="799"/>
      <c r="P72" s="799"/>
      <c r="Q72" s="799"/>
      <c r="R72" s="799"/>
      <c r="S72" s="799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5.75" thickBot="1">
      <c r="A74" s="942"/>
      <c r="B74" s="501"/>
      <c r="C74" s="506"/>
      <c r="D74" s="507"/>
      <c r="E74" s="508"/>
      <c r="F74" s="506"/>
      <c r="G74" s="498"/>
      <c r="H74" s="944"/>
      <c r="I74" s="944"/>
      <c r="J74" s="944"/>
      <c r="K74" s="944"/>
      <c r="L74" s="944"/>
      <c r="M74" s="944"/>
      <c r="N74" s="944"/>
      <c r="O74" s="944"/>
      <c r="P74" s="944"/>
      <c r="Q74" s="944"/>
      <c r="R74" s="944"/>
      <c r="S74" s="944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6.5" thickTop="1" thickBot="1">
      <c r="A75" s="691" t="s">
        <v>479</v>
      </c>
      <c r="B75" s="692"/>
      <c r="C75" s="14"/>
      <c r="D75" s="169"/>
      <c r="E75" s="178"/>
      <c r="F75" s="14"/>
      <c r="G75" s="220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 spans="1:34" ht="15.75" thickTop="1">
      <c r="A76" s="940"/>
      <c r="B76" s="497" t="s">
        <v>480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481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482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>
      <c r="A79" s="940"/>
      <c r="B79" s="497" t="s">
        <v>483</v>
      </c>
      <c r="C79" s="506"/>
      <c r="D79" s="507"/>
      <c r="E79" s="508"/>
      <c r="F79" s="506"/>
      <c r="G79" s="498"/>
      <c r="H79" s="944"/>
      <c r="I79" s="944"/>
      <c r="J79" s="944"/>
      <c r="K79" s="944"/>
      <c r="L79" s="944"/>
      <c r="M79" s="944"/>
      <c r="N79" s="944"/>
      <c r="O79" s="944"/>
      <c r="P79" s="944"/>
      <c r="Q79" s="944"/>
      <c r="R79" s="944"/>
      <c r="S79" s="944"/>
    </row>
    <row r="80" spans="1:34" ht="15.75" thickBot="1">
      <c r="A80" s="23"/>
      <c r="B80" s="7"/>
      <c r="C80" s="8"/>
      <c r="D80" s="166"/>
      <c r="E80" s="172"/>
      <c r="F80" s="8"/>
      <c r="G80" s="221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</row>
    <row r="81" spans="1:19" ht="16.5" thickTop="1" thickBot="1">
      <c r="A81" s="9" t="s">
        <v>484</v>
      </c>
      <c r="B81" s="10"/>
      <c r="C81" s="14"/>
      <c r="D81" s="169"/>
      <c r="E81" s="178"/>
      <c r="F81" s="14"/>
      <c r="G81" s="220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spans="1:19" ht="15.75" thickTop="1">
      <c r="A82" s="795"/>
      <c r="B82" s="802" t="s">
        <v>485</v>
      </c>
      <c r="C82" s="796"/>
      <c r="D82" s="851"/>
      <c r="E82" s="852"/>
      <c r="F82" s="796"/>
      <c r="G82" s="798"/>
      <c r="H82" s="803"/>
      <c r="I82" s="803"/>
      <c r="J82" s="803"/>
      <c r="K82" s="803"/>
      <c r="L82" s="803"/>
      <c r="M82" s="803"/>
      <c r="N82" s="803"/>
      <c r="O82" s="803"/>
      <c r="P82" s="803"/>
      <c r="Q82" s="803"/>
      <c r="R82" s="803"/>
      <c r="S82" s="803"/>
    </row>
    <row r="83" spans="1:19">
      <c r="A83" s="940"/>
      <c r="B83" s="497" t="s">
        <v>486</v>
      </c>
      <c r="C83" s="506"/>
      <c r="D83" s="507"/>
      <c r="E83" s="508"/>
      <c r="F83" s="506"/>
      <c r="G83" s="498"/>
      <c r="H83" s="945"/>
      <c r="I83" s="945"/>
      <c r="J83" s="945"/>
      <c r="K83" s="945"/>
      <c r="L83" s="945"/>
      <c r="M83" s="945"/>
      <c r="N83" s="945"/>
      <c r="O83" s="945"/>
      <c r="P83" s="945"/>
      <c r="Q83" s="945"/>
      <c r="R83" s="945"/>
      <c r="S83" s="945"/>
    </row>
    <row r="84" spans="1:19" ht="15.75" thickBot="1">
      <c r="A84" s="865"/>
      <c r="B84" s="866" t="s">
        <v>487</v>
      </c>
      <c r="C84" s="867"/>
      <c r="D84" s="868"/>
      <c r="E84" s="869"/>
      <c r="F84" s="867"/>
      <c r="G84" s="904"/>
      <c r="H84" s="871"/>
      <c r="I84" s="871"/>
      <c r="J84" s="871"/>
      <c r="K84" s="871"/>
      <c r="L84" s="871"/>
      <c r="M84" s="871"/>
      <c r="N84" s="871"/>
      <c r="O84" s="871"/>
      <c r="P84" s="871"/>
      <c r="Q84" s="871"/>
      <c r="R84" s="871"/>
      <c r="S84" s="871"/>
    </row>
    <row r="85" spans="1:19" ht="16.5" thickTop="1" thickBot="1"/>
    <row r="86" spans="1:19" ht="16.5" thickTop="1" thickBot="1">
      <c r="A86" s="42" t="s">
        <v>488</v>
      </c>
      <c r="B86" s="44"/>
    </row>
    <row r="87" spans="1:19" ht="15.75" thickTop="1">
      <c r="A87" s="43" t="s">
        <v>444</v>
      </c>
      <c r="B87" s="946"/>
    </row>
    <row r="88" spans="1:19">
      <c r="A88" s="504" t="s">
        <v>446</v>
      </c>
      <c r="B88" s="946"/>
    </row>
    <row r="89" spans="1:19">
      <c r="A89" s="947" t="s">
        <v>448</v>
      </c>
      <c r="B89" s="948"/>
    </row>
    <row r="90" spans="1:19">
      <c r="A90" s="947" t="s">
        <v>450</v>
      </c>
      <c r="B90" s="949"/>
    </row>
    <row r="91" spans="1:19" ht="15.75" thickBot="1">
      <c r="A91" s="878" t="s">
        <v>489</v>
      </c>
      <c r="B91" s="879">
        <f>$I$56</f>
        <v>4174180</v>
      </c>
    </row>
    <row r="92" spans="1:19" ht="15.75" thickTop="1"/>
    <row r="93" spans="1:19">
      <c r="A93" s="45"/>
      <c r="B93" s="1" t="s">
        <v>490</v>
      </c>
    </row>
    <row r="94" spans="1:19">
      <c r="A94" s="46"/>
      <c r="B94" s="1" t="s">
        <v>491</v>
      </c>
    </row>
  </sheetData>
  <mergeCells count="35">
    <mergeCell ref="R5:S5"/>
    <mergeCell ref="H5:I5"/>
    <mergeCell ref="J5:K5"/>
    <mergeCell ref="L5:M5"/>
    <mergeCell ref="N5:O5"/>
    <mergeCell ref="P5:Q5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A59:B59"/>
    <mergeCell ref="A63:B63"/>
    <mergeCell ref="A67:B67"/>
    <mergeCell ref="A71:B71"/>
    <mergeCell ref="A75:B75"/>
  </mergeCells>
  <conditionalFormatting sqref="H11:H18 J11:J18 L11:L18 N11:N18 P11:P18 R11:R18">
    <cfRule type="cellIs" dxfId="53" priority="5" operator="equal">
      <formula>"X"</formula>
    </cfRule>
    <cfRule type="cellIs" dxfId="52" priority="6" operator="equal">
      <formula>"I"</formula>
    </cfRule>
  </conditionalFormatting>
  <conditionalFormatting sqref="H20:H51">
    <cfRule type="cellIs" dxfId="51" priority="1" operator="equal">
      <formula>"X"</formula>
    </cfRule>
    <cfRule type="cellIs" dxfId="50" priority="2" operator="equal">
      <formula>"I"</formula>
    </cfRule>
  </conditionalFormatting>
  <conditionalFormatting sqref="J20:J51 L20:L51 N20:N51 P20:P51 R20:R51">
    <cfRule type="cellIs" dxfId="49" priority="3" operator="equal">
      <formula>"X"</formula>
    </cfRule>
    <cfRule type="cellIs" dxfId="48" priority="4" operator="equal">
      <formula>"I"</formula>
    </cfRule>
  </conditionalFormatting>
  <hyperlinks>
    <hyperlink ref="B4" location="'Cost Summary'!A1" display="BACK TO SUMMARY SHEET" xr:uid="{41F8EFEF-ED63-4C09-83B4-78C88F794670}"/>
  </hyperlinks>
  <pageMargins left="0.2" right="0.2" top="0.5" bottom="0.75" header="0.3" footer="0.3"/>
  <pageSetup paperSize="3" scale="77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F06E-DE14-4195-A0B7-1BFD0E648318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B4" sqref="B4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/>
      <c r="I5" s="68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155</v>
      </c>
      <c r="C6" s="506"/>
      <c r="D6" s="507"/>
      <c r="E6" s="508"/>
      <c r="F6" s="506"/>
      <c r="G6" s="462" t="s">
        <v>446</v>
      </c>
      <c r="H6" s="685"/>
      <c r="I6" s="68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154</v>
      </c>
      <c r="C7" s="506"/>
      <c r="D7" s="507"/>
      <c r="E7" s="508"/>
      <c r="F7" s="506"/>
      <c r="G7" s="510" t="s">
        <v>448</v>
      </c>
      <c r="H7" s="687"/>
      <c r="I7" s="68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89"/>
      <c r="I8" s="69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2522500</v>
      </c>
      <c r="I9" s="895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991" t="s">
        <v>460</v>
      </c>
      <c r="C11" s="484"/>
      <c r="D11" s="507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1018" t="s">
        <v>461</v>
      </c>
      <c r="C12" s="506"/>
      <c r="D12" s="507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 t="s">
        <v>625</v>
      </c>
      <c r="C21" s="506"/>
      <c r="D21" s="507"/>
      <c r="E21" s="508"/>
      <c r="F21" s="517"/>
      <c r="G21" s="315">
        <f t="shared" ref="G21:G48" si="5">ROUND(D21*F21,0)</f>
        <v>0</v>
      </c>
      <c r="H21" s="951"/>
      <c r="I21" s="793">
        <f>G21</f>
        <v>0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918" t="s">
        <v>626</v>
      </c>
      <c r="C22" s="506"/>
      <c r="D22" s="507">
        <v>1600</v>
      </c>
      <c r="E22" s="508" t="s">
        <v>179</v>
      </c>
      <c r="F22" s="517">
        <v>250</v>
      </c>
      <c r="G22" s="315">
        <f t="shared" si="5"/>
        <v>400000</v>
      </c>
      <c r="H22" s="951"/>
      <c r="I22" s="793">
        <f t="shared" ref="I22:I48" si="6">G22</f>
        <v>400000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918" t="s">
        <v>627</v>
      </c>
      <c r="C23" s="506"/>
      <c r="D23" s="507">
        <v>4000</v>
      </c>
      <c r="E23" s="508" t="s">
        <v>179</v>
      </c>
      <c r="F23" s="517">
        <v>300</v>
      </c>
      <c r="G23" s="315">
        <f t="shared" si="5"/>
        <v>1200000</v>
      </c>
      <c r="H23" s="951"/>
      <c r="I23" s="793">
        <f t="shared" si="6"/>
        <v>1200000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918" t="s">
        <v>628</v>
      </c>
      <c r="C24" s="506"/>
      <c r="D24" s="507">
        <v>2370</v>
      </c>
      <c r="E24" s="508" t="s">
        <v>179</v>
      </c>
      <c r="F24" s="517">
        <v>250</v>
      </c>
      <c r="G24" s="315">
        <f t="shared" si="5"/>
        <v>592500</v>
      </c>
      <c r="H24" s="951"/>
      <c r="I24" s="793">
        <f t="shared" si="6"/>
        <v>592500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918" t="s">
        <v>629</v>
      </c>
      <c r="C25" s="506"/>
      <c r="D25" s="507">
        <v>1320</v>
      </c>
      <c r="E25" s="508" t="s">
        <v>179</v>
      </c>
      <c r="F25" s="517">
        <v>250</v>
      </c>
      <c r="G25" s="315">
        <f t="shared" si="5"/>
        <v>330000</v>
      </c>
      <c r="H25" s="951"/>
      <c r="I25" s="793">
        <f t="shared" si="6"/>
        <v>330000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792"/>
      <c r="C26" s="506"/>
      <c r="D26" s="507"/>
      <c r="E26" s="508"/>
      <c r="F26" s="517"/>
      <c r="G26" s="315">
        <f t="shared" si="5"/>
        <v>0</v>
      </c>
      <c r="H26" s="951"/>
      <c r="I26" s="793">
        <f t="shared" si="6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/>
      <c r="C27" s="506"/>
      <c r="D27" s="507"/>
      <c r="E27" s="508"/>
      <c r="F27" s="517"/>
      <c r="G27" s="315">
        <f t="shared" si="5"/>
        <v>0</v>
      </c>
      <c r="H27" s="951"/>
      <c r="I27" s="793">
        <f t="shared" si="6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si="5"/>
        <v>0</v>
      </c>
      <c r="H28" s="951"/>
      <c r="I28" s="793">
        <f t="shared" si="6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5"/>
        <v>0</v>
      </c>
      <c r="H29" s="951"/>
      <c r="I29" s="793">
        <f t="shared" si="6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5"/>
        <v>0</v>
      </c>
      <c r="H30" s="951"/>
      <c r="I30" s="793">
        <f t="shared" si="6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5"/>
        <v>0</v>
      </c>
      <c r="H31" s="951"/>
      <c r="I31" s="793">
        <f t="shared" si="6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5"/>
        <v>0</v>
      </c>
      <c r="H32" s="951"/>
      <c r="I32" s="793">
        <f t="shared" si="6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5"/>
        <v>0</v>
      </c>
      <c r="H33" s="951"/>
      <c r="I33" s="793">
        <f t="shared" si="6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5"/>
        <v>0</v>
      </c>
      <c r="H34" s="951"/>
      <c r="I34" s="793">
        <f t="shared" si="6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5"/>
        <v>0</v>
      </c>
      <c r="H35" s="951"/>
      <c r="I35" s="793">
        <f t="shared" si="6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5"/>
        <v>0</v>
      </c>
      <c r="H36" s="951"/>
      <c r="I36" s="793">
        <f t="shared" si="6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5"/>
        <v>0</v>
      </c>
      <c r="H37" s="951"/>
      <c r="I37" s="793">
        <f t="shared" si="6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5"/>
        <v>0</v>
      </c>
      <c r="H38" s="951"/>
      <c r="I38" s="793">
        <f t="shared" si="6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5"/>
        <v>0</v>
      </c>
      <c r="H39" s="951"/>
      <c r="I39" s="793">
        <f t="shared" si="6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5"/>
        <v>0</v>
      </c>
      <c r="H40" s="951"/>
      <c r="I40" s="793">
        <f t="shared" si="6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5"/>
        <v>0</v>
      </c>
      <c r="H41" s="951"/>
      <c r="I41" s="793">
        <f t="shared" si="6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5"/>
        <v>0</v>
      </c>
      <c r="H42" s="951"/>
      <c r="I42" s="793">
        <f t="shared" si="6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5"/>
        <v>0</v>
      </c>
      <c r="H43" s="951"/>
      <c r="I43" s="793">
        <f t="shared" si="6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5"/>
        <v>0</v>
      </c>
      <c r="H44" s="951"/>
      <c r="I44" s="793">
        <f t="shared" si="6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5"/>
        <v>0</v>
      </c>
      <c r="H45" s="951"/>
      <c r="I45" s="793">
        <f t="shared" si="6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5"/>
        <v>0</v>
      </c>
      <c r="H46" s="951"/>
      <c r="I46" s="793">
        <f t="shared" si="6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5"/>
        <v>0</v>
      </c>
      <c r="H47" s="951"/>
      <c r="I47" s="793">
        <f t="shared" si="6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5"/>
        <v>0</v>
      </c>
      <c r="H48" s="951"/>
      <c r="I48" s="793">
        <f t="shared" si="6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518"/>
      <c r="C49" s="491"/>
      <c r="D49" s="922"/>
      <c r="E49" s="508"/>
      <c r="F49" s="492"/>
      <c r="G49" s="315"/>
      <c r="H49" s="951"/>
      <c r="I49" s="793"/>
      <c r="J49" s="951"/>
      <c r="K49" s="793"/>
      <c r="L49" s="951"/>
      <c r="M49" s="793"/>
      <c r="N49" s="951"/>
      <c r="O49" s="793"/>
      <c r="P49" s="951"/>
      <c r="Q49" s="793"/>
      <c r="R49" s="951"/>
      <c r="S49" s="793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4"/>
      <c r="L50" s="951"/>
      <c r="M50" s="794"/>
      <c r="N50" s="951"/>
      <c r="O50" s="794"/>
      <c r="P50" s="951"/>
      <c r="Q50" s="794"/>
      <c r="R50" s="951"/>
      <c r="S50" s="794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2522500</v>
      </c>
      <c r="H51" s="21"/>
      <c r="I51" s="217">
        <f>SUBTOTAL(9,I21:I50)</f>
        <v>2522500</v>
      </c>
      <c r="J51" s="21"/>
      <c r="K51" s="162">
        <f>SUM(K19:K50)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2522500</v>
      </c>
      <c r="H55" s="934"/>
      <c r="I55" s="933">
        <f>SUM(I51:I53)</f>
        <v>2522500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6.4791959375634116</v>
      </c>
      <c r="H56" s="935"/>
      <c r="I56" s="936">
        <f>I55/'Area Calculations'!$G$5</f>
        <v>6.4791959375634116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9"/>
      <c r="J57" s="938"/>
      <c r="K57" s="938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2522500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R5:S5"/>
    <mergeCell ref="H5:I5"/>
    <mergeCell ref="J5:K5"/>
    <mergeCell ref="L5:M5"/>
    <mergeCell ref="N5:O5"/>
    <mergeCell ref="P5:Q5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A58:B58"/>
    <mergeCell ref="A62:B62"/>
    <mergeCell ref="A66:B66"/>
    <mergeCell ref="A70:B70"/>
    <mergeCell ref="A74:B74"/>
  </mergeCells>
  <conditionalFormatting sqref="H11:H18 J11:J18 L11:L18 N11:N18 P11:P18 R11:R18">
    <cfRule type="cellIs" dxfId="47" priority="5" operator="equal">
      <formula>"X"</formula>
    </cfRule>
    <cfRule type="cellIs" dxfId="46" priority="6" operator="equal">
      <formula>"I"</formula>
    </cfRule>
  </conditionalFormatting>
  <conditionalFormatting sqref="H20:H50">
    <cfRule type="cellIs" dxfId="45" priority="1" operator="equal">
      <formula>"X"</formula>
    </cfRule>
    <cfRule type="cellIs" dxfId="44" priority="2" operator="equal">
      <formula>"I"</formula>
    </cfRule>
  </conditionalFormatting>
  <conditionalFormatting sqref="J20:J50 L20:L50 N20:N50 P20:P50 R20:R50">
    <cfRule type="cellIs" dxfId="43" priority="3" operator="equal">
      <formula>"X"</formula>
    </cfRule>
    <cfRule type="cellIs" dxfId="42" priority="4" operator="equal">
      <formula>"I"</formula>
    </cfRule>
  </conditionalFormatting>
  <hyperlinks>
    <hyperlink ref="B4" location="'Cost Summary'!A1" display="BACK TO SUMMARY SHEET" xr:uid="{23420928-52A2-45AD-8859-86A2958D6C29}"/>
  </hyperlinks>
  <pageMargins left="0.2" right="0.2" top="0.5" bottom="0.75" header="0.3" footer="0.3"/>
  <pageSetup paperSize="3" scale="77" fitToHeight="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DC65-7418-4EE2-91AD-8B7B937C4F00}">
  <sheetPr>
    <tabColor rgb="FFFFFF00"/>
    <pageSetUpPr fitToPage="1"/>
  </sheetPr>
  <dimension ref="A1:AH95"/>
  <sheetViews>
    <sheetView zoomScale="90" zoomScaleNormal="90" workbookViewId="0">
      <pane ySplit="10" topLeftCell="A11" activePane="bottomLeft" state="frozen"/>
      <selection pane="bottomLeft" activeCell="L46" sqref="L46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/>
      <c r="I5" s="68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159</v>
      </c>
      <c r="C6" s="506"/>
      <c r="D6" s="507"/>
      <c r="E6" s="508"/>
      <c r="F6" s="506"/>
      <c r="G6" s="462" t="s">
        <v>446</v>
      </c>
      <c r="H6" s="685"/>
      <c r="I6" s="68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158</v>
      </c>
      <c r="C7" s="506"/>
      <c r="D7" s="507"/>
      <c r="E7" s="508"/>
      <c r="F7" s="506"/>
      <c r="G7" s="510" t="s">
        <v>448</v>
      </c>
      <c r="H7" s="687"/>
      <c r="I7" s="68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89"/>
      <c r="I8" s="69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I$57</f>
        <v>3313230</v>
      </c>
      <c r="I9" s="895"/>
      <c r="J9" s="892">
        <f t="shared" ref="J9" si="0">K$57</f>
        <v>0</v>
      </c>
      <c r="K9" s="893"/>
      <c r="L9" s="892">
        <f t="shared" ref="L9" si="1">M$57</f>
        <v>0</v>
      </c>
      <c r="M9" s="893"/>
      <c r="N9" s="892">
        <f t="shared" ref="N9" si="2">O$57</f>
        <v>0</v>
      </c>
      <c r="O9" s="893"/>
      <c r="P9" s="892">
        <f t="shared" ref="P9" si="3">Q$57</f>
        <v>0</v>
      </c>
      <c r="Q9" s="893"/>
      <c r="R9" s="892">
        <f t="shared" ref="R9" si="4">S$57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991" t="s">
        <v>460</v>
      </c>
      <c r="C11" s="484"/>
      <c r="D11" s="507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1018" t="s">
        <v>461</v>
      </c>
      <c r="C12" s="506"/>
      <c r="D12" s="507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 t="s">
        <v>630</v>
      </c>
      <c r="C21" s="506"/>
      <c r="D21" s="507"/>
      <c r="E21" s="508"/>
      <c r="F21" s="517"/>
      <c r="G21" s="315">
        <f t="shared" ref="G21:G50" si="5">ROUND(D21*F21,0)</f>
        <v>0</v>
      </c>
      <c r="H21" s="951"/>
      <c r="I21" s="793">
        <f>G21</f>
        <v>0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918" t="s">
        <v>631</v>
      </c>
      <c r="C22" s="506"/>
      <c r="D22" s="507">
        <v>7</v>
      </c>
      <c r="E22" s="508" t="s">
        <v>632</v>
      </c>
      <c r="F22" s="517">
        <v>45000</v>
      </c>
      <c r="G22" s="315">
        <f t="shared" si="5"/>
        <v>315000</v>
      </c>
      <c r="H22" s="951"/>
      <c r="I22" s="793">
        <f t="shared" ref="I22:I50" si="6">G22</f>
        <v>315000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918" t="s">
        <v>633</v>
      </c>
      <c r="C23" s="506"/>
      <c r="D23" s="507">
        <v>7</v>
      </c>
      <c r="E23" s="508" t="s">
        <v>632</v>
      </c>
      <c r="F23" s="517">
        <v>50000</v>
      </c>
      <c r="G23" s="315">
        <f t="shared" si="5"/>
        <v>350000</v>
      </c>
      <c r="H23" s="951"/>
      <c r="I23" s="793">
        <f t="shared" si="6"/>
        <v>350000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 t="s">
        <v>634</v>
      </c>
      <c r="C24" s="506"/>
      <c r="D24" s="507"/>
      <c r="E24" s="508"/>
      <c r="F24" s="517"/>
      <c r="G24" s="315">
        <f t="shared" si="5"/>
        <v>0</v>
      </c>
      <c r="H24" s="951"/>
      <c r="I24" s="793">
        <f t="shared" si="6"/>
        <v>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918" t="s">
        <v>631</v>
      </c>
      <c r="C25" s="506"/>
      <c r="D25" s="507">
        <v>8</v>
      </c>
      <c r="E25" s="508" t="s">
        <v>632</v>
      </c>
      <c r="F25" s="517">
        <v>45000</v>
      </c>
      <c r="G25" s="315">
        <f t="shared" si="5"/>
        <v>360000</v>
      </c>
      <c r="H25" s="951"/>
      <c r="I25" s="793">
        <f t="shared" si="6"/>
        <v>360000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918" t="s">
        <v>633</v>
      </c>
      <c r="C26" s="506"/>
      <c r="D26" s="507">
        <v>8</v>
      </c>
      <c r="E26" s="508" t="s">
        <v>632</v>
      </c>
      <c r="F26" s="517">
        <v>55000</v>
      </c>
      <c r="G26" s="315">
        <f t="shared" si="5"/>
        <v>440000</v>
      </c>
      <c r="H26" s="951"/>
      <c r="I26" s="793">
        <f t="shared" si="6"/>
        <v>440000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918" t="s">
        <v>635</v>
      </c>
      <c r="C27" s="506"/>
      <c r="D27" s="507">
        <v>2</v>
      </c>
      <c r="E27" s="508" t="s">
        <v>632</v>
      </c>
      <c r="F27" s="517">
        <v>65000</v>
      </c>
      <c r="G27" s="315">
        <f t="shared" si="5"/>
        <v>130000</v>
      </c>
      <c r="H27" s="951"/>
      <c r="I27" s="793">
        <f t="shared" si="6"/>
        <v>130000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 t="s">
        <v>636</v>
      </c>
      <c r="C28" s="506"/>
      <c r="D28" s="507"/>
      <c r="E28" s="508"/>
      <c r="F28" s="517"/>
      <c r="G28" s="315">
        <f t="shared" si="5"/>
        <v>0</v>
      </c>
      <c r="H28" s="951"/>
      <c r="I28" s="793">
        <f t="shared" si="6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918" t="s">
        <v>631</v>
      </c>
      <c r="C29" s="506"/>
      <c r="D29" s="507">
        <v>7</v>
      </c>
      <c r="E29" s="508" t="s">
        <v>632</v>
      </c>
      <c r="F29" s="517">
        <v>45000</v>
      </c>
      <c r="G29" s="315">
        <f t="shared" si="5"/>
        <v>315000</v>
      </c>
      <c r="H29" s="951"/>
      <c r="I29" s="793">
        <f t="shared" si="6"/>
        <v>315000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918" t="s">
        <v>633</v>
      </c>
      <c r="C30" s="506"/>
      <c r="D30" s="507">
        <v>7</v>
      </c>
      <c r="E30" s="508" t="s">
        <v>632</v>
      </c>
      <c r="F30" s="517">
        <v>50000</v>
      </c>
      <c r="G30" s="315">
        <f t="shared" si="5"/>
        <v>350000</v>
      </c>
      <c r="H30" s="951"/>
      <c r="I30" s="793">
        <f t="shared" si="6"/>
        <v>350000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 t="s">
        <v>637</v>
      </c>
      <c r="C31" s="506"/>
      <c r="D31" s="507"/>
      <c r="E31" s="508"/>
      <c r="F31" s="517"/>
      <c r="G31" s="315">
        <f t="shared" si="5"/>
        <v>0</v>
      </c>
      <c r="H31" s="951"/>
      <c r="I31" s="793">
        <f t="shared" si="6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918" t="s">
        <v>631</v>
      </c>
      <c r="C32" s="506"/>
      <c r="D32" s="507">
        <v>7</v>
      </c>
      <c r="E32" s="508" t="s">
        <v>632</v>
      </c>
      <c r="F32" s="517">
        <v>45000</v>
      </c>
      <c r="G32" s="315">
        <f t="shared" si="5"/>
        <v>315000</v>
      </c>
      <c r="H32" s="951"/>
      <c r="I32" s="793">
        <f t="shared" si="6"/>
        <v>315000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1023" t="s">
        <v>20</v>
      </c>
      <c r="C33" s="506"/>
      <c r="D33" s="507"/>
      <c r="E33" s="508"/>
      <c r="F33" s="517"/>
      <c r="G33" s="315">
        <f t="shared" si="5"/>
        <v>0</v>
      </c>
      <c r="H33" s="951"/>
      <c r="I33" s="793">
        <f t="shared" si="6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918" t="s">
        <v>638</v>
      </c>
      <c r="C34" s="506"/>
      <c r="D34" s="507">
        <v>4</v>
      </c>
      <c r="E34" s="508" t="s">
        <v>632</v>
      </c>
      <c r="F34" s="517">
        <v>35000</v>
      </c>
      <c r="G34" s="315">
        <f t="shared" si="5"/>
        <v>140000</v>
      </c>
      <c r="H34" s="951"/>
      <c r="I34" s="793">
        <f t="shared" si="6"/>
        <v>140000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918" t="s">
        <v>638</v>
      </c>
      <c r="C35" s="506"/>
      <c r="D35" s="507">
        <v>4</v>
      </c>
      <c r="E35" s="508" t="s">
        <v>632</v>
      </c>
      <c r="F35" s="517">
        <v>35000</v>
      </c>
      <c r="G35" s="315">
        <f t="shared" si="5"/>
        <v>140000</v>
      </c>
      <c r="H35" s="951"/>
      <c r="I35" s="793">
        <f t="shared" si="6"/>
        <v>140000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5"/>
        <v>0</v>
      </c>
      <c r="H36" s="951"/>
      <c r="I36" s="793">
        <f t="shared" si="6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 t="s">
        <v>639</v>
      </c>
      <c r="C37" s="506"/>
      <c r="D37" s="507"/>
      <c r="E37" s="508"/>
      <c r="F37" s="517"/>
      <c r="G37" s="315">
        <f t="shared" si="5"/>
        <v>0</v>
      </c>
      <c r="H37" s="951"/>
      <c r="I37" s="793">
        <f t="shared" si="6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918" t="s">
        <v>640</v>
      </c>
      <c r="C38" s="506"/>
      <c r="D38" s="164">
        <v>6</v>
      </c>
      <c r="E38" s="508" t="s">
        <v>271</v>
      </c>
      <c r="F38" s="517">
        <v>25000</v>
      </c>
      <c r="G38" s="315">
        <f t="shared" si="5"/>
        <v>150000</v>
      </c>
      <c r="H38" s="951"/>
      <c r="I38" s="793">
        <f t="shared" si="6"/>
        <v>150000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918" t="s">
        <v>641</v>
      </c>
      <c r="C39" s="506"/>
      <c r="D39" s="507">
        <v>3</v>
      </c>
      <c r="E39" s="508" t="s">
        <v>271</v>
      </c>
      <c r="F39" s="517">
        <v>10000</v>
      </c>
      <c r="G39" s="315">
        <f t="shared" si="5"/>
        <v>30000</v>
      </c>
      <c r="H39" s="951"/>
      <c r="I39" s="793">
        <f t="shared" ref="I39" si="7">G39</f>
        <v>30000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5"/>
        <v>0</v>
      </c>
      <c r="H40" s="951"/>
      <c r="I40" s="793">
        <f t="shared" si="6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 t="s">
        <v>642</v>
      </c>
      <c r="C41" s="506"/>
      <c r="D41" s="507"/>
      <c r="E41" s="508"/>
      <c r="F41" s="517"/>
      <c r="G41" s="315">
        <f t="shared" si="5"/>
        <v>0</v>
      </c>
      <c r="H41" s="951"/>
      <c r="I41" s="793">
        <f t="shared" si="6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918" t="s">
        <v>643</v>
      </c>
      <c r="C42" s="506"/>
      <c r="D42" s="507">
        <v>3</v>
      </c>
      <c r="E42" s="508" t="s">
        <v>271</v>
      </c>
      <c r="F42" s="517">
        <v>4500</v>
      </c>
      <c r="G42" s="315">
        <f t="shared" ref="G42:G45" si="8">ROUND(D42*F42,0)</f>
        <v>13500</v>
      </c>
      <c r="H42" s="951"/>
      <c r="I42" s="793">
        <f t="shared" ref="I42:I45" si="9">G42</f>
        <v>13500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918" t="s">
        <v>644</v>
      </c>
      <c r="C43" s="506"/>
      <c r="D43" s="507">
        <v>18</v>
      </c>
      <c r="E43" s="508" t="s">
        <v>645</v>
      </c>
      <c r="F43" s="517">
        <v>3500</v>
      </c>
      <c r="G43" s="315">
        <f t="shared" si="8"/>
        <v>63000</v>
      </c>
      <c r="H43" s="951"/>
      <c r="I43" s="793">
        <f t="shared" si="9"/>
        <v>63000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918" t="s">
        <v>646</v>
      </c>
      <c r="C44" s="506"/>
      <c r="D44" s="507">
        <v>3</v>
      </c>
      <c r="E44" s="508" t="s">
        <v>271</v>
      </c>
      <c r="F44" s="517">
        <v>750</v>
      </c>
      <c r="G44" s="315">
        <f t="shared" si="8"/>
        <v>2250</v>
      </c>
      <c r="H44" s="951"/>
      <c r="I44" s="793">
        <f t="shared" si="9"/>
        <v>2250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918" t="s">
        <v>647</v>
      </c>
      <c r="C45" s="506"/>
      <c r="D45" s="507">
        <v>24</v>
      </c>
      <c r="E45" s="508" t="s">
        <v>271</v>
      </c>
      <c r="F45" s="517">
        <v>150</v>
      </c>
      <c r="G45" s="315">
        <f t="shared" si="8"/>
        <v>3600</v>
      </c>
      <c r="H45" s="951"/>
      <c r="I45" s="793">
        <f t="shared" si="9"/>
        <v>3600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918" t="s">
        <v>648</v>
      </c>
      <c r="C46" s="506"/>
      <c r="D46" s="507">
        <v>18</v>
      </c>
      <c r="E46" s="508" t="s">
        <v>645</v>
      </c>
      <c r="F46" s="517">
        <f>50*40*4.33</f>
        <v>8660</v>
      </c>
      <c r="G46" s="315">
        <f t="shared" si="5"/>
        <v>155880</v>
      </c>
      <c r="H46" s="951"/>
      <c r="I46" s="793">
        <f t="shared" si="6"/>
        <v>155880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5"/>
        <v>0</v>
      </c>
      <c r="H47" s="951"/>
      <c r="I47" s="793">
        <f t="shared" si="6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5"/>
        <v>0</v>
      </c>
      <c r="H48" s="951"/>
      <c r="I48" s="793">
        <f t="shared" si="6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 t="s">
        <v>649</v>
      </c>
      <c r="C49" s="506"/>
      <c r="D49" s="507">
        <v>2</v>
      </c>
      <c r="E49" s="508" t="s">
        <v>271</v>
      </c>
      <c r="F49" s="517">
        <v>20000</v>
      </c>
      <c r="G49" s="315">
        <f t="shared" si="5"/>
        <v>40000</v>
      </c>
      <c r="H49" s="951"/>
      <c r="I49" s="793">
        <f t="shared" si="6"/>
        <v>40000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>
      <c r="A50" s="952"/>
      <c r="B50" s="792"/>
      <c r="C50" s="506"/>
      <c r="D50" s="507"/>
      <c r="E50" s="508"/>
      <c r="F50" s="517"/>
      <c r="G50" s="315">
        <f t="shared" si="5"/>
        <v>0</v>
      </c>
      <c r="H50" s="951"/>
      <c r="I50" s="793">
        <f t="shared" si="6"/>
        <v>0</v>
      </c>
      <c r="J50" s="951"/>
      <c r="K50" s="793"/>
      <c r="L50" s="951"/>
      <c r="M50" s="794"/>
      <c r="N50" s="951"/>
      <c r="O50" s="794"/>
      <c r="P50" s="951"/>
      <c r="Q50" s="794"/>
      <c r="R50" s="951"/>
      <c r="S50" s="794"/>
    </row>
    <row r="51" spans="1:34">
      <c r="A51" s="952"/>
      <c r="B51" s="518"/>
      <c r="C51" s="491"/>
      <c r="D51" s="922"/>
      <c r="E51" s="508"/>
      <c r="F51" s="492"/>
      <c r="G51" s="315">
        <f t="shared" ref="G51" si="10">ROUND(D51*F51,0)</f>
        <v>0</v>
      </c>
      <c r="H51" s="951"/>
      <c r="I51" s="793">
        <f t="shared" ref="I51" si="11">G51</f>
        <v>0</v>
      </c>
      <c r="J51" s="951"/>
      <c r="K51" s="793"/>
      <c r="L51" s="951"/>
      <c r="M51" s="793"/>
      <c r="N51" s="951"/>
      <c r="O51" s="793"/>
      <c r="P51" s="951"/>
      <c r="Q51" s="793"/>
      <c r="R51" s="951"/>
      <c r="S51" s="793"/>
    </row>
    <row r="52" spans="1:34" ht="15.75" thickBot="1">
      <c r="A52" s="952"/>
      <c r="B52" s="518"/>
      <c r="C52" s="491"/>
      <c r="D52" s="922"/>
      <c r="E52" s="508"/>
      <c r="F52" s="492"/>
      <c r="G52" s="315"/>
      <c r="H52" s="951"/>
      <c r="I52" s="793"/>
      <c r="J52" s="951"/>
      <c r="K52" s="794"/>
      <c r="L52" s="951"/>
      <c r="M52" s="794"/>
      <c r="N52" s="951"/>
      <c r="O52" s="794"/>
      <c r="P52" s="951"/>
      <c r="Q52" s="794"/>
      <c r="R52" s="951"/>
      <c r="S52" s="794"/>
    </row>
    <row r="53" spans="1:34" ht="15.75" thickTop="1">
      <c r="A53" s="15"/>
      <c r="B53" s="218" t="s">
        <v>518</v>
      </c>
      <c r="C53" s="17"/>
      <c r="D53" s="168"/>
      <c r="E53" s="177"/>
      <c r="F53" s="19"/>
      <c r="G53" s="219">
        <f>SUBTOTAL(9,G21:G52)</f>
        <v>3313230</v>
      </c>
      <c r="H53" s="21"/>
      <c r="I53" s="217">
        <f>SUBTOTAL(9,I21:I52)</f>
        <v>3313230</v>
      </c>
      <c r="J53" s="21"/>
      <c r="K53" s="162">
        <f>SUM(K19:K52)</f>
        <v>0</v>
      </c>
      <c r="L53" s="21"/>
      <c r="M53" s="162">
        <f>SUM(M19:M52)</f>
        <v>0</v>
      </c>
      <c r="N53" s="21"/>
      <c r="O53" s="162">
        <f>SUM(O19:O52)</f>
        <v>0</v>
      </c>
      <c r="P53" s="21"/>
      <c r="Q53" s="162">
        <f>SUM(Q19:Q52)</f>
        <v>0</v>
      </c>
      <c r="R53" s="21"/>
      <c r="S53" s="162">
        <f>SUM(S19:S52)</f>
        <v>0</v>
      </c>
    </row>
    <row r="54" spans="1:34">
      <c r="A54" s="930"/>
      <c r="B54" s="923" t="s">
        <v>471</v>
      </c>
      <c r="C54" s="493"/>
      <c r="D54" s="924"/>
      <c r="E54" s="925"/>
      <c r="F54" s="494"/>
      <c r="G54" s="901"/>
      <c r="H54" s="931">
        <v>0</v>
      </c>
      <c r="I54" s="163"/>
      <c r="J54" s="931">
        <v>0</v>
      </c>
      <c r="K54" s="163"/>
      <c r="L54" s="931">
        <v>0</v>
      </c>
      <c r="M54" s="163"/>
      <c r="N54" s="931">
        <v>0</v>
      </c>
      <c r="O54" s="163"/>
      <c r="P54" s="931">
        <v>0</v>
      </c>
      <c r="Q54" s="163"/>
      <c r="R54" s="931">
        <v>0</v>
      </c>
      <c r="S54" s="163"/>
    </row>
    <row r="55" spans="1:34">
      <c r="A55" s="930"/>
      <c r="B55" s="923" t="s">
        <v>472</v>
      </c>
      <c r="C55" s="493"/>
      <c r="D55" s="924"/>
      <c r="E55" s="925"/>
      <c r="F55" s="494"/>
      <c r="G55" s="901">
        <f>F54*G53</f>
        <v>0</v>
      </c>
      <c r="H55" s="932"/>
      <c r="I55" s="933">
        <f>H54*I53</f>
        <v>0</v>
      </c>
      <c r="J55" s="932"/>
      <c r="K55" s="933">
        <f>J54*K53</f>
        <v>0</v>
      </c>
      <c r="L55" s="932"/>
      <c r="M55" s="933">
        <f>L54*M53</f>
        <v>0</v>
      </c>
      <c r="N55" s="932"/>
      <c r="O55" s="933">
        <f>N54*O53</f>
        <v>0</v>
      </c>
      <c r="P55" s="932"/>
      <c r="Q55" s="933">
        <f>P54*Q53</f>
        <v>0</v>
      </c>
      <c r="R55" s="932"/>
      <c r="S55" s="933">
        <f>R54*S53</f>
        <v>0</v>
      </c>
    </row>
    <row r="56" spans="1:34">
      <c r="A56" s="930"/>
      <c r="B56" s="923"/>
      <c r="C56" s="493"/>
      <c r="D56" s="924"/>
      <c r="E56" s="925"/>
      <c r="F56" s="494"/>
      <c r="G56" s="901"/>
      <c r="H56" s="932"/>
      <c r="I56" s="933"/>
      <c r="J56" s="932"/>
      <c r="K56" s="933"/>
      <c r="L56" s="932"/>
      <c r="M56" s="933"/>
      <c r="N56" s="932"/>
      <c r="O56" s="933"/>
      <c r="P56" s="932"/>
      <c r="Q56" s="933"/>
      <c r="R56" s="932"/>
      <c r="S56" s="933"/>
    </row>
    <row r="57" spans="1:34">
      <c r="A57" s="930"/>
      <c r="B57" s="923" t="s">
        <v>473</v>
      </c>
      <c r="C57" s="493"/>
      <c r="D57" s="924"/>
      <c r="E57" s="925"/>
      <c r="F57" s="494"/>
      <c r="G57" s="901">
        <f>SUM(G53:G55)</f>
        <v>3313230</v>
      </c>
      <c r="H57" s="934"/>
      <c r="I57" s="933">
        <f>SUM(I53:I55)</f>
        <v>3313230</v>
      </c>
      <c r="J57" s="934"/>
      <c r="K57" s="933">
        <f>SUM(K53:K55)</f>
        <v>0</v>
      </c>
      <c r="L57" s="934"/>
      <c r="M57" s="933">
        <f>SUM(M53:M55)</f>
        <v>0</v>
      </c>
      <c r="N57" s="934"/>
      <c r="O57" s="933">
        <f>SUM(O53:O55)</f>
        <v>0</v>
      </c>
      <c r="P57" s="934"/>
      <c r="Q57" s="933">
        <f>SUM(Q53:Q55)</f>
        <v>0</v>
      </c>
      <c r="R57" s="934"/>
      <c r="S57" s="933">
        <f>SUM(S53:S55)</f>
        <v>0</v>
      </c>
    </row>
    <row r="58" spans="1:34">
      <c r="A58" s="930"/>
      <c r="B58" s="495" t="s">
        <v>474</v>
      </c>
      <c r="C58" s="493"/>
      <c r="D58" s="924"/>
      <c r="E58" s="925"/>
      <c r="F58" s="495"/>
      <c r="G58" s="902">
        <f>G57/'Area Calculations'!$G$5</f>
        <v>8.510234432591961</v>
      </c>
      <c r="H58" s="935"/>
      <c r="I58" s="936">
        <f>I57/'Area Calculations'!$G$5</f>
        <v>8.510234432591961</v>
      </c>
      <c r="J58" s="935"/>
      <c r="K58" s="936">
        <f>K57/'Area Calculations'!$G$5</f>
        <v>0</v>
      </c>
      <c r="L58" s="935"/>
      <c r="M58" s="936">
        <f>M57/'Area Calculations'!$G$5</f>
        <v>0</v>
      </c>
      <c r="N58" s="935"/>
      <c r="O58" s="936">
        <f>O57/'Area Calculations'!$G$5</f>
        <v>0</v>
      </c>
      <c r="P58" s="935"/>
      <c r="Q58" s="936">
        <f>Q57/'Area Calculations'!$G$5</f>
        <v>0</v>
      </c>
      <c r="R58" s="937"/>
      <c r="S58" s="936">
        <f>S57/'Area Calculations'!$G$5</f>
        <v>0</v>
      </c>
    </row>
    <row r="59" spans="1:34" ht="15.75" thickBot="1">
      <c r="A59" s="930"/>
      <c r="B59" s="496"/>
      <c r="C59" s="493"/>
      <c r="D59" s="924"/>
      <c r="E59" s="925"/>
      <c r="F59" s="494"/>
      <c r="G59" s="464"/>
      <c r="H59" s="938"/>
      <c r="I59" s="939"/>
      <c r="J59" s="938"/>
      <c r="K59" s="938"/>
      <c r="L59" s="938"/>
      <c r="M59" s="938"/>
      <c r="N59" s="938"/>
      <c r="O59" s="938"/>
      <c r="P59" s="938"/>
      <c r="Q59" s="938"/>
      <c r="R59" s="938"/>
      <c r="S59" s="938"/>
    </row>
    <row r="60" spans="1:34" ht="16.5" thickTop="1" thickBot="1">
      <c r="A60" s="691" t="s">
        <v>475</v>
      </c>
      <c r="B60" s="692"/>
      <c r="C60" s="14"/>
      <c r="D60" s="169"/>
      <c r="E60" s="178"/>
      <c r="F60" s="14"/>
      <c r="G60" s="220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r="61" spans="1:34" ht="15.75" thickTop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>
      <c r="A62" s="795"/>
      <c r="B62" s="497"/>
      <c r="C62" s="796"/>
      <c r="D62" s="851"/>
      <c r="E62" s="852"/>
      <c r="F62" s="796"/>
      <c r="G62" s="798"/>
      <c r="H62" s="799"/>
      <c r="I62" s="799"/>
      <c r="J62" s="799"/>
      <c r="K62" s="799"/>
      <c r="L62" s="799"/>
      <c r="M62" s="799"/>
      <c r="N62" s="799"/>
      <c r="O62" s="799"/>
      <c r="P62" s="799"/>
      <c r="Q62" s="799"/>
      <c r="R62" s="799"/>
      <c r="S62" s="799"/>
    </row>
    <row r="63" spans="1:34" ht="15.75" thickBot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</row>
    <row r="64" spans="1:34" s="2" customFormat="1" ht="16.5" thickTop="1" thickBot="1">
      <c r="A64" s="691" t="s">
        <v>476</v>
      </c>
      <c r="B64" s="692"/>
      <c r="C64" s="14"/>
      <c r="D64" s="169"/>
      <c r="E64" s="178"/>
      <c r="F64" s="14"/>
      <c r="G64" s="220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s="2" customFormat="1" ht="15.75" thickTop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s="2" customFormat="1">
      <c r="A66" s="795"/>
      <c r="B66" s="497"/>
      <c r="C66" s="796"/>
      <c r="D66" s="851"/>
      <c r="E66" s="852"/>
      <c r="F66" s="796"/>
      <c r="G66" s="798"/>
      <c r="H66" s="799"/>
      <c r="I66" s="799"/>
      <c r="J66" s="799"/>
      <c r="K66" s="799"/>
      <c r="L66" s="799"/>
      <c r="M66" s="799"/>
      <c r="N66" s="799"/>
      <c r="O66" s="799"/>
      <c r="P66" s="799"/>
      <c r="Q66" s="799"/>
      <c r="R66" s="799"/>
      <c r="S66" s="799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5.75" thickBot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</row>
    <row r="68" spans="1:34" s="2" customFormat="1" ht="16.5" thickTop="1" thickBot="1">
      <c r="A68" s="691" t="s">
        <v>477</v>
      </c>
      <c r="B68" s="692"/>
      <c r="C68" s="14"/>
      <c r="D68" s="169"/>
      <c r="E68" s="178"/>
      <c r="F68" s="14"/>
      <c r="G68" s="220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Top="1">
      <c r="A69" s="795"/>
      <c r="B69" s="497"/>
      <c r="C69" s="796"/>
      <c r="D69" s="851"/>
      <c r="E69" s="852"/>
      <c r="F69" s="796"/>
      <c r="G69" s="798"/>
      <c r="H69" s="799"/>
      <c r="I69" s="799"/>
      <c r="J69" s="799"/>
      <c r="K69" s="799"/>
      <c r="L69" s="799"/>
      <c r="M69" s="799"/>
      <c r="N69" s="799"/>
      <c r="O69" s="799"/>
      <c r="P69" s="799"/>
      <c r="Q69" s="799"/>
      <c r="R69" s="799"/>
      <c r="S69" s="79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s="2" customFormat="1">
      <c r="A70" s="940"/>
      <c r="B70" s="497"/>
      <c r="C70" s="506"/>
      <c r="D70" s="507"/>
      <c r="E70" s="508"/>
      <c r="F70" s="506"/>
      <c r="G70" s="498"/>
      <c r="H70" s="941"/>
      <c r="I70" s="941"/>
      <c r="J70" s="941"/>
      <c r="K70" s="941"/>
      <c r="L70" s="941"/>
      <c r="M70" s="941"/>
      <c r="N70" s="941"/>
      <c r="O70" s="941"/>
      <c r="P70" s="941"/>
      <c r="Q70" s="941"/>
      <c r="R70" s="941"/>
      <c r="S70" s="941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s="2" customFormat="1" ht="15.75" thickBot="1">
      <c r="A71" s="942"/>
      <c r="B71" s="501"/>
      <c r="C71" s="506"/>
      <c r="D71" s="507"/>
      <c r="E71" s="508"/>
      <c r="F71" s="506"/>
      <c r="G71" s="498"/>
      <c r="H71" s="943"/>
      <c r="I71" s="943"/>
      <c r="J71" s="943"/>
      <c r="K71" s="943"/>
      <c r="L71" s="943"/>
      <c r="M71" s="943"/>
      <c r="N71" s="943"/>
      <c r="O71" s="943"/>
      <c r="P71" s="943"/>
      <c r="Q71" s="943"/>
      <c r="R71" s="943"/>
      <c r="S71" s="943"/>
    </row>
    <row r="72" spans="1:34" s="2" customFormat="1" ht="16.5" thickTop="1" thickBot="1">
      <c r="A72" s="691" t="s">
        <v>478</v>
      </c>
      <c r="B72" s="692"/>
      <c r="C72" s="14"/>
      <c r="D72" s="169"/>
      <c r="E72" s="178"/>
      <c r="F72" s="14"/>
      <c r="G72" s="220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5.75" thickTop="1">
      <c r="A73" s="800"/>
      <c r="B73" s="801"/>
      <c r="C73" s="796"/>
      <c r="D73" s="851"/>
      <c r="E73" s="852"/>
      <c r="F73" s="796"/>
      <c r="G73" s="798"/>
      <c r="H73" s="799"/>
      <c r="I73" s="799"/>
      <c r="J73" s="799"/>
      <c r="K73" s="799"/>
      <c r="L73" s="799"/>
      <c r="M73" s="799"/>
      <c r="N73" s="799"/>
      <c r="O73" s="799"/>
      <c r="P73" s="799"/>
      <c r="Q73" s="799"/>
      <c r="R73" s="799"/>
      <c r="S73" s="799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>
      <c r="A74" s="942"/>
      <c r="B74" s="501"/>
      <c r="C74" s="506"/>
      <c r="D74" s="507"/>
      <c r="E74" s="508"/>
      <c r="F74" s="506"/>
      <c r="G74" s="498"/>
      <c r="H74" s="944"/>
      <c r="I74" s="944"/>
      <c r="J74" s="944"/>
      <c r="K74" s="944"/>
      <c r="L74" s="944"/>
      <c r="M74" s="944"/>
      <c r="N74" s="944"/>
      <c r="O74" s="944"/>
      <c r="P74" s="944"/>
      <c r="Q74" s="944"/>
      <c r="R74" s="944"/>
      <c r="S74" s="944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5.75" thickBot="1">
      <c r="A75" s="942"/>
      <c r="B75" s="501"/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6.5" thickTop="1" thickBot="1">
      <c r="A76" s="691" t="s">
        <v>479</v>
      </c>
      <c r="B76" s="692"/>
      <c r="C76" s="14"/>
      <c r="D76" s="169"/>
      <c r="E76" s="178"/>
      <c r="F76" s="14"/>
      <c r="G76" s="220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spans="1:34" ht="15.75" thickTop="1">
      <c r="A77" s="940"/>
      <c r="B77" s="497" t="s">
        <v>480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481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>
      <c r="A79" s="940"/>
      <c r="B79" s="497" t="s">
        <v>482</v>
      </c>
      <c r="C79" s="506"/>
      <c r="D79" s="507"/>
      <c r="E79" s="508"/>
      <c r="F79" s="506"/>
      <c r="G79" s="498"/>
      <c r="H79" s="944"/>
      <c r="I79" s="944"/>
      <c r="J79" s="944"/>
      <c r="K79" s="944"/>
      <c r="L79" s="944"/>
      <c r="M79" s="944"/>
      <c r="N79" s="944"/>
      <c r="O79" s="944"/>
      <c r="P79" s="944"/>
      <c r="Q79" s="944"/>
      <c r="R79" s="944"/>
      <c r="S79" s="944"/>
    </row>
    <row r="80" spans="1:34">
      <c r="A80" s="940"/>
      <c r="B80" s="497" t="s">
        <v>483</v>
      </c>
      <c r="C80" s="506"/>
      <c r="D80" s="507"/>
      <c r="E80" s="508"/>
      <c r="F80" s="506"/>
      <c r="G80" s="498"/>
      <c r="H80" s="944"/>
      <c r="I80" s="944"/>
      <c r="J80" s="944"/>
      <c r="K80" s="944"/>
      <c r="L80" s="944"/>
      <c r="M80" s="944"/>
      <c r="N80" s="944"/>
      <c r="O80" s="944"/>
      <c r="P80" s="944"/>
      <c r="Q80" s="944"/>
      <c r="R80" s="944"/>
      <c r="S80" s="944"/>
    </row>
    <row r="81" spans="1:19" ht="15.75" thickBot="1">
      <c r="A81" s="23"/>
      <c r="B81" s="7"/>
      <c r="C81" s="8"/>
      <c r="D81" s="166"/>
      <c r="E81" s="172"/>
      <c r="F81" s="8"/>
      <c r="G81" s="221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</row>
    <row r="82" spans="1:19" ht="16.5" thickTop="1" thickBot="1">
      <c r="A82" s="9" t="s">
        <v>484</v>
      </c>
      <c r="B82" s="10"/>
      <c r="C82" s="14"/>
      <c r="D82" s="169"/>
      <c r="E82" s="178"/>
      <c r="F82" s="14"/>
      <c r="G82" s="220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 spans="1:19" ht="15.75" thickTop="1">
      <c r="A83" s="795"/>
      <c r="B83" s="802" t="s">
        <v>485</v>
      </c>
      <c r="C83" s="796"/>
      <c r="D83" s="851"/>
      <c r="E83" s="852"/>
      <c r="F83" s="796"/>
      <c r="G83" s="798"/>
      <c r="H83" s="803"/>
      <c r="I83" s="803"/>
      <c r="J83" s="803"/>
      <c r="K83" s="803"/>
      <c r="L83" s="803"/>
      <c r="M83" s="803"/>
      <c r="N83" s="803"/>
      <c r="O83" s="803"/>
      <c r="P83" s="803"/>
      <c r="Q83" s="803"/>
      <c r="R83" s="803"/>
      <c r="S83" s="803"/>
    </row>
    <row r="84" spans="1:19">
      <c r="A84" s="940"/>
      <c r="B84" s="497" t="s">
        <v>486</v>
      </c>
      <c r="C84" s="506"/>
      <c r="D84" s="507"/>
      <c r="E84" s="508"/>
      <c r="F84" s="506"/>
      <c r="G84" s="498"/>
      <c r="H84" s="945"/>
      <c r="I84" s="945"/>
      <c r="J84" s="945"/>
      <c r="K84" s="945"/>
      <c r="L84" s="945"/>
      <c r="M84" s="945"/>
      <c r="N84" s="945"/>
      <c r="O84" s="945"/>
      <c r="P84" s="945"/>
      <c r="Q84" s="945"/>
      <c r="R84" s="945"/>
      <c r="S84" s="945"/>
    </row>
    <row r="85" spans="1:19" ht="15.75" thickBot="1">
      <c r="A85" s="865"/>
      <c r="B85" s="866" t="s">
        <v>487</v>
      </c>
      <c r="C85" s="867"/>
      <c r="D85" s="868"/>
      <c r="E85" s="869"/>
      <c r="F85" s="867"/>
      <c r="G85" s="904"/>
      <c r="H85" s="871"/>
      <c r="I85" s="871"/>
      <c r="J85" s="871"/>
      <c r="K85" s="871"/>
      <c r="L85" s="871"/>
      <c r="M85" s="871"/>
      <c r="N85" s="871"/>
      <c r="O85" s="871"/>
      <c r="P85" s="871"/>
      <c r="Q85" s="871"/>
      <c r="R85" s="871"/>
      <c r="S85" s="871"/>
    </row>
    <row r="86" spans="1:19" ht="16.5" thickTop="1" thickBot="1"/>
    <row r="87" spans="1:19" ht="16.5" thickTop="1" thickBot="1">
      <c r="A87" s="42" t="s">
        <v>488</v>
      </c>
      <c r="B87" s="44"/>
    </row>
    <row r="88" spans="1:19" ht="15.75" thickTop="1">
      <c r="A88" s="43" t="s">
        <v>444</v>
      </c>
      <c r="B88" s="946"/>
    </row>
    <row r="89" spans="1:19">
      <c r="A89" s="504" t="s">
        <v>446</v>
      </c>
      <c r="B89" s="946"/>
    </row>
    <row r="90" spans="1:19">
      <c r="A90" s="947" t="s">
        <v>448</v>
      </c>
      <c r="B90" s="948"/>
    </row>
    <row r="91" spans="1:19">
      <c r="A91" s="947" t="s">
        <v>450</v>
      </c>
      <c r="B91" s="949"/>
    </row>
    <row r="92" spans="1:19" ht="15.75" thickBot="1">
      <c r="A92" s="878" t="s">
        <v>489</v>
      </c>
      <c r="B92" s="879">
        <f>$I$57</f>
        <v>3313230</v>
      </c>
    </row>
    <row r="93" spans="1:19" ht="15.75" thickTop="1"/>
    <row r="94" spans="1:19">
      <c r="A94" s="45"/>
      <c r="B94" s="1" t="s">
        <v>490</v>
      </c>
    </row>
    <row r="95" spans="1:19">
      <c r="A95" s="46"/>
      <c r="B95" s="1" t="s">
        <v>491</v>
      </c>
    </row>
  </sheetData>
  <mergeCells count="35">
    <mergeCell ref="R5:S5"/>
    <mergeCell ref="H5:I5"/>
    <mergeCell ref="J5:K5"/>
    <mergeCell ref="L5:M5"/>
    <mergeCell ref="N5:O5"/>
    <mergeCell ref="P5:Q5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A60:B60"/>
    <mergeCell ref="A64:B64"/>
    <mergeCell ref="A68:B68"/>
    <mergeCell ref="A72:B72"/>
    <mergeCell ref="A76:B76"/>
  </mergeCells>
  <conditionalFormatting sqref="H11:H18 J11:J18 L11:L18 N11:N18 P11:P18 R11:R18">
    <cfRule type="cellIs" dxfId="41" priority="5" operator="equal">
      <formula>"X"</formula>
    </cfRule>
    <cfRule type="cellIs" dxfId="40" priority="6" operator="equal">
      <formula>"I"</formula>
    </cfRule>
  </conditionalFormatting>
  <conditionalFormatting sqref="H20:H52">
    <cfRule type="cellIs" dxfId="39" priority="1" operator="equal">
      <formula>"X"</formula>
    </cfRule>
    <cfRule type="cellIs" dxfId="38" priority="2" operator="equal">
      <formula>"I"</formula>
    </cfRule>
  </conditionalFormatting>
  <conditionalFormatting sqref="J20:J52 L20:L52 N20:N52 P20:P52 R20:R52">
    <cfRule type="cellIs" dxfId="37" priority="3" operator="equal">
      <formula>"X"</formula>
    </cfRule>
    <cfRule type="cellIs" dxfId="36" priority="4" operator="equal">
      <formula>"I"</formula>
    </cfRule>
  </conditionalFormatting>
  <hyperlinks>
    <hyperlink ref="B4" location="'Cost Summary'!A1" display="BACK TO SUMMARY SHEET" xr:uid="{B64E9D31-428C-4F30-942F-DD098DA3D9EA}"/>
  </hyperlinks>
  <pageMargins left="0.2" right="0.2" top="0.5" bottom="0.75" header="0.3" footer="0.3"/>
  <pageSetup paperSize="3" scale="77" fitToHeight="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FE23-8754-4AF5-9A2C-C1AE45920A80}">
  <sheetPr>
    <tabColor rgb="FFFFFF00"/>
    <pageSetUpPr fitToPage="1"/>
  </sheetPr>
  <dimension ref="A1:AH93"/>
  <sheetViews>
    <sheetView zoomScale="90" zoomScaleNormal="90" workbookViewId="0">
      <pane xSplit="2" ySplit="19" topLeftCell="D20" activePane="bottomRight" state="frozen"/>
      <selection pane="bottomRight" activeCell="B22" sqref="B22"/>
      <selection pane="bottomLeft" activeCell="B4" sqref="B4"/>
      <selection pane="topRight"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/>
      <c r="I5" s="68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161</v>
      </c>
      <c r="C6" s="506"/>
      <c r="D6" s="507"/>
      <c r="E6" s="508"/>
      <c r="F6" s="506"/>
      <c r="G6" s="462" t="s">
        <v>446</v>
      </c>
      <c r="H6" s="685"/>
      <c r="I6" s="68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160</v>
      </c>
      <c r="C7" s="506"/>
      <c r="D7" s="507"/>
      <c r="E7" s="508"/>
      <c r="F7" s="506"/>
      <c r="G7" s="510" t="s">
        <v>448</v>
      </c>
      <c r="H7" s="687"/>
      <c r="I7" s="68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89"/>
      <c r="I8" s="69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20300</v>
      </c>
      <c r="I9" s="895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991" t="s">
        <v>460</v>
      </c>
      <c r="C11" s="484"/>
      <c r="D11" s="507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1018" t="s">
        <v>461</v>
      </c>
      <c r="C12" s="506"/>
      <c r="D12" s="507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 t="s">
        <v>161</v>
      </c>
      <c r="C21" s="506"/>
      <c r="D21" s="507">
        <v>7</v>
      </c>
      <c r="E21" s="508" t="s">
        <v>650</v>
      </c>
      <c r="F21" s="517">
        <v>2900</v>
      </c>
      <c r="G21" s="315">
        <f t="shared" ref="G21" si="5">ROUND(D21*F21,0)</f>
        <v>20300</v>
      </c>
      <c r="H21" s="951"/>
      <c r="I21" s="793">
        <f t="shared" ref="I21" si="6">G21</f>
        <v>20300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792"/>
      <c r="C22" s="506"/>
      <c r="D22" s="507"/>
      <c r="E22" s="508"/>
      <c r="F22" s="517"/>
      <c r="G22" s="315">
        <f t="shared" ref="G22:G49" si="7">ROUND(D22*F22,0)</f>
        <v>0</v>
      </c>
      <c r="H22" s="951"/>
      <c r="I22" s="793">
        <f t="shared" ref="I22:I49" si="8">G22</f>
        <v>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792"/>
      <c r="C23" s="506"/>
      <c r="D23" s="507"/>
      <c r="E23" s="508"/>
      <c r="F23" s="517"/>
      <c r="G23" s="315">
        <f t="shared" si="7"/>
        <v>0</v>
      </c>
      <c r="H23" s="951"/>
      <c r="I23" s="793">
        <f t="shared" si="8"/>
        <v>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/>
      <c r="C24" s="506"/>
      <c r="D24" s="507"/>
      <c r="E24" s="508"/>
      <c r="F24" s="517"/>
      <c r="G24" s="315">
        <f t="shared" si="7"/>
        <v>0</v>
      </c>
      <c r="H24" s="951"/>
      <c r="I24" s="793">
        <f t="shared" si="8"/>
        <v>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792"/>
      <c r="C25" s="506"/>
      <c r="D25" s="507"/>
      <c r="E25" s="508"/>
      <c r="F25" s="517"/>
      <c r="G25" s="315">
        <f t="shared" si="7"/>
        <v>0</v>
      </c>
      <c r="H25" s="951"/>
      <c r="I25" s="793">
        <f t="shared" si="8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792"/>
      <c r="C26" s="506"/>
      <c r="D26" s="507"/>
      <c r="E26" s="508"/>
      <c r="F26" s="517"/>
      <c r="G26" s="315">
        <f t="shared" si="7"/>
        <v>0</v>
      </c>
      <c r="H26" s="951"/>
      <c r="I26" s="793">
        <f t="shared" si="8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/>
      <c r="C27" s="506"/>
      <c r="D27" s="507"/>
      <c r="E27" s="508"/>
      <c r="F27" s="517"/>
      <c r="G27" s="315">
        <f t="shared" si="7"/>
        <v>0</v>
      </c>
      <c r="H27" s="951"/>
      <c r="I27" s="793">
        <f t="shared" si="8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si="7"/>
        <v>0</v>
      </c>
      <c r="H28" s="951"/>
      <c r="I28" s="793">
        <f t="shared" si="8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7"/>
        <v>0</v>
      </c>
      <c r="H29" s="951"/>
      <c r="I29" s="793">
        <f t="shared" si="8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7"/>
        <v>0</v>
      </c>
      <c r="H30" s="951"/>
      <c r="I30" s="793">
        <f t="shared" si="8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7"/>
        <v>0</v>
      </c>
      <c r="H31" s="951"/>
      <c r="I31" s="793">
        <f t="shared" si="8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7"/>
        <v>0</v>
      </c>
      <c r="H32" s="951"/>
      <c r="I32" s="793">
        <f t="shared" si="8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7"/>
        <v>0</v>
      </c>
      <c r="H33" s="951"/>
      <c r="I33" s="793">
        <f t="shared" si="8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7"/>
        <v>0</v>
      </c>
      <c r="H34" s="951"/>
      <c r="I34" s="793">
        <f t="shared" si="8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7"/>
        <v>0</v>
      </c>
      <c r="H35" s="951"/>
      <c r="I35" s="793">
        <f t="shared" si="8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7"/>
        <v>0</v>
      </c>
      <c r="H36" s="951"/>
      <c r="I36" s="793">
        <f t="shared" si="8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7"/>
        <v>0</v>
      </c>
      <c r="H37" s="951"/>
      <c r="I37" s="793">
        <f t="shared" si="8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7"/>
        <v>0</v>
      </c>
      <c r="H38" s="951"/>
      <c r="I38" s="793">
        <f t="shared" si="8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7"/>
        <v>0</v>
      </c>
      <c r="H39" s="951"/>
      <c r="I39" s="793">
        <f t="shared" si="8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7"/>
        <v>0</v>
      </c>
      <c r="H40" s="951"/>
      <c r="I40" s="793">
        <f t="shared" si="8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7"/>
        <v>0</v>
      </c>
      <c r="H41" s="951"/>
      <c r="I41" s="793">
        <f t="shared" si="8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7"/>
        <v>0</v>
      </c>
      <c r="H42" s="951"/>
      <c r="I42" s="793">
        <f t="shared" si="8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7"/>
        <v>0</v>
      </c>
      <c r="H43" s="951"/>
      <c r="I43" s="793">
        <f t="shared" si="8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7"/>
        <v>0</v>
      </c>
      <c r="H44" s="951"/>
      <c r="I44" s="793">
        <f t="shared" si="8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7"/>
        <v>0</v>
      </c>
      <c r="H45" s="951"/>
      <c r="I45" s="793">
        <f t="shared" si="8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7"/>
        <v>0</v>
      </c>
      <c r="H46" s="951"/>
      <c r="I46" s="793">
        <f t="shared" si="8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7"/>
        <v>0</v>
      </c>
      <c r="H47" s="951"/>
      <c r="I47" s="793">
        <f t="shared" si="8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7"/>
        <v>0</v>
      </c>
      <c r="H48" s="951"/>
      <c r="I48" s="793">
        <f t="shared" si="8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si="7"/>
        <v>0</v>
      </c>
      <c r="H49" s="951"/>
      <c r="I49" s="793">
        <f t="shared" si="8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20300</v>
      </c>
      <c r="H51" s="21"/>
      <c r="I51" s="217">
        <f>SUBTOTAL(9,I21:I50)</f>
        <v>20300</v>
      </c>
      <c r="J51" s="21"/>
      <c r="K51" s="162">
        <f>SUM(K19:K50)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20300</v>
      </c>
      <c r="H55" s="934"/>
      <c r="I55" s="933">
        <f>SUM(I51:I53)</f>
        <v>20300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5.2141794859281367E-2</v>
      </c>
      <c r="H56" s="935"/>
      <c r="I56" s="936">
        <f>I55/'Area Calculations'!$G$5</f>
        <v>5.2141794859281367E-2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9"/>
      <c r="J57" s="938"/>
      <c r="K57" s="938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20300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R5:S5"/>
    <mergeCell ref="H5:I5"/>
    <mergeCell ref="J5:K5"/>
    <mergeCell ref="L5:M5"/>
    <mergeCell ref="N5:O5"/>
    <mergeCell ref="P5:Q5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A58:B58"/>
    <mergeCell ref="A62:B62"/>
    <mergeCell ref="A66:B66"/>
    <mergeCell ref="A70:B70"/>
    <mergeCell ref="A74:B74"/>
  </mergeCells>
  <conditionalFormatting sqref="H11:H18 J11:J18 L11:L18 N11:N18 P11:P18 R11:R18">
    <cfRule type="cellIs" dxfId="35" priority="5" operator="equal">
      <formula>"X"</formula>
    </cfRule>
    <cfRule type="cellIs" dxfId="34" priority="6" operator="equal">
      <formula>"I"</formula>
    </cfRule>
  </conditionalFormatting>
  <conditionalFormatting sqref="H20:H50">
    <cfRule type="cellIs" dxfId="33" priority="1" operator="equal">
      <formula>"X"</formula>
    </cfRule>
    <cfRule type="cellIs" dxfId="32" priority="2" operator="equal">
      <formula>"I"</formula>
    </cfRule>
  </conditionalFormatting>
  <conditionalFormatting sqref="J20:J50 L20:L50 N20:N50 P20:P50 R20:R50">
    <cfRule type="cellIs" dxfId="31" priority="3" operator="equal">
      <formula>"X"</formula>
    </cfRule>
    <cfRule type="cellIs" dxfId="30" priority="4" operator="equal">
      <formula>"I"</formula>
    </cfRule>
  </conditionalFormatting>
  <hyperlinks>
    <hyperlink ref="B4" location="'Cost Summary'!A1" display="BACK TO SUMMARY SHEET" xr:uid="{030D3E76-D4B4-4FED-ACD2-740CF9631C52}"/>
  </hyperlinks>
  <pageMargins left="0.2" right="0.2" top="0.5" bottom="0.75" header="0.3" footer="0.3"/>
  <pageSetup paperSize="3" scale="77" fitToHeight="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32B8-4E89-47BC-9F04-55307DDD9162}">
  <sheetPr>
    <tabColor rgb="FFFFFF00"/>
    <pageSetUpPr fitToPage="1"/>
  </sheetPr>
  <dimension ref="A1:AH93"/>
  <sheetViews>
    <sheetView zoomScale="90" zoomScaleNormal="90" workbookViewId="0">
      <pane xSplit="2" ySplit="19" topLeftCell="C20" activePane="bottomRight" state="frozen"/>
      <selection pane="bottomRight" activeCell="H42" sqref="H42"/>
      <selection pane="bottomLeft" activeCell="B4" sqref="B4"/>
      <selection pane="topRight"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/>
      <c r="I5" s="68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651</v>
      </c>
      <c r="C6" s="506"/>
      <c r="D6" s="507"/>
      <c r="E6" s="508"/>
      <c r="F6" s="506"/>
      <c r="G6" s="462" t="s">
        <v>446</v>
      </c>
      <c r="H6" s="685"/>
      <c r="I6" s="68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162</v>
      </c>
      <c r="C7" s="506"/>
      <c r="D7" s="507"/>
      <c r="E7" s="508"/>
      <c r="F7" s="506"/>
      <c r="G7" s="510" t="s">
        <v>448</v>
      </c>
      <c r="H7" s="687"/>
      <c r="I7" s="68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89"/>
      <c r="I8" s="69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1272593</v>
      </c>
      <c r="I9" s="895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991" t="s">
        <v>460</v>
      </c>
      <c r="C11" s="484"/>
      <c r="D11" s="507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1018" t="s">
        <v>461</v>
      </c>
      <c r="C12" s="506"/>
      <c r="D12" s="507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 t="s">
        <v>652</v>
      </c>
      <c r="C21" s="506"/>
      <c r="D21" s="507">
        <f>SUM('Area Calculations'!E15:E21)</f>
        <v>279298</v>
      </c>
      <c r="E21" s="508" t="s">
        <v>179</v>
      </c>
      <c r="F21" s="517">
        <v>3.5</v>
      </c>
      <c r="G21" s="315">
        <f t="shared" ref="G21:G49" si="5">ROUND(D21*F21,0)</f>
        <v>977543</v>
      </c>
      <c r="H21" s="951"/>
      <c r="I21" s="793">
        <f t="shared" ref="I21:I49" si="6">G21</f>
        <v>977543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792" t="s">
        <v>653</v>
      </c>
      <c r="C22" s="506"/>
      <c r="D22" s="507">
        <f>'Area Calculations'!E14</f>
        <v>110025</v>
      </c>
      <c r="E22" s="508" t="s">
        <v>179</v>
      </c>
      <c r="F22" s="517">
        <v>2</v>
      </c>
      <c r="G22" s="315">
        <f t="shared" si="5"/>
        <v>220050</v>
      </c>
      <c r="H22" s="951"/>
      <c r="I22" s="793">
        <f t="shared" si="6"/>
        <v>220050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792"/>
      <c r="C23" s="506"/>
      <c r="D23" s="507"/>
      <c r="E23" s="508"/>
      <c r="F23" s="517"/>
      <c r="G23" s="315">
        <f t="shared" si="5"/>
        <v>0</v>
      </c>
      <c r="H23" s="951"/>
      <c r="I23" s="793">
        <f t="shared" si="6"/>
        <v>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 t="s">
        <v>654</v>
      </c>
      <c r="C24" s="506"/>
      <c r="D24" s="507">
        <v>1</v>
      </c>
      <c r="E24" s="508" t="s">
        <v>286</v>
      </c>
      <c r="F24" s="517">
        <v>75000</v>
      </c>
      <c r="G24" s="315">
        <f t="shared" si="5"/>
        <v>75000</v>
      </c>
      <c r="H24" s="951"/>
      <c r="I24" s="793">
        <f t="shared" si="6"/>
        <v>75000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792"/>
      <c r="C25" s="506"/>
      <c r="D25" s="507"/>
      <c r="E25" s="508"/>
      <c r="F25" s="517"/>
      <c r="G25" s="315">
        <f t="shared" si="5"/>
        <v>0</v>
      </c>
      <c r="H25" s="951"/>
      <c r="I25" s="793">
        <f t="shared" si="6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792"/>
      <c r="C26" s="506"/>
      <c r="D26" s="507"/>
      <c r="E26" s="508"/>
      <c r="F26" s="517"/>
      <c r="G26" s="315">
        <f t="shared" si="5"/>
        <v>0</v>
      </c>
      <c r="H26" s="951"/>
      <c r="I26" s="793">
        <f t="shared" si="6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/>
      <c r="C27" s="506"/>
      <c r="D27" s="507"/>
      <c r="E27" s="508"/>
      <c r="F27" s="517"/>
      <c r="G27" s="315">
        <f t="shared" si="5"/>
        <v>0</v>
      </c>
      <c r="H27" s="951"/>
      <c r="I27" s="793">
        <f t="shared" si="6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si="5"/>
        <v>0</v>
      </c>
      <c r="H28" s="951"/>
      <c r="I28" s="793">
        <f t="shared" si="6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5"/>
        <v>0</v>
      </c>
      <c r="H29" s="951"/>
      <c r="I29" s="793">
        <f t="shared" si="6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5"/>
        <v>0</v>
      </c>
      <c r="H30" s="951"/>
      <c r="I30" s="793">
        <f t="shared" si="6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5"/>
        <v>0</v>
      </c>
      <c r="H31" s="951"/>
      <c r="I31" s="793">
        <f t="shared" si="6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5"/>
        <v>0</v>
      </c>
      <c r="H32" s="951"/>
      <c r="I32" s="793">
        <f t="shared" si="6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5"/>
        <v>0</v>
      </c>
      <c r="H33" s="951"/>
      <c r="I33" s="793">
        <f t="shared" si="6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5"/>
        <v>0</v>
      </c>
      <c r="H34" s="951"/>
      <c r="I34" s="793">
        <f t="shared" si="6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5"/>
        <v>0</v>
      </c>
      <c r="H35" s="951"/>
      <c r="I35" s="793">
        <f t="shared" si="6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ref="G36:G43" si="7">ROUND(D36*F36,0)</f>
        <v>0</v>
      </c>
      <c r="H36" s="951"/>
      <c r="I36" s="793">
        <f t="shared" ref="I36:I43" si="8">G36</f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7"/>
        <v>0</v>
      </c>
      <c r="H37" s="951"/>
      <c r="I37" s="793">
        <f t="shared" si="8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7"/>
        <v>0</v>
      </c>
      <c r="H38" s="951"/>
      <c r="I38" s="793">
        <f t="shared" si="8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7"/>
        <v>0</v>
      </c>
      <c r="H39" s="951"/>
      <c r="I39" s="793">
        <f t="shared" si="8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7"/>
        <v>0</v>
      </c>
      <c r="H40" s="951"/>
      <c r="I40" s="793">
        <f t="shared" si="8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7"/>
        <v>0</v>
      </c>
      <c r="H41" s="951"/>
      <c r="I41" s="793">
        <f t="shared" si="8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7"/>
        <v>0</v>
      </c>
      <c r="H42" s="951"/>
      <c r="I42" s="793">
        <f t="shared" si="8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7"/>
        <v>0</v>
      </c>
      <c r="H43" s="951"/>
      <c r="I43" s="793">
        <f t="shared" si="8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5"/>
        <v>0</v>
      </c>
      <c r="H44" s="951"/>
      <c r="I44" s="793">
        <f t="shared" si="6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5"/>
        <v>0</v>
      </c>
      <c r="H45" s="951"/>
      <c r="I45" s="793">
        <f t="shared" si="6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5"/>
        <v>0</v>
      </c>
      <c r="H46" s="951"/>
      <c r="I46" s="793">
        <f t="shared" si="6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5"/>
        <v>0</v>
      </c>
      <c r="H47" s="951"/>
      <c r="I47" s="793">
        <f t="shared" si="6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5"/>
        <v>0</v>
      </c>
      <c r="H48" s="951"/>
      <c r="I48" s="793">
        <f t="shared" si="6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si="5"/>
        <v>0</v>
      </c>
      <c r="H49" s="951"/>
      <c r="I49" s="793">
        <f t="shared" si="6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1272593</v>
      </c>
      <c r="H51" s="21"/>
      <c r="I51" s="217">
        <f>SUBTOTAL(9,I21:I50)</f>
        <v>1272593</v>
      </c>
      <c r="J51" s="21"/>
      <c r="K51" s="162">
        <f>SUM(K19:K50)</f>
        <v>0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1272593</v>
      </c>
      <c r="H55" s="934"/>
      <c r="I55" s="933">
        <f>SUM(I51:I53)</f>
        <v>1272593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3.2687331598698255</v>
      </c>
      <c r="H56" s="935"/>
      <c r="I56" s="936">
        <f>I55/'Area Calculations'!$G$5</f>
        <v>3.2687331598698255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9"/>
      <c r="J57" s="938"/>
      <c r="K57" s="938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1272593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A74:B74"/>
    <mergeCell ref="R9:S9"/>
    <mergeCell ref="A58:B58"/>
    <mergeCell ref="A62:B62"/>
    <mergeCell ref="A66:B66"/>
    <mergeCell ref="A70:B70"/>
    <mergeCell ref="H9:I9"/>
    <mergeCell ref="J9:K9"/>
    <mergeCell ref="L9:M9"/>
    <mergeCell ref="N9:O9"/>
    <mergeCell ref="P9:Q9"/>
    <mergeCell ref="H5:I5"/>
    <mergeCell ref="J5:K5"/>
    <mergeCell ref="L5:M5"/>
    <mergeCell ref="N5:O5"/>
    <mergeCell ref="H7:I7"/>
    <mergeCell ref="J7:K7"/>
    <mergeCell ref="L7:M7"/>
    <mergeCell ref="N7:O7"/>
    <mergeCell ref="H6:I6"/>
    <mergeCell ref="J6:K6"/>
    <mergeCell ref="L6:M6"/>
    <mergeCell ref="N6:O6"/>
    <mergeCell ref="J8:K8"/>
    <mergeCell ref="L8:M8"/>
    <mergeCell ref="N8:O8"/>
    <mergeCell ref="P8:Q8"/>
    <mergeCell ref="H8:I8"/>
    <mergeCell ref="R7:S7"/>
    <mergeCell ref="R8:S8"/>
    <mergeCell ref="R5:S5"/>
    <mergeCell ref="R6:S6"/>
    <mergeCell ref="P7:Q7"/>
    <mergeCell ref="P6:Q6"/>
    <mergeCell ref="P5:Q5"/>
  </mergeCells>
  <conditionalFormatting sqref="H11:H18 J11:J18 L11:L18 N11:N18 P11:P18 R11:R18 H20:H50 J20:J50 L20:L50 N20:N50 P20:P50 R20:R50">
    <cfRule type="cellIs" dxfId="29" priority="7" operator="equal">
      <formula>"X"</formula>
    </cfRule>
    <cfRule type="cellIs" dxfId="28" priority="8" operator="equal">
      <formula>"I"</formula>
    </cfRule>
  </conditionalFormatting>
  <hyperlinks>
    <hyperlink ref="B4" location="'Cost Summary'!A1" display="BACK TO SUMMARY SHEET" xr:uid="{2ACED030-8668-45BC-85C9-C510D65CF469}"/>
  </hyperlinks>
  <pageMargins left="0.2" right="0.2" top="0.5" bottom="0.75" header="0.3" footer="0.3"/>
  <pageSetup paperSize="3" scale="77" fitToHeight="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9DC6-318E-4ACB-A19A-33E8EB166598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M25" sqref="M25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73"/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165</v>
      </c>
      <c r="C6" s="506"/>
      <c r="D6" s="507"/>
      <c r="E6" s="508"/>
      <c r="F6" s="506"/>
      <c r="G6" s="462" t="s">
        <v>446</v>
      </c>
      <c r="H6" s="675"/>
      <c r="I6" s="67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164</v>
      </c>
      <c r="C7" s="506"/>
      <c r="D7" s="507"/>
      <c r="E7" s="508"/>
      <c r="F7" s="506"/>
      <c r="G7" s="510" t="s">
        <v>448</v>
      </c>
      <c r="H7" s="677"/>
      <c r="I7" s="67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79"/>
      <c r="I8" s="68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7234302</v>
      </c>
      <c r="I9" s="895"/>
      <c r="J9" s="892">
        <f t="shared" ref="J9" si="0">K$55</f>
        <v>24440.20945945946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991" t="s">
        <v>460</v>
      </c>
      <c r="C11" s="484"/>
      <c r="D11" s="507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1018" t="s">
        <v>461</v>
      </c>
      <c r="C12" s="506"/>
      <c r="D12" s="507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 t="s">
        <v>655</v>
      </c>
      <c r="C21" s="506"/>
      <c r="D21" s="507">
        <f>'Area Calculations'!Q15</f>
        <v>270</v>
      </c>
      <c r="E21" s="508" t="s">
        <v>656</v>
      </c>
      <c r="F21" s="517">
        <v>20000</v>
      </c>
      <c r="G21" s="315">
        <f t="shared" ref="G21:G49" si="5">ROUND(D21*F21,0)</f>
        <v>5400000</v>
      </c>
      <c r="H21" s="951"/>
      <c r="I21" s="793">
        <f>G21</f>
        <v>5400000</v>
      </c>
      <c r="J21" s="951"/>
      <c r="K21" s="793">
        <f>H9/296</f>
        <v>24440.20945945946</v>
      </c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792" t="s">
        <v>657</v>
      </c>
      <c r="C22" s="506"/>
      <c r="D22" s="507">
        <f>'Area Calculations'!Q15</f>
        <v>270</v>
      </c>
      <c r="E22" s="508" t="s">
        <v>656</v>
      </c>
      <c r="F22" s="517">
        <v>1800</v>
      </c>
      <c r="G22" s="315">
        <f t="shared" si="5"/>
        <v>486000</v>
      </c>
      <c r="H22" s="951"/>
      <c r="I22" s="793">
        <f t="shared" ref="I22:I49" si="6">G22</f>
        <v>486000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792" t="s">
        <v>658</v>
      </c>
      <c r="C23" s="506"/>
      <c r="D23" s="507">
        <f>'Area Calculations'!O15+'Area Calculations'!P15</f>
        <v>26</v>
      </c>
      <c r="E23" s="508" t="s">
        <v>656</v>
      </c>
      <c r="F23" s="517">
        <v>40000</v>
      </c>
      <c r="G23" s="315">
        <f t="shared" si="5"/>
        <v>1040000</v>
      </c>
      <c r="H23" s="951"/>
      <c r="I23" s="793">
        <f t="shared" si="6"/>
        <v>1040000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 t="s">
        <v>659</v>
      </c>
      <c r="C24" s="506"/>
      <c r="D24" s="507">
        <f>'Area Calculations'!O15+'Area Calculations'!P15</f>
        <v>26</v>
      </c>
      <c r="E24" s="508" t="s">
        <v>656</v>
      </c>
      <c r="F24" s="517">
        <v>1800</v>
      </c>
      <c r="G24" s="315">
        <f t="shared" si="5"/>
        <v>46800</v>
      </c>
      <c r="H24" s="951"/>
      <c r="I24" s="793">
        <f t="shared" si="6"/>
        <v>46800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792"/>
      <c r="C25" s="506"/>
      <c r="D25" s="507"/>
      <c r="E25" s="508"/>
      <c r="F25" s="517"/>
      <c r="G25" s="315">
        <f t="shared" si="5"/>
        <v>0</v>
      </c>
      <c r="H25" s="951"/>
      <c r="I25" s="793">
        <f t="shared" si="6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792" t="s">
        <v>660</v>
      </c>
      <c r="C26" s="506"/>
      <c r="D26" s="507">
        <f>'Area Calculations'!G6</f>
        <v>261502</v>
      </c>
      <c r="E26" s="508" t="s">
        <v>179</v>
      </c>
      <c r="F26" s="517">
        <v>1</v>
      </c>
      <c r="G26" s="315">
        <f t="shared" si="5"/>
        <v>261502</v>
      </c>
      <c r="H26" s="951"/>
      <c r="I26" s="793">
        <f t="shared" si="6"/>
        <v>261502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/>
      <c r="C27" s="506"/>
      <c r="D27" s="507"/>
      <c r="E27" s="508"/>
      <c r="F27" s="517"/>
      <c r="G27" s="315">
        <f t="shared" si="5"/>
        <v>0</v>
      </c>
      <c r="H27" s="951"/>
      <c r="I27" s="793">
        <f t="shared" si="6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si="5"/>
        <v>0</v>
      </c>
      <c r="H28" s="951"/>
      <c r="I28" s="793">
        <f t="shared" si="6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5"/>
        <v>0</v>
      </c>
      <c r="H29" s="951"/>
      <c r="I29" s="793">
        <f t="shared" si="6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5"/>
        <v>0</v>
      </c>
      <c r="H30" s="951"/>
      <c r="I30" s="793">
        <f t="shared" si="6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5"/>
        <v>0</v>
      </c>
      <c r="H31" s="951"/>
      <c r="I31" s="793">
        <f t="shared" si="6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5"/>
        <v>0</v>
      </c>
      <c r="H32" s="951"/>
      <c r="I32" s="793">
        <f t="shared" si="6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5"/>
        <v>0</v>
      </c>
      <c r="H33" s="951"/>
      <c r="I33" s="793">
        <f t="shared" si="6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5"/>
        <v>0</v>
      </c>
      <c r="H34" s="951"/>
      <c r="I34" s="793">
        <f t="shared" si="6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5"/>
        <v>0</v>
      </c>
      <c r="H35" s="951"/>
      <c r="I35" s="793">
        <f t="shared" si="6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5"/>
        <v>0</v>
      </c>
      <c r="H36" s="951"/>
      <c r="I36" s="793">
        <f t="shared" si="6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5"/>
        <v>0</v>
      </c>
      <c r="H37" s="951"/>
      <c r="I37" s="793">
        <f t="shared" si="6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5"/>
        <v>0</v>
      </c>
      <c r="H38" s="951"/>
      <c r="I38" s="793">
        <f t="shared" si="6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5"/>
        <v>0</v>
      </c>
      <c r="H39" s="951"/>
      <c r="I39" s="793">
        <f t="shared" si="6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5"/>
        <v>0</v>
      </c>
      <c r="H40" s="951"/>
      <c r="I40" s="793">
        <f t="shared" si="6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5"/>
        <v>0</v>
      </c>
      <c r="H41" s="951"/>
      <c r="I41" s="793">
        <f t="shared" si="6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5"/>
        <v>0</v>
      </c>
      <c r="H42" s="951"/>
      <c r="I42" s="793">
        <f t="shared" si="6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5"/>
        <v>0</v>
      </c>
      <c r="H43" s="951"/>
      <c r="I43" s="793">
        <f t="shared" si="6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5"/>
        <v>0</v>
      </c>
      <c r="H44" s="951"/>
      <c r="I44" s="793">
        <f t="shared" si="6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5"/>
        <v>0</v>
      </c>
      <c r="H45" s="951"/>
      <c r="I45" s="793">
        <f t="shared" si="6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5"/>
        <v>0</v>
      </c>
      <c r="H46" s="951"/>
      <c r="I46" s="793">
        <f t="shared" si="6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5"/>
        <v>0</v>
      </c>
      <c r="H47" s="951"/>
      <c r="I47" s="793">
        <f t="shared" si="6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5"/>
        <v>0</v>
      </c>
      <c r="H48" s="951"/>
      <c r="I48" s="793">
        <f t="shared" si="6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si="5"/>
        <v>0</v>
      </c>
      <c r="H49" s="951"/>
      <c r="I49" s="793">
        <f t="shared" si="6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7234302</v>
      </c>
      <c r="H51" s="21"/>
      <c r="I51" s="217">
        <f>SUBTOTAL(9,I21:I50)</f>
        <v>7234302</v>
      </c>
      <c r="J51" s="21"/>
      <c r="K51" s="162">
        <f>SUM(K19:K50)</f>
        <v>24440.20945945946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7234302</v>
      </c>
      <c r="H55" s="934"/>
      <c r="I55" s="933">
        <f>SUM(I51:I53)</f>
        <v>7234302</v>
      </c>
      <c r="J55" s="934"/>
      <c r="K55" s="933">
        <f>SUM(K51:K53)</f>
        <v>24440.20945945946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18.581748316950193</v>
      </c>
      <c r="H56" s="935"/>
      <c r="I56" s="936">
        <f>I55/'Area Calculations'!$G$5</f>
        <v>18.581748316950193</v>
      </c>
      <c r="J56" s="935"/>
      <c r="K56" s="936">
        <f>K55/'Area Calculations'!$G$5</f>
        <v>6.277617674645336E-2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9">
        <f>I55/296</f>
        <v>24440.20945945946</v>
      </c>
      <c r="J57" s="938"/>
      <c r="K57" s="938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7234302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A74:B74"/>
    <mergeCell ref="H6:I6"/>
    <mergeCell ref="H7:I7"/>
    <mergeCell ref="H8:I8"/>
    <mergeCell ref="R9:S9"/>
    <mergeCell ref="A58:B58"/>
    <mergeCell ref="A62:B62"/>
    <mergeCell ref="A66:B66"/>
    <mergeCell ref="A70:B70"/>
    <mergeCell ref="N9:O9"/>
    <mergeCell ref="P9:Q9"/>
    <mergeCell ref="L9:M9"/>
    <mergeCell ref="R8:S8"/>
    <mergeCell ref="L8:M8"/>
    <mergeCell ref="R7:S7"/>
    <mergeCell ref="L6:M6"/>
    <mergeCell ref="H5:I5"/>
    <mergeCell ref="H9:I9"/>
    <mergeCell ref="J8:K8"/>
    <mergeCell ref="J6:K6"/>
    <mergeCell ref="J7:K7"/>
    <mergeCell ref="J9:K9"/>
    <mergeCell ref="R6:S6"/>
    <mergeCell ref="L7:M7"/>
    <mergeCell ref="N7:O7"/>
    <mergeCell ref="P7:Q7"/>
    <mergeCell ref="N8:O8"/>
    <mergeCell ref="P8:Q8"/>
    <mergeCell ref="N6:O6"/>
    <mergeCell ref="P6:Q6"/>
    <mergeCell ref="R5:S5"/>
    <mergeCell ref="L5:M5"/>
    <mergeCell ref="N5:O5"/>
    <mergeCell ref="J5:K5"/>
    <mergeCell ref="P5:Q5"/>
  </mergeCells>
  <conditionalFormatting sqref="H11:H18 J11:J18 L11:L18 N11:N18 P11:P18 R11:R18">
    <cfRule type="cellIs" dxfId="27" priority="7" operator="equal">
      <formula>"X"</formula>
    </cfRule>
    <cfRule type="cellIs" dxfId="26" priority="8" operator="equal">
      <formula>"I"</formula>
    </cfRule>
  </conditionalFormatting>
  <conditionalFormatting sqref="H20:H50">
    <cfRule type="cellIs" dxfId="25" priority="1" operator="equal">
      <formula>"X"</formula>
    </cfRule>
    <cfRule type="cellIs" dxfId="24" priority="2" operator="equal">
      <formula>"I"</formula>
    </cfRule>
  </conditionalFormatting>
  <conditionalFormatting sqref="J20:J50 L20:L50 N20:N50 P20:P50 R20:R50">
    <cfRule type="cellIs" dxfId="23" priority="3" operator="equal">
      <formula>"X"</formula>
    </cfRule>
    <cfRule type="cellIs" dxfId="22" priority="4" operator="equal">
      <formula>"I"</formula>
    </cfRule>
  </conditionalFormatting>
  <hyperlinks>
    <hyperlink ref="B4" location="'Cost Summary'!A1" display="BACK TO SUMMARY SHEET" xr:uid="{A1E8251E-4F28-43DA-A1B1-CE3B2CC6AF38}"/>
  </hyperlinks>
  <pageMargins left="0.2" right="0.2" top="0.5" bottom="0.75" header="0.3" footer="0.3"/>
  <pageSetup paperSize="3" scale="77" fitToHeight="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104C-5E10-4F64-9C8D-35B2752A3E7D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M27" sqref="M27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83"/>
      <c r="I5" s="68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167</v>
      </c>
      <c r="C6" s="506"/>
      <c r="D6" s="507"/>
      <c r="E6" s="508"/>
      <c r="F6" s="506"/>
      <c r="G6" s="462" t="s">
        <v>446</v>
      </c>
      <c r="H6" s="685"/>
      <c r="I6" s="68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166</v>
      </c>
      <c r="C7" s="506"/>
      <c r="D7" s="507"/>
      <c r="E7" s="508"/>
      <c r="F7" s="506"/>
      <c r="G7" s="510" t="s">
        <v>448</v>
      </c>
      <c r="H7" s="687"/>
      <c r="I7" s="68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89"/>
      <c r="I8" s="690"/>
      <c r="J8" s="689"/>
      <c r="K8" s="69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4">
        <f>I$55</f>
        <v>8615235</v>
      </c>
      <c r="I9" s="895"/>
      <c r="J9" s="892">
        <f t="shared" ref="J9" si="0">K$55</f>
        <v>6724337.1428571437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991" t="s">
        <v>460</v>
      </c>
      <c r="C11" s="484"/>
      <c r="D11" s="507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1018" t="s">
        <v>461</v>
      </c>
      <c r="C12" s="506"/>
      <c r="D12" s="507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 t="s">
        <v>661</v>
      </c>
      <c r="C21" s="506"/>
      <c r="D21" s="507">
        <f>'Area Calculations'!G6</f>
        <v>261502</v>
      </c>
      <c r="E21" s="508" t="s">
        <v>179</v>
      </c>
      <c r="F21" s="517">
        <v>30</v>
      </c>
      <c r="G21" s="315">
        <f t="shared" ref="G21:G49" si="5">ROUND(D21*F21,0)</f>
        <v>7845060</v>
      </c>
      <c r="H21" s="951"/>
      <c r="I21" s="793">
        <f>G21</f>
        <v>7845060</v>
      </c>
      <c r="J21" s="951"/>
      <c r="K21" s="793">
        <f>D21/350*9000</f>
        <v>6724337.1428571437</v>
      </c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792" t="s">
        <v>662</v>
      </c>
      <c r="C22" s="506"/>
      <c r="D22" s="507">
        <f>'Area Calculations'!D15</f>
        <v>0</v>
      </c>
      <c r="E22" s="508" t="s">
        <v>179</v>
      </c>
      <c r="F22" s="517">
        <v>30</v>
      </c>
      <c r="G22" s="315">
        <f t="shared" si="5"/>
        <v>0</v>
      </c>
      <c r="H22" s="951"/>
      <c r="I22" s="793">
        <f t="shared" ref="I22:I49" si="6">G22</f>
        <v>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792" t="s">
        <v>663</v>
      </c>
      <c r="C23" s="506"/>
      <c r="D23" s="507">
        <f>'Area Calculations'!E14</f>
        <v>110025</v>
      </c>
      <c r="E23" s="508" t="s">
        <v>179</v>
      </c>
      <c r="F23" s="517">
        <v>7</v>
      </c>
      <c r="G23" s="315">
        <f t="shared" si="5"/>
        <v>770175</v>
      </c>
      <c r="H23" s="951"/>
      <c r="I23" s="793">
        <f t="shared" si="6"/>
        <v>770175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792"/>
      <c r="C24" s="506"/>
      <c r="D24" s="507"/>
      <c r="E24" s="508"/>
      <c r="F24" s="517"/>
      <c r="G24" s="315">
        <f t="shared" si="5"/>
        <v>0</v>
      </c>
      <c r="H24" s="951"/>
      <c r="I24" s="793">
        <f t="shared" si="6"/>
        <v>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792"/>
      <c r="C25" s="506"/>
      <c r="D25" s="507"/>
      <c r="E25" s="508"/>
      <c r="F25" s="517"/>
      <c r="G25" s="315">
        <f t="shared" si="5"/>
        <v>0</v>
      </c>
      <c r="H25" s="951"/>
      <c r="I25" s="793">
        <f t="shared" si="6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792"/>
      <c r="C26" s="506"/>
      <c r="D26" s="507"/>
      <c r="E26" s="508"/>
      <c r="F26" s="517"/>
      <c r="G26" s="315">
        <f t="shared" si="5"/>
        <v>0</v>
      </c>
      <c r="H26" s="951"/>
      <c r="I26" s="793">
        <f t="shared" si="6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792"/>
      <c r="C27" s="506"/>
      <c r="D27" s="507"/>
      <c r="E27" s="508"/>
      <c r="F27" s="517"/>
      <c r="G27" s="315">
        <f t="shared" si="5"/>
        <v>0</v>
      </c>
      <c r="H27" s="951"/>
      <c r="I27" s="793">
        <f t="shared" si="6"/>
        <v>0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792"/>
      <c r="C28" s="506"/>
      <c r="D28" s="507"/>
      <c r="E28" s="508"/>
      <c r="F28" s="517"/>
      <c r="G28" s="315">
        <f t="shared" si="5"/>
        <v>0</v>
      </c>
      <c r="H28" s="951"/>
      <c r="I28" s="793">
        <f t="shared" si="6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792"/>
      <c r="C29" s="506"/>
      <c r="D29" s="507"/>
      <c r="E29" s="508"/>
      <c r="F29" s="517"/>
      <c r="G29" s="315">
        <f t="shared" si="5"/>
        <v>0</v>
      </c>
      <c r="H29" s="951"/>
      <c r="I29" s="793">
        <f t="shared" si="6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792"/>
      <c r="C30" s="506"/>
      <c r="D30" s="507"/>
      <c r="E30" s="508"/>
      <c r="F30" s="517"/>
      <c r="G30" s="315">
        <f t="shared" si="5"/>
        <v>0</v>
      </c>
      <c r="H30" s="951"/>
      <c r="I30" s="793">
        <f t="shared" si="6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792"/>
      <c r="C31" s="506"/>
      <c r="D31" s="507"/>
      <c r="E31" s="508"/>
      <c r="F31" s="517"/>
      <c r="G31" s="315">
        <f t="shared" si="5"/>
        <v>0</v>
      </c>
      <c r="H31" s="951"/>
      <c r="I31" s="793">
        <f t="shared" si="6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792"/>
      <c r="C32" s="506"/>
      <c r="D32" s="507"/>
      <c r="E32" s="508"/>
      <c r="F32" s="517"/>
      <c r="G32" s="315">
        <f t="shared" si="5"/>
        <v>0</v>
      </c>
      <c r="H32" s="951"/>
      <c r="I32" s="793">
        <f t="shared" si="6"/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792"/>
      <c r="C33" s="506"/>
      <c r="D33" s="507"/>
      <c r="E33" s="508"/>
      <c r="F33" s="517"/>
      <c r="G33" s="315">
        <f t="shared" si="5"/>
        <v>0</v>
      </c>
      <c r="H33" s="951"/>
      <c r="I33" s="793">
        <f t="shared" si="6"/>
        <v>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792"/>
      <c r="C34" s="506"/>
      <c r="D34" s="507"/>
      <c r="E34" s="508"/>
      <c r="F34" s="517"/>
      <c r="G34" s="315">
        <f t="shared" si="5"/>
        <v>0</v>
      </c>
      <c r="H34" s="951"/>
      <c r="I34" s="793">
        <f t="shared" si="6"/>
        <v>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792"/>
      <c r="C35" s="506"/>
      <c r="D35" s="507"/>
      <c r="E35" s="508"/>
      <c r="F35" s="517"/>
      <c r="G35" s="315">
        <f t="shared" si="5"/>
        <v>0</v>
      </c>
      <c r="H35" s="951"/>
      <c r="I35" s="793">
        <f t="shared" si="6"/>
        <v>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5"/>
        <v>0</v>
      </c>
      <c r="H36" s="951"/>
      <c r="I36" s="793">
        <f t="shared" si="6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792"/>
      <c r="C37" s="506"/>
      <c r="D37" s="507"/>
      <c r="E37" s="508"/>
      <c r="F37" s="517"/>
      <c r="G37" s="315">
        <f t="shared" si="5"/>
        <v>0</v>
      </c>
      <c r="H37" s="951"/>
      <c r="I37" s="793">
        <f t="shared" si="6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5"/>
        <v>0</v>
      </c>
      <c r="H38" s="951"/>
      <c r="I38" s="793">
        <f t="shared" si="6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5"/>
        <v>0</v>
      </c>
      <c r="H39" s="951"/>
      <c r="I39" s="793">
        <f t="shared" si="6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792"/>
      <c r="C40" s="506"/>
      <c r="D40" s="507"/>
      <c r="E40" s="508"/>
      <c r="F40" s="517"/>
      <c r="G40" s="315">
        <f t="shared" si="5"/>
        <v>0</v>
      </c>
      <c r="H40" s="951"/>
      <c r="I40" s="793">
        <f t="shared" si="6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792"/>
      <c r="C41" s="506"/>
      <c r="D41" s="507"/>
      <c r="E41" s="508"/>
      <c r="F41" s="517"/>
      <c r="G41" s="315">
        <f t="shared" si="5"/>
        <v>0</v>
      </c>
      <c r="H41" s="951"/>
      <c r="I41" s="793">
        <f t="shared" si="6"/>
        <v>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792"/>
      <c r="C42" s="506"/>
      <c r="D42" s="507"/>
      <c r="E42" s="508"/>
      <c r="F42" s="517"/>
      <c r="G42" s="315">
        <f t="shared" si="5"/>
        <v>0</v>
      </c>
      <c r="H42" s="951"/>
      <c r="I42" s="793">
        <f t="shared" si="6"/>
        <v>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792"/>
      <c r="C43" s="506"/>
      <c r="D43" s="507"/>
      <c r="E43" s="508"/>
      <c r="F43" s="517"/>
      <c r="G43" s="315">
        <f t="shared" si="5"/>
        <v>0</v>
      </c>
      <c r="H43" s="951"/>
      <c r="I43" s="793">
        <f t="shared" si="6"/>
        <v>0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5"/>
        <v>0</v>
      </c>
      <c r="H44" s="951"/>
      <c r="I44" s="793">
        <f t="shared" si="6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/>
      <c r="C45" s="506"/>
      <c r="D45" s="507"/>
      <c r="E45" s="508"/>
      <c r="F45" s="517"/>
      <c r="G45" s="315">
        <f t="shared" si="5"/>
        <v>0</v>
      </c>
      <c r="H45" s="951"/>
      <c r="I45" s="793">
        <f t="shared" si="6"/>
        <v>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5"/>
        <v>0</v>
      </c>
      <c r="H46" s="951"/>
      <c r="I46" s="793">
        <f t="shared" si="6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5"/>
        <v>0</v>
      </c>
      <c r="H47" s="951"/>
      <c r="I47" s="793">
        <f t="shared" si="6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5"/>
        <v>0</v>
      </c>
      <c r="H48" s="951"/>
      <c r="I48" s="793">
        <f t="shared" si="6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si="5"/>
        <v>0</v>
      </c>
      <c r="H49" s="951"/>
      <c r="I49" s="793">
        <f t="shared" si="6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SUBTOTAL(9,G21:G50)</f>
        <v>8615235</v>
      </c>
      <c r="H51" s="21"/>
      <c r="I51" s="217">
        <f>SUBTOTAL(9,I21:I50)</f>
        <v>8615235</v>
      </c>
      <c r="J51" s="21"/>
      <c r="K51" s="217">
        <f>SUBTOTAL(9,K21:K50)</f>
        <v>6724337.1428571437</v>
      </c>
      <c r="L51" s="21"/>
      <c r="M51" s="162">
        <f>SUM(M19:M50)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930"/>
      <c r="B52" s="923" t="s">
        <v>471</v>
      </c>
      <c r="C52" s="493"/>
      <c r="D52" s="9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9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9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924"/>
      <c r="E55" s="925"/>
      <c r="F55" s="494"/>
      <c r="G55" s="901">
        <f>SUM(G51:G53)</f>
        <v>8615235</v>
      </c>
      <c r="H55" s="934"/>
      <c r="I55" s="933">
        <f>SUM(I51:I53)</f>
        <v>8615235</v>
      </c>
      <c r="J55" s="934"/>
      <c r="K55" s="933">
        <f>SUM(K51:K53)</f>
        <v>6724337.1428571437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924"/>
      <c r="E56" s="925"/>
      <c r="F56" s="495"/>
      <c r="G56" s="902">
        <f>G55/'Area Calculations'!$G$5</f>
        <v>22.128759410566548</v>
      </c>
      <c r="H56" s="935"/>
      <c r="I56" s="936">
        <f>I55/'Area Calculations'!$G$5</f>
        <v>22.128759410566548</v>
      </c>
      <c r="J56" s="935"/>
      <c r="K56" s="936">
        <f>K55/'Area Calculations'!$G$5</f>
        <v>17.271872308744008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924"/>
      <c r="E57" s="925"/>
      <c r="F57" s="494"/>
      <c r="G57" s="464"/>
      <c r="H57" s="938"/>
      <c r="I57" s="939"/>
      <c r="J57" s="938"/>
      <c r="K57" s="938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07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07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07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07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 t="s">
        <v>480</v>
      </c>
      <c r="C75" s="506"/>
      <c r="D75" s="507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 t="s">
        <v>481</v>
      </c>
      <c r="C76" s="506"/>
      <c r="D76" s="507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 t="s">
        <v>482</v>
      </c>
      <c r="C77" s="506"/>
      <c r="D77" s="507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 t="s">
        <v>483</v>
      </c>
      <c r="C78" s="506"/>
      <c r="D78" s="507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 t="s">
        <v>486</v>
      </c>
      <c r="C82" s="506"/>
      <c r="D82" s="507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 t="s">
        <v>487</v>
      </c>
      <c r="C83" s="867"/>
      <c r="D83" s="868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8615235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</sheetData>
  <mergeCells count="35">
    <mergeCell ref="A74:B74"/>
    <mergeCell ref="R9:S9"/>
    <mergeCell ref="A58:B58"/>
    <mergeCell ref="A62:B62"/>
    <mergeCell ref="A66:B66"/>
    <mergeCell ref="A70:B70"/>
    <mergeCell ref="H9:I9"/>
    <mergeCell ref="J9:K9"/>
    <mergeCell ref="L9:M9"/>
    <mergeCell ref="N9:O9"/>
    <mergeCell ref="P9:Q9"/>
    <mergeCell ref="R7:S7"/>
    <mergeCell ref="R8:S8"/>
    <mergeCell ref="H7:I7"/>
    <mergeCell ref="H8:I8"/>
    <mergeCell ref="J6:K6"/>
    <mergeCell ref="J7:K7"/>
    <mergeCell ref="J8:K8"/>
    <mergeCell ref="P6:Q6"/>
    <mergeCell ref="P7:Q7"/>
    <mergeCell ref="N8:O8"/>
    <mergeCell ref="N6:O6"/>
    <mergeCell ref="N7:O7"/>
    <mergeCell ref="L8:M8"/>
    <mergeCell ref="L6:M6"/>
    <mergeCell ref="L7:M7"/>
    <mergeCell ref="P8:Q8"/>
    <mergeCell ref="H5:I5"/>
    <mergeCell ref="H6:I6"/>
    <mergeCell ref="R6:S6"/>
    <mergeCell ref="P5:Q5"/>
    <mergeCell ref="N5:O5"/>
    <mergeCell ref="J5:K5"/>
    <mergeCell ref="R5:S5"/>
    <mergeCell ref="L5:M5"/>
  </mergeCells>
  <conditionalFormatting sqref="H11:H18 J11:J18 L11:L18 N11:N18 P11:P18 R11:R18">
    <cfRule type="cellIs" dxfId="21" priority="7" operator="equal">
      <formula>"X"</formula>
    </cfRule>
    <cfRule type="cellIs" dxfId="20" priority="8" operator="equal">
      <formula>"I"</formula>
    </cfRule>
  </conditionalFormatting>
  <conditionalFormatting sqref="H20:H50">
    <cfRule type="cellIs" dxfId="19" priority="1" operator="equal">
      <formula>"X"</formula>
    </cfRule>
    <cfRule type="cellIs" dxfId="18" priority="2" operator="equal">
      <formula>"I"</formula>
    </cfRule>
  </conditionalFormatting>
  <conditionalFormatting sqref="J20:J50 L20:L50 N20:N50 P20:P50 R20:R50">
    <cfRule type="cellIs" dxfId="17" priority="3" operator="equal">
      <formula>"X"</formula>
    </cfRule>
    <cfRule type="cellIs" dxfId="16" priority="4" operator="equal">
      <formula>"I"</formula>
    </cfRule>
  </conditionalFormatting>
  <hyperlinks>
    <hyperlink ref="B4" location="'Cost Summary'!A1" display="BACK TO SUMMARY SHEET" xr:uid="{1C700176-EA22-4FD4-B211-86476B9A9365}"/>
  </hyperlinks>
  <pageMargins left="0.2" right="0.2" top="0.5" bottom="0.75" header="0.3" footer="0.3"/>
  <pageSetup paperSize="3" scale="79" fitToHeight="0" orientation="landscape" horizontalDpi="1200" verticalDpi="12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1817-CF9C-4828-ABD2-1020E0A36F75}">
  <sheetPr>
    <tabColor rgb="FFFFFF00"/>
    <pageSetUpPr fitToPage="1"/>
  </sheetPr>
  <dimension ref="A1:AH139"/>
  <sheetViews>
    <sheetView zoomScale="90" zoomScaleNormal="90" workbookViewId="0">
      <pane ySplit="10" topLeftCell="A19" activePane="bottomLeft" state="frozen"/>
      <selection pane="bottomLeft" activeCell="B33" sqref="B33"/>
      <selection activeCell="B4" sqref="B4"/>
    </sheetView>
  </sheetViews>
  <sheetFormatPr defaultRowHeight="15"/>
  <cols>
    <col min="1" max="1" width="16.7109375" bestFit="1" customWidth="1"/>
    <col min="2" max="2" width="70.7109375" style="1" customWidth="1"/>
    <col min="3" max="3" width="10.85546875" style="2" hidden="1" customWidth="1"/>
    <col min="4" max="4" width="15.7109375" style="223" customWidth="1"/>
    <col min="5" max="5" width="7.5703125" style="59" customWidth="1"/>
    <col min="6" max="6" width="16.42578125" style="2" bestFit="1" customWidth="1"/>
    <col min="7" max="7" width="16.140625" style="2" bestFit="1" customWidth="1"/>
    <col min="8" max="8" width="7.42578125" style="2" bestFit="1" customWidth="1"/>
    <col min="9" max="9" width="16.140625" style="2" bestFit="1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224"/>
      <c r="E5" s="171"/>
      <c r="F5" s="5"/>
      <c r="G5" s="6" t="s">
        <v>444</v>
      </c>
      <c r="H5" s="683"/>
      <c r="I5" s="68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664</v>
      </c>
      <c r="C6" s="506"/>
      <c r="D6" s="522"/>
      <c r="E6" s="508"/>
      <c r="F6" s="506"/>
      <c r="G6" s="462" t="s">
        <v>446</v>
      </c>
      <c r="H6" s="685"/>
      <c r="I6" s="68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168</v>
      </c>
      <c r="C7" s="506"/>
      <c r="D7" s="522"/>
      <c r="E7" s="508"/>
      <c r="F7" s="506"/>
      <c r="G7" s="510" t="s">
        <v>448</v>
      </c>
      <c r="H7" s="687"/>
      <c r="I7" s="68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22"/>
      <c r="E8" s="508"/>
      <c r="F8" s="506"/>
      <c r="G8" s="510" t="s">
        <v>450</v>
      </c>
      <c r="H8" s="689"/>
      <c r="I8" s="690"/>
      <c r="J8" s="689"/>
      <c r="K8" s="690"/>
      <c r="L8" s="689"/>
      <c r="M8" s="69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225"/>
      <c r="E9" s="172"/>
      <c r="F9" s="867"/>
      <c r="G9" s="891" t="s">
        <v>451</v>
      </c>
      <c r="H9" s="894">
        <f>I$55</f>
        <v>12741754</v>
      </c>
      <c r="I9" s="895"/>
      <c r="J9" s="892">
        <f t="shared" ref="J9" si="0">K$55</f>
        <v>0</v>
      </c>
      <c r="K9" s="893"/>
      <c r="L9" s="892">
        <f t="shared" ref="L9" si="1">M$55</f>
        <v>0</v>
      </c>
      <c r="M9" s="893"/>
      <c r="N9" s="892">
        <f t="shared" ref="N9" si="2">O$55</f>
        <v>0</v>
      </c>
      <c r="O9" s="893"/>
      <c r="P9" s="892">
        <f t="shared" ref="P9" si="3">Q$55</f>
        <v>0</v>
      </c>
      <c r="Q9" s="893"/>
      <c r="R9" s="892">
        <f t="shared" ref="R9" si="4">S$55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991" t="s">
        <v>460</v>
      </c>
      <c r="C11" s="484"/>
      <c r="D11" s="522"/>
      <c r="E11" s="508"/>
      <c r="F11" s="506"/>
      <c r="G11" s="60"/>
      <c r="H11" s="951"/>
      <c r="I11" s="782"/>
      <c r="J11" s="951"/>
      <c r="K11" s="183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1018" t="s">
        <v>461</v>
      </c>
      <c r="C12" s="506"/>
      <c r="D12" s="522"/>
      <c r="E12" s="508"/>
      <c r="F12" s="506"/>
      <c r="G12" s="60"/>
      <c r="H12" s="951"/>
      <c r="I12" s="782"/>
      <c r="J12" s="951"/>
      <c r="K12" s="783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22"/>
      <c r="E13" s="508"/>
      <c r="F13" s="506"/>
      <c r="G13" s="60"/>
      <c r="H13" s="951"/>
      <c r="I13" s="782"/>
      <c r="J13" s="951"/>
      <c r="K13" s="783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22"/>
      <c r="E14" s="508"/>
      <c r="F14" s="506"/>
      <c r="G14" s="60"/>
      <c r="H14" s="951"/>
      <c r="I14" s="782"/>
      <c r="J14" s="951"/>
      <c r="K14" s="783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22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22"/>
      <c r="E16" s="508"/>
      <c r="F16" s="506"/>
      <c r="G16" s="60"/>
      <c r="H16" s="951"/>
      <c r="I16" s="782"/>
      <c r="J16" s="951"/>
      <c r="K16" s="783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22"/>
      <c r="E17" s="508"/>
      <c r="F17" s="506"/>
      <c r="G17" s="60"/>
      <c r="H17" s="951"/>
      <c r="I17" s="782"/>
      <c r="J17" s="951"/>
      <c r="K17" s="783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22"/>
      <c r="E18" s="508"/>
      <c r="F18" s="506"/>
      <c r="G18" s="60"/>
      <c r="H18" s="951"/>
      <c r="I18" s="782"/>
      <c r="J18" s="951"/>
      <c r="K18" s="783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23"/>
      <c r="E19" s="515"/>
      <c r="F19" s="516"/>
      <c r="G19" s="463"/>
      <c r="H19" s="953"/>
      <c r="I19" s="790"/>
      <c r="J19" s="953"/>
      <c r="K19" s="791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792" t="s">
        <v>665</v>
      </c>
      <c r="C21" s="506"/>
      <c r="D21" s="507"/>
      <c r="E21" s="508"/>
      <c r="F21" s="517"/>
      <c r="G21" s="315">
        <f t="shared" ref="G21:G44" si="5">ROUND(D21*F21,0)</f>
        <v>0</v>
      </c>
      <c r="H21" s="951"/>
      <c r="I21" s="793">
        <f>G21</f>
        <v>0</v>
      </c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918" t="s">
        <v>664</v>
      </c>
      <c r="C22" s="506"/>
      <c r="D22" s="507">
        <f>'Area Calculations'!G5-'Area Calculations'!E14</f>
        <v>279298</v>
      </c>
      <c r="E22" s="508" t="s">
        <v>179</v>
      </c>
      <c r="F22" s="517">
        <v>30</v>
      </c>
      <c r="G22" s="315">
        <f t="shared" si="5"/>
        <v>8378940</v>
      </c>
      <c r="H22" s="951"/>
      <c r="I22" s="793">
        <f>G22</f>
        <v>8378940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918" t="s">
        <v>666</v>
      </c>
      <c r="C23" s="506"/>
      <c r="D23" s="507">
        <v>296</v>
      </c>
      <c r="E23" s="508" t="s">
        <v>656</v>
      </c>
      <c r="F23" s="517">
        <v>1800</v>
      </c>
      <c r="G23" s="315">
        <f t="shared" si="5"/>
        <v>532800</v>
      </c>
      <c r="H23" s="951"/>
      <c r="I23" s="793">
        <f t="shared" ref="I23:I44" si="6">G23</f>
        <v>532800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918" t="s">
        <v>667</v>
      </c>
      <c r="C24" s="506"/>
      <c r="D24" s="507">
        <v>19145</v>
      </c>
      <c r="E24" s="508" t="s">
        <v>179</v>
      </c>
      <c r="F24" s="517">
        <v>5</v>
      </c>
      <c r="G24" s="315">
        <f t="shared" si="5"/>
        <v>95725</v>
      </c>
      <c r="H24" s="951"/>
      <c r="I24" s="793">
        <f t="shared" si="6"/>
        <v>95725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918" t="s">
        <v>668</v>
      </c>
      <c r="C25" s="506"/>
      <c r="D25" s="507">
        <v>38650</v>
      </c>
      <c r="E25" s="508" t="s">
        <v>179</v>
      </c>
      <c r="F25" s="517">
        <v>5</v>
      </c>
      <c r="G25" s="315">
        <f t="shared" si="5"/>
        <v>193250</v>
      </c>
      <c r="H25" s="951"/>
      <c r="I25" s="793">
        <f t="shared" si="6"/>
        <v>193250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918" t="s">
        <v>669</v>
      </c>
      <c r="C26" s="506"/>
      <c r="D26" s="507">
        <v>7754</v>
      </c>
      <c r="E26" s="508" t="s">
        <v>179</v>
      </c>
      <c r="F26" s="517">
        <v>10</v>
      </c>
      <c r="G26" s="315">
        <f t="shared" si="5"/>
        <v>77540</v>
      </c>
      <c r="H26" s="951"/>
      <c r="I26" s="793">
        <f t="shared" si="6"/>
        <v>77540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918" t="s">
        <v>670</v>
      </c>
      <c r="C27" s="506"/>
      <c r="D27" s="507">
        <f>'Area Calculations'!G5-'Area Calculations'!E14</f>
        <v>279298</v>
      </c>
      <c r="E27" s="508" t="s">
        <v>179</v>
      </c>
      <c r="F27" s="517">
        <v>1.25</v>
      </c>
      <c r="G27" s="315">
        <f t="shared" si="5"/>
        <v>349123</v>
      </c>
      <c r="H27" s="951"/>
      <c r="I27" s="793">
        <f t="shared" si="6"/>
        <v>349123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918" t="s">
        <v>671</v>
      </c>
      <c r="C28" s="506"/>
      <c r="D28" s="507">
        <f>'Area Calculations'!G5-'Area Calculations'!E14</f>
        <v>279298</v>
      </c>
      <c r="E28" s="508" t="s">
        <v>179</v>
      </c>
      <c r="F28" s="517">
        <v>2.5</v>
      </c>
      <c r="G28" s="315">
        <f t="shared" si="5"/>
        <v>698245</v>
      </c>
      <c r="H28" s="951"/>
      <c r="I28" s="793">
        <f t="shared" si="6"/>
        <v>698245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1024" t="s">
        <v>672</v>
      </c>
      <c r="C29" s="506"/>
      <c r="D29" s="507"/>
      <c r="E29" s="508"/>
      <c r="F29" s="517"/>
      <c r="G29" s="315">
        <f t="shared" si="5"/>
        <v>0</v>
      </c>
      <c r="H29" s="951"/>
      <c r="I29" s="793">
        <f t="shared" si="6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1024" t="s">
        <v>673</v>
      </c>
      <c r="C30" s="506"/>
      <c r="D30" s="507"/>
      <c r="E30" s="508"/>
      <c r="F30" s="517"/>
      <c r="G30" s="315">
        <f t="shared" si="5"/>
        <v>0</v>
      </c>
      <c r="H30" s="951"/>
      <c r="I30" s="793">
        <f t="shared" si="6"/>
        <v>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1024" t="s">
        <v>674</v>
      </c>
      <c r="C31" s="506"/>
      <c r="D31" s="507"/>
      <c r="E31" s="508"/>
      <c r="F31" s="517"/>
      <c r="G31" s="315">
        <f t="shared" si="5"/>
        <v>0</v>
      </c>
      <c r="H31" s="951"/>
      <c r="I31" s="793">
        <f t="shared" si="6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1024" t="s">
        <v>675</v>
      </c>
      <c r="C32" s="506"/>
      <c r="D32" s="507"/>
      <c r="E32" s="508" t="s">
        <v>179</v>
      </c>
      <c r="F32" s="517"/>
      <c r="G32" s="315">
        <f>ROUND(D32*F32,0)</f>
        <v>0</v>
      </c>
      <c r="H32" s="951"/>
      <c r="I32" s="793">
        <f>G32</f>
        <v>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918" t="s">
        <v>676</v>
      </c>
      <c r="C33" s="506"/>
      <c r="D33" s="507">
        <v>390291</v>
      </c>
      <c r="E33" s="508" t="s">
        <v>179</v>
      </c>
      <c r="F33" s="517">
        <v>1.2</v>
      </c>
      <c r="G33" s="315">
        <f t="shared" si="5"/>
        <v>468349</v>
      </c>
      <c r="H33" s="951"/>
      <c r="I33" s="793">
        <f t="shared" si="6"/>
        <v>468349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918" t="s">
        <v>677</v>
      </c>
      <c r="C34" s="506"/>
      <c r="D34" s="507">
        <v>1</v>
      </c>
      <c r="E34" s="508" t="s">
        <v>286</v>
      </c>
      <c r="F34" s="517">
        <v>150000</v>
      </c>
      <c r="G34" s="315">
        <f t="shared" si="5"/>
        <v>150000</v>
      </c>
      <c r="H34" s="951"/>
      <c r="I34" s="793">
        <f t="shared" si="6"/>
        <v>150000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918" t="s">
        <v>678</v>
      </c>
      <c r="C35" s="506"/>
      <c r="D35" s="507">
        <v>1</v>
      </c>
      <c r="E35" s="508" t="s">
        <v>286</v>
      </c>
      <c r="F35" s="517">
        <v>350000</v>
      </c>
      <c r="G35" s="315">
        <f t="shared" si="5"/>
        <v>350000</v>
      </c>
      <c r="H35" s="951"/>
      <c r="I35" s="793">
        <f t="shared" si="6"/>
        <v>350000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918" t="s">
        <v>679</v>
      </c>
      <c r="C36" s="506"/>
      <c r="D36" s="507">
        <v>1</v>
      </c>
      <c r="E36" s="508" t="s">
        <v>286</v>
      </c>
      <c r="F36" s="517">
        <v>30000</v>
      </c>
      <c r="G36" s="315">
        <f t="shared" si="5"/>
        <v>30000</v>
      </c>
      <c r="H36" s="951"/>
      <c r="I36" s="793">
        <f t="shared" si="6"/>
        <v>30000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918" t="s">
        <v>680</v>
      </c>
      <c r="C37" s="506"/>
      <c r="D37" s="507">
        <v>1</v>
      </c>
      <c r="E37" s="508" t="s">
        <v>286</v>
      </c>
      <c r="F37" s="517">
        <v>30000</v>
      </c>
      <c r="G37" s="315">
        <f t="shared" si="5"/>
        <v>30000</v>
      </c>
      <c r="H37" s="951"/>
      <c r="I37" s="793">
        <f t="shared" si="6"/>
        <v>30000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792"/>
      <c r="C38" s="506"/>
      <c r="D38" s="507"/>
      <c r="E38" s="508"/>
      <c r="F38" s="517"/>
      <c r="G38" s="315">
        <f t="shared" si="5"/>
        <v>0</v>
      </c>
      <c r="H38" s="951"/>
      <c r="I38" s="793">
        <f t="shared" si="6"/>
        <v>0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 t="s">
        <v>681</v>
      </c>
      <c r="C39" s="506"/>
      <c r="D39" s="507"/>
      <c r="E39" s="508"/>
      <c r="F39" s="517"/>
      <c r="G39" s="315">
        <f t="shared" si="5"/>
        <v>0</v>
      </c>
      <c r="H39" s="951"/>
      <c r="I39" s="793">
        <f t="shared" si="6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918" t="s">
        <v>664</v>
      </c>
      <c r="C40" s="506"/>
      <c r="D40" s="507">
        <v>110025</v>
      </c>
      <c r="E40" s="508" t="s">
        <v>179</v>
      </c>
      <c r="F40" s="517">
        <v>6.5</v>
      </c>
      <c r="G40" s="315">
        <f t="shared" si="5"/>
        <v>715163</v>
      </c>
      <c r="H40" s="951"/>
      <c r="I40" s="793">
        <f t="shared" si="6"/>
        <v>715163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918" t="s">
        <v>682</v>
      </c>
      <c r="C41" s="506"/>
      <c r="D41" s="507">
        <v>110025</v>
      </c>
      <c r="E41" s="508" t="s">
        <v>179</v>
      </c>
      <c r="F41" s="517">
        <v>3</v>
      </c>
      <c r="G41" s="315">
        <f t="shared" si="5"/>
        <v>330075</v>
      </c>
      <c r="H41" s="951"/>
      <c r="I41" s="793">
        <f t="shared" si="6"/>
        <v>330075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918" t="s">
        <v>670</v>
      </c>
      <c r="C42" s="506"/>
      <c r="D42" s="507">
        <v>110025</v>
      </c>
      <c r="E42" s="508" t="s">
        <v>179</v>
      </c>
      <c r="F42" s="517">
        <v>1.25</v>
      </c>
      <c r="G42" s="315">
        <f t="shared" si="5"/>
        <v>137531</v>
      </c>
      <c r="H42" s="951"/>
      <c r="I42" s="793">
        <f t="shared" si="6"/>
        <v>137531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918" t="s">
        <v>671</v>
      </c>
      <c r="C43" s="506"/>
      <c r="D43" s="507">
        <v>110025</v>
      </c>
      <c r="E43" s="508" t="s">
        <v>179</v>
      </c>
      <c r="F43" s="517">
        <v>0.5</v>
      </c>
      <c r="G43" s="315">
        <f t="shared" si="5"/>
        <v>55013</v>
      </c>
      <c r="H43" s="951"/>
      <c r="I43" s="793">
        <f t="shared" si="6"/>
        <v>55013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792"/>
      <c r="C44" s="506"/>
      <c r="D44" s="507"/>
      <c r="E44" s="508"/>
      <c r="F44" s="517"/>
      <c r="G44" s="315">
        <f t="shared" si="5"/>
        <v>0</v>
      </c>
      <c r="H44" s="951"/>
      <c r="I44" s="793">
        <f t="shared" si="6"/>
        <v>0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792" t="s">
        <v>683</v>
      </c>
      <c r="C45" s="506"/>
      <c r="D45" s="507">
        <v>1</v>
      </c>
      <c r="E45" s="508" t="s">
        <v>286</v>
      </c>
      <c r="F45" s="517">
        <v>150000</v>
      </c>
      <c r="G45" s="315">
        <f t="shared" ref="G45:G48" si="7">ROUND(D45*F45,0)</f>
        <v>150000</v>
      </c>
      <c r="H45" s="951"/>
      <c r="I45" s="793">
        <f t="shared" ref="I45:I48" si="8">G45</f>
        <v>150000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792"/>
      <c r="C46" s="506"/>
      <c r="D46" s="507"/>
      <c r="E46" s="508"/>
      <c r="F46" s="517"/>
      <c r="G46" s="315">
        <f t="shared" si="7"/>
        <v>0</v>
      </c>
      <c r="H46" s="951"/>
      <c r="I46" s="793">
        <f t="shared" si="8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792"/>
      <c r="C47" s="506"/>
      <c r="D47" s="507"/>
      <c r="E47" s="508"/>
      <c r="F47" s="517"/>
      <c r="G47" s="315">
        <f t="shared" si="7"/>
        <v>0</v>
      </c>
      <c r="H47" s="951"/>
      <c r="I47" s="793">
        <f t="shared" si="8"/>
        <v>0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792"/>
      <c r="C48" s="506"/>
      <c r="D48" s="507"/>
      <c r="E48" s="508"/>
      <c r="F48" s="517"/>
      <c r="G48" s="315">
        <f t="shared" si="7"/>
        <v>0</v>
      </c>
      <c r="H48" s="951"/>
      <c r="I48" s="793">
        <f t="shared" si="8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34">
      <c r="A49" s="952"/>
      <c r="B49" s="792"/>
      <c r="C49" s="506"/>
      <c r="D49" s="507"/>
      <c r="E49" s="508"/>
      <c r="F49" s="517"/>
      <c r="G49" s="315">
        <f t="shared" ref="G49" si="9">ROUND(D49*F49,0)</f>
        <v>0</v>
      </c>
      <c r="H49" s="951"/>
      <c r="I49" s="793">
        <f t="shared" ref="I49" si="10">G49</f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34" ht="15.75" thickBot="1">
      <c r="A50" s="952"/>
      <c r="B50" s="518"/>
      <c r="C50" s="491"/>
      <c r="D50" s="922"/>
      <c r="E50" s="508"/>
      <c r="F50" s="492"/>
      <c r="G50" s="315"/>
      <c r="H50" s="951"/>
      <c r="I50" s="793"/>
      <c r="J50" s="951"/>
      <c r="K50" s="793"/>
      <c r="L50" s="951"/>
      <c r="M50" s="793"/>
      <c r="N50" s="951"/>
      <c r="O50" s="793"/>
      <c r="P50" s="951"/>
      <c r="Q50" s="793"/>
      <c r="R50" s="951"/>
      <c r="S50" s="793"/>
    </row>
    <row r="51" spans="1:34" ht="15.75" thickTop="1">
      <c r="A51" s="15"/>
      <c r="B51" s="218" t="s">
        <v>518</v>
      </c>
      <c r="C51" s="17"/>
      <c r="D51" s="226"/>
      <c r="E51" s="177"/>
      <c r="F51" s="19"/>
      <c r="G51" s="219">
        <f>SUBTOTAL(9,G22:G50)</f>
        <v>12741754</v>
      </c>
      <c r="H51" s="21"/>
      <c r="I51" s="217">
        <f>SUBTOTAL(9,I20:I50)</f>
        <v>12741754</v>
      </c>
      <c r="J51" s="21"/>
      <c r="K51" s="217">
        <f>SUBTOTAL(9,K20:K50)</f>
        <v>0</v>
      </c>
      <c r="L51" s="21"/>
      <c r="M51" s="217">
        <f>SUBTOTAL(9,M20:M50)</f>
        <v>0</v>
      </c>
      <c r="N51" s="21"/>
      <c r="O51" s="217">
        <f>SUBTOTAL(9,O20:O50)</f>
        <v>0</v>
      </c>
      <c r="P51" s="21"/>
      <c r="Q51" s="217">
        <f>SUBTOTAL(9,Q20:Q50)</f>
        <v>0</v>
      </c>
      <c r="R51" s="21"/>
      <c r="S51" s="217">
        <f>SUBTOTAL(9,S20:S50)</f>
        <v>0</v>
      </c>
    </row>
    <row r="52" spans="1:34">
      <c r="A52" s="930"/>
      <c r="B52" s="923" t="s">
        <v>471</v>
      </c>
      <c r="C52" s="493"/>
      <c r="D52" s="524"/>
      <c r="E52" s="925"/>
      <c r="F52" s="494"/>
      <c r="G52" s="901"/>
      <c r="H52" s="931">
        <v>0</v>
      </c>
      <c r="I52" s="163"/>
      <c r="J52" s="931">
        <v>0</v>
      </c>
      <c r="K52" s="163"/>
      <c r="L52" s="931">
        <v>0</v>
      </c>
      <c r="M52" s="163"/>
      <c r="N52" s="931">
        <v>0</v>
      </c>
      <c r="O52" s="163"/>
      <c r="P52" s="931">
        <v>0</v>
      </c>
      <c r="Q52" s="163"/>
      <c r="R52" s="931">
        <v>0</v>
      </c>
      <c r="S52" s="163"/>
    </row>
    <row r="53" spans="1:34">
      <c r="A53" s="930"/>
      <c r="B53" s="923" t="s">
        <v>472</v>
      </c>
      <c r="C53" s="493"/>
      <c r="D53" s="524"/>
      <c r="E53" s="925"/>
      <c r="F53" s="494"/>
      <c r="G53" s="901">
        <f>F52*G51</f>
        <v>0</v>
      </c>
      <c r="H53" s="932"/>
      <c r="I53" s="933">
        <f>H52*I51</f>
        <v>0</v>
      </c>
      <c r="J53" s="932"/>
      <c r="K53" s="933">
        <f>J52*K51</f>
        <v>0</v>
      </c>
      <c r="L53" s="932"/>
      <c r="M53" s="933">
        <f>L52*M51</f>
        <v>0</v>
      </c>
      <c r="N53" s="932"/>
      <c r="O53" s="933">
        <f>N52*O51</f>
        <v>0</v>
      </c>
      <c r="P53" s="932"/>
      <c r="Q53" s="933">
        <f>P52*Q51</f>
        <v>0</v>
      </c>
      <c r="R53" s="932"/>
      <c r="S53" s="933">
        <f>R52*S51</f>
        <v>0</v>
      </c>
    </row>
    <row r="54" spans="1:34">
      <c r="A54" s="930"/>
      <c r="B54" s="923"/>
      <c r="C54" s="493"/>
      <c r="D54" s="524"/>
      <c r="E54" s="925"/>
      <c r="F54" s="494"/>
      <c r="G54" s="901"/>
      <c r="H54" s="932"/>
      <c r="I54" s="933"/>
      <c r="J54" s="932"/>
      <c r="K54" s="933"/>
      <c r="L54" s="932"/>
      <c r="M54" s="933"/>
      <c r="N54" s="932"/>
      <c r="O54" s="933"/>
      <c r="P54" s="932"/>
      <c r="Q54" s="933"/>
      <c r="R54" s="932"/>
      <c r="S54" s="933"/>
    </row>
    <row r="55" spans="1:34">
      <c r="A55" s="930"/>
      <c r="B55" s="923" t="s">
        <v>473</v>
      </c>
      <c r="C55" s="493"/>
      <c r="D55" s="524"/>
      <c r="E55" s="925"/>
      <c r="F55" s="494"/>
      <c r="G55" s="901">
        <f>SUM(G51:G53)</f>
        <v>12741754</v>
      </c>
      <c r="H55" s="934"/>
      <c r="I55" s="933">
        <f>SUM(I51:I53)</f>
        <v>12741754</v>
      </c>
      <c r="J55" s="934"/>
      <c r="K55" s="933">
        <f>SUM(K51:K53)</f>
        <v>0</v>
      </c>
      <c r="L55" s="934"/>
      <c r="M55" s="933">
        <f>SUM(M51:M53)</f>
        <v>0</v>
      </c>
      <c r="N55" s="934"/>
      <c r="O55" s="933">
        <f>SUM(O51:O53)</f>
        <v>0</v>
      </c>
      <c r="P55" s="934"/>
      <c r="Q55" s="933">
        <f>SUM(Q51:Q53)</f>
        <v>0</v>
      </c>
      <c r="R55" s="934"/>
      <c r="S55" s="933">
        <f>SUM(S51:S53)</f>
        <v>0</v>
      </c>
    </row>
    <row r="56" spans="1:34">
      <c r="A56" s="930"/>
      <c r="B56" s="495" t="s">
        <v>474</v>
      </c>
      <c r="C56" s="493"/>
      <c r="D56" s="524"/>
      <c r="E56" s="925"/>
      <c r="F56" s="495"/>
      <c r="G56" s="902">
        <f>G55/'Area Calculations'!$G$5</f>
        <v>32.727976513075262</v>
      </c>
      <c r="H56" s="935"/>
      <c r="I56" s="936">
        <f>I55/'Area Calculations'!$G$5</f>
        <v>32.727976513075262</v>
      </c>
      <c r="J56" s="935"/>
      <c r="K56" s="936">
        <f>K55/'Area Calculations'!$G$5</f>
        <v>0</v>
      </c>
      <c r="L56" s="935"/>
      <c r="M56" s="936">
        <f>M55/'Area Calculations'!$G$5</f>
        <v>0</v>
      </c>
      <c r="N56" s="935"/>
      <c r="O56" s="936">
        <f>O55/'Area Calculations'!$G$5</f>
        <v>0</v>
      </c>
      <c r="P56" s="935"/>
      <c r="Q56" s="936">
        <f>Q55/'Area Calculations'!$G$5</f>
        <v>0</v>
      </c>
      <c r="R56" s="937"/>
      <c r="S56" s="936">
        <f>S55/'Area Calculations'!$G$5</f>
        <v>0</v>
      </c>
    </row>
    <row r="57" spans="1:34" ht="15.75" thickBot="1">
      <c r="A57" s="930"/>
      <c r="B57" s="496"/>
      <c r="C57" s="493"/>
      <c r="D57" s="524"/>
      <c r="E57" s="925"/>
      <c r="F57" s="494"/>
      <c r="G57" s="464"/>
      <c r="H57" s="938"/>
      <c r="I57" s="939"/>
      <c r="J57" s="938"/>
      <c r="K57" s="938"/>
      <c r="L57" s="938"/>
      <c r="M57" s="938"/>
      <c r="N57" s="938"/>
      <c r="O57" s="938"/>
      <c r="P57" s="938"/>
      <c r="Q57" s="938"/>
      <c r="R57" s="938"/>
      <c r="S57" s="938"/>
    </row>
    <row r="58" spans="1:34" ht="16.5" thickTop="1" thickBot="1">
      <c r="A58" s="691" t="s">
        <v>475</v>
      </c>
      <c r="B58" s="692"/>
      <c r="C58" s="14"/>
      <c r="D58" s="227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797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797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797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227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797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797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797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227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 t="s">
        <v>678</v>
      </c>
      <c r="C67" s="796"/>
      <c r="D67" s="797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940"/>
      <c r="B68" s="497"/>
      <c r="C68" s="506"/>
      <c r="D68" s="522"/>
      <c r="E68" s="508"/>
      <c r="F68" s="506"/>
      <c r="G68" s="498"/>
      <c r="H68" s="941"/>
      <c r="I68" s="941"/>
      <c r="J68" s="941"/>
      <c r="K68" s="941"/>
      <c r="L68" s="941"/>
      <c r="M68" s="941"/>
      <c r="N68" s="941"/>
      <c r="O68" s="941"/>
      <c r="P68" s="941"/>
      <c r="Q68" s="941"/>
      <c r="R68" s="941"/>
      <c r="S68" s="941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942"/>
      <c r="B69" s="501"/>
      <c r="C69" s="506"/>
      <c r="D69" s="522"/>
      <c r="E69" s="508"/>
      <c r="F69" s="506"/>
      <c r="G69" s="498"/>
      <c r="H69" s="943"/>
      <c r="I69" s="943"/>
      <c r="J69" s="943"/>
      <c r="K69" s="943"/>
      <c r="L69" s="943"/>
      <c r="M69" s="943"/>
      <c r="N69" s="943"/>
      <c r="O69" s="943"/>
      <c r="P69" s="943"/>
      <c r="Q69" s="943"/>
      <c r="R69" s="943"/>
      <c r="S69" s="943"/>
    </row>
    <row r="70" spans="1:34" s="2" customFormat="1" ht="16.5" thickTop="1" thickBot="1">
      <c r="A70" s="691" t="s">
        <v>478</v>
      </c>
      <c r="B70" s="692"/>
      <c r="C70" s="14"/>
      <c r="D70" s="227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797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942"/>
      <c r="B72" s="501"/>
      <c r="C72" s="506"/>
      <c r="D72" s="522"/>
      <c r="E72" s="508"/>
      <c r="F72" s="506"/>
      <c r="G72" s="498"/>
      <c r="H72" s="944"/>
      <c r="I72" s="944"/>
      <c r="J72" s="944"/>
      <c r="K72" s="944"/>
      <c r="L72" s="944"/>
      <c r="M72" s="944"/>
      <c r="N72" s="944"/>
      <c r="O72" s="944"/>
      <c r="P72" s="944"/>
      <c r="Q72" s="944"/>
      <c r="R72" s="944"/>
      <c r="S72" s="94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942"/>
      <c r="B73" s="501"/>
      <c r="C73" s="506"/>
      <c r="D73" s="522"/>
      <c r="E73" s="508"/>
      <c r="F73" s="506"/>
      <c r="G73" s="498"/>
      <c r="H73" s="944"/>
      <c r="I73" s="944"/>
      <c r="J73" s="944"/>
      <c r="K73" s="944"/>
      <c r="L73" s="944"/>
      <c r="M73" s="944"/>
      <c r="N73" s="944"/>
      <c r="O73" s="944"/>
      <c r="P73" s="944"/>
      <c r="Q73" s="944"/>
      <c r="R73" s="944"/>
      <c r="S73" s="94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227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940"/>
      <c r="B75" s="497"/>
      <c r="C75" s="506"/>
      <c r="D75" s="522"/>
      <c r="E75" s="508"/>
      <c r="F75" s="506"/>
      <c r="G75" s="498"/>
      <c r="H75" s="944"/>
      <c r="I75" s="944"/>
      <c r="J75" s="944"/>
      <c r="K75" s="944"/>
      <c r="L75" s="944"/>
      <c r="M75" s="944"/>
      <c r="N75" s="944"/>
      <c r="O75" s="944"/>
      <c r="P75" s="944"/>
      <c r="Q75" s="944"/>
      <c r="R75" s="944"/>
      <c r="S75" s="944"/>
    </row>
    <row r="76" spans="1:34">
      <c r="A76" s="940"/>
      <c r="B76" s="497"/>
      <c r="C76" s="506"/>
      <c r="D76" s="522"/>
      <c r="E76" s="508"/>
      <c r="F76" s="506"/>
      <c r="G76" s="498"/>
      <c r="H76" s="944"/>
      <c r="I76" s="944"/>
      <c r="J76" s="944"/>
      <c r="K76" s="944"/>
      <c r="L76" s="944"/>
      <c r="M76" s="944"/>
      <c r="N76" s="944"/>
      <c r="O76" s="944"/>
      <c r="P76" s="944"/>
      <c r="Q76" s="944"/>
      <c r="R76" s="944"/>
      <c r="S76" s="944"/>
    </row>
    <row r="77" spans="1:34">
      <c r="A77" s="940"/>
      <c r="B77" s="497"/>
      <c r="C77" s="506"/>
      <c r="D77" s="522"/>
      <c r="E77" s="508"/>
      <c r="F77" s="506"/>
      <c r="G77" s="498"/>
      <c r="H77" s="944"/>
      <c r="I77" s="944"/>
      <c r="J77" s="944"/>
      <c r="K77" s="944"/>
      <c r="L77" s="944"/>
      <c r="M77" s="944"/>
      <c r="N77" s="944"/>
      <c r="O77" s="944"/>
      <c r="P77" s="944"/>
      <c r="Q77" s="944"/>
      <c r="R77" s="944"/>
      <c r="S77" s="944"/>
    </row>
    <row r="78" spans="1:34">
      <c r="A78" s="940"/>
      <c r="B78" s="497"/>
      <c r="C78" s="506"/>
      <c r="D78" s="522"/>
      <c r="E78" s="508"/>
      <c r="F78" s="506"/>
      <c r="G78" s="498"/>
      <c r="H78" s="944"/>
      <c r="I78" s="944"/>
      <c r="J78" s="944"/>
      <c r="K78" s="944"/>
      <c r="L78" s="944"/>
      <c r="M78" s="944"/>
      <c r="N78" s="944"/>
      <c r="O78" s="944"/>
      <c r="P78" s="944"/>
      <c r="Q78" s="944"/>
      <c r="R78" s="944"/>
      <c r="S78" s="944"/>
    </row>
    <row r="79" spans="1:34" ht="15.75" thickBot="1">
      <c r="A79" s="23"/>
      <c r="B79" s="7"/>
      <c r="C79" s="8"/>
      <c r="D79" s="225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227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/>
      <c r="C81" s="796"/>
      <c r="D81" s="797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940"/>
      <c r="B82" s="497"/>
      <c r="C82" s="506"/>
      <c r="D82" s="522"/>
      <c r="E82" s="508"/>
      <c r="F82" s="506"/>
      <c r="G82" s="498"/>
      <c r="H82" s="945"/>
      <c r="I82" s="945"/>
      <c r="J82" s="945"/>
      <c r="K82" s="945"/>
      <c r="L82" s="945"/>
      <c r="M82" s="945"/>
      <c r="N82" s="945"/>
      <c r="O82" s="945"/>
      <c r="P82" s="945"/>
      <c r="Q82" s="945"/>
      <c r="R82" s="945"/>
      <c r="S82" s="945"/>
    </row>
    <row r="83" spans="1:19" ht="15.75" thickBot="1">
      <c r="A83" s="865"/>
      <c r="B83" s="866"/>
      <c r="C83" s="867"/>
      <c r="D83" s="915"/>
      <c r="E83" s="869"/>
      <c r="F83" s="867"/>
      <c r="G83" s="904"/>
      <c r="H83" s="871"/>
      <c r="I83" s="871"/>
      <c r="J83" s="871"/>
      <c r="K83" s="871"/>
      <c r="L83" s="871"/>
      <c r="M83" s="871"/>
      <c r="N83" s="871"/>
      <c r="O83" s="871"/>
      <c r="P83" s="871"/>
      <c r="Q83" s="871"/>
      <c r="R83" s="871"/>
      <c r="S83" s="871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946"/>
    </row>
    <row r="87" spans="1:19">
      <c r="A87" s="504" t="s">
        <v>446</v>
      </c>
      <c r="B87" s="946"/>
    </row>
    <row r="88" spans="1:19">
      <c r="A88" s="947" t="s">
        <v>448</v>
      </c>
      <c r="B88" s="948"/>
    </row>
    <row r="89" spans="1:19">
      <c r="A89" s="947" t="s">
        <v>450</v>
      </c>
      <c r="B89" s="949"/>
    </row>
    <row r="90" spans="1:19" ht="15.75" thickBot="1">
      <c r="A90" s="878" t="s">
        <v>489</v>
      </c>
      <c r="B90" s="879">
        <f>$I$55</f>
        <v>12741754</v>
      </c>
    </row>
    <row r="91" spans="1:19" ht="15.75" thickTop="1"/>
    <row r="92" spans="1:19">
      <c r="A92" s="45"/>
      <c r="B92" s="1" t="s">
        <v>490</v>
      </c>
    </row>
    <row r="93" spans="1:19">
      <c r="A93" s="46"/>
      <c r="B93" s="1" t="s">
        <v>491</v>
      </c>
    </row>
    <row r="99" spans="4:10">
      <c r="D99" s="340"/>
      <c r="E99" s="2"/>
      <c r="J99" s="2" t="s">
        <v>99</v>
      </c>
    </row>
    <row r="100" spans="4:10">
      <c r="D100" s="340"/>
      <c r="E100" s="2"/>
      <c r="J100" s="2" t="s">
        <v>99</v>
      </c>
    </row>
    <row r="101" spans="4:10">
      <c r="D101" s="340"/>
      <c r="E101" s="2"/>
      <c r="J101" s="2" t="s">
        <v>99</v>
      </c>
    </row>
    <row r="102" spans="4:10">
      <c r="D102" s="340"/>
      <c r="E102" s="2"/>
      <c r="J102" s="2" t="s">
        <v>99</v>
      </c>
    </row>
    <row r="103" spans="4:10">
      <c r="D103" s="340"/>
      <c r="E103" s="2"/>
      <c r="J103" s="2" t="s">
        <v>99</v>
      </c>
    </row>
    <row r="104" spans="4:10">
      <c r="D104" s="59"/>
      <c r="E104" s="2"/>
      <c r="J104" s="2" t="s">
        <v>99</v>
      </c>
    </row>
    <row r="105" spans="4:10">
      <c r="D105" s="340"/>
      <c r="E105" s="2"/>
      <c r="F105" s="341"/>
      <c r="J105" s="2" t="s">
        <v>99</v>
      </c>
    </row>
    <row r="106" spans="4:10">
      <c r="D106" s="340"/>
      <c r="E106" s="2"/>
      <c r="J106" s="2" t="s">
        <v>99</v>
      </c>
    </row>
    <row r="107" spans="4:10">
      <c r="D107" s="340"/>
      <c r="E107" s="2"/>
      <c r="J107" s="2" t="s">
        <v>99</v>
      </c>
    </row>
    <row r="108" spans="4:10">
      <c r="D108" s="340"/>
      <c r="E108" s="2"/>
      <c r="J108" s="2" t="s">
        <v>99</v>
      </c>
    </row>
    <row r="109" spans="4:10">
      <c r="D109" s="340"/>
      <c r="E109" s="2"/>
      <c r="J109" s="2" t="s">
        <v>99</v>
      </c>
    </row>
    <row r="110" spans="4:10">
      <c r="D110" s="340"/>
      <c r="E110" s="2"/>
      <c r="J110" s="2" t="s">
        <v>99</v>
      </c>
    </row>
    <row r="111" spans="4:10">
      <c r="D111" s="340"/>
      <c r="E111" s="2"/>
      <c r="J111" s="2" t="s">
        <v>99</v>
      </c>
    </row>
    <row r="112" spans="4:10">
      <c r="D112" s="340"/>
      <c r="E112" s="2"/>
      <c r="J112" s="2" t="s">
        <v>99</v>
      </c>
    </row>
    <row r="113" spans="4:10">
      <c r="D113" s="340"/>
      <c r="E113" s="2"/>
      <c r="J113" s="2" t="s">
        <v>99</v>
      </c>
    </row>
    <row r="114" spans="4:10">
      <c r="D114" s="340"/>
      <c r="E114" s="2"/>
      <c r="J114" s="2" t="s">
        <v>99</v>
      </c>
    </row>
    <row r="115" spans="4:10">
      <c r="D115" s="340"/>
      <c r="E115" s="2"/>
      <c r="J115" s="2" t="s">
        <v>99</v>
      </c>
    </row>
    <row r="116" spans="4:10">
      <c r="D116" s="340"/>
      <c r="E116" s="2"/>
      <c r="J116" s="2" t="s">
        <v>99</v>
      </c>
    </row>
    <row r="117" spans="4:10">
      <c r="D117" s="340"/>
      <c r="E117" s="2"/>
      <c r="J117" s="2" t="s">
        <v>99</v>
      </c>
    </row>
    <row r="118" spans="4:10">
      <c r="D118" s="340"/>
      <c r="E118" s="2"/>
      <c r="J118" s="2" t="s">
        <v>99</v>
      </c>
    </row>
    <row r="119" spans="4:10">
      <c r="D119" s="340"/>
      <c r="E119" s="2"/>
      <c r="J119" s="2" t="s">
        <v>99</v>
      </c>
    </row>
    <row r="120" spans="4:10">
      <c r="D120" s="340"/>
      <c r="E120" s="2"/>
      <c r="J120" s="2" t="s">
        <v>99</v>
      </c>
    </row>
    <row r="121" spans="4:10">
      <c r="D121" s="340"/>
      <c r="E121" s="2"/>
      <c r="J121" s="2" t="s">
        <v>99</v>
      </c>
    </row>
    <row r="122" spans="4:10">
      <c r="D122" s="340"/>
      <c r="E122" s="2"/>
      <c r="J122" s="2" t="s">
        <v>99</v>
      </c>
    </row>
    <row r="123" spans="4:10">
      <c r="D123" s="340"/>
      <c r="E123" s="2"/>
      <c r="J123" s="2" t="s">
        <v>99</v>
      </c>
    </row>
    <row r="124" spans="4:10">
      <c r="D124" s="340"/>
      <c r="E124" s="2"/>
      <c r="J124" s="2" t="s">
        <v>99</v>
      </c>
    </row>
    <row r="125" spans="4:10">
      <c r="D125" s="340"/>
      <c r="E125" s="2"/>
      <c r="J125" s="2" t="s">
        <v>99</v>
      </c>
    </row>
    <row r="126" spans="4:10">
      <c r="D126" s="340"/>
      <c r="E126" s="2"/>
      <c r="J126" s="2" t="s">
        <v>99</v>
      </c>
    </row>
    <row r="127" spans="4:10">
      <c r="D127" s="340"/>
      <c r="E127" s="2"/>
      <c r="J127" s="2" t="s">
        <v>99</v>
      </c>
    </row>
    <row r="128" spans="4:10">
      <c r="D128" s="340"/>
      <c r="E128" s="2"/>
      <c r="J128" s="2" t="s">
        <v>99</v>
      </c>
    </row>
    <row r="129" spans="4:10">
      <c r="D129" s="340"/>
      <c r="E129" s="2"/>
      <c r="J129" s="2" t="s">
        <v>99</v>
      </c>
    </row>
    <row r="130" spans="4:10">
      <c r="D130" s="340"/>
      <c r="E130" s="2"/>
      <c r="J130" s="2" t="s">
        <v>99</v>
      </c>
    </row>
    <row r="131" spans="4:10">
      <c r="D131" s="340"/>
      <c r="E131" s="2"/>
      <c r="J131" s="2" t="s">
        <v>99</v>
      </c>
    </row>
    <row r="132" spans="4:10">
      <c r="D132" s="340"/>
      <c r="E132" s="2"/>
      <c r="J132" s="2" t="s">
        <v>99</v>
      </c>
    </row>
    <row r="133" spans="4:10">
      <c r="D133" s="340"/>
      <c r="E133" s="2"/>
      <c r="J133" s="2" t="s">
        <v>99</v>
      </c>
    </row>
    <row r="134" spans="4:10">
      <c r="D134" s="340"/>
      <c r="E134" s="2"/>
      <c r="J134" s="2" t="s">
        <v>99</v>
      </c>
    </row>
    <row r="135" spans="4:10">
      <c r="D135" s="340"/>
      <c r="E135" s="2"/>
      <c r="J135" s="2" t="s">
        <v>99</v>
      </c>
    </row>
    <row r="136" spans="4:10">
      <c r="D136" s="340"/>
      <c r="E136" s="2"/>
      <c r="J136" s="2" t="s">
        <v>99</v>
      </c>
    </row>
    <row r="137" spans="4:10">
      <c r="D137" s="59"/>
      <c r="E137" s="2"/>
      <c r="J137" s="2" t="s">
        <v>99</v>
      </c>
    </row>
    <row r="138" spans="4:10">
      <c r="D138" s="59"/>
      <c r="E138" s="2"/>
      <c r="J138" s="2" t="s">
        <v>99</v>
      </c>
    </row>
    <row r="139" spans="4:10">
      <c r="D139" s="340"/>
      <c r="E139" s="2"/>
      <c r="F139" s="341"/>
      <c r="J139" s="2" t="s">
        <v>99</v>
      </c>
    </row>
  </sheetData>
  <mergeCells count="35">
    <mergeCell ref="R5:S5"/>
    <mergeCell ref="R6:S6"/>
    <mergeCell ref="R7:S7"/>
    <mergeCell ref="R8:S8"/>
    <mergeCell ref="H9:I9"/>
    <mergeCell ref="J9:K9"/>
    <mergeCell ref="L9:M9"/>
    <mergeCell ref="N9:O9"/>
    <mergeCell ref="P9:Q9"/>
    <mergeCell ref="R9:S9"/>
    <mergeCell ref="N8:O8"/>
    <mergeCell ref="P8:Q8"/>
    <mergeCell ref="N7:O7"/>
    <mergeCell ref="H5:I5"/>
    <mergeCell ref="L5:M5"/>
    <mergeCell ref="P5:Q5"/>
    <mergeCell ref="A70:B70"/>
    <mergeCell ref="A74:B74"/>
    <mergeCell ref="L7:M7"/>
    <mergeCell ref="H8:I8"/>
    <mergeCell ref="L8:M8"/>
    <mergeCell ref="J8:K8"/>
    <mergeCell ref="J7:K7"/>
    <mergeCell ref="H7:I7"/>
    <mergeCell ref="A58:B58"/>
    <mergeCell ref="A62:B62"/>
    <mergeCell ref="A66:B66"/>
    <mergeCell ref="H6:I6"/>
    <mergeCell ref="L6:M6"/>
    <mergeCell ref="P6:Q6"/>
    <mergeCell ref="P7:Q7"/>
    <mergeCell ref="N5:O5"/>
    <mergeCell ref="N6:O6"/>
    <mergeCell ref="J5:K5"/>
    <mergeCell ref="J6:K6"/>
  </mergeCells>
  <conditionalFormatting sqref="H11:H18 J11:J18 L11:L18 N11:N18 P11:P18 R11:R18">
    <cfRule type="cellIs" dxfId="15" priority="9" operator="equal">
      <formula>"X"</formula>
    </cfRule>
    <cfRule type="cellIs" dxfId="14" priority="10" operator="equal">
      <formula>"I"</formula>
    </cfRule>
  </conditionalFormatting>
  <conditionalFormatting sqref="H20:H50 J20:J50 L20:L50 N20:N50 P20:P50 R20:R50">
    <cfRule type="cellIs" dxfId="13" priority="1" operator="equal">
      <formula>"X"</formula>
    </cfRule>
    <cfRule type="cellIs" dxfId="12" priority="2" operator="equal">
      <formula>"I"</formula>
    </cfRule>
  </conditionalFormatting>
  <hyperlinks>
    <hyperlink ref="B4" location="'Cost Summary'!A1" display="BACK TO SUMMARY SHEET" xr:uid="{2ED035DA-56AF-48D1-B880-7ED6FDD83F31}"/>
  </hyperlinks>
  <printOptions horizontalCentered="1"/>
  <pageMargins left="0.2" right="0.2" top="0.5" bottom="0.75" header="0.3" footer="0.3"/>
  <pageSetup paperSize="3" scale="77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0A3E-3268-447A-8A00-874FE0D29BD1}">
  <sheetPr>
    <tabColor rgb="FFFFFF00"/>
    <pageSetUpPr fitToPage="1"/>
  </sheetPr>
  <dimension ref="A1:AH103"/>
  <sheetViews>
    <sheetView zoomScale="90" zoomScaleNormal="90" workbookViewId="0">
      <pane ySplit="10" topLeftCell="A19" activePane="bottomLeft" state="frozen"/>
      <selection pane="bottomLeft" activeCell="D42" sqref="D42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73"/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950" t="s">
        <v>445</v>
      </c>
      <c r="B6" s="497" t="s">
        <v>684</v>
      </c>
      <c r="C6" s="506"/>
      <c r="D6" s="507"/>
      <c r="E6" s="508"/>
      <c r="F6" s="506"/>
      <c r="G6" s="462" t="s">
        <v>446</v>
      </c>
      <c r="H6" s="675"/>
      <c r="I6" s="676"/>
      <c r="J6" s="675"/>
      <c r="K6" s="676"/>
      <c r="L6" s="675"/>
      <c r="M6" s="676"/>
      <c r="N6" s="675"/>
      <c r="O6" s="676"/>
      <c r="P6" s="675"/>
      <c r="Q6" s="676"/>
      <c r="R6" s="675"/>
      <c r="S6" s="676"/>
    </row>
    <row r="7" spans="1:19">
      <c r="A7" s="950" t="s">
        <v>447</v>
      </c>
      <c r="B7" s="509" t="s">
        <v>170</v>
      </c>
      <c r="C7" s="506"/>
      <c r="D7" s="507"/>
      <c r="E7" s="508"/>
      <c r="F7" s="506"/>
      <c r="G7" s="510" t="s">
        <v>448</v>
      </c>
      <c r="H7" s="677"/>
      <c r="I7" s="678"/>
      <c r="J7" s="677"/>
      <c r="K7" s="678"/>
      <c r="L7" s="677"/>
      <c r="M7" s="678"/>
      <c r="N7" s="677"/>
      <c r="O7" s="678"/>
      <c r="P7" s="677"/>
      <c r="Q7" s="678"/>
      <c r="R7" s="677"/>
      <c r="S7" s="678"/>
    </row>
    <row r="8" spans="1:19">
      <c r="A8" s="950" t="s">
        <v>449</v>
      </c>
      <c r="B8" s="511"/>
      <c r="C8" s="506"/>
      <c r="D8" s="507"/>
      <c r="E8" s="508"/>
      <c r="F8" s="506"/>
      <c r="G8" s="510" t="s">
        <v>450</v>
      </c>
      <c r="H8" s="679"/>
      <c r="I8" s="680"/>
      <c r="J8" s="679"/>
      <c r="K8" s="680"/>
      <c r="L8" s="679"/>
      <c r="M8" s="680"/>
      <c r="N8" s="679"/>
      <c r="O8" s="680"/>
      <c r="P8" s="679"/>
      <c r="Q8" s="680"/>
      <c r="R8" s="679"/>
      <c r="S8" s="680"/>
    </row>
    <row r="9" spans="1:19" ht="15.75" thickBot="1">
      <c r="A9" s="890"/>
      <c r="B9" s="866"/>
      <c r="C9" s="8"/>
      <c r="D9" s="166"/>
      <c r="E9" s="172"/>
      <c r="F9" s="867"/>
      <c r="G9" s="891" t="s">
        <v>451</v>
      </c>
      <c r="H9" s="892">
        <f t="shared" ref="H9" si="0">I$65</f>
        <v>992609</v>
      </c>
      <c r="I9" s="893"/>
      <c r="J9" s="894">
        <f>K$65</f>
        <v>0</v>
      </c>
      <c r="K9" s="895"/>
      <c r="L9" s="892">
        <f t="shared" ref="L9" si="1">M$65</f>
        <v>0</v>
      </c>
      <c r="M9" s="893"/>
      <c r="N9" s="892">
        <f t="shared" ref="N9" si="2">O$65</f>
        <v>0</v>
      </c>
      <c r="O9" s="893"/>
      <c r="P9" s="892">
        <f t="shared" ref="P9" si="3">Q$65</f>
        <v>0</v>
      </c>
      <c r="Q9" s="893"/>
      <c r="R9" s="892">
        <f t="shared" ref="R9" si="4">S$65</f>
        <v>0</v>
      </c>
      <c r="S9" s="893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991" t="s">
        <v>460</v>
      </c>
      <c r="C11" s="484"/>
      <c r="D11" s="507"/>
      <c r="E11" s="508"/>
      <c r="F11" s="506"/>
      <c r="G11" s="60"/>
      <c r="H11" s="951"/>
      <c r="I11" s="183"/>
      <c r="J11" s="951"/>
      <c r="K11" s="782"/>
      <c r="L11" s="951"/>
      <c r="M11" s="783"/>
      <c r="N11" s="951"/>
      <c r="O11" s="783"/>
      <c r="P11" s="951"/>
      <c r="Q11" s="783"/>
      <c r="R11" s="951"/>
      <c r="S11" s="783"/>
    </row>
    <row r="12" spans="1:19">
      <c r="A12" s="784"/>
      <c r="B12" s="1018" t="s">
        <v>461</v>
      </c>
      <c r="C12" s="506"/>
      <c r="D12" s="507"/>
      <c r="E12" s="508"/>
      <c r="F12" s="506"/>
      <c r="G12" s="60"/>
      <c r="H12" s="951"/>
      <c r="I12" s="783"/>
      <c r="J12" s="951"/>
      <c r="K12" s="782"/>
      <c r="L12" s="951"/>
      <c r="M12" s="783"/>
      <c r="N12" s="951"/>
      <c r="O12" s="783"/>
      <c r="P12" s="951"/>
      <c r="Q12" s="783"/>
      <c r="R12" s="951"/>
      <c r="S12" s="783"/>
    </row>
    <row r="13" spans="1:19">
      <c r="A13" s="952"/>
      <c r="B13" s="786" t="s">
        <v>462</v>
      </c>
      <c r="C13" s="506"/>
      <c r="D13" s="507"/>
      <c r="E13" s="508"/>
      <c r="F13" s="506"/>
      <c r="G13" s="60"/>
      <c r="H13" s="951"/>
      <c r="I13" s="783"/>
      <c r="J13" s="951"/>
      <c r="K13" s="782"/>
      <c r="L13" s="951"/>
      <c r="M13" s="783"/>
      <c r="N13" s="951"/>
      <c r="O13" s="783"/>
      <c r="P13" s="951"/>
      <c r="Q13" s="783"/>
      <c r="R13" s="951"/>
      <c r="S13" s="783"/>
    </row>
    <row r="14" spans="1:19">
      <c r="A14" s="952"/>
      <c r="B14" s="787" t="s">
        <v>463</v>
      </c>
      <c r="C14" s="506"/>
      <c r="D14" s="507"/>
      <c r="E14" s="508"/>
      <c r="F14" s="506"/>
      <c r="G14" s="60"/>
      <c r="H14" s="951"/>
      <c r="I14" s="783"/>
      <c r="J14" s="951"/>
      <c r="K14" s="782"/>
      <c r="L14" s="951"/>
      <c r="M14" s="783"/>
      <c r="N14" s="951"/>
      <c r="O14" s="783"/>
      <c r="P14" s="951"/>
      <c r="Q14" s="783"/>
      <c r="R14" s="951"/>
      <c r="S14" s="783"/>
    </row>
    <row r="15" spans="1:19">
      <c r="A15" s="952"/>
      <c r="B15" s="787" t="s">
        <v>464</v>
      </c>
      <c r="C15" s="506"/>
      <c r="D15" s="507"/>
      <c r="E15" s="508"/>
      <c r="F15" s="506"/>
      <c r="G15" s="60"/>
      <c r="H15" s="951"/>
      <c r="I15" s="782"/>
      <c r="J15" s="951"/>
      <c r="K15" s="782"/>
      <c r="L15" s="951"/>
      <c r="M15" s="782"/>
      <c r="N15" s="951"/>
      <c r="O15" s="782"/>
      <c r="P15" s="951"/>
      <c r="Q15" s="782"/>
      <c r="R15" s="951"/>
      <c r="S15" s="782"/>
    </row>
    <row r="16" spans="1:19">
      <c r="A16" s="952"/>
      <c r="B16" s="787" t="s">
        <v>465</v>
      </c>
      <c r="C16" s="506"/>
      <c r="D16" s="507"/>
      <c r="E16" s="508"/>
      <c r="F16" s="506"/>
      <c r="G16" s="60"/>
      <c r="H16" s="951"/>
      <c r="I16" s="783"/>
      <c r="J16" s="951"/>
      <c r="K16" s="782"/>
      <c r="L16" s="951"/>
      <c r="M16" s="783"/>
      <c r="N16" s="951"/>
      <c r="O16" s="783"/>
      <c r="P16" s="951"/>
      <c r="Q16" s="783"/>
      <c r="R16" s="951"/>
      <c r="S16" s="783"/>
    </row>
    <row r="17" spans="1:19">
      <c r="A17" s="952"/>
      <c r="B17" s="787" t="s">
        <v>466</v>
      </c>
      <c r="C17" s="506"/>
      <c r="D17" s="507"/>
      <c r="E17" s="508"/>
      <c r="F17" s="506"/>
      <c r="G17" s="60"/>
      <c r="H17" s="951"/>
      <c r="I17" s="783"/>
      <c r="J17" s="951"/>
      <c r="K17" s="782"/>
      <c r="L17" s="951"/>
      <c r="M17" s="783"/>
      <c r="N17" s="951"/>
      <c r="O17" s="783"/>
      <c r="P17" s="951"/>
      <c r="Q17" s="783"/>
      <c r="R17" s="951"/>
      <c r="S17" s="783"/>
    </row>
    <row r="18" spans="1:19">
      <c r="A18" s="952"/>
      <c r="B18" s="788" t="s">
        <v>467</v>
      </c>
      <c r="C18" s="506"/>
      <c r="D18" s="507"/>
      <c r="E18" s="508"/>
      <c r="F18" s="506"/>
      <c r="G18" s="60"/>
      <c r="H18" s="951"/>
      <c r="I18" s="783"/>
      <c r="J18" s="951"/>
      <c r="K18" s="782"/>
      <c r="L18" s="951"/>
      <c r="M18" s="783"/>
      <c r="N18" s="951"/>
      <c r="O18" s="783"/>
      <c r="P18" s="951"/>
      <c r="Q18" s="783"/>
      <c r="R18" s="951"/>
      <c r="S18" s="783"/>
    </row>
    <row r="19" spans="1:19">
      <c r="A19" s="952"/>
      <c r="B19" s="789" t="s">
        <v>468</v>
      </c>
      <c r="C19" s="513"/>
      <c r="D19" s="514"/>
      <c r="E19" s="515"/>
      <c r="F19" s="516"/>
      <c r="G19" s="463"/>
      <c r="H19" s="953"/>
      <c r="I19" s="791"/>
      <c r="J19" s="953"/>
      <c r="K19" s="790"/>
      <c r="L19" s="953"/>
      <c r="M19" s="791"/>
      <c r="N19" s="953"/>
      <c r="O19" s="791"/>
      <c r="P19" s="953"/>
      <c r="Q19" s="791"/>
      <c r="R19" s="953"/>
      <c r="S19" s="791"/>
    </row>
    <row r="20" spans="1:19">
      <c r="A20" s="952"/>
      <c r="B20" s="792"/>
      <c r="C20" s="506"/>
      <c r="D20" s="507"/>
      <c r="E20" s="508"/>
      <c r="F20" s="517"/>
      <c r="G20" s="60"/>
      <c r="H20" s="951"/>
      <c r="I20" s="794"/>
      <c r="J20" s="951"/>
      <c r="K20" s="793"/>
      <c r="L20" s="951"/>
      <c r="M20" s="794"/>
      <c r="N20" s="951"/>
      <c r="O20" s="794"/>
      <c r="P20" s="951"/>
      <c r="Q20" s="794"/>
      <c r="R20" s="951"/>
      <c r="S20" s="794"/>
    </row>
    <row r="21" spans="1:19">
      <c r="A21" s="952"/>
      <c r="B21" s="1025" t="s">
        <v>685</v>
      </c>
      <c r="C21" s="506"/>
      <c r="D21" s="507"/>
      <c r="E21" s="508"/>
      <c r="F21" s="517"/>
      <c r="G21" s="60"/>
      <c r="H21" s="951"/>
      <c r="I21" s="794"/>
      <c r="J21" s="951"/>
      <c r="K21" s="793"/>
      <c r="L21" s="951"/>
      <c r="M21" s="794"/>
      <c r="N21" s="951"/>
      <c r="O21" s="794"/>
      <c r="P21" s="951"/>
      <c r="Q21" s="794"/>
      <c r="R21" s="951"/>
      <c r="S21" s="794"/>
    </row>
    <row r="22" spans="1:19">
      <c r="A22" s="952"/>
      <c r="B22" s="1026" t="s">
        <v>686</v>
      </c>
      <c r="C22" s="506"/>
      <c r="D22" s="507"/>
      <c r="E22" s="508"/>
      <c r="F22" s="517"/>
      <c r="G22" s="315">
        <f t="shared" ref="G22:G57" si="5">ROUND(D22*F22,0)</f>
        <v>0</v>
      </c>
      <c r="H22" s="951"/>
      <c r="I22" s="793">
        <f>G22</f>
        <v>0</v>
      </c>
      <c r="J22" s="951"/>
      <c r="K22" s="793"/>
      <c r="L22" s="951"/>
      <c r="M22" s="794"/>
      <c r="N22" s="951"/>
      <c r="O22" s="794"/>
      <c r="P22" s="951"/>
      <c r="Q22" s="794"/>
      <c r="R22" s="951"/>
      <c r="S22" s="794"/>
    </row>
    <row r="23" spans="1:19">
      <c r="A23" s="952"/>
      <c r="B23" s="1027" t="s">
        <v>687</v>
      </c>
      <c r="C23" s="506"/>
      <c r="D23" s="507">
        <v>1</v>
      </c>
      <c r="E23" s="508" t="s">
        <v>286</v>
      </c>
      <c r="F23" s="517">
        <v>15000</v>
      </c>
      <c r="G23" s="315">
        <f t="shared" si="5"/>
        <v>15000</v>
      </c>
      <c r="H23" s="951"/>
      <c r="I23" s="793">
        <f t="shared" ref="I23:I57" si="6">G23</f>
        <v>15000</v>
      </c>
      <c r="J23" s="951"/>
      <c r="K23" s="793"/>
      <c r="L23" s="951"/>
      <c r="M23" s="794"/>
      <c r="N23" s="951"/>
      <c r="O23" s="794"/>
      <c r="P23" s="951"/>
      <c r="Q23" s="794"/>
      <c r="R23" s="951"/>
      <c r="S23" s="794"/>
    </row>
    <row r="24" spans="1:19">
      <c r="A24" s="952"/>
      <c r="B24" s="1028" t="s">
        <v>688</v>
      </c>
      <c r="C24" s="506"/>
      <c r="D24" s="507">
        <v>1</v>
      </c>
      <c r="E24" s="508" t="s">
        <v>286</v>
      </c>
      <c r="F24" s="517">
        <v>25000</v>
      </c>
      <c r="G24" s="315">
        <f t="shared" si="5"/>
        <v>25000</v>
      </c>
      <c r="H24" s="951"/>
      <c r="I24" s="793">
        <f t="shared" si="6"/>
        <v>25000</v>
      </c>
      <c r="J24" s="951"/>
      <c r="K24" s="793"/>
      <c r="L24" s="951"/>
      <c r="M24" s="794"/>
      <c r="N24" s="951"/>
      <c r="O24" s="794"/>
      <c r="P24" s="951"/>
      <c r="Q24" s="794"/>
      <c r="R24" s="951"/>
      <c r="S24" s="794"/>
    </row>
    <row r="25" spans="1:19">
      <c r="A25" s="952"/>
      <c r="B25" s="792"/>
      <c r="C25" s="506"/>
      <c r="D25" s="507"/>
      <c r="E25" s="508"/>
      <c r="F25" s="517"/>
      <c r="G25" s="315">
        <f t="shared" si="5"/>
        <v>0</v>
      </c>
      <c r="H25" s="951"/>
      <c r="I25" s="793">
        <f t="shared" si="6"/>
        <v>0</v>
      </c>
      <c r="J25" s="951"/>
      <c r="K25" s="793"/>
      <c r="L25" s="951"/>
      <c r="M25" s="794"/>
      <c r="N25" s="951"/>
      <c r="O25" s="794"/>
      <c r="P25" s="951"/>
      <c r="Q25" s="794"/>
      <c r="R25" s="951"/>
      <c r="S25" s="794"/>
    </row>
    <row r="26" spans="1:19">
      <c r="A26" s="952"/>
      <c r="B26" s="1029" t="s">
        <v>689</v>
      </c>
      <c r="C26" s="506"/>
      <c r="D26" s="507"/>
      <c r="E26" s="508"/>
      <c r="F26" s="517"/>
      <c r="G26" s="315">
        <f t="shared" si="5"/>
        <v>0</v>
      </c>
      <c r="H26" s="951"/>
      <c r="I26" s="793">
        <f t="shared" si="6"/>
        <v>0</v>
      </c>
      <c r="J26" s="951"/>
      <c r="K26" s="793"/>
      <c r="L26" s="951"/>
      <c r="M26" s="794"/>
      <c r="N26" s="951"/>
      <c r="O26" s="794"/>
      <c r="P26" s="951"/>
      <c r="Q26" s="794"/>
      <c r="R26" s="951"/>
      <c r="S26" s="794"/>
    </row>
    <row r="27" spans="1:19">
      <c r="A27" s="952"/>
      <c r="B27" s="1030" t="s">
        <v>690</v>
      </c>
      <c r="C27" s="506"/>
      <c r="D27" s="507">
        <v>1774</v>
      </c>
      <c r="E27" s="508" t="s">
        <v>329</v>
      </c>
      <c r="F27" s="517">
        <v>2.2000000000000002</v>
      </c>
      <c r="G27" s="315">
        <f t="shared" si="5"/>
        <v>3903</v>
      </c>
      <c r="H27" s="951"/>
      <c r="I27" s="793">
        <f t="shared" si="6"/>
        <v>3903</v>
      </c>
      <c r="J27" s="951"/>
      <c r="K27" s="793"/>
      <c r="L27" s="951"/>
      <c r="M27" s="794"/>
      <c r="N27" s="951"/>
      <c r="O27" s="794"/>
      <c r="P27" s="951"/>
      <c r="Q27" s="794"/>
      <c r="R27" s="951"/>
      <c r="S27" s="794"/>
    </row>
    <row r="28" spans="1:19">
      <c r="A28" s="952"/>
      <c r="B28" s="1030" t="s">
        <v>691</v>
      </c>
      <c r="C28" s="506"/>
      <c r="D28" s="507"/>
      <c r="E28" s="508"/>
      <c r="F28" s="517"/>
      <c r="G28" s="315">
        <f t="shared" si="5"/>
        <v>0</v>
      </c>
      <c r="H28" s="951"/>
      <c r="I28" s="793">
        <f t="shared" si="6"/>
        <v>0</v>
      </c>
      <c r="J28" s="951"/>
      <c r="K28" s="793"/>
      <c r="L28" s="951"/>
      <c r="M28" s="794"/>
      <c r="N28" s="951"/>
      <c r="O28" s="794"/>
      <c r="P28" s="951"/>
      <c r="Q28" s="794"/>
      <c r="R28" s="951"/>
      <c r="S28" s="794"/>
    </row>
    <row r="29" spans="1:19">
      <c r="A29" s="952"/>
      <c r="B29" s="1030" t="s">
        <v>692</v>
      </c>
      <c r="C29" s="506"/>
      <c r="D29" s="507"/>
      <c r="E29" s="508"/>
      <c r="F29" s="517"/>
      <c r="G29" s="315">
        <f t="shared" si="5"/>
        <v>0</v>
      </c>
      <c r="H29" s="951"/>
      <c r="I29" s="793">
        <f t="shared" si="6"/>
        <v>0</v>
      </c>
      <c r="J29" s="951"/>
      <c r="K29" s="793"/>
      <c r="L29" s="951"/>
      <c r="M29" s="794"/>
      <c r="N29" s="951"/>
      <c r="O29" s="794"/>
      <c r="P29" s="951"/>
      <c r="Q29" s="794"/>
      <c r="R29" s="951"/>
      <c r="S29" s="794"/>
    </row>
    <row r="30" spans="1:19">
      <c r="A30" s="952"/>
      <c r="B30" s="1028" t="s">
        <v>693</v>
      </c>
      <c r="C30" s="506"/>
      <c r="D30" s="507">
        <v>2</v>
      </c>
      <c r="E30" s="508" t="s">
        <v>271</v>
      </c>
      <c r="F30" s="517">
        <v>10000</v>
      </c>
      <c r="G30" s="315">
        <f t="shared" si="5"/>
        <v>20000</v>
      </c>
      <c r="H30" s="951"/>
      <c r="I30" s="793">
        <f t="shared" si="6"/>
        <v>20000</v>
      </c>
      <c r="J30" s="951"/>
      <c r="K30" s="793"/>
      <c r="L30" s="951"/>
      <c r="M30" s="794"/>
      <c r="N30" s="951"/>
      <c r="O30" s="794"/>
      <c r="P30" s="951"/>
      <c r="Q30" s="794"/>
      <c r="R30" s="951"/>
      <c r="S30" s="794"/>
    </row>
    <row r="31" spans="1:19">
      <c r="A31" s="952"/>
      <c r="B31" s="1028" t="s">
        <v>694</v>
      </c>
      <c r="C31" s="506"/>
      <c r="D31" s="507"/>
      <c r="E31" s="508"/>
      <c r="F31" s="517"/>
      <c r="G31" s="315">
        <f t="shared" si="5"/>
        <v>0</v>
      </c>
      <c r="H31" s="951"/>
      <c r="I31" s="793">
        <f t="shared" si="6"/>
        <v>0</v>
      </c>
      <c r="J31" s="951"/>
      <c r="K31" s="793"/>
      <c r="L31" s="951"/>
      <c r="M31" s="794"/>
      <c r="N31" s="951"/>
      <c r="O31" s="794"/>
      <c r="P31" s="951"/>
      <c r="Q31" s="794"/>
      <c r="R31" s="951"/>
      <c r="S31" s="794"/>
    </row>
    <row r="32" spans="1:19">
      <c r="A32" s="952"/>
      <c r="B32" s="1028" t="s">
        <v>695</v>
      </c>
      <c r="C32" s="506"/>
      <c r="D32" s="507">
        <v>6</v>
      </c>
      <c r="E32" s="508" t="s">
        <v>645</v>
      </c>
      <c r="F32" s="517">
        <v>500</v>
      </c>
      <c r="G32" s="315">
        <f t="shared" si="5"/>
        <v>3000</v>
      </c>
      <c r="H32" s="951"/>
      <c r="I32" s="793">
        <f t="shared" si="6"/>
        <v>3000</v>
      </c>
      <c r="J32" s="951"/>
      <c r="K32" s="793"/>
      <c r="L32" s="951"/>
      <c r="M32" s="794"/>
      <c r="N32" s="951"/>
      <c r="O32" s="794"/>
      <c r="P32" s="951"/>
      <c r="Q32" s="794"/>
      <c r="R32" s="951"/>
      <c r="S32" s="794"/>
    </row>
    <row r="33" spans="1:19">
      <c r="A33" s="952"/>
      <c r="B33" s="1028" t="s">
        <v>696</v>
      </c>
      <c r="C33" s="506"/>
      <c r="D33" s="507">
        <v>1</v>
      </c>
      <c r="E33" s="508" t="s">
        <v>286</v>
      </c>
      <c r="F33" s="517">
        <v>10000</v>
      </c>
      <c r="G33" s="315">
        <f t="shared" si="5"/>
        <v>10000</v>
      </c>
      <c r="H33" s="951"/>
      <c r="I33" s="793">
        <f t="shared" si="6"/>
        <v>10000</v>
      </c>
      <c r="J33" s="951"/>
      <c r="K33" s="793"/>
      <c r="L33" s="951"/>
      <c r="M33" s="794"/>
      <c r="N33" s="951"/>
      <c r="O33" s="794"/>
      <c r="P33" s="951"/>
      <c r="Q33" s="794"/>
      <c r="R33" s="951"/>
      <c r="S33" s="794"/>
    </row>
    <row r="34" spans="1:19">
      <c r="A34" s="952"/>
      <c r="B34" s="1028" t="s">
        <v>697</v>
      </c>
      <c r="C34" s="506"/>
      <c r="D34" s="507">
        <v>1</v>
      </c>
      <c r="E34" s="508" t="s">
        <v>286</v>
      </c>
      <c r="F34" s="517">
        <v>12000</v>
      </c>
      <c r="G34" s="315">
        <f t="shared" si="5"/>
        <v>12000</v>
      </c>
      <c r="H34" s="951"/>
      <c r="I34" s="793">
        <f t="shared" si="6"/>
        <v>12000</v>
      </c>
      <c r="J34" s="951"/>
      <c r="K34" s="793"/>
      <c r="L34" s="951"/>
      <c r="M34" s="794"/>
      <c r="N34" s="951"/>
      <c r="O34" s="794"/>
      <c r="P34" s="951"/>
      <c r="Q34" s="794"/>
      <c r="R34" s="951"/>
      <c r="S34" s="794"/>
    </row>
    <row r="35" spans="1:19">
      <c r="A35" s="952"/>
      <c r="B35" s="1028" t="s">
        <v>698</v>
      </c>
      <c r="C35" s="506"/>
      <c r="D35" s="507">
        <v>5</v>
      </c>
      <c r="E35" s="508" t="s">
        <v>271</v>
      </c>
      <c r="F35" s="517">
        <v>350</v>
      </c>
      <c r="G35" s="315">
        <f t="shared" si="5"/>
        <v>1750</v>
      </c>
      <c r="H35" s="951"/>
      <c r="I35" s="793">
        <f t="shared" si="6"/>
        <v>1750</v>
      </c>
      <c r="J35" s="951"/>
      <c r="K35" s="793"/>
      <c r="L35" s="951"/>
      <c r="M35" s="794"/>
      <c r="N35" s="951"/>
      <c r="O35" s="794"/>
      <c r="P35" s="951"/>
      <c r="Q35" s="794"/>
      <c r="R35" s="951"/>
      <c r="S35" s="794"/>
    </row>
    <row r="36" spans="1:19">
      <c r="A36" s="952"/>
      <c r="B36" s="792"/>
      <c r="C36" s="506"/>
      <c r="D36" s="507"/>
      <c r="E36" s="508"/>
      <c r="F36" s="517"/>
      <c r="G36" s="315">
        <f t="shared" si="5"/>
        <v>0</v>
      </c>
      <c r="H36" s="951"/>
      <c r="I36" s="793">
        <f t="shared" si="6"/>
        <v>0</v>
      </c>
      <c r="J36" s="951"/>
      <c r="K36" s="793"/>
      <c r="L36" s="951"/>
      <c r="M36" s="794"/>
      <c r="N36" s="951"/>
      <c r="O36" s="794"/>
      <c r="P36" s="951"/>
      <c r="Q36" s="794"/>
      <c r="R36" s="951"/>
      <c r="S36" s="794"/>
    </row>
    <row r="37" spans="1:19">
      <c r="A37" s="952"/>
      <c r="B37" s="1031" t="s">
        <v>111</v>
      </c>
      <c r="C37" s="506"/>
      <c r="D37" s="507"/>
      <c r="E37" s="508"/>
      <c r="F37" s="517"/>
      <c r="G37" s="315">
        <f t="shared" si="5"/>
        <v>0</v>
      </c>
      <c r="H37" s="951"/>
      <c r="I37" s="793">
        <f t="shared" si="6"/>
        <v>0</v>
      </c>
      <c r="J37" s="951"/>
      <c r="K37" s="793"/>
      <c r="L37" s="951"/>
      <c r="M37" s="794"/>
      <c r="N37" s="951"/>
      <c r="O37" s="794"/>
      <c r="P37" s="951"/>
      <c r="Q37" s="794"/>
      <c r="R37" s="951"/>
      <c r="S37" s="794"/>
    </row>
    <row r="38" spans="1:19">
      <c r="A38" s="952"/>
      <c r="B38" s="1032" t="s">
        <v>699</v>
      </c>
      <c r="C38" s="506"/>
      <c r="D38" s="507">
        <f>'Area Calculations'!G7</f>
        <v>4.0078282828282825</v>
      </c>
      <c r="E38" s="508" t="s">
        <v>469</v>
      </c>
      <c r="F38" s="517">
        <v>1500</v>
      </c>
      <c r="G38" s="315">
        <f t="shared" si="5"/>
        <v>6012</v>
      </c>
      <c r="H38" s="951"/>
      <c r="I38" s="793">
        <f t="shared" si="6"/>
        <v>6012</v>
      </c>
      <c r="J38" s="951"/>
      <c r="K38" s="793"/>
      <c r="L38" s="951"/>
      <c r="M38" s="794"/>
      <c r="N38" s="951"/>
      <c r="O38" s="794"/>
      <c r="P38" s="951"/>
      <c r="Q38" s="794"/>
      <c r="R38" s="951"/>
      <c r="S38" s="794"/>
    </row>
    <row r="39" spans="1:19">
      <c r="A39" s="952"/>
      <c r="B39" s="792"/>
      <c r="C39" s="506"/>
      <c r="D39" s="507"/>
      <c r="E39" s="508"/>
      <c r="F39" s="517"/>
      <c r="G39" s="315">
        <f t="shared" si="5"/>
        <v>0</v>
      </c>
      <c r="H39" s="951"/>
      <c r="I39" s="793">
        <f t="shared" si="6"/>
        <v>0</v>
      </c>
      <c r="J39" s="951"/>
      <c r="K39" s="793"/>
      <c r="L39" s="951"/>
      <c r="M39" s="794"/>
      <c r="N39" s="951"/>
      <c r="O39" s="794"/>
      <c r="P39" s="951"/>
      <c r="Q39" s="794"/>
      <c r="R39" s="951"/>
      <c r="S39" s="794"/>
    </row>
    <row r="40" spans="1:19">
      <c r="A40" s="952"/>
      <c r="B40" s="1033" t="s">
        <v>700</v>
      </c>
      <c r="C40" s="506"/>
      <c r="D40" s="507"/>
      <c r="E40" s="508"/>
      <c r="F40" s="517"/>
      <c r="G40" s="315">
        <f t="shared" si="5"/>
        <v>0</v>
      </c>
      <c r="H40" s="951"/>
      <c r="I40" s="793">
        <f t="shared" si="6"/>
        <v>0</v>
      </c>
      <c r="J40" s="951"/>
      <c r="K40" s="793"/>
      <c r="L40" s="951"/>
      <c r="M40" s="794"/>
      <c r="N40" s="951"/>
      <c r="O40" s="794"/>
      <c r="P40" s="951"/>
      <c r="Q40" s="794"/>
      <c r="R40" s="951"/>
      <c r="S40" s="794"/>
    </row>
    <row r="41" spans="1:19">
      <c r="A41" s="952"/>
      <c r="B41" s="1032" t="s">
        <v>701</v>
      </c>
      <c r="C41" s="506"/>
      <c r="D41" s="507">
        <f>'Area Calculations'!G7</f>
        <v>4.0078282828282825</v>
      </c>
      <c r="E41" s="508" t="s">
        <v>469</v>
      </c>
      <c r="F41" s="517">
        <v>2500</v>
      </c>
      <c r="G41" s="315">
        <f t="shared" si="5"/>
        <v>10020</v>
      </c>
      <c r="H41" s="951"/>
      <c r="I41" s="793">
        <f t="shared" si="6"/>
        <v>10020</v>
      </c>
      <c r="J41" s="951"/>
      <c r="K41" s="793"/>
      <c r="L41" s="951"/>
      <c r="M41" s="794"/>
      <c r="N41" s="951"/>
      <c r="O41" s="794"/>
      <c r="P41" s="951"/>
      <c r="Q41" s="794"/>
      <c r="R41" s="951"/>
      <c r="S41" s="794"/>
    </row>
    <row r="42" spans="1:19">
      <c r="A42" s="952"/>
      <c r="B42" s="1032" t="s">
        <v>702</v>
      </c>
      <c r="C42" s="506"/>
      <c r="D42" s="507">
        <f>110025*4/27</f>
        <v>16300</v>
      </c>
      <c r="E42" s="508" t="s">
        <v>494</v>
      </c>
      <c r="F42" s="517">
        <v>25</v>
      </c>
      <c r="G42" s="315">
        <f t="shared" si="5"/>
        <v>407500</v>
      </c>
      <c r="H42" s="951"/>
      <c r="I42" s="793">
        <f t="shared" si="6"/>
        <v>407500</v>
      </c>
      <c r="J42" s="951"/>
      <c r="K42" s="793"/>
      <c r="L42" s="951"/>
      <c r="M42" s="794"/>
      <c r="N42" s="951"/>
      <c r="O42" s="794"/>
      <c r="P42" s="951"/>
      <c r="Q42" s="794"/>
      <c r="R42" s="951"/>
      <c r="S42" s="794"/>
    </row>
    <row r="43" spans="1:19">
      <c r="A43" s="952"/>
      <c r="B43" s="1032" t="s">
        <v>703</v>
      </c>
      <c r="C43" s="506"/>
      <c r="D43" s="507">
        <f>1514*4.5*3/27</f>
        <v>757</v>
      </c>
      <c r="E43" s="508" t="s">
        <v>494</v>
      </c>
      <c r="F43" s="517">
        <v>5</v>
      </c>
      <c r="G43" s="315">
        <f t="shared" ref="G43:G44" si="7">ROUND(D43*F43,0)</f>
        <v>3785</v>
      </c>
      <c r="H43" s="951"/>
      <c r="I43" s="793">
        <f t="shared" ref="I43:I44" si="8">G43</f>
        <v>3785</v>
      </c>
      <c r="J43" s="951"/>
      <c r="K43" s="793"/>
      <c r="L43" s="951"/>
      <c r="M43" s="794"/>
      <c r="N43" s="951"/>
      <c r="O43" s="794"/>
      <c r="P43" s="951"/>
      <c r="Q43" s="794"/>
      <c r="R43" s="951"/>
      <c r="S43" s="794"/>
    </row>
    <row r="44" spans="1:19">
      <c r="A44" s="952"/>
      <c r="B44" s="1032" t="s">
        <v>704</v>
      </c>
      <c r="C44" s="506"/>
      <c r="D44" s="507">
        <f>D51/9</f>
        <v>754.44444444444446</v>
      </c>
      <c r="E44" s="508" t="s">
        <v>705</v>
      </c>
      <c r="F44" s="517">
        <v>1</v>
      </c>
      <c r="G44" s="315">
        <f t="shared" si="7"/>
        <v>754</v>
      </c>
      <c r="H44" s="951"/>
      <c r="I44" s="793">
        <f t="shared" si="8"/>
        <v>754</v>
      </c>
      <c r="J44" s="951"/>
      <c r="K44" s="793"/>
      <c r="L44" s="951"/>
      <c r="M44" s="794"/>
      <c r="N44" s="951"/>
      <c r="O44" s="794"/>
      <c r="P44" s="951"/>
      <c r="Q44" s="794"/>
      <c r="R44" s="951"/>
      <c r="S44" s="794"/>
    </row>
    <row r="45" spans="1:19">
      <c r="A45" s="952"/>
      <c r="B45" s="1032" t="s">
        <v>706</v>
      </c>
      <c r="C45" s="506"/>
      <c r="D45" s="507">
        <f>28920/9</f>
        <v>3213.3333333333335</v>
      </c>
      <c r="E45" s="508" t="s">
        <v>705</v>
      </c>
      <c r="F45" s="517">
        <v>1</v>
      </c>
      <c r="G45" s="315">
        <f t="shared" ref="G45:G56" si="9">ROUND(D45*F45,0)</f>
        <v>3213</v>
      </c>
      <c r="H45" s="951"/>
      <c r="I45" s="793">
        <f t="shared" ref="I45:I56" si="10">G45</f>
        <v>3213</v>
      </c>
      <c r="J45" s="951"/>
      <c r="K45" s="793"/>
      <c r="L45" s="951"/>
      <c r="M45" s="794"/>
      <c r="N45" s="951"/>
      <c r="O45" s="794"/>
      <c r="P45" s="951"/>
      <c r="Q45" s="794"/>
      <c r="R45" s="951"/>
      <c r="S45" s="794"/>
    </row>
    <row r="46" spans="1:19">
      <c r="A46" s="952"/>
      <c r="B46" s="1032"/>
      <c r="C46" s="506"/>
      <c r="D46" s="507"/>
      <c r="E46" s="508"/>
      <c r="F46" s="517"/>
      <c r="G46" s="315">
        <f t="shared" si="9"/>
        <v>0</v>
      </c>
      <c r="H46" s="951"/>
      <c r="I46" s="793">
        <f t="shared" si="10"/>
        <v>0</v>
      </c>
      <c r="J46" s="951"/>
      <c r="K46" s="793"/>
      <c r="L46" s="951"/>
      <c r="M46" s="794"/>
      <c r="N46" s="951"/>
      <c r="O46" s="794"/>
      <c r="P46" s="951"/>
      <c r="Q46" s="794"/>
      <c r="R46" s="951"/>
      <c r="S46" s="794"/>
    </row>
    <row r="47" spans="1:19">
      <c r="A47" s="952"/>
      <c r="B47" s="1031" t="s">
        <v>707</v>
      </c>
      <c r="C47" s="506"/>
      <c r="D47" s="507">
        <f>2134/9</f>
        <v>237.11111111111111</v>
      </c>
      <c r="E47" s="508" t="s">
        <v>705</v>
      </c>
      <c r="F47" s="517">
        <v>35</v>
      </c>
      <c r="G47" s="315">
        <f t="shared" si="9"/>
        <v>8299</v>
      </c>
      <c r="H47" s="951"/>
      <c r="I47" s="793">
        <f t="shared" si="10"/>
        <v>8299</v>
      </c>
      <c r="J47" s="951"/>
      <c r="K47" s="793"/>
      <c r="L47" s="951"/>
      <c r="M47" s="794"/>
      <c r="N47" s="951"/>
      <c r="O47" s="794"/>
      <c r="P47" s="951"/>
      <c r="Q47" s="794"/>
      <c r="R47" s="951"/>
      <c r="S47" s="794"/>
    </row>
    <row r="48" spans="1:19">
      <c r="A48" s="952"/>
      <c r="B48" s="1032"/>
      <c r="C48" s="506"/>
      <c r="D48" s="507"/>
      <c r="E48" s="508"/>
      <c r="F48" s="517"/>
      <c r="G48" s="315">
        <f t="shared" si="9"/>
        <v>0</v>
      </c>
      <c r="H48" s="951"/>
      <c r="I48" s="793">
        <f t="shared" si="10"/>
        <v>0</v>
      </c>
      <c r="J48" s="951"/>
      <c r="K48" s="793"/>
      <c r="L48" s="951"/>
      <c r="M48" s="794"/>
      <c r="N48" s="951"/>
      <c r="O48" s="794"/>
      <c r="P48" s="951"/>
      <c r="Q48" s="794"/>
      <c r="R48" s="951"/>
      <c r="S48" s="794"/>
    </row>
    <row r="49" spans="1:19">
      <c r="A49" s="952"/>
      <c r="B49" s="1032"/>
      <c r="C49" s="506"/>
      <c r="D49" s="507"/>
      <c r="E49" s="508"/>
      <c r="F49" s="517"/>
      <c r="G49" s="315">
        <f t="shared" si="9"/>
        <v>0</v>
      </c>
      <c r="H49" s="951"/>
      <c r="I49" s="793">
        <f t="shared" si="10"/>
        <v>0</v>
      </c>
      <c r="J49" s="951"/>
      <c r="K49" s="793"/>
      <c r="L49" s="951"/>
      <c r="M49" s="794"/>
      <c r="N49" s="951"/>
      <c r="O49" s="794"/>
      <c r="P49" s="951"/>
      <c r="Q49" s="794"/>
      <c r="R49" s="951"/>
      <c r="S49" s="794"/>
    </row>
    <row r="50" spans="1:19">
      <c r="A50" s="952"/>
      <c r="B50" s="1031" t="s">
        <v>492</v>
      </c>
      <c r="C50" s="506"/>
      <c r="D50" s="507"/>
      <c r="E50" s="508"/>
      <c r="F50" s="517"/>
      <c r="G50" s="315">
        <f t="shared" si="9"/>
        <v>0</v>
      </c>
      <c r="H50" s="951"/>
      <c r="I50" s="793">
        <f t="shared" si="10"/>
        <v>0</v>
      </c>
      <c r="J50" s="951"/>
      <c r="K50" s="793"/>
      <c r="L50" s="951"/>
      <c r="M50" s="794"/>
      <c r="N50" s="951"/>
      <c r="O50" s="794"/>
      <c r="P50" s="951"/>
      <c r="Q50" s="794"/>
      <c r="R50" s="951"/>
      <c r="S50" s="794"/>
    </row>
    <row r="51" spans="1:19">
      <c r="A51" s="952"/>
      <c r="B51" s="1028" t="s">
        <v>708</v>
      </c>
      <c r="C51" s="506"/>
      <c r="D51" s="507">
        <v>6790</v>
      </c>
      <c r="E51" s="508" t="s">
        <v>179</v>
      </c>
      <c r="F51" s="517">
        <v>10</v>
      </c>
      <c r="G51" s="315">
        <f t="shared" si="9"/>
        <v>67900</v>
      </c>
      <c r="H51" s="951"/>
      <c r="I51" s="793">
        <f t="shared" si="10"/>
        <v>67900</v>
      </c>
      <c r="J51" s="951"/>
      <c r="K51" s="793"/>
      <c r="L51" s="951"/>
      <c r="M51" s="794"/>
      <c r="N51" s="951"/>
      <c r="O51" s="794"/>
      <c r="P51" s="951"/>
      <c r="Q51" s="794"/>
      <c r="R51" s="951"/>
      <c r="S51" s="794"/>
    </row>
    <row r="52" spans="1:19">
      <c r="A52" s="952"/>
      <c r="B52" s="1028" t="s">
        <v>709</v>
      </c>
      <c r="C52" s="506"/>
      <c r="D52" s="507">
        <v>1466</v>
      </c>
      <c r="E52" s="508" t="s">
        <v>329</v>
      </c>
      <c r="F52" s="517">
        <v>18</v>
      </c>
      <c r="G52" s="315">
        <f t="shared" si="9"/>
        <v>26388</v>
      </c>
      <c r="H52" s="951"/>
      <c r="I52" s="793">
        <f t="shared" si="10"/>
        <v>26388</v>
      </c>
      <c r="J52" s="951"/>
      <c r="K52" s="793"/>
      <c r="L52" s="951"/>
      <c r="M52" s="794"/>
      <c r="N52" s="951"/>
      <c r="O52" s="794"/>
      <c r="P52" s="951"/>
      <c r="Q52" s="794"/>
      <c r="R52" s="951"/>
      <c r="S52" s="794"/>
    </row>
    <row r="53" spans="1:19">
      <c r="A53" s="952"/>
      <c r="B53" s="1028" t="s">
        <v>710</v>
      </c>
      <c r="C53" s="506"/>
      <c r="D53" s="507">
        <v>19539</v>
      </c>
      <c r="E53" s="508" t="s">
        <v>179</v>
      </c>
      <c r="F53" s="517">
        <v>15</v>
      </c>
      <c r="G53" s="315">
        <f t="shared" si="9"/>
        <v>293085</v>
      </c>
      <c r="H53" s="951"/>
      <c r="I53" s="793">
        <f t="shared" si="10"/>
        <v>293085</v>
      </c>
      <c r="J53" s="951"/>
      <c r="K53" s="793"/>
      <c r="L53" s="951"/>
      <c r="M53" s="794"/>
      <c r="N53" s="951"/>
      <c r="O53" s="794"/>
      <c r="P53" s="951"/>
      <c r="Q53" s="794"/>
      <c r="R53" s="951"/>
      <c r="S53" s="794"/>
    </row>
    <row r="54" spans="1:19">
      <c r="A54" s="952"/>
      <c r="B54" s="1028"/>
      <c r="C54" s="506"/>
      <c r="D54" s="507"/>
      <c r="E54" s="508"/>
      <c r="F54" s="517"/>
      <c r="G54" s="315">
        <f t="shared" si="9"/>
        <v>0</v>
      </c>
      <c r="H54" s="951"/>
      <c r="I54" s="793">
        <f t="shared" si="10"/>
        <v>0</v>
      </c>
      <c r="J54" s="951"/>
      <c r="K54" s="793"/>
      <c r="L54" s="951"/>
      <c r="M54" s="794"/>
      <c r="N54" s="951"/>
      <c r="O54" s="794"/>
      <c r="P54" s="951"/>
      <c r="Q54" s="794"/>
      <c r="R54" s="951"/>
      <c r="S54" s="794"/>
    </row>
    <row r="55" spans="1:19">
      <c r="A55" s="952"/>
      <c r="B55" s="1031" t="s">
        <v>711</v>
      </c>
      <c r="C55" s="506"/>
      <c r="D55" s="507">
        <v>1</v>
      </c>
      <c r="E55" s="508" t="s">
        <v>286</v>
      </c>
      <c r="F55" s="517">
        <v>50000</v>
      </c>
      <c r="G55" s="315">
        <f t="shared" si="9"/>
        <v>50000</v>
      </c>
      <c r="H55" s="951"/>
      <c r="I55" s="793">
        <f t="shared" si="10"/>
        <v>50000</v>
      </c>
      <c r="J55" s="951"/>
      <c r="K55" s="793"/>
      <c r="L55" s="951"/>
      <c r="M55" s="794"/>
      <c r="N55" s="951"/>
      <c r="O55" s="794"/>
      <c r="P55" s="951"/>
      <c r="Q55" s="794"/>
      <c r="R55" s="951"/>
      <c r="S55" s="794"/>
    </row>
    <row r="56" spans="1:19">
      <c r="A56" s="952"/>
      <c r="B56" s="1032"/>
      <c r="C56" s="506"/>
      <c r="D56" s="507"/>
      <c r="E56" s="508"/>
      <c r="F56" s="517"/>
      <c r="G56" s="315">
        <f t="shared" si="9"/>
        <v>0</v>
      </c>
      <c r="H56" s="951"/>
      <c r="I56" s="793">
        <f t="shared" si="10"/>
        <v>0</v>
      </c>
      <c r="J56" s="951"/>
      <c r="K56" s="793"/>
      <c r="L56" s="951"/>
      <c r="M56" s="794"/>
      <c r="N56" s="951"/>
      <c r="O56" s="794"/>
      <c r="P56" s="951"/>
      <c r="Q56" s="794"/>
      <c r="R56" s="951"/>
      <c r="S56" s="794"/>
    </row>
    <row r="57" spans="1:19">
      <c r="A57" s="952"/>
      <c r="B57" s="792"/>
      <c r="C57" s="506"/>
      <c r="D57" s="507"/>
      <c r="E57" s="508"/>
      <c r="F57" s="517"/>
      <c r="G57" s="315">
        <f t="shared" si="5"/>
        <v>0</v>
      </c>
      <c r="H57" s="951"/>
      <c r="I57" s="793">
        <f t="shared" si="6"/>
        <v>0</v>
      </c>
      <c r="J57" s="951"/>
      <c r="K57" s="793"/>
      <c r="L57" s="951"/>
      <c r="M57" s="794"/>
      <c r="N57" s="951"/>
      <c r="O57" s="794"/>
      <c r="P57" s="951"/>
      <c r="Q57" s="794"/>
      <c r="R57" s="951"/>
      <c r="S57" s="794"/>
    </row>
    <row r="58" spans="1:19">
      <c r="A58" s="952"/>
      <c r="B58" s="992" t="s">
        <v>712</v>
      </c>
      <c r="C58" s="506"/>
      <c r="D58" s="507">
        <v>1</v>
      </c>
      <c r="E58" s="508" t="s">
        <v>286</v>
      </c>
      <c r="F58" s="517">
        <v>25000</v>
      </c>
      <c r="G58" s="315">
        <f t="shared" ref="G58" si="11">ROUND(D58*F58,0)</f>
        <v>25000</v>
      </c>
      <c r="H58" s="951"/>
      <c r="I58" s="793">
        <f t="shared" ref="I58" si="12">G58</f>
        <v>25000</v>
      </c>
      <c r="J58" s="951"/>
      <c r="K58" s="793"/>
      <c r="L58" s="951"/>
      <c r="M58" s="794"/>
      <c r="N58" s="951"/>
      <c r="O58" s="794"/>
      <c r="P58" s="951"/>
      <c r="Q58" s="794"/>
      <c r="R58" s="951"/>
      <c r="S58" s="794"/>
    </row>
    <row r="59" spans="1:19">
      <c r="A59" s="952"/>
      <c r="B59" s="465"/>
      <c r="C59" s="506"/>
      <c r="D59" s="507"/>
      <c r="E59" s="508"/>
      <c r="F59" s="517"/>
      <c r="G59" s="315">
        <f t="shared" ref="G59" si="13">ROUND(D59*F59,0)</f>
        <v>0</v>
      </c>
      <c r="H59" s="951"/>
      <c r="I59" s="793">
        <f t="shared" ref="I59" si="14">G59</f>
        <v>0</v>
      </c>
      <c r="J59" s="951"/>
      <c r="K59" s="793"/>
      <c r="L59" s="951"/>
      <c r="M59" s="794"/>
      <c r="N59" s="951"/>
      <c r="O59" s="794"/>
      <c r="P59" s="951"/>
      <c r="Q59" s="794"/>
      <c r="R59" s="951"/>
      <c r="S59" s="794"/>
    </row>
    <row r="60" spans="1:19" ht="15.75" thickBot="1">
      <c r="A60" s="952"/>
      <c r="B60" s="1034"/>
      <c r="C60" s="491"/>
      <c r="D60" s="922"/>
      <c r="E60" s="508"/>
      <c r="F60" s="492"/>
      <c r="G60" s="315"/>
      <c r="H60" s="951"/>
      <c r="I60" s="793"/>
      <c r="J60" s="951"/>
      <c r="K60" s="793"/>
      <c r="L60" s="951"/>
      <c r="M60" s="793"/>
      <c r="N60" s="951"/>
      <c r="O60" s="793"/>
      <c r="P60" s="951"/>
      <c r="Q60" s="793"/>
      <c r="R60" s="951"/>
      <c r="S60" s="793"/>
    </row>
    <row r="61" spans="1:19" ht="15.75" thickTop="1">
      <c r="A61" s="15"/>
      <c r="B61" s="218" t="s">
        <v>518</v>
      </c>
      <c r="C61" s="17"/>
      <c r="D61" s="168"/>
      <c r="E61" s="177"/>
      <c r="F61" s="19"/>
      <c r="G61" s="219">
        <f>SUBTOTAL(9,G22:G60)</f>
        <v>992609</v>
      </c>
      <c r="H61" s="21"/>
      <c r="I61" s="217">
        <f>SUBTOTAL(9,I22:I60)</f>
        <v>992609</v>
      </c>
      <c r="J61" s="21"/>
      <c r="K61" s="217">
        <f>SUBTOTAL(9,K22:K60)</f>
        <v>0</v>
      </c>
      <c r="L61" s="21"/>
      <c r="M61" s="217">
        <f>SUBTOTAL(9,M22:M60)</f>
        <v>0</v>
      </c>
      <c r="N61" s="21"/>
      <c r="O61" s="162">
        <f>SUM(O19:O60)</f>
        <v>0</v>
      </c>
      <c r="P61" s="21"/>
      <c r="Q61" s="162">
        <f>SUM(Q19:Q60)</f>
        <v>0</v>
      </c>
      <c r="R61" s="21"/>
      <c r="S61" s="162">
        <f>SUM(S19:S60)</f>
        <v>0</v>
      </c>
    </row>
    <row r="62" spans="1:19">
      <c r="A62" s="1035"/>
      <c r="B62" s="923" t="s">
        <v>471</v>
      </c>
      <c r="C62" s="493"/>
      <c r="D62" s="924"/>
      <c r="E62" s="925"/>
      <c r="F62" s="494"/>
      <c r="G62" s="901"/>
      <c r="H62" s="1036">
        <v>0</v>
      </c>
      <c r="I62" s="163"/>
      <c r="J62" s="1036">
        <v>0</v>
      </c>
      <c r="K62" s="163"/>
      <c r="L62" s="1036">
        <v>0</v>
      </c>
      <c r="M62" s="163"/>
      <c r="N62" s="1036">
        <v>0</v>
      </c>
      <c r="O62" s="163"/>
      <c r="P62" s="1036">
        <v>0</v>
      </c>
      <c r="Q62" s="163"/>
      <c r="R62" s="1036">
        <v>0</v>
      </c>
      <c r="S62" s="163"/>
    </row>
    <row r="63" spans="1:19">
      <c r="A63" s="1035"/>
      <c r="B63" s="923" t="s">
        <v>472</v>
      </c>
      <c r="C63" s="493"/>
      <c r="D63" s="924"/>
      <c r="E63" s="925"/>
      <c r="F63" s="494"/>
      <c r="G63" s="901">
        <f>F62*G61</f>
        <v>0</v>
      </c>
      <c r="H63" s="1037"/>
      <c r="I63" s="1038">
        <f>H62*I61</f>
        <v>0</v>
      </c>
      <c r="J63" s="1037"/>
      <c r="K63" s="1038">
        <f>J62*K61</f>
        <v>0</v>
      </c>
      <c r="L63" s="1037"/>
      <c r="M63" s="1038">
        <f>L62*M61</f>
        <v>0</v>
      </c>
      <c r="N63" s="1037"/>
      <c r="O63" s="1038">
        <f>N62*O61</f>
        <v>0</v>
      </c>
      <c r="P63" s="1037"/>
      <c r="Q63" s="1038">
        <f>P62*Q61</f>
        <v>0</v>
      </c>
      <c r="R63" s="1037"/>
      <c r="S63" s="1038">
        <f>R62*S61</f>
        <v>0</v>
      </c>
    </row>
    <row r="64" spans="1:19">
      <c r="A64" s="1035"/>
      <c r="B64" s="923"/>
      <c r="C64" s="493"/>
      <c r="D64" s="924"/>
      <c r="E64" s="925"/>
      <c r="F64" s="494"/>
      <c r="G64" s="901"/>
      <c r="H64" s="1037"/>
      <c r="I64" s="1038"/>
      <c r="J64" s="1037"/>
      <c r="K64" s="1038"/>
      <c r="L64" s="1037"/>
      <c r="M64" s="1038"/>
      <c r="N64" s="1037"/>
      <c r="O64" s="1038"/>
      <c r="P64" s="1037"/>
      <c r="Q64" s="1038"/>
      <c r="R64" s="1037"/>
      <c r="S64" s="1038"/>
    </row>
    <row r="65" spans="1:34">
      <c r="A65" s="1035"/>
      <c r="B65" s="923" t="s">
        <v>473</v>
      </c>
      <c r="C65" s="493"/>
      <c r="D65" s="924"/>
      <c r="E65" s="925"/>
      <c r="F65" s="494"/>
      <c r="G65" s="901">
        <f>SUM(G61:G63)</f>
        <v>992609</v>
      </c>
      <c r="H65" s="1039"/>
      <c r="I65" s="1038">
        <f>SUM(I61:I63)</f>
        <v>992609</v>
      </c>
      <c r="J65" s="1039"/>
      <c r="K65" s="1038">
        <f>SUM(K61:K63)</f>
        <v>0</v>
      </c>
      <c r="L65" s="1039"/>
      <c r="M65" s="1038">
        <f>SUM(M61:M63)</f>
        <v>0</v>
      </c>
      <c r="N65" s="1039"/>
      <c r="O65" s="1038">
        <f>SUM(O61:O63)</f>
        <v>0</v>
      </c>
      <c r="P65" s="1039"/>
      <c r="Q65" s="1038">
        <f>SUM(Q61:Q63)</f>
        <v>0</v>
      </c>
      <c r="R65" s="1039"/>
      <c r="S65" s="1038">
        <f>SUM(S61:S63)</f>
        <v>0</v>
      </c>
    </row>
    <row r="66" spans="1:34">
      <c r="A66" s="1035"/>
      <c r="B66" s="495" t="s">
        <v>474</v>
      </c>
      <c r="C66" s="493"/>
      <c r="D66" s="924"/>
      <c r="E66" s="925"/>
      <c r="F66" s="495"/>
      <c r="G66" s="902">
        <f>G65/'Area Calculations'!$G$5</f>
        <v>2.5495770863781488</v>
      </c>
      <c r="H66" s="1040"/>
      <c r="I66" s="1041">
        <f>I65/'Area Calculations'!$G$5</f>
        <v>2.5495770863781488</v>
      </c>
      <c r="J66" s="1040"/>
      <c r="K66" s="1041">
        <f>K65/'Area Calculations'!$G$5</f>
        <v>0</v>
      </c>
      <c r="L66" s="1040"/>
      <c r="M66" s="1041">
        <f>M65/'Area Calculations'!$G$5</f>
        <v>0</v>
      </c>
      <c r="N66" s="1040"/>
      <c r="O66" s="1041">
        <f>O65/'Area Calculations'!$G$5</f>
        <v>0</v>
      </c>
      <c r="P66" s="1040"/>
      <c r="Q66" s="1041">
        <f>Q65/'Area Calculations'!$G$5</f>
        <v>0</v>
      </c>
      <c r="R66" s="1042"/>
      <c r="S66" s="1041">
        <f>S65/'Area Calculations'!$G$5</f>
        <v>0</v>
      </c>
    </row>
    <row r="67" spans="1:34" ht="15.75" thickBot="1">
      <c r="A67" s="1035"/>
      <c r="B67" s="496"/>
      <c r="C67" s="493"/>
      <c r="D67" s="924"/>
      <c r="E67" s="925"/>
      <c r="F67" s="494"/>
      <c r="G67" s="464"/>
      <c r="H67" s="1043"/>
      <c r="I67" s="1044"/>
      <c r="J67" s="1043"/>
      <c r="K67" s="1044"/>
      <c r="L67" s="1043"/>
      <c r="M67" s="1043"/>
      <c r="N67" s="1043"/>
      <c r="O67" s="1043"/>
      <c r="P67" s="1043"/>
      <c r="Q67" s="1043"/>
      <c r="R67" s="1043"/>
      <c r="S67" s="1043"/>
    </row>
    <row r="68" spans="1:34" ht="16.5" thickTop="1" thickBot="1">
      <c r="A68" s="691" t="s">
        <v>475</v>
      </c>
      <c r="B68" s="692"/>
      <c r="C68" s="14"/>
      <c r="D68" s="169"/>
      <c r="E68" s="178"/>
      <c r="F68" s="14"/>
      <c r="G68" s="220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 spans="1:34" ht="15.75" thickTop="1">
      <c r="A69" s="795"/>
      <c r="B69" s="497"/>
      <c r="C69" s="796"/>
      <c r="D69" s="851"/>
      <c r="E69" s="852"/>
      <c r="F69" s="796"/>
      <c r="G69" s="798"/>
      <c r="H69" s="799"/>
      <c r="I69" s="799"/>
      <c r="J69" s="799"/>
      <c r="K69" s="799"/>
      <c r="L69" s="799"/>
      <c r="M69" s="799"/>
      <c r="N69" s="799"/>
      <c r="O69" s="799"/>
      <c r="P69" s="799"/>
      <c r="Q69" s="799"/>
      <c r="R69" s="799"/>
      <c r="S69" s="799"/>
    </row>
    <row r="70" spans="1:34">
      <c r="A70" s="795"/>
      <c r="B70" s="497"/>
      <c r="C70" s="796"/>
      <c r="D70" s="851"/>
      <c r="E70" s="852"/>
      <c r="F70" s="796"/>
      <c r="G70" s="798"/>
      <c r="H70" s="799"/>
      <c r="I70" s="799"/>
      <c r="J70" s="799"/>
      <c r="K70" s="799"/>
      <c r="L70" s="799"/>
      <c r="M70" s="799"/>
      <c r="N70" s="799"/>
      <c r="O70" s="799"/>
      <c r="P70" s="799"/>
      <c r="Q70" s="799"/>
      <c r="R70" s="799"/>
      <c r="S70" s="799"/>
    </row>
    <row r="71" spans="1:34" ht="15.75" thickBot="1">
      <c r="A71" s="795"/>
      <c r="B71" s="497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</row>
    <row r="72" spans="1:34" s="2" customFormat="1" ht="16.5" thickTop="1" thickBot="1">
      <c r="A72" s="691" t="s">
        <v>476</v>
      </c>
      <c r="B72" s="692"/>
      <c r="C72" s="14"/>
      <c r="D72" s="169"/>
      <c r="E72" s="178"/>
      <c r="F72" s="14"/>
      <c r="G72" s="220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s="2" customFormat="1" ht="15.75" thickTop="1">
      <c r="A73" s="795"/>
      <c r="B73" s="497"/>
      <c r="C73" s="796"/>
      <c r="D73" s="851"/>
      <c r="E73" s="852"/>
      <c r="F73" s="796"/>
      <c r="G73" s="798"/>
      <c r="H73" s="799"/>
      <c r="I73" s="799"/>
      <c r="J73" s="799"/>
      <c r="K73" s="799"/>
      <c r="L73" s="799"/>
      <c r="M73" s="799"/>
      <c r="N73" s="799"/>
      <c r="O73" s="799"/>
      <c r="P73" s="799"/>
      <c r="Q73" s="799"/>
      <c r="R73" s="799"/>
      <c r="S73" s="799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s="2" customFormat="1">
      <c r="A74" s="795"/>
      <c r="B74" s="497"/>
      <c r="C74" s="796"/>
      <c r="D74" s="851"/>
      <c r="E74" s="852"/>
      <c r="F74" s="796"/>
      <c r="G74" s="798"/>
      <c r="H74" s="799"/>
      <c r="I74" s="799"/>
      <c r="J74" s="799"/>
      <c r="K74" s="799"/>
      <c r="L74" s="799"/>
      <c r="M74" s="799"/>
      <c r="N74" s="799"/>
      <c r="O74" s="799"/>
      <c r="P74" s="799"/>
      <c r="Q74" s="799"/>
      <c r="R74" s="799"/>
      <c r="S74" s="799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5.75" thickBot="1">
      <c r="A75" s="795"/>
      <c r="B75" s="497"/>
      <c r="C75" s="796"/>
      <c r="D75" s="851"/>
      <c r="E75" s="852"/>
      <c r="F75" s="796"/>
      <c r="G75" s="798"/>
      <c r="H75" s="799"/>
      <c r="I75" s="799"/>
      <c r="J75" s="799"/>
      <c r="K75" s="799"/>
      <c r="L75" s="799"/>
      <c r="M75" s="799"/>
      <c r="N75" s="799"/>
      <c r="O75" s="799"/>
      <c r="P75" s="799"/>
      <c r="Q75" s="799"/>
      <c r="R75" s="799"/>
      <c r="S75" s="799"/>
    </row>
    <row r="76" spans="1:34" s="2" customFormat="1" ht="16.5" thickTop="1" thickBot="1">
      <c r="A76" s="691" t="s">
        <v>477</v>
      </c>
      <c r="B76" s="692"/>
      <c r="C76" s="14"/>
      <c r="D76" s="169"/>
      <c r="E76" s="178"/>
      <c r="F76" s="14"/>
      <c r="G76" s="220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s="2" customFormat="1" ht="15.75" thickTop="1">
      <c r="A77" s="795"/>
      <c r="B77" s="497"/>
      <c r="C77" s="796"/>
      <c r="D77" s="851"/>
      <c r="E77" s="852"/>
      <c r="F77" s="796"/>
      <c r="G77" s="798"/>
      <c r="H77" s="799"/>
      <c r="I77" s="799"/>
      <c r="J77" s="799"/>
      <c r="K77" s="799"/>
      <c r="L77" s="799"/>
      <c r="M77" s="799"/>
      <c r="N77" s="799"/>
      <c r="O77" s="799"/>
      <c r="P77" s="799"/>
      <c r="Q77" s="799"/>
      <c r="R77" s="799"/>
      <c r="S77" s="799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s="2" customFormat="1">
      <c r="A78" s="1045"/>
      <c r="B78" s="497"/>
      <c r="C78" s="506"/>
      <c r="D78" s="507"/>
      <c r="E78" s="508"/>
      <c r="F78" s="506"/>
      <c r="G78" s="498"/>
      <c r="H78" s="1046"/>
      <c r="I78" s="1046"/>
      <c r="J78" s="1046"/>
      <c r="K78" s="1046"/>
      <c r="L78" s="1046"/>
      <c r="M78" s="1046"/>
      <c r="N78" s="1046"/>
      <c r="O78" s="1046"/>
      <c r="P78" s="1046"/>
      <c r="Q78" s="1046"/>
      <c r="R78" s="1046"/>
      <c r="S78" s="1046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s="2" customFormat="1" ht="15.75" thickBot="1">
      <c r="A79" s="1047"/>
      <c r="B79" s="501"/>
      <c r="C79" s="506"/>
      <c r="D79" s="507"/>
      <c r="E79" s="508"/>
      <c r="F79" s="506"/>
      <c r="G79" s="498"/>
      <c r="H79" s="1048"/>
      <c r="I79" s="1048"/>
      <c r="J79" s="1048"/>
      <c r="K79" s="1048"/>
      <c r="L79" s="1048"/>
      <c r="M79" s="1048"/>
      <c r="N79" s="1048"/>
      <c r="O79" s="1048"/>
      <c r="P79" s="1048"/>
      <c r="Q79" s="1048"/>
      <c r="R79" s="1048"/>
      <c r="S79" s="1048"/>
    </row>
    <row r="80" spans="1:34" s="2" customFormat="1" ht="16.5" thickTop="1" thickBot="1">
      <c r="A80" s="691" t="s">
        <v>478</v>
      </c>
      <c r="B80" s="692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5.75" thickTop="1">
      <c r="A81" s="800"/>
      <c r="B81" s="801"/>
      <c r="C81" s="796"/>
      <c r="D81" s="851"/>
      <c r="E81" s="852"/>
      <c r="F81" s="796"/>
      <c r="G81" s="798"/>
      <c r="H81" s="799"/>
      <c r="I81" s="799"/>
      <c r="J81" s="799"/>
      <c r="K81" s="799"/>
      <c r="L81" s="799"/>
      <c r="M81" s="799"/>
      <c r="N81" s="799"/>
      <c r="O81" s="799"/>
      <c r="P81" s="799"/>
      <c r="Q81" s="799"/>
      <c r="R81" s="799"/>
      <c r="S81" s="799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>
      <c r="A82" s="1047"/>
      <c r="B82" s="501"/>
      <c r="C82" s="506"/>
      <c r="D82" s="507"/>
      <c r="E82" s="508"/>
      <c r="F82" s="506"/>
      <c r="G82" s="498"/>
      <c r="H82" s="1049"/>
      <c r="I82" s="1049"/>
      <c r="J82" s="1049"/>
      <c r="K82" s="1049"/>
      <c r="L82" s="1049"/>
      <c r="M82" s="1049"/>
      <c r="N82" s="1049"/>
      <c r="O82" s="1049"/>
      <c r="P82" s="1049"/>
      <c r="Q82" s="1049"/>
      <c r="R82" s="1049"/>
      <c r="S82" s="1049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5.75" thickBot="1">
      <c r="A83" s="1047"/>
      <c r="B83" s="501"/>
      <c r="C83" s="506"/>
      <c r="D83" s="507"/>
      <c r="E83" s="508"/>
      <c r="F83" s="506"/>
      <c r="G83" s="498"/>
      <c r="H83" s="1049"/>
      <c r="I83" s="1049"/>
      <c r="J83" s="1049"/>
      <c r="K83" s="1049"/>
      <c r="L83" s="1049"/>
      <c r="M83" s="1049"/>
      <c r="N83" s="1049"/>
      <c r="O83" s="1049"/>
      <c r="P83" s="1049"/>
      <c r="Q83" s="1049"/>
      <c r="R83" s="1049"/>
      <c r="S83" s="1049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6.5" thickTop="1" thickBot="1">
      <c r="A84" s="691" t="s">
        <v>479</v>
      </c>
      <c r="B84" s="692"/>
      <c r="C84" s="14"/>
      <c r="D84" s="169"/>
      <c r="E84" s="178"/>
      <c r="F84" s="14"/>
      <c r="G84" s="220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 spans="1:34" ht="15.75" thickTop="1">
      <c r="A85" s="1045"/>
      <c r="B85" s="497" t="s">
        <v>480</v>
      </c>
      <c r="C85" s="506"/>
      <c r="D85" s="507"/>
      <c r="E85" s="508"/>
      <c r="F85" s="506"/>
      <c r="G85" s="498"/>
      <c r="H85" s="1049"/>
      <c r="I85" s="1049"/>
      <c r="J85" s="1049"/>
      <c r="K85" s="1049"/>
      <c r="L85" s="1049"/>
      <c r="M85" s="1049"/>
      <c r="N85" s="1049"/>
      <c r="O85" s="1049"/>
      <c r="P85" s="1049"/>
      <c r="Q85" s="1049"/>
      <c r="R85" s="1049"/>
      <c r="S85" s="1049"/>
    </row>
    <row r="86" spans="1:34">
      <c r="A86" s="1045"/>
      <c r="B86" s="497" t="s">
        <v>481</v>
      </c>
      <c r="C86" s="506"/>
      <c r="D86" s="507"/>
      <c r="E86" s="508"/>
      <c r="F86" s="506"/>
      <c r="G86" s="498"/>
      <c r="H86" s="1049"/>
      <c r="I86" s="1049"/>
      <c r="J86" s="1049"/>
      <c r="K86" s="1049"/>
      <c r="L86" s="1049"/>
      <c r="M86" s="1049"/>
      <c r="N86" s="1049"/>
      <c r="O86" s="1049"/>
      <c r="P86" s="1049"/>
      <c r="Q86" s="1049"/>
      <c r="R86" s="1049"/>
      <c r="S86" s="1049"/>
    </row>
    <row r="87" spans="1:34">
      <c r="A87" s="1045"/>
      <c r="B87" s="497" t="s">
        <v>482</v>
      </c>
      <c r="C87" s="506"/>
      <c r="D87" s="507"/>
      <c r="E87" s="508"/>
      <c r="F87" s="506"/>
      <c r="G87" s="498"/>
      <c r="H87" s="1049"/>
      <c r="I87" s="1049"/>
      <c r="J87" s="1049"/>
      <c r="K87" s="1049"/>
      <c r="L87" s="1049"/>
      <c r="M87" s="1049"/>
      <c r="N87" s="1049"/>
      <c r="O87" s="1049"/>
      <c r="P87" s="1049"/>
      <c r="Q87" s="1049"/>
      <c r="R87" s="1049"/>
      <c r="S87" s="1049"/>
    </row>
    <row r="88" spans="1:34">
      <c r="A88" s="1045"/>
      <c r="B88" s="497" t="s">
        <v>483</v>
      </c>
      <c r="C88" s="506"/>
      <c r="D88" s="507"/>
      <c r="E88" s="508"/>
      <c r="F88" s="506"/>
      <c r="G88" s="498"/>
      <c r="H88" s="1049"/>
      <c r="I88" s="1049"/>
      <c r="J88" s="1049"/>
      <c r="K88" s="1049"/>
      <c r="L88" s="1049"/>
      <c r="M88" s="1049"/>
      <c r="N88" s="1049"/>
      <c r="O88" s="1049"/>
      <c r="P88" s="1049"/>
      <c r="Q88" s="1049"/>
      <c r="R88" s="1049"/>
      <c r="S88" s="1049"/>
    </row>
    <row r="89" spans="1:34" ht="15.75" thickBot="1">
      <c r="A89" s="23"/>
      <c r="B89" s="7"/>
      <c r="C89" s="8"/>
      <c r="D89" s="166"/>
      <c r="E89" s="172"/>
      <c r="F89" s="8"/>
      <c r="G89" s="221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</row>
    <row r="90" spans="1:34" ht="16.5" thickTop="1" thickBot="1">
      <c r="A90" s="9" t="s">
        <v>484</v>
      </c>
      <c r="B90" s="10"/>
      <c r="C90" s="14"/>
      <c r="D90" s="169"/>
      <c r="E90" s="178"/>
      <c r="F90" s="14"/>
      <c r="G90" s="220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spans="1:34" ht="15.75" thickTop="1">
      <c r="A91" s="795"/>
      <c r="B91" s="802" t="s">
        <v>485</v>
      </c>
      <c r="C91" s="796"/>
      <c r="D91" s="851"/>
      <c r="E91" s="852"/>
      <c r="F91" s="796"/>
      <c r="G91" s="798"/>
      <c r="H91" s="803"/>
      <c r="I91" s="803"/>
      <c r="J91" s="803"/>
      <c r="K91" s="803"/>
      <c r="L91" s="803"/>
      <c r="M91" s="803"/>
      <c r="N91" s="803"/>
      <c r="O91" s="803"/>
      <c r="P91" s="803"/>
      <c r="Q91" s="803"/>
      <c r="R91" s="803"/>
      <c r="S91" s="803"/>
    </row>
    <row r="92" spans="1:34">
      <c r="A92" s="1045"/>
      <c r="B92" s="497" t="s">
        <v>486</v>
      </c>
      <c r="C92" s="506"/>
      <c r="D92" s="507"/>
      <c r="E92" s="508"/>
      <c r="F92" s="506"/>
      <c r="G92" s="498"/>
      <c r="H92" s="1050"/>
      <c r="I92" s="1050"/>
      <c r="J92" s="1050"/>
      <c r="K92" s="1050"/>
      <c r="L92" s="1050"/>
      <c r="M92" s="1050"/>
      <c r="N92" s="1050"/>
      <c r="O92" s="1050"/>
      <c r="P92" s="1050"/>
      <c r="Q92" s="1050"/>
      <c r="R92" s="1050"/>
      <c r="S92" s="1050"/>
    </row>
    <row r="93" spans="1:34" ht="15.75" thickBot="1">
      <c r="A93" s="1051"/>
      <c r="B93" s="866" t="s">
        <v>487</v>
      </c>
      <c r="C93" s="867"/>
      <c r="D93" s="1052"/>
      <c r="E93" s="1053"/>
      <c r="F93" s="867"/>
      <c r="G93" s="1054"/>
      <c r="H93" s="1055"/>
      <c r="I93" s="1055"/>
      <c r="J93" s="1055"/>
      <c r="K93" s="1055"/>
      <c r="L93" s="1055"/>
      <c r="M93" s="1055"/>
      <c r="N93" s="1055"/>
      <c r="O93" s="1055"/>
      <c r="P93" s="1055"/>
      <c r="Q93" s="1055"/>
      <c r="R93" s="1055"/>
      <c r="S93" s="1055"/>
    </row>
    <row r="94" spans="1:34" ht="16.5" thickTop="1" thickBot="1"/>
    <row r="95" spans="1:34" ht="16.5" thickTop="1" thickBot="1">
      <c r="A95" s="42" t="s">
        <v>488</v>
      </c>
      <c r="B95" s="44"/>
    </row>
    <row r="96" spans="1:34" ht="15.75" thickTop="1">
      <c r="A96" s="43" t="s">
        <v>444</v>
      </c>
      <c r="B96" s="1056"/>
    </row>
    <row r="97" spans="1:2">
      <c r="A97" s="1057" t="s">
        <v>446</v>
      </c>
      <c r="B97" s="1056"/>
    </row>
    <row r="98" spans="1:2">
      <c r="A98" s="1058" t="s">
        <v>448</v>
      </c>
      <c r="B98" s="1059"/>
    </row>
    <row r="99" spans="1:2">
      <c r="A99" s="1058" t="s">
        <v>450</v>
      </c>
      <c r="B99" s="1060"/>
    </row>
    <row r="100" spans="1:2" ht="15.75" thickBot="1">
      <c r="A100" s="1061" t="s">
        <v>489</v>
      </c>
      <c r="B100" s="1062">
        <f>$I$65</f>
        <v>992609</v>
      </c>
    </row>
    <row r="101" spans="1:2" ht="15.75" thickTop="1"/>
    <row r="102" spans="1:2">
      <c r="A102" s="45"/>
      <c r="B102" s="1" t="s">
        <v>490</v>
      </c>
    </row>
    <row r="103" spans="1:2">
      <c r="A103" s="46"/>
      <c r="B103" s="1" t="s">
        <v>491</v>
      </c>
    </row>
  </sheetData>
  <mergeCells count="35">
    <mergeCell ref="R5:S5"/>
    <mergeCell ref="H5:I5"/>
    <mergeCell ref="J5:K5"/>
    <mergeCell ref="L5:M5"/>
    <mergeCell ref="N5:O5"/>
    <mergeCell ref="P5:Q5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A68:B68"/>
    <mergeCell ref="A72:B72"/>
    <mergeCell ref="A76:B76"/>
    <mergeCell ref="A80:B80"/>
    <mergeCell ref="A84:B84"/>
  </mergeCells>
  <conditionalFormatting sqref="H11:H18 L11:L18 N11:N18 P11:P18 R11:R18 H20:H60 J20:J60 L20:L60 N20:N60 P20:P60 R20:R60">
    <cfRule type="cellIs" dxfId="11" priority="7" operator="equal">
      <formula>"X"</formula>
    </cfRule>
    <cfRule type="cellIs" dxfId="10" priority="8" operator="equal">
      <formula>"I"</formula>
    </cfRule>
  </conditionalFormatting>
  <conditionalFormatting sqref="J11:J18">
    <cfRule type="cellIs" dxfId="9" priority="5" operator="equal">
      <formula>"X"</formula>
    </cfRule>
    <cfRule type="cellIs" dxfId="8" priority="6" operator="equal">
      <formula>"I"</formula>
    </cfRule>
  </conditionalFormatting>
  <hyperlinks>
    <hyperlink ref="B4" location="'Cost Summary'!A1" display="BACK TO SUMMARY SHEET" xr:uid="{97F94F5D-924C-4D50-8841-F0A91BC3E7B5}"/>
  </hyperlinks>
  <pageMargins left="0.2" right="0.2" top="0.5" bottom="0.75" header="0.3" footer="0.3"/>
  <pageSetup paperSize="3" scale="78" fitToHeight="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A6B1-7826-4E3B-89C6-90051E09210B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B4" sqref="B4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73"/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1063" t="s">
        <v>445</v>
      </c>
      <c r="B6" s="497" t="s">
        <v>173</v>
      </c>
      <c r="C6" s="506"/>
      <c r="D6" s="507"/>
      <c r="E6" s="508"/>
      <c r="F6" s="506"/>
      <c r="G6" s="462" t="s">
        <v>446</v>
      </c>
      <c r="H6" s="1064"/>
      <c r="I6" s="676"/>
      <c r="J6" s="1064"/>
      <c r="K6" s="676"/>
      <c r="L6" s="1064"/>
      <c r="M6" s="676"/>
      <c r="N6" s="1064"/>
      <c r="O6" s="676"/>
      <c r="P6" s="1064"/>
      <c r="Q6" s="676"/>
      <c r="R6" s="1064"/>
      <c r="S6" s="676"/>
    </row>
    <row r="7" spans="1:19">
      <c r="A7" s="1063" t="s">
        <v>447</v>
      </c>
      <c r="B7" s="509" t="s">
        <v>172</v>
      </c>
      <c r="C7" s="506"/>
      <c r="D7" s="507"/>
      <c r="E7" s="508"/>
      <c r="F7" s="506"/>
      <c r="G7" s="510" t="s">
        <v>448</v>
      </c>
      <c r="H7" s="1065"/>
      <c r="I7" s="678"/>
      <c r="J7" s="1065"/>
      <c r="K7" s="678"/>
      <c r="L7" s="1065"/>
      <c r="M7" s="678"/>
      <c r="N7" s="1065"/>
      <c r="O7" s="678"/>
      <c r="P7" s="1065"/>
      <c r="Q7" s="678"/>
      <c r="R7" s="1065"/>
      <c r="S7" s="678"/>
    </row>
    <row r="8" spans="1:19">
      <c r="A8" s="1063" t="s">
        <v>449</v>
      </c>
      <c r="B8" s="511"/>
      <c r="C8" s="506"/>
      <c r="D8" s="507"/>
      <c r="E8" s="508"/>
      <c r="F8" s="506"/>
      <c r="G8" s="510" t="s">
        <v>450</v>
      </c>
      <c r="H8" s="1066"/>
      <c r="I8" s="680"/>
      <c r="J8" s="1066"/>
      <c r="K8" s="680"/>
      <c r="L8" s="1066"/>
      <c r="M8" s="680"/>
      <c r="N8" s="1066"/>
      <c r="O8" s="680"/>
      <c r="P8" s="1066"/>
      <c r="Q8" s="680"/>
      <c r="R8" s="1066"/>
      <c r="S8" s="680"/>
    </row>
    <row r="9" spans="1:19" ht="15.75" thickBot="1">
      <c r="A9" s="1067"/>
      <c r="B9" s="1068"/>
      <c r="C9" s="8"/>
      <c r="D9" s="166"/>
      <c r="E9" s="172"/>
      <c r="F9" s="1069"/>
      <c r="G9" s="1070" t="s">
        <v>451</v>
      </c>
      <c r="H9" s="1071">
        <f t="shared" ref="H9" si="0">I$55</f>
        <v>965407</v>
      </c>
      <c r="I9" s="1072"/>
      <c r="J9" s="1073">
        <f>K$55</f>
        <v>0</v>
      </c>
      <c r="K9" s="1074"/>
      <c r="L9" s="1071">
        <f t="shared" ref="L9" si="1">M$55</f>
        <v>0</v>
      </c>
      <c r="M9" s="1072"/>
      <c r="N9" s="1071">
        <f t="shared" ref="N9" si="2">O$55</f>
        <v>0</v>
      </c>
      <c r="O9" s="1072"/>
      <c r="P9" s="1071">
        <f t="shared" ref="P9" si="3">Q$55</f>
        <v>0</v>
      </c>
      <c r="Q9" s="1072"/>
      <c r="R9" s="1071">
        <f t="shared" ref="R9" si="4">S$55</f>
        <v>0</v>
      </c>
      <c r="S9" s="1072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991" t="s">
        <v>460</v>
      </c>
      <c r="C11" s="484"/>
      <c r="D11" s="507"/>
      <c r="E11" s="508"/>
      <c r="F11" s="506"/>
      <c r="G11" s="60"/>
      <c r="H11" s="1075"/>
      <c r="I11" s="183"/>
      <c r="J11" s="1075"/>
      <c r="K11" s="782"/>
      <c r="L11" s="1075"/>
      <c r="M11" s="783"/>
      <c r="N11" s="1075"/>
      <c r="O11" s="783"/>
      <c r="P11" s="1075"/>
      <c r="Q11" s="783"/>
      <c r="R11" s="1075"/>
      <c r="S11" s="783"/>
    </row>
    <row r="12" spans="1:19">
      <c r="A12" s="784"/>
      <c r="B12" s="1018" t="s">
        <v>461</v>
      </c>
      <c r="C12" s="506"/>
      <c r="D12" s="507"/>
      <c r="E12" s="508"/>
      <c r="F12" s="506"/>
      <c r="G12" s="60"/>
      <c r="H12" s="1075"/>
      <c r="I12" s="783"/>
      <c r="J12" s="1075"/>
      <c r="K12" s="782"/>
      <c r="L12" s="1075"/>
      <c r="M12" s="783"/>
      <c r="N12" s="1075"/>
      <c r="O12" s="783"/>
      <c r="P12" s="1075"/>
      <c r="Q12" s="783"/>
      <c r="R12" s="1075"/>
      <c r="S12" s="783"/>
    </row>
    <row r="13" spans="1:19">
      <c r="A13" s="1076"/>
      <c r="B13" s="786" t="s">
        <v>462</v>
      </c>
      <c r="C13" s="506"/>
      <c r="D13" s="507"/>
      <c r="E13" s="508"/>
      <c r="F13" s="506"/>
      <c r="G13" s="60"/>
      <c r="H13" s="1075"/>
      <c r="I13" s="783"/>
      <c r="J13" s="1075"/>
      <c r="K13" s="782"/>
      <c r="L13" s="1075"/>
      <c r="M13" s="783"/>
      <c r="N13" s="1075"/>
      <c r="O13" s="783"/>
      <c r="P13" s="1075"/>
      <c r="Q13" s="783"/>
      <c r="R13" s="1075"/>
      <c r="S13" s="783"/>
    </row>
    <row r="14" spans="1:19">
      <c r="A14" s="1076"/>
      <c r="B14" s="787" t="s">
        <v>463</v>
      </c>
      <c r="C14" s="506"/>
      <c r="D14" s="507"/>
      <c r="E14" s="508"/>
      <c r="F14" s="506"/>
      <c r="G14" s="60"/>
      <c r="H14" s="1075"/>
      <c r="I14" s="783"/>
      <c r="J14" s="1075"/>
      <c r="K14" s="782"/>
      <c r="L14" s="1075"/>
      <c r="M14" s="783"/>
      <c r="N14" s="1075"/>
      <c r="O14" s="783"/>
      <c r="P14" s="1075"/>
      <c r="Q14" s="783"/>
      <c r="R14" s="1075"/>
      <c r="S14" s="783"/>
    </row>
    <row r="15" spans="1:19">
      <c r="A15" s="1076"/>
      <c r="B15" s="787" t="s">
        <v>464</v>
      </c>
      <c r="C15" s="506"/>
      <c r="D15" s="507"/>
      <c r="E15" s="508"/>
      <c r="F15" s="506"/>
      <c r="G15" s="60"/>
      <c r="H15" s="1075"/>
      <c r="I15" s="782"/>
      <c r="J15" s="1075"/>
      <c r="K15" s="782"/>
      <c r="L15" s="1075"/>
      <c r="M15" s="782"/>
      <c r="N15" s="1075"/>
      <c r="O15" s="782"/>
      <c r="P15" s="1075"/>
      <c r="Q15" s="782"/>
      <c r="R15" s="1075"/>
      <c r="S15" s="782"/>
    </row>
    <row r="16" spans="1:19">
      <c r="A16" s="1076"/>
      <c r="B16" s="787" t="s">
        <v>465</v>
      </c>
      <c r="C16" s="506"/>
      <c r="D16" s="507"/>
      <c r="E16" s="508"/>
      <c r="F16" s="506"/>
      <c r="G16" s="60"/>
      <c r="H16" s="1075"/>
      <c r="I16" s="783"/>
      <c r="J16" s="1075"/>
      <c r="K16" s="782"/>
      <c r="L16" s="1075"/>
      <c r="M16" s="783"/>
      <c r="N16" s="1075"/>
      <c r="O16" s="783"/>
      <c r="P16" s="1075"/>
      <c r="Q16" s="783"/>
      <c r="R16" s="1075"/>
      <c r="S16" s="783"/>
    </row>
    <row r="17" spans="1:19">
      <c r="A17" s="1076"/>
      <c r="B17" s="787" t="s">
        <v>466</v>
      </c>
      <c r="C17" s="506"/>
      <c r="D17" s="507"/>
      <c r="E17" s="508"/>
      <c r="F17" s="506"/>
      <c r="G17" s="60"/>
      <c r="H17" s="1075"/>
      <c r="I17" s="783"/>
      <c r="J17" s="1075"/>
      <c r="K17" s="782"/>
      <c r="L17" s="1075"/>
      <c r="M17" s="783"/>
      <c r="N17" s="1075"/>
      <c r="O17" s="783"/>
      <c r="P17" s="1075"/>
      <c r="Q17" s="783"/>
      <c r="R17" s="1075"/>
      <c r="S17" s="783"/>
    </row>
    <row r="18" spans="1:19">
      <c r="A18" s="1076"/>
      <c r="B18" s="788" t="s">
        <v>467</v>
      </c>
      <c r="C18" s="506"/>
      <c r="D18" s="507"/>
      <c r="E18" s="508"/>
      <c r="F18" s="506"/>
      <c r="G18" s="60"/>
      <c r="H18" s="1075"/>
      <c r="I18" s="783"/>
      <c r="J18" s="1075"/>
      <c r="K18" s="782"/>
      <c r="L18" s="1075"/>
      <c r="M18" s="783"/>
      <c r="N18" s="1075"/>
      <c r="O18" s="783"/>
      <c r="P18" s="1075"/>
      <c r="Q18" s="783"/>
      <c r="R18" s="1075"/>
      <c r="S18" s="783"/>
    </row>
    <row r="19" spans="1:19">
      <c r="A19" s="1076"/>
      <c r="B19" s="789" t="s">
        <v>468</v>
      </c>
      <c r="C19" s="513"/>
      <c r="D19" s="514"/>
      <c r="E19" s="515"/>
      <c r="F19" s="516"/>
      <c r="G19" s="463"/>
      <c r="H19" s="1077"/>
      <c r="I19" s="791"/>
      <c r="J19" s="1077"/>
      <c r="K19" s="790"/>
      <c r="L19" s="1077"/>
      <c r="M19" s="791"/>
      <c r="N19" s="1077"/>
      <c r="O19" s="791"/>
      <c r="P19" s="1077"/>
      <c r="Q19" s="791"/>
      <c r="R19" s="1077"/>
      <c r="S19" s="791"/>
    </row>
    <row r="20" spans="1:19">
      <c r="A20" s="1076"/>
      <c r="B20" s="792"/>
      <c r="C20" s="506"/>
      <c r="D20" s="507"/>
      <c r="E20" s="508"/>
      <c r="F20" s="517"/>
      <c r="G20" s="60"/>
      <c r="H20" s="1075"/>
      <c r="I20" s="794"/>
      <c r="J20" s="1075"/>
      <c r="K20" s="793"/>
      <c r="L20" s="1075"/>
      <c r="M20" s="794"/>
      <c r="N20" s="1075"/>
      <c r="O20" s="794"/>
      <c r="P20" s="1075"/>
      <c r="Q20" s="794"/>
      <c r="R20" s="1075"/>
      <c r="S20" s="794"/>
    </row>
    <row r="21" spans="1:19">
      <c r="A21" s="1076"/>
      <c r="B21" s="928" t="s">
        <v>713</v>
      </c>
      <c r="C21" s="506"/>
      <c r="D21" s="507"/>
      <c r="E21" s="508"/>
      <c r="F21" s="517"/>
      <c r="G21" s="60"/>
      <c r="H21" s="1075"/>
      <c r="I21" s="794"/>
      <c r="J21" s="1075"/>
      <c r="K21" s="793"/>
      <c r="L21" s="1075"/>
      <c r="M21" s="794"/>
      <c r="N21" s="1075"/>
      <c r="O21" s="794"/>
      <c r="P21" s="1075"/>
      <c r="Q21" s="794"/>
      <c r="R21" s="1075"/>
      <c r="S21" s="794"/>
    </row>
    <row r="22" spans="1:19">
      <c r="A22" s="1076"/>
      <c r="B22" s="1078" t="s">
        <v>714</v>
      </c>
      <c r="C22" s="506"/>
      <c r="D22" s="507">
        <v>20235</v>
      </c>
      <c r="E22" s="508" t="s">
        <v>179</v>
      </c>
      <c r="F22" s="517">
        <v>25</v>
      </c>
      <c r="G22" s="315">
        <f t="shared" ref="G22:G49" si="5">ROUND(D22*F22,0)</f>
        <v>505875</v>
      </c>
      <c r="H22" s="1075"/>
      <c r="I22" s="793">
        <f>G22</f>
        <v>505875</v>
      </c>
      <c r="J22" s="1075"/>
      <c r="K22" s="793"/>
      <c r="L22" s="1075"/>
      <c r="M22" s="794"/>
      <c r="N22" s="1075"/>
      <c r="O22" s="794"/>
      <c r="P22" s="1075"/>
      <c r="Q22" s="794"/>
      <c r="R22" s="1075"/>
      <c r="S22" s="794"/>
    </row>
    <row r="23" spans="1:19">
      <c r="A23" s="1076"/>
      <c r="B23" s="1078" t="s">
        <v>715</v>
      </c>
      <c r="C23" s="506"/>
      <c r="D23" s="507">
        <f>12272+2404</f>
        <v>14676</v>
      </c>
      <c r="E23" s="508" t="s">
        <v>179</v>
      </c>
      <c r="F23" s="517">
        <v>22</v>
      </c>
      <c r="G23" s="315">
        <f t="shared" si="5"/>
        <v>322872</v>
      </c>
      <c r="H23" s="1075"/>
      <c r="I23" s="793">
        <f t="shared" ref="I23:I49" si="6">G23</f>
        <v>322872</v>
      </c>
      <c r="J23" s="1075"/>
      <c r="K23" s="793"/>
      <c r="L23" s="1075"/>
      <c r="M23" s="794"/>
      <c r="N23" s="1075"/>
      <c r="O23" s="794"/>
      <c r="P23" s="1075"/>
      <c r="Q23" s="794"/>
      <c r="R23" s="1075"/>
      <c r="S23" s="794"/>
    </row>
    <row r="24" spans="1:19">
      <c r="A24" s="1076"/>
      <c r="B24" s="1079"/>
      <c r="C24" s="506"/>
      <c r="D24" s="507"/>
      <c r="E24" s="508"/>
      <c r="F24" s="517"/>
      <c r="G24" s="315">
        <f t="shared" si="5"/>
        <v>0</v>
      </c>
      <c r="H24" s="1075"/>
      <c r="I24" s="793">
        <f t="shared" si="6"/>
        <v>0</v>
      </c>
      <c r="J24" s="1075"/>
      <c r="K24" s="793"/>
      <c r="L24" s="1075"/>
      <c r="M24" s="794"/>
      <c r="N24" s="1075"/>
      <c r="O24" s="794"/>
      <c r="P24" s="1075"/>
      <c r="Q24" s="794"/>
      <c r="R24" s="1075"/>
      <c r="S24" s="794"/>
    </row>
    <row r="25" spans="1:19">
      <c r="A25" s="1076"/>
      <c r="B25" s="1079" t="s">
        <v>492</v>
      </c>
      <c r="C25" s="506"/>
      <c r="D25" s="507"/>
      <c r="E25" s="508"/>
      <c r="F25" s="517"/>
      <c r="G25" s="315">
        <f t="shared" si="5"/>
        <v>0</v>
      </c>
      <c r="H25" s="1075"/>
      <c r="I25" s="793">
        <f t="shared" si="6"/>
        <v>0</v>
      </c>
      <c r="J25" s="1075"/>
      <c r="K25" s="793"/>
      <c r="L25" s="1075"/>
      <c r="M25" s="794"/>
      <c r="N25" s="1075"/>
      <c r="O25" s="794"/>
      <c r="P25" s="1075"/>
      <c r="Q25" s="794"/>
      <c r="R25" s="1075"/>
      <c r="S25" s="794"/>
    </row>
    <row r="26" spans="1:19">
      <c r="A26" s="1076"/>
      <c r="B26" s="1080" t="s">
        <v>716</v>
      </c>
      <c r="C26" s="506"/>
      <c r="D26" s="507">
        <v>6859</v>
      </c>
      <c r="E26" s="508" t="s">
        <v>179</v>
      </c>
      <c r="F26" s="517">
        <v>15</v>
      </c>
      <c r="G26" s="315">
        <f t="shared" si="5"/>
        <v>102885</v>
      </c>
      <c r="H26" s="1075"/>
      <c r="I26" s="793">
        <f t="shared" si="6"/>
        <v>102885</v>
      </c>
      <c r="J26" s="1075"/>
      <c r="K26" s="793"/>
      <c r="L26" s="1075"/>
      <c r="M26" s="794"/>
      <c r="N26" s="1075"/>
      <c r="O26" s="794"/>
      <c r="P26" s="1075"/>
      <c r="Q26" s="794"/>
      <c r="R26" s="1075"/>
      <c r="S26" s="794"/>
    </row>
    <row r="27" spans="1:19">
      <c r="A27" s="1076"/>
      <c r="B27" s="1078" t="s">
        <v>717</v>
      </c>
      <c r="C27" s="506"/>
      <c r="D27" s="507">
        <v>1351</v>
      </c>
      <c r="E27" s="508" t="s">
        <v>329</v>
      </c>
      <c r="F27" s="517">
        <v>25</v>
      </c>
      <c r="G27" s="315">
        <f t="shared" si="5"/>
        <v>33775</v>
      </c>
      <c r="H27" s="1075"/>
      <c r="I27" s="793">
        <f t="shared" si="6"/>
        <v>33775</v>
      </c>
      <c r="J27" s="1075"/>
      <c r="K27" s="793"/>
      <c r="L27" s="1075"/>
      <c r="M27" s="794"/>
      <c r="N27" s="1075"/>
      <c r="O27" s="794"/>
      <c r="P27" s="1075"/>
      <c r="Q27" s="794"/>
      <c r="R27" s="1075"/>
      <c r="S27" s="794"/>
    </row>
    <row r="28" spans="1:19">
      <c r="A28" s="1076"/>
      <c r="B28" s="1080"/>
      <c r="C28" s="506"/>
      <c r="D28" s="507"/>
      <c r="E28" s="508"/>
      <c r="F28" s="517"/>
      <c r="G28" s="315">
        <f t="shared" si="5"/>
        <v>0</v>
      </c>
      <c r="H28" s="1075"/>
      <c r="I28" s="793">
        <f t="shared" si="6"/>
        <v>0</v>
      </c>
      <c r="J28" s="1075"/>
      <c r="K28" s="793"/>
      <c r="L28" s="1075"/>
      <c r="M28" s="794"/>
      <c r="N28" s="1075"/>
      <c r="O28" s="794"/>
      <c r="P28" s="1075"/>
      <c r="Q28" s="794"/>
      <c r="R28" s="1075"/>
      <c r="S28" s="794"/>
    </row>
    <row r="29" spans="1:19">
      <c r="A29" s="1076"/>
      <c r="B29" s="1081"/>
      <c r="C29" s="506"/>
      <c r="D29" s="507"/>
      <c r="E29" s="508"/>
      <c r="F29" s="517"/>
      <c r="G29" s="315">
        <f t="shared" si="5"/>
        <v>0</v>
      </c>
      <c r="H29" s="1075"/>
      <c r="I29" s="793">
        <f t="shared" si="6"/>
        <v>0</v>
      </c>
      <c r="J29" s="1075"/>
      <c r="K29" s="793"/>
      <c r="L29" s="1075"/>
      <c r="M29" s="794"/>
      <c r="N29" s="1075"/>
      <c r="O29" s="794"/>
      <c r="P29" s="1075"/>
      <c r="Q29" s="794"/>
      <c r="R29" s="1075"/>
      <c r="S29" s="794"/>
    </row>
    <row r="30" spans="1:19">
      <c r="A30" s="1076"/>
      <c r="B30" s="1081"/>
      <c r="C30" s="506"/>
      <c r="D30" s="507"/>
      <c r="E30" s="508"/>
      <c r="F30" s="517"/>
      <c r="G30" s="315">
        <f t="shared" si="5"/>
        <v>0</v>
      </c>
      <c r="H30" s="1075"/>
      <c r="I30" s="793">
        <f t="shared" si="6"/>
        <v>0</v>
      </c>
      <c r="J30" s="1075"/>
      <c r="K30" s="793"/>
      <c r="L30" s="1075"/>
      <c r="M30" s="794"/>
      <c r="N30" s="1075"/>
      <c r="O30" s="794"/>
      <c r="P30" s="1075"/>
      <c r="Q30" s="794"/>
      <c r="R30" s="1075"/>
      <c r="S30" s="794"/>
    </row>
    <row r="31" spans="1:19">
      <c r="A31" s="1076"/>
      <c r="B31" s="1081"/>
      <c r="C31" s="506"/>
      <c r="D31" s="507"/>
      <c r="E31" s="508"/>
      <c r="F31" s="517"/>
      <c r="G31" s="315">
        <f t="shared" si="5"/>
        <v>0</v>
      </c>
      <c r="H31" s="1075"/>
      <c r="I31" s="793">
        <f t="shared" si="6"/>
        <v>0</v>
      </c>
      <c r="J31" s="1075"/>
      <c r="K31" s="793"/>
      <c r="L31" s="1075"/>
      <c r="M31" s="794"/>
      <c r="N31" s="1075"/>
      <c r="O31" s="794"/>
      <c r="P31" s="1075"/>
      <c r="Q31" s="794"/>
      <c r="R31" s="1075"/>
      <c r="S31" s="794"/>
    </row>
    <row r="32" spans="1:19">
      <c r="A32" s="1076"/>
      <c r="B32" s="1081"/>
      <c r="C32" s="506"/>
      <c r="D32" s="507"/>
      <c r="E32" s="508"/>
      <c r="F32" s="517"/>
      <c r="G32" s="315">
        <f t="shared" si="5"/>
        <v>0</v>
      </c>
      <c r="H32" s="1075"/>
      <c r="I32" s="793">
        <f t="shared" si="6"/>
        <v>0</v>
      </c>
      <c r="J32" s="1075"/>
      <c r="K32" s="793"/>
      <c r="L32" s="1075"/>
      <c r="M32" s="794"/>
      <c r="N32" s="1075"/>
      <c r="O32" s="794"/>
      <c r="P32" s="1075"/>
      <c r="Q32" s="794"/>
      <c r="R32" s="1075"/>
      <c r="S32" s="794"/>
    </row>
    <row r="33" spans="1:19">
      <c r="A33" s="1076"/>
      <c r="B33" s="1081"/>
      <c r="C33" s="506"/>
      <c r="D33" s="507"/>
      <c r="E33" s="508"/>
      <c r="F33" s="517"/>
      <c r="G33" s="315">
        <f t="shared" si="5"/>
        <v>0</v>
      </c>
      <c r="H33" s="1075"/>
      <c r="I33" s="793">
        <f t="shared" si="6"/>
        <v>0</v>
      </c>
      <c r="J33" s="1075"/>
      <c r="K33" s="793"/>
      <c r="L33" s="1075"/>
      <c r="M33" s="794"/>
      <c r="N33" s="1075"/>
      <c r="O33" s="794"/>
      <c r="P33" s="1075"/>
      <c r="Q33" s="794"/>
      <c r="R33" s="1075"/>
      <c r="S33" s="794"/>
    </row>
    <row r="34" spans="1:19">
      <c r="A34" s="1076"/>
      <c r="B34" s="1081"/>
      <c r="C34" s="506"/>
      <c r="D34" s="507"/>
      <c r="E34" s="508"/>
      <c r="F34" s="517"/>
      <c r="G34" s="315">
        <f t="shared" si="5"/>
        <v>0</v>
      </c>
      <c r="H34" s="1075"/>
      <c r="I34" s="793">
        <f t="shared" si="6"/>
        <v>0</v>
      </c>
      <c r="J34" s="1075"/>
      <c r="K34" s="793"/>
      <c r="L34" s="1075"/>
      <c r="M34" s="794"/>
      <c r="N34" s="1075"/>
      <c r="O34" s="794"/>
      <c r="P34" s="1075"/>
      <c r="Q34" s="794"/>
      <c r="R34" s="1075"/>
      <c r="S34" s="794"/>
    </row>
    <row r="35" spans="1:19">
      <c r="A35" s="1076"/>
      <c r="B35" s="792"/>
      <c r="C35" s="506"/>
      <c r="D35" s="507"/>
      <c r="E35" s="508"/>
      <c r="F35" s="517"/>
      <c r="G35" s="315">
        <f t="shared" si="5"/>
        <v>0</v>
      </c>
      <c r="H35" s="1075"/>
      <c r="I35" s="793">
        <f t="shared" si="6"/>
        <v>0</v>
      </c>
      <c r="J35" s="1075"/>
      <c r="K35" s="793"/>
      <c r="L35" s="1075"/>
      <c r="M35" s="794"/>
      <c r="N35" s="1075"/>
      <c r="O35" s="794"/>
      <c r="P35" s="1075"/>
      <c r="Q35" s="794"/>
      <c r="R35" s="1075"/>
      <c r="S35" s="794"/>
    </row>
    <row r="36" spans="1:19">
      <c r="A36" s="1076"/>
      <c r="B36" s="1082"/>
      <c r="C36" s="506"/>
      <c r="D36" s="507"/>
      <c r="E36" s="508"/>
      <c r="F36" s="517"/>
      <c r="G36" s="315">
        <f t="shared" si="5"/>
        <v>0</v>
      </c>
      <c r="H36" s="1075"/>
      <c r="I36" s="793">
        <f t="shared" si="6"/>
        <v>0</v>
      </c>
      <c r="J36" s="1075"/>
      <c r="K36" s="793"/>
      <c r="L36" s="1075"/>
      <c r="M36" s="794"/>
      <c r="N36" s="1075"/>
      <c r="O36" s="794"/>
      <c r="P36" s="1075"/>
      <c r="Q36" s="794"/>
      <c r="R36" s="1075"/>
      <c r="S36" s="794"/>
    </row>
    <row r="37" spans="1:19">
      <c r="A37" s="1076"/>
      <c r="B37" s="918"/>
      <c r="C37" s="506"/>
      <c r="D37" s="507"/>
      <c r="E37" s="508"/>
      <c r="F37" s="517"/>
      <c r="G37" s="315">
        <f t="shared" si="5"/>
        <v>0</v>
      </c>
      <c r="H37" s="1075"/>
      <c r="I37" s="793">
        <f t="shared" si="6"/>
        <v>0</v>
      </c>
      <c r="J37" s="1075"/>
      <c r="K37" s="793"/>
      <c r="L37" s="1075"/>
      <c r="M37" s="794"/>
      <c r="N37" s="1075"/>
      <c r="O37" s="794"/>
      <c r="P37" s="1075"/>
      <c r="Q37" s="794"/>
      <c r="R37" s="1075"/>
      <c r="S37" s="794"/>
    </row>
    <row r="38" spans="1:19">
      <c r="A38" s="1076"/>
      <c r="B38" s="792"/>
      <c r="C38" s="506"/>
      <c r="D38" s="507"/>
      <c r="E38" s="508"/>
      <c r="F38" s="517"/>
      <c r="G38" s="315">
        <f t="shared" si="5"/>
        <v>0</v>
      </c>
      <c r="H38" s="1075"/>
      <c r="I38" s="793">
        <f t="shared" si="6"/>
        <v>0</v>
      </c>
      <c r="J38" s="1075"/>
      <c r="K38" s="793"/>
      <c r="L38" s="1075"/>
      <c r="M38" s="794"/>
      <c r="N38" s="1075"/>
      <c r="O38" s="794"/>
      <c r="P38" s="1075"/>
      <c r="Q38" s="794"/>
      <c r="R38" s="1075"/>
      <c r="S38" s="794"/>
    </row>
    <row r="39" spans="1:19">
      <c r="A39" s="1076"/>
      <c r="B39" s="792"/>
      <c r="C39" s="506"/>
      <c r="D39" s="507"/>
      <c r="E39" s="508"/>
      <c r="F39" s="517"/>
      <c r="G39" s="315">
        <f t="shared" si="5"/>
        <v>0</v>
      </c>
      <c r="H39" s="1075"/>
      <c r="I39" s="793">
        <f t="shared" si="6"/>
        <v>0</v>
      </c>
      <c r="J39" s="1075"/>
      <c r="K39" s="793"/>
      <c r="L39" s="1075"/>
      <c r="M39" s="794"/>
      <c r="N39" s="1075"/>
      <c r="O39" s="794"/>
      <c r="P39" s="1075"/>
      <c r="Q39" s="794"/>
      <c r="R39" s="1075"/>
      <c r="S39" s="794"/>
    </row>
    <row r="40" spans="1:19">
      <c r="A40" s="1076"/>
      <c r="B40" s="918"/>
      <c r="C40" s="506"/>
      <c r="D40" s="507"/>
      <c r="E40" s="508"/>
      <c r="F40" s="517"/>
      <c r="G40" s="315">
        <f t="shared" ref="G40:G44" si="7">ROUND(D40*F40,0)</f>
        <v>0</v>
      </c>
      <c r="H40" s="1075"/>
      <c r="I40" s="793">
        <f t="shared" ref="I40:I44" si="8">G40</f>
        <v>0</v>
      </c>
      <c r="J40" s="1075"/>
      <c r="K40" s="793"/>
      <c r="L40" s="1075"/>
      <c r="M40" s="794"/>
      <c r="N40" s="1075"/>
      <c r="O40" s="794"/>
      <c r="P40" s="1075"/>
      <c r="Q40" s="794"/>
      <c r="R40" s="1075"/>
      <c r="S40" s="794"/>
    </row>
    <row r="41" spans="1:19">
      <c r="A41" s="1076"/>
      <c r="B41" s="918"/>
      <c r="C41" s="506"/>
      <c r="D41" s="507"/>
      <c r="E41" s="508"/>
      <c r="F41" s="517"/>
      <c r="G41" s="315">
        <f t="shared" si="7"/>
        <v>0</v>
      </c>
      <c r="H41" s="1075"/>
      <c r="I41" s="793">
        <f t="shared" si="8"/>
        <v>0</v>
      </c>
      <c r="J41" s="1075"/>
      <c r="K41" s="793"/>
      <c r="L41" s="1075"/>
      <c r="M41" s="794"/>
      <c r="N41" s="1075"/>
      <c r="O41" s="794"/>
      <c r="P41" s="1075"/>
      <c r="Q41" s="794"/>
      <c r="R41" s="1075"/>
      <c r="S41" s="794"/>
    </row>
    <row r="42" spans="1:19">
      <c r="A42" s="1076"/>
      <c r="B42" s="918"/>
      <c r="C42" s="506"/>
      <c r="D42" s="507"/>
      <c r="E42" s="508"/>
      <c r="F42" s="517"/>
      <c r="G42" s="315">
        <f t="shared" si="7"/>
        <v>0</v>
      </c>
      <c r="H42" s="1075"/>
      <c r="I42" s="793">
        <f t="shared" si="8"/>
        <v>0</v>
      </c>
      <c r="J42" s="1075"/>
      <c r="K42" s="793"/>
      <c r="L42" s="1075"/>
      <c r="M42" s="794"/>
      <c r="N42" s="1075"/>
      <c r="O42" s="794"/>
      <c r="P42" s="1075"/>
      <c r="Q42" s="794"/>
      <c r="R42" s="1075"/>
      <c r="S42" s="794"/>
    </row>
    <row r="43" spans="1:19">
      <c r="A43" s="1076"/>
      <c r="B43" s="918"/>
      <c r="C43" s="506"/>
      <c r="D43" s="507"/>
      <c r="E43" s="508"/>
      <c r="F43" s="517"/>
      <c r="G43" s="315">
        <f t="shared" si="7"/>
        <v>0</v>
      </c>
      <c r="H43" s="1075"/>
      <c r="I43" s="793">
        <f t="shared" si="8"/>
        <v>0</v>
      </c>
      <c r="J43" s="1075"/>
      <c r="K43" s="793"/>
      <c r="L43" s="1075"/>
      <c r="M43" s="794"/>
      <c r="N43" s="1075"/>
      <c r="O43" s="794"/>
      <c r="P43" s="1075"/>
      <c r="Q43" s="794"/>
      <c r="R43" s="1075"/>
      <c r="S43" s="794"/>
    </row>
    <row r="44" spans="1:19">
      <c r="A44" s="1076"/>
      <c r="B44" s="918"/>
      <c r="C44" s="506"/>
      <c r="D44" s="507"/>
      <c r="E44" s="508"/>
      <c r="F44" s="517"/>
      <c r="G44" s="315">
        <f t="shared" si="7"/>
        <v>0</v>
      </c>
      <c r="H44" s="1075"/>
      <c r="I44" s="793">
        <f t="shared" si="8"/>
        <v>0</v>
      </c>
      <c r="J44" s="1075"/>
      <c r="K44" s="793"/>
      <c r="L44" s="1075"/>
      <c r="M44" s="794"/>
      <c r="N44" s="1075"/>
      <c r="O44" s="794"/>
      <c r="P44" s="1075"/>
      <c r="Q44" s="794"/>
      <c r="R44" s="1075"/>
      <c r="S44" s="794"/>
    </row>
    <row r="45" spans="1:19">
      <c r="A45" s="1076"/>
      <c r="B45" s="918"/>
      <c r="C45" s="506"/>
      <c r="D45" s="507"/>
      <c r="E45" s="508"/>
      <c r="F45" s="517"/>
      <c r="G45" s="315">
        <f t="shared" si="5"/>
        <v>0</v>
      </c>
      <c r="H45" s="1075"/>
      <c r="I45" s="793">
        <f t="shared" si="6"/>
        <v>0</v>
      </c>
      <c r="J45" s="1075"/>
      <c r="K45" s="793"/>
      <c r="L45" s="1075"/>
      <c r="M45" s="794"/>
      <c r="N45" s="1075"/>
      <c r="O45" s="794"/>
      <c r="P45" s="1075"/>
      <c r="Q45" s="794"/>
      <c r="R45" s="1075"/>
      <c r="S45" s="794"/>
    </row>
    <row r="46" spans="1:19">
      <c r="A46" s="1076"/>
      <c r="B46" s="918"/>
      <c r="C46" s="506"/>
      <c r="D46" s="507"/>
      <c r="E46" s="508"/>
      <c r="F46" s="517"/>
      <c r="G46" s="315">
        <f t="shared" si="5"/>
        <v>0</v>
      </c>
      <c r="H46" s="1075"/>
      <c r="I46" s="793">
        <f t="shared" si="6"/>
        <v>0</v>
      </c>
      <c r="J46" s="1075"/>
      <c r="K46" s="793"/>
      <c r="L46" s="1075"/>
      <c r="M46" s="794"/>
      <c r="N46" s="1075"/>
      <c r="O46" s="794"/>
      <c r="P46" s="1075"/>
      <c r="Q46" s="794"/>
      <c r="R46" s="1075"/>
      <c r="S46" s="794"/>
    </row>
    <row r="47" spans="1:19">
      <c r="A47" s="1076"/>
      <c r="B47" s="1082"/>
      <c r="C47" s="506"/>
      <c r="D47" s="507"/>
      <c r="E47" s="508"/>
      <c r="F47" s="517"/>
      <c r="G47" s="315">
        <f t="shared" si="5"/>
        <v>0</v>
      </c>
      <c r="H47" s="1075"/>
      <c r="I47" s="793">
        <f t="shared" si="6"/>
        <v>0</v>
      </c>
      <c r="J47" s="1075"/>
      <c r="K47" s="793"/>
      <c r="L47" s="1075"/>
      <c r="M47" s="794"/>
      <c r="N47" s="1075"/>
      <c r="O47" s="794"/>
      <c r="P47" s="1075"/>
      <c r="Q47" s="794"/>
      <c r="R47" s="1075"/>
      <c r="S47" s="794"/>
    </row>
    <row r="48" spans="1:19">
      <c r="A48" s="1076"/>
      <c r="B48" s="918"/>
      <c r="C48" s="506"/>
      <c r="D48" s="507"/>
      <c r="E48" s="508"/>
      <c r="F48" s="517"/>
      <c r="G48" s="315">
        <f t="shared" si="5"/>
        <v>0</v>
      </c>
      <c r="H48" s="1075"/>
      <c r="I48" s="793">
        <f t="shared" si="6"/>
        <v>0</v>
      </c>
      <c r="J48" s="1075"/>
      <c r="K48" s="793"/>
      <c r="L48" s="1075"/>
      <c r="M48" s="794"/>
      <c r="N48" s="1075"/>
      <c r="O48" s="794"/>
      <c r="P48" s="1075"/>
      <c r="Q48" s="794"/>
      <c r="R48" s="1075"/>
      <c r="S48" s="794"/>
    </row>
    <row r="49" spans="1:34">
      <c r="A49" s="1076"/>
      <c r="B49" s="918"/>
      <c r="C49" s="506"/>
      <c r="D49" s="507"/>
      <c r="E49" s="508"/>
      <c r="F49" s="517"/>
      <c r="G49" s="315">
        <f t="shared" si="5"/>
        <v>0</v>
      </c>
      <c r="H49" s="1075"/>
      <c r="I49" s="793">
        <f t="shared" si="6"/>
        <v>0</v>
      </c>
      <c r="J49" s="1075"/>
      <c r="K49" s="793"/>
      <c r="L49" s="1075"/>
      <c r="M49" s="794"/>
      <c r="N49" s="1075"/>
      <c r="O49" s="794"/>
      <c r="P49" s="1075"/>
      <c r="Q49" s="794"/>
      <c r="R49" s="1075"/>
      <c r="S49" s="794"/>
    </row>
    <row r="50" spans="1:34" ht="15.75" thickBot="1">
      <c r="A50" s="1076"/>
      <c r="B50" s="1083"/>
      <c r="C50" s="491"/>
      <c r="D50" s="922"/>
      <c r="E50" s="508"/>
      <c r="F50" s="492"/>
      <c r="G50" s="315"/>
      <c r="H50" s="1075"/>
      <c r="I50" s="793"/>
      <c r="J50" s="1075"/>
      <c r="K50" s="793"/>
      <c r="L50" s="1075"/>
      <c r="M50" s="793"/>
      <c r="N50" s="1075"/>
      <c r="O50" s="793"/>
      <c r="P50" s="1075"/>
      <c r="Q50" s="793"/>
      <c r="R50" s="1075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SUBTOTAL(9,G22:G50)</f>
        <v>965407</v>
      </c>
      <c r="H51" s="21"/>
      <c r="I51" s="217">
        <f>SUBTOTAL(9,I22:I50)</f>
        <v>965407</v>
      </c>
      <c r="J51" s="21"/>
      <c r="K51" s="217">
        <f>SUBTOTAL(9,K22:K50)</f>
        <v>0</v>
      </c>
      <c r="L51" s="21"/>
      <c r="M51" s="217">
        <f>SUBTOTAL(9,M22:M50)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1084"/>
      <c r="B52" s="923" t="s">
        <v>471</v>
      </c>
      <c r="C52" s="493"/>
      <c r="D52" s="924"/>
      <c r="E52" s="925"/>
      <c r="F52" s="494"/>
      <c r="G52" s="901"/>
      <c r="H52" s="1085">
        <v>0</v>
      </c>
      <c r="I52" s="163"/>
      <c r="J52" s="1085">
        <v>0</v>
      </c>
      <c r="K52" s="163"/>
      <c r="L52" s="1085">
        <v>0</v>
      </c>
      <c r="M52" s="163"/>
      <c r="N52" s="1085">
        <v>0</v>
      </c>
      <c r="O52" s="163"/>
      <c r="P52" s="1085">
        <v>0</v>
      </c>
      <c r="Q52" s="163"/>
      <c r="R52" s="1085">
        <v>0</v>
      </c>
      <c r="S52" s="163"/>
    </row>
    <row r="53" spans="1:34">
      <c r="A53" s="1084"/>
      <c r="B53" s="923" t="s">
        <v>472</v>
      </c>
      <c r="C53" s="493"/>
      <c r="D53" s="924"/>
      <c r="E53" s="925"/>
      <c r="F53" s="494"/>
      <c r="G53" s="901">
        <f>F52*G51</f>
        <v>0</v>
      </c>
      <c r="H53" s="1086"/>
      <c r="I53" s="1087">
        <f>H52*I51</f>
        <v>0</v>
      </c>
      <c r="J53" s="1086"/>
      <c r="K53" s="1087">
        <f>J52*K51</f>
        <v>0</v>
      </c>
      <c r="L53" s="1086"/>
      <c r="M53" s="1087">
        <f>L52*M51</f>
        <v>0</v>
      </c>
      <c r="N53" s="1086"/>
      <c r="O53" s="1087">
        <f>N52*O51</f>
        <v>0</v>
      </c>
      <c r="P53" s="1086"/>
      <c r="Q53" s="1087">
        <f>P52*Q51</f>
        <v>0</v>
      </c>
      <c r="R53" s="1086"/>
      <c r="S53" s="1087">
        <f>R52*S51</f>
        <v>0</v>
      </c>
    </row>
    <row r="54" spans="1:34">
      <c r="A54" s="1084"/>
      <c r="B54" s="923"/>
      <c r="C54" s="493"/>
      <c r="D54" s="924"/>
      <c r="E54" s="925"/>
      <c r="F54" s="494"/>
      <c r="G54" s="901"/>
      <c r="H54" s="1086"/>
      <c r="I54" s="1087"/>
      <c r="J54" s="1086"/>
      <c r="K54" s="1087"/>
      <c r="L54" s="1086"/>
      <c r="M54" s="1087"/>
      <c r="N54" s="1086"/>
      <c r="O54" s="1087"/>
      <c r="P54" s="1086"/>
      <c r="Q54" s="1087"/>
      <c r="R54" s="1086"/>
      <c r="S54" s="1087"/>
    </row>
    <row r="55" spans="1:34">
      <c r="A55" s="1084"/>
      <c r="B55" s="923" t="s">
        <v>473</v>
      </c>
      <c r="C55" s="493"/>
      <c r="D55" s="924"/>
      <c r="E55" s="925"/>
      <c r="F55" s="494"/>
      <c r="G55" s="901">
        <f>SUM(G51:G53)</f>
        <v>965407</v>
      </c>
      <c r="H55" s="1088"/>
      <c r="I55" s="1087">
        <f>SUM(I51:I53)</f>
        <v>965407</v>
      </c>
      <c r="J55" s="1088"/>
      <c r="K55" s="1087">
        <f>SUM(K51:K53)</f>
        <v>0</v>
      </c>
      <c r="L55" s="1088"/>
      <c r="M55" s="1087">
        <f>SUM(M51:M53)</f>
        <v>0</v>
      </c>
      <c r="N55" s="1088"/>
      <c r="O55" s="1087">
        <f>SUM(O51:O53)</f>
        <v>0</v>
      </c>
      <c r="P55" s="1088"/>
      <c r="Q55" s="1087">
        <f>SUM(Q51:Q53)</f>
        <v>0</v>
      </c>
      <c r="R55" s="1088"/>
      <c r="S55" s="1087">
        <f>SUM(S51:S53)</f>
        <v>0</v>
      </c>
    </row>
    <row r="56" spans="1:34">
      <c r="A56" s="1084"/>
      <c r="B56" s="495" t="s">
        <v>474</v>
      </c>
      <c r="C56" s="493"/>
      <c r="D56" s="924"/>
      <c r="E56" s="925"/>
      <c r="F56" s="495"/>
      <c r="G56" s="902">
        <f>G55/'Area Calculations'!$G$5</f>
        <v>2.4797070812667119</v>
      </c>
      <c r="H56" s="1089"/>
      <c r="I56" s="1090">
        <f>I55/'Area Calculations'!$G$5</f>
        <v>2.4797070812667119</v>
      </c>
      <c r="J56" s="1089"/>
      <c r="K56" s="1090">
        <f>K55/'Area Calculations'!$G$5</f>
        <v>0</v>
      </c>
      <c r="L56" s="1089"/>
      <c r="M56" s="1090">
        <f>M55/'Area Calculations'!$G$5</f>
        <v>0</v>
      </c>
      <c r="N56" s="1089"/>
      <c r="O56" s="1090">
        <f>O55/'Area Calculations'!$G$5</f>
        <v>0</v>
      </c>
      <c r="P56" s="1089"/>
      <c r="Q56" s="1090">
        <f>Q55/'Area Calculations'!$G$5</f>
        <v>0</v>
      </c>
      <c r="R56" s="1091"/>
      <c r="S56" s="1090">
        <f>S55/'Area Calculations'!$G$5</f>
        <v>0</v>
      </c>
    </row>
    <row r="57" spans="1:34" ht="15.75" thickBot="1">
      <c r="A57" s="1084"/>
      <c r="B57" s="496"/>
      <c r="C57" s="493"/>
      <c r="D57" s="924"/>
      <c r="E57" s="925"/>
      <c r="F57" s="494"/>
      <c r="G57" s="464"/>
      <c r="H57" s="1092"/>
      <c r="I57" s="1093"/>
      <c r="J57" s="1092"/>
      <c r="K57" s="1093"/>
      <c r="L57" s="1092"/>
      <c r="M57" s="1092"/>
      <c r="N57" s="1092"/>
      <c r="O57" s="1092"/>
      <c r="P57" s="1092"/>
      <c r="Q57" s="1092"/>
      <c r="R57" s="1092"/>
      <c r="S57" s="1092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1094"/>
      <c r="B68" s="497"/>
      <c r="C68" s="506"/>
      <c r="D68" s="507"/>
      <c r="E68" s="508"/>
      <c r="F68" s="506"/>
      <c r="G68" s="498"/>
      <c r="H68" s="1095"/>
      <c r="I68" s="1095"/>
      <c r="J68" s="1095"/>
      <c r="K68" s="1095"/>
      <c r="L68" s="1095"/>
      <c r="M68" s="1095"/>
      <c r="N68" s="1095"/>
      <c r="O68" s="1095"/>
      <c r="P68" s="1095"/>
      <c r="Q68" s="1095"/>
      <c r="R68" s="1095"/>
      <c r="S68" s="1095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1096"/>
      <c r="B69" s="501"/>
      <c r="C69" s="506"/>
      <c r="D69" s="507"/>
      <c r="E69" s="508"/>
      <c r="F69" s="506"/>
      <c r="G69" s="498"/>
      <c r="H69" s="1097"/>
      <c r="I69" s="1097"/>
      <c r="J69" s="1097"/>
      <c r="K69" s="1097"/>
      <c r="L69" s="1097"/>
      <c r="M69" s="1097"/>
      <c r="N69" s="1097"/>
      <c r="O69" s="1097"/>
      <c r="P69" s="1097"/>
      <c r="Q69" s="1097"/>
      <c r="R69" s="1097"/>
      <c r="S69" s="1097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1096"/>
      <c r="B72" s="501"/>
      <c r="C72" s="506"/>
      <c r="D72" s="507"/>
      <c r="E72" s="508"/>
      <c r="F72" s="506"/>
      <c r="G72" s="498"/>
      <c r="H72" s="1098"/>
      <c r="I72" s="1098"/>
      <c r="J72" s="1098"/>
      <c r="K72" s="1098"/>
      <c r="L72" s="1098"/>
      <c r="M72" s="1098"/>
      <c r="N72" s="1098"/>
      <c r="O72" s="1098"/>
      <c r="P72" s="1098"/>
      <c r="Q72" s="1098"/>
      <c r="R72" s="1098"/>
      <c r="S72" s="1098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1096"/>
      <c r="B73" s="501"/>
      <c r="C73" s="506"/>
      <c r="D73" s="507"/>
      <c r="E73" s="508"/>
      <c r="F73" s="506"/>
      <c r="G73" s="498"/>
      <c r="H73" s="1098"/>
      <c r="I73" s="1098"/>
      <c r="J73" s="1098"/>
      <c r="K73" s="1098"/>
      <c r="L73" s="1098"/>
      <c r="M73" s="1098"/>
      <c r="N73" s="1098"/>
      <c r="O73" s="1098"/>
      <c r="P73" s="1098"/>
      <c r="Q73" s="1098"/>
      <c r="R73" s="1098"/>
      <c r="S73" s="1098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1094"/>
      <c r="B75" s="497" t="s">
        <v>480</v>
      </c>
      <c r="C75" s="506"/>
      <c r="D75" s="507"/>
      <c r="E75" s="508"/>
      <c r="F75" s="506"/>
      <c r="G75" s="498"/>
      <c r="H75" s="1098"/>
      <c r="I75" s="1098"/>
      <c r="J75" s="1098"/>
      <c r="K75" s="1098"/>
      <c r="L75" s="1098"/>
      <c r="M75" s="1098"/>
      <c r="N75" s="1098"/>
      <c r="O75" s="1098"/>
      <c r="P75" s="1098"/>
      <c r="Q75" s="1098"/>
      <c r="R75" s="1098"/>
      <c r="S75" s="1098"/>
    </row>
    <row r="76" spans="1:34">
      <c r="A76" s="1094"/>
      <c r="B76" s="497" t="s">
        <v>481</v>
      </c>
      <c r="C76" s="506"/>
      <c r="D76" s="507"/>
      <c r="E76" s="508"/>
      <c r="F76" s="506"/>
      <c r="G76" s="498"/>
      <c r="H76" s="1098"/>
      <c r="I76" s="1098"/>
      <c r="J76" s="1098"/>
      <c r="K76" s="1098"/>
      <c r="L76" s="1098"/>
      <c r="M76" s="1098"/>
      <c r="N76" s="1098"/>
      <c r="O76" s="1098"/>
      <c r="P76" s="1098"/>
      <c r="Q76" s="1098"/>
      <c r="R76" s="1098"/>
      <c r="S76" s="1098"/>
    </row>
    <row r="77" spans="1:34">
      <c r="A77" s="1094"/>
      <c r="B77" s="497" t="s">
        <v>482</v>
      </c>
      <c r="C77" s="506"/>
      <c r="D77" s="507"/>
      <c r="E77" s="508"/>
      <c r="F77" s="506"/>
      <c r="G77" s="498"/>
      <c r="H77" s="1098"/>
      <c r="I77" s="1098"/>
      <c r="J77" s="1098"/>
      <c r="K77" s="1098"/>
      <c r="L77" s="1098"/>
      <c r="M77" s="1098"/>
      <c r="N77" s="1098"/>
      <c r="O77" s="1098"/>
      <c r="P77" s="1098"/>
      <c r="Q77" s="1098"/>
      <c r="R77" s="1098"/>
      <c r="S77" s="1098"/>
    </row>
    <row r="78" spans="1:34">
      <c r="A78" s="1094"/>
      <c r="B78" s="497" t="s">
        <v>483</v>
      </c>
      <c r="C78" s="506"/>
      <c r="D78" s="507"/>
      <c r="E78" s="508"/>
      <c r="F78" s="506"/>
      <c r="G78" s="498"/>
      <c r="H78" s="1098"/>
      <c r="I78" s="1098"/>
      <c r="J78" s="1098"/>
      <c r="K78" s="1098"/>
      <c r="L78" s="1098"/>
      <c r="M78" s="1098"/>
      <c r="N78" s="1098"/>
      <c r="O78" s="1098"/>
      <c r="P78" s="1098"/>
      <c r="Q78" s="1098"/>
      <c r="R78" s="1098"/>
      <c r="S78" s="1098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1094"/>
      <c r="B82" s="497" t="s">
        <v>486</v>
      </c>
      <c r="C82" s="506"/>
      <c r="D82" s="507"/>
      <c r="E82" s="508"/>
      <c r="F82" s="506"/>
      <c r="G82" s="498"/>
      <c r="H82" s="1099"/>
      <c r="I82" s="1099"/>
      <c r="J82" s="1099"/>
      <c r="K82" s="1099"/>
      <c r="L82" s="1099"/>
      <c r="M82" s="1099"/>
      <c r="N82" s="1099"/>
      <c r="O82" s="1099"/>
      <c r="P82" s="1099"/>
      <c r="Q82" s="1099"/>
      <c r="R82" s="1099"/>
      <c r="S82" s="1099"/>
    </row>
    <row r="83" spans="1:19" ht="15.75" thickBot="1">
      <c r="A83" s="1100"/>
      <c r="B83" s="1101" t="s">
        <v>487</v>
      </c>
      <c r="C83" s="1102"/>
      <c r="D83" s="1103"/>
      <c r="E83" s="1104"/>
      <c r="F83" s="1102"/>
      <c r="G83" s="1105"/>
      <c r="H83" s="1106"/>
      <c r="I83" s="1106"/>
      <c r="J83" s="1106"/>
      <c r="K83" s="1106"/>
      <c r="L83" s="1106"/>
      <c r="M83" s="1106"/>
      <c r="N83" s="1106"/>
      <c r="O83" s="1106"/>
      <c r="P83" s="1106"/>
      <c r="Q83" s="1106"/>
      <c r="R83" s="1106"/>
      <c r="S83" s="1106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1107"/>
    </row>
    <row r="87" spans="1:19">
      <c r="A87" s="1108" t="s">
        <v>446</v>
      </c>
      <c r="B87" s="1107"/>
    </row>
    <row r="88" spans="1:19">
      <c r="A88" s="1109" t="s">
        <v>448</v>
      </c>
      <c r="B88" s="1110"/>
    </row>
    <row r="89" spans="1:19">
      <c r="A89" s="1109" t="s">
        <v>450</v>
      </c>
      <c r="B89" s="1111"/>
    </row>
    <row r="90" spans="1:19" s="2" customFormat="1" ht="15.75" thickBot="1">
      <c r="A90" s="1112" t="s">
        <v>489</v>
      </c>
      <c r="B90" s="1113">
        <f>$I$55</f>
        <v>965407</v>
      </c>
      <c r="D90" s="164"/>
      <c r="E90" s="59"/>
    </row>
    <row r="91" spans="1:19" s="2" customFormat="1" ht="15.75" thickTop="1">
      <c r="A91"/>
      <c r="B91" s="1"/>
      <c r="D91" s="164"/>
      <c r="E91" s="59"/>
    </row>
    <row r="92" spans="1:19" s="2" customFormat="1">
      <c r="A92" s="45"/>
      <c r="B92" s="1" t="s">
        <v>490</v>
      </c>
      <c r="D92" s="164"/>
      <c r="E92" s="59"/>
    </row>
    <row r="93" spans="1:19" s="2" customFormat="1">
      <c r="A93" s="46"/>
      <c r="B93" s="1" t="s">
        <v>491</v>
      </c>
      <c r="D93" s="164"/>
      <c r="E93" s="59"/>
    </row>
  </sheetData>
  <mergeCells count="35">
    <mergeCell ref="R5:S5"/>
    <mergeCell ref="H5:I5"/>
    <mergeCell ref="J5:K5"/>
    <mergeCell ref="L5:M5"/>
    <mergeCell ref="N5:O5"/>
    <mergeCell ref="P5:Q5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A58:B58"/>
    <mergeCell ref="A62:B62"/>
    <mergeCell ref="A66:B66"/>
    <mergeCell ref="A70:B70"/>
    <mergeCell ref="A74:B74"/>
  </mergeCells>
  <conditionalFormatting sqref="H11:H18 L11:L18 N11:N18 P11:P18 R11:R18 H20:H50 J20:J50 L20:L50 N20:N50 P20:P50 R20:R50">
    <cfRule type="cellIs" dxfId="7" priority="3" operator="equal">
      <formula>"X"</formula>
    </cfRule>
    <cfRule type="cellIs" dxfId="6" priority="4" operator="equal">
      <formula>"I"</formula>
    </cfRule>
  </conditionalFormatting>
  <conditionalFormatting sqref="J11:J18">
    <cfRule type="cellIs" dxfId="5" priority="1" operator="equal">
      <formula>"X"</formula>
    </cfRule>
    <cfRule type="cellIs" dxfId="4" priority="2" operator="equal">
      <formula>"I"</formula>
    </cfRule>
  </conditionalFormatting>
  <hyperlinks>
    <hyperlink ref="B4" location="'Cost Summary'!A1" display="BACK TO SUMMARY SHEET" xr:uid="{C83A5E1D-DC3C-4BFA-B0DC-C5591719AC85}"/>
  </hyperlinks>
  <pageMargins left="0.2" right="0.2" top="0.5" bottom="0.75" header="0.3" footer="0.3"/>
  <pageSetup paperSize="3" scale="78" fitToHeight="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9CD5-8D01-4B8F-ABDB-2F3118049EA4}">
  <sheetPr>
    <tabColor rgb="FFFFFF00"/>
    <pageSetUpPr fitToPage="1"/>
  </sheetPr>
  <dimension ref="A1:AH93"/>
  <sheetViews>
    <sheetView zoomScale="90" zoomScaleNormal="90" workbookViewId="0">
      <pane ySplit="10" topLeftCell="A11" activePane="bottomLeft" state="frozen"/>
      <selection pane="bottomLeft" activeCell="F26" sqref="F26"/>
      <selection activeCell="B4" sqref="B4"/>
    </sheetView>
  </sheetViews>
  <sheetFormatPr defaultRowHeight="15"/>
  <cols>
    <col min="1" max="1" width="10.7109375" customWidth="1"/>
    <col min="2" max="2" width="70.7109375" style="1" customWidth="1"/>
    <col min="3" max="3" width="10.85546875" style="2" hidden="1" customWidth="1"/>
    <col min="4" max="4" width="15.7109375" style="164" customWidth="1"/>
    <col min="5" max="5" width="7.5703125" style="59" customWidth="1"/>
    <col min="6" max="6" width="16.42578125" style="2" bestFit="1" customWidth="1"/>
    <col min="7" max="7" width="15.28515625" style="2" bestFit="1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179"/>
      <c r="G1" s="39" t="s">
        <v>436</v>
      </c>
    </row>
    <row r="2" spans="1:19">
      <c r="F2" s="180" t="s">
        <v>437</v>
      </c>
      <c r="G2" s="39" t="s">
        <v>438</v>
      </c>
    </row>
    <row r="3" spans="1:19">
      <c r="F3" s="181" t="s">
        <v>439</v>
      </c>
      <c r="G3" s="39" t="s">
        <v>440</v>
      </c>
    </row>
    <row r="4" spans="1:19" ht="15.75" thickBot="1">
      <c r="B4" s="182" t="s">
        <v>441</v>
      </c>
      <c r="F4" s="170"/>
      <c r="G4" s="2" t="s">
        <v>442</v>
      </c>
    </row>
    <row r="5" spans="1:19" ht="15.75" thickTop="1">
      <c r="A5" s="3" t="s">
        <v>443</v>
      </c>
      <c r="B5" s="4" t="str">
        <f>'Area Calculations'!B4</f>
        <v>Bourbon Hotel Orlando</v>
      </c>
      <c r="C5" s="5"/>
      <c r="D5" s="165"/>
      <c r="E5" s="171"/>
      <c r="F5" s="5"/>
      <c r="G5" s="6" t="s">
        <v>444</v>
      </c>
      <c r="H5" s="673"/>
      <c r="I5" s="674"/>
      <c r="J5" s="673"/>
      <c r="K5" s="674"/>
      <c r="L5" s="673"/>
      <c r="M5" s="674"/>
      <c r="N5" s="673"/>
      <c r="O5" s="674"/>
      <c r="P5" s="673"/>
      <c r="Q5" s="674"/>
      <c r="R5" s="673"/>
      <c r="S5" s="674"/>
    </row>
    <row r="6" spans="1:19">
      <c r="A6" s="1114" t="s">
        <v>445</v>
      </c>
      <c r="B6" s="497" t="s">
        <v>718</v>
      </c>
      <c r="C6" s="506"/>
      <c r="D6" s="507"/>
      <c r="E6" s="508"/>
      <c r="F6" s="506"/>
      <c r="G6" s="462" t="s">
        <v>446</v>
      </c>
      <c r="H6" s="1115"/>
      <c r="I6" s="676"/>
      <c r="J6" s="1115"/>
      <c r="K6" s="676"/>
      <c r="L6" s="1115"/>
      <c r="M6" s="676"/>
      <c r="N6" s="1115"/>
      <c r="O6" s="676"/>
      <c r="P6" s="1115"/>
      <c r="Q6" s="676"/>
      <c r="R6" s="1115"/>
      <c r="S6" s="676"/>
    </row>
    <row r="7" spans="1:19">
      <c r="A7" s="1114" t="s">
        <v>447</v>
      </c>
      <c r="B7" s="509" t="s">
        <v>174</v>
      </c>
      <c r="C7" s="506"/>
      <c r="D7" s="507"/>
      <c r="E7" s="508"/>
      <c r="F7" s="506"/>
      <c r="G7" s="510" t="s">
        <v>448</v>
      </c>
      <c r="H7" s="1116"/>
      <c r="I7" s="678"/>
      <c r="J7" s="1116"/>
      <c r="K7" s="678"/>
      <c r="L7" s="1116"/>
      <c r="M7" s="678"/>
      <c r="N7" s="1116"/>
      <c r="O7" s="678"/>
      <c r="P7" s="1116"/>
      <c r="Q7" s="678"/>
      <c r="R7" s="1116"/>
      <c r="S7" s="678"/>
    </row>
    <row r="8" spans="1:19">
      <c r="A8" s="1114" t="s">
        <v>449</v>
      </c>
      <c r="B8" s="511"/>
      <c r="C8" s="506"/>
      <c r="D8" s="507"/>
      <c r="E8" s="508"/>
      <c r="F8" s="506"/>
      <c r="G8" s="510" t="s">
        <v>450</v>
      </c>
      <c r="H8" s="1117"/>
      <c r="I8" s="680"/>
      <c r="J8" s="1117"/>
      <c r="K8" s="680"/>
      <c r="L8" s="1117"/>
      <c r="M8" s="680"/>
      <c r="N8" s="1117"/>
      <c r="O8" s="680"/>
      <c r="P8" s="1117"/>
      <c r="Q8" s="680"/>
      <c r="R8" s="1117"/>
      <c r="S8" s="680"/>
    </row>
    <row r="9" spans="1:19" ht="15.75" thickBot="1">
      <c r="A9" s="1118"/>
      <c r="B9" s="1101"/>
      <c r="C9" s="8"/>
      <c r="D9" s="166"/>
      <c r="E9" s="172"/>
      <c r="F9" s="1102"/>
      <c r="G9" s="1119" t="s">
        <v>451</v>
      </c>
      <c r="H9" s="1120">
        <f t="shared" ref="H9" si="0">I$55</f>
        <v>594475</v>
      </c>
      <c r="I9" s="1121"/>
      <c r="J9" s="1122">
        <f>K$55</f>
        <v>0</v>
      </c>
      <c r="K9" s="1123"/>
      <c r="L9" s="1120">
        <f t="shared" ref="L9" si="1">M$55</f>
        <v>0</v>
      </c>
      <c r="M9" s="1121"/>
      <c r="N9" s="1120">
        <f t="shared" ref="N9" si="2">O$55</f>
        <v>0</v>
      </c>
      <c r="O9" s="1121"/>
      <c r="P9" s="1120">
        <f t="shared" ref="P9" si="3">Q$55</f>
        <v>0</v>
      </c>
      <c r="Q9" s="1121"/>
      <c r="R9" s="1120">
        <f t="shared" ref="R9" si="4">S$55</f>
        <v>0</v>
      </c>
      <c r="S9" s="1121"/>
    </row>
    <row r="10" spans="1:19" s="176" customFormat="1" ht="31.5" thickTop="1" thickBot="1">
      <c r="A10" s="159" t="s">
        <v>452</v>
      </c>
      <c r="B10" s="173"/>
      <c r="C10" s="174" t="s">
        <v>453</v>
      </c>
      <c r="D10" s="167" t="s">
        <v>454</v>
      </c>
      <c r="E10" s="174" t="s">
        <v>455</v>
      </c>
      <c r="F10" s="174" t="s">
        <v>456</v>
      </c>
      <c r="G10" s="175" t="s">
        <v>457</v>
      </c>
      <c r="H10" s="160" t="s">
        <v>458</v>
      </c>
      <c r="I10" s="160" t="s">
        <v>459</v>
      </c>
      <c r="J10" s="160" t="s">
        <v>458</v>
      </c>
      <c r="K10" s="160" t="s">
        <v>459</v>
      </c>
      <c r="L10" s="160" t="s">
        <v>458</v>
      </c>
      <c r="M10" s="160" t="s">
        <v>459</v>
      </c>
      <c r="N10" s="160" t="s">
        <v>458</v>
      </c>
      <c r="O10" s="160" t="s">
        <v>459</v>
      </c>
      <c r="P10" s="160" t="s">
        <v>458</v>
      </c>
      <c r="Q10" s="160" t="s">
        <v>459</v>
      </c>
      <c r="R10" s="160" t="s">
        <v>458</v>
      </c>
      <c r="S10" s="160" t="s">
        <v>459</v>
      </c>
    </row>
    <row r="11" spans="1:19" ht="16.5" thickTop="1" thickBot="1">
      <c r="A11" s="781"/>
      <c r="B11" s="991" t="s">
        <v>460</v>
      </c>
      <c r="C11" s="484"/>
      <c r="D11" s="507"/>
      <c r="E11" s="508"/>
      <c r="F11" s="506"/>
      <c r="G11" s="60"/>
      <c r="H11" s="1124"/>
      <c r="I11" s="183"/>
      <c r="J11" s="1124"/>
      <c r="K11" s="782"/>
      <c r="L11" s="1124"/>
      <c r="M11" s="783"/>
      <c r="N11" s="1124"/>
      <c r="O11" s="783"/>
      <c r="P11" s="1124"/>
      <c r="Q11" s="783"/>
      <c r="R11" s="1124"/>
      <c r="S11" s="783"/>
    </row>
    <row r="12" spans="1:19">
      <c r="A12" s="784"/>
      <c r="B12" s="1018" t="s">
        <v>461</v>
      </c>
      <c r="C12" s="506"/>
      <c r="D12" s="507"/>
      <c r="E12" s="508"/>
      <c r="F12" s="506"/>
      <c r="G12" s="60"/>
      <c r="H12" s="1124"/>
      <c r="I12" s="783"/>
      <c r="J12" s="1124"/>
      <c r="K12" s="782"/>
      <c r="L12" s="1124"/>
      <c r="M12" s="783"/>
      <c r="N12" s="1124"/>
      <c r="O12" s="783"/>
      <c r="P12" s="1124"/>
      <c r="Q12" s="783"/>
      <c r="R12" s="1124"/>
      <c r="S12" s="783"/>
    </row>
    <row r="13" spans="1:19">
      <c r="A13" s="1125"/>
      <c r="B13" s="786" t="s">
        <v>462</v>
      </c>
      <c r="C13" s="506"/>
      <c r="D13" s="507"/>
      <c r="E13" s="508"/>
      <c r="F13" s="506"/>
      <c r="G13" s="60"/>
      <c r="H13" s="1124"/>
      <c r="I13" s="783"/>
      <c r="J13" s="1124"/>
      <c r="K13" s="782"/>
      <c r="L13" s="1124"/>
      <c r="M13" s="783"/>
      <c r="N13" s="1124"/>
      <c r="O13" s="783"/>
      <c r="P13" s="1124"/>
      <c r="Q13" s="783"/>
      <c r="R13" s="1124"/>
      <c r="S13" s="783"/>
    </row>
    <row r="14" spans="1:19">
      <c r="A14" s="1125"/>
      <c r="B14" s="787" t="s">
        <v>463</v>
      </c>
      <c r="C14" s="506"/>
      <c r="D14" s="507"/>
      <c r="E14" s="508"/>
      <c r="F14" s="506"/>
      <c r="G14" s="60"/>
      <c r="H14" s="1124"/>
      <c r="I14" s="783"/>
      <c r="J14" s="1124"/>
      <c r="K14" s="782"/>
      <c r="L14" s="1124"/>
      <c r="M14" s="783"/>
      <c r="N14" s="1124"/>
      <c r="O14" s="783"/>
      <c r="P14" s="1124"/>
      <c r="Q14" s="783"/>
      <c r="R14" s="1124"/>
      <c r="S14" s="783"/>
    </row>
    <row r="15" spans="1:19">
      <c r="A15" s="1125"/>
      <c r="B15" s="787" t="s">
        <v>464</v>
      </c>
      <c r="C15" s="506"/>
      <c r="D15" s="507"/>
      <c r="E15" s="508"/>
      <c r="F15" s="506"/>
      <c r="G15" s="60"/>
      <c r="H15" s="1124"/>
      <c r="I15" s="782"/>
      <c r="J15" s="1124"/>
      <c r="K15" s="782"/>
      <c r="L15" s="1124"/>
      <c r="M15" s="782"/>
      <c r="N15" s="1124"/>
      <c r="O15" s="782"/>
      <c r="P15" s="1124"/>
      <c r="Q15" s="782"/>
      <c r="R15" s="1124"/>
      <c r="S15" s="782"/>
    </row>
    <row r="16" spans="1:19">
      <c r="A16" s="1125"/>
      <c r="B16" s="787" t="s">
        <v>465</v>
      </c>
      <c r="C16" s="506"/>
      <c r="D16" s="507"/>
      <c r="E16" s="508"/>
      <c r="F16" s="506"/>
      <c r="G16" s="60"/>
      <c r="H16" s="1124"/>
      <c r="I16" s="783"/>
      <c r="J16" s="1124"/>
      <c r="K16" s="782"/>
      <c r="L16" s="1124"/>
      <c r="M16" s="783"/>
      <c r="N16" s="1124"/>
      <c r="O16" s="783"/>
      <c r="P16" s="1124"/>
      <c r="Q16" s="783"/>
      <c r="R16" s="1124"/>
      <c r="S16" s="783"/>
    </row>
    <row r="17" spans="1:19">
      <c r="A17" s="1125"/>
      <c r="B17" s="787" t="s">
        <v>466</v>
      </c>
      <c r="C17" s="506"/>
      <c r="D17" s="507"/>
      <c r="E17" s="508"/>
      <c r="F17" s="506"/>
      <c r="G17" s="60"/>
      <c r="H17" s="1124"/>
      <c r="I17" s="783"/>
      <c r="J17" s="1124"/>
      <c r="K17" s="782"/>
      <c r="L17" s="1124"/>
      <c r="M17" s="783"/>
      <c r="N17" s="1124"/>
      <c r="O17" s="783"/>
      <c r="P17" s="1124"/>
      <c r="Q17" s="783"/>
      <c r="R17" s="1124"/>
      <c r="S17" s="783"/>
    </row>
    <row r="18" spans="1:19">
      <c r="A18" s="1125"/>
      <c r="B18" s="788" t="s">
        <v>467</v>
      </c>
      <c r="C18" s="506"/>
      <c r="D18" s="507"/>
      <c r="E18" s="508"/>
      <c r="F18" s="506"/>
      <c r="G18" s="60"/>
      <c r="H18" s="1124"/>
      <c r="I18" s="783"/>
      <c r="J18" s="1124"/>
      <c r="K18" s="782"/>
      <c r="L18" s="1124"/>
      <c r="M18" s="783"/>
      <c r="N18" s="1124"/>
      <c r="O18" s="783"/>
      <c r="P18" s="1124"/>
      <c r="Q18" s="783"/>
      <c r="R18" s="1124"/>
      <c r="S18" s="783"/>
    </row>
    <row r="19" spans="1:19">
      <c r="A19" s="1125"/>
      <c r="B19" s="789" t="s">
        <v>468</v>
      </c>
      <c r="C19" s="513"/>
      <c r="D19" s="514"/>
      <c r="E19" s="515"/>
      <c r="F19" s="516"/>
      <c r="G19" s="463"/>
      <c r="H19" s="1126"/>
      <c r="I19" s="791"/>
      <c r="J19" s="1126"/>
      <c r="K19" s="790"/>
      <c r="L19" s="1126"/>
      <c r="M19" s="791"/>
      <c r="N19" s="1126"/>
      <c r="O19" s="791"/>
      <c r="P19" s="1126"/>
      <c r="Q19" s="791"/>
      <c r="R19" s="1126"/>
      <c r="S19" s="791"/>
    </row>
    <row r="20" spans="1:19">
      <c r="A20" s="1125"/>
      <c r="B20" s="792"/>
      <c r="C20" s="506"/>
      <c r="D20" s="507"/>
      <c r="E20" s="508"/>
      <c r="F20" s="517"/>
      <c r="G20" s="60"/>
      <c r="H20" s="1124"/>
      <c r="I20" s="794"/>
      <c r="J20" s="1124"/>
      <c r="K20" s="793"/>
      <c r="L20" s="1124"/>
      <c r="M20" s="794"/>
      <c r="N20" s="1124"/>
      <c r="O20" s="794"/>
      <c r="P20" s="1124"/>
      <c r="Q20" s="794"/>
      <c r="R20" s="1124"/>
      <c r="S20" s="794"/>
    </row>
    <row r="21" spans="1:19">
      <c r="A21" s="1125"/>
      <c r="B21" s="928"/>
      <c r="C21" s="506"/>
      <c r="D21" s="507"/>
      <c r="E21" s="508"/>
      <c r="F21" s="517"/>
      <c r="G21" s="60"/>
      <c r="H21" s="1124"/>
      <c r="I21" s="794"/>
      <c r="J21" s="1124"/>
      <c r="K21" s="793"/>
      <c r="L21" s="1124"/>
      <c r="M21" s="794"/>
      <c r="N21" s="1124"/>
      <c r="O21" s="794"/>
      <c r="P21" s="1124"/>
      <c r="Q21" s="794"/>
      <c r="R21" s="1124"/>
      <c r="S21" s="794"/>
    </row>
    <row r="22" spans="1:19">
      <c r="A22" s="1125"/>
      <c r="B22" s="1127" t="s">
        <v>719</v>
      </c>
      <c r="C22" s="506"/>
      <c r="D22" s="507">
        <v>28920</v>
      </c>
      <c r="E22" s="508" t="s">
        <v>179</v>
      </c>
      <c r="F22" s="517">
        <v>10</v>
      </c>
      <c r="G22" s="315">
        <f t="shared" ref="G22:G49" si="5">ROUND(D22*F22,0)</f>
        <v>289200</v>
      </c>
      <c r="H22" s="1124"/>
      <c r="I22" s="793">
        <f>G22</f>
        <v>289200</v>
      </c>
      <c r="J22" s="1124"/>
      <c r="K22" s="793"/>
      <c r="L22" s="1124"/>
      <c r="M22" s="794"/>
      <c r="N22" s="1124"/>
      <c r="O22" s="794"/>
      <c r="P22" s="1124"/>
      <c r="Q22" s="794"/>
      <c r="R22" s="1124"/>
      <c r="S22" s="794"/>
    </row>
    <row r="23" spans="1:19">
      <c r="A23" s="1125"/>
      <c r="B23" s="1127" t="s">
        <v>720</v>
      </c>
      <c r="C23" s="506"/>
      <c r="D23" s="507">
        <v>13942</v>
      </c>
      <c r="E23" s="508" t="s">
        <v>179</v>
      </c>
      <c r="F23" s="517">
        <v>10</v>
      </c>
      <c r="G23" s="315">
        <f t="shared" si="5"/>
        <v>139420</v>
      </c>
      <c r="H23" s="1124"/>
      <c r="I23" s="793">
        <f t="shared" ref="I23:I49" si="6">G23</f>
        <v>139420</v>
      </c>
      <c r="J23" s="1124"/>
      <c r="K23" s="793"/>
      <c r="L23" s="1124"/>
      <c r="M23" s="794"/>
      <c r="N23" s="1124"/>
      <c r="O23" s="794"/>
      <c r="P23" s="1124"/>
      <c r="Q23" s="794"/>
      <c r="R23" s="1124"/>
      <c r="S23" s="794"/>
    </row>
    <row r="24" spans="1:19">
      <c r="A24" s="1125"/>
      <c r="B24" s="1127" t="s">
        <v>721</v>
      </c>
      <c r="C24" s="506"/>
      <c r="D24" s="507">
        <v>3976</v>
      </c>
      <c r="E24" s="508" t="s">
        <v>179</v>
      </c>
      <c r="F24" s="517">
        <v>15</v>
      </c>
      <c r="G24" s="315">
        <f t="shared" si="5"/>
        <v>59640</v>
      </c>
      <c r="H24" s="1124"/>
      <c r="I24" s="793">
        <f t="shared" si="6"/>
        <v>59640</v>
      </c>
      <c r="J24" s="1124"/>
      <c r="K24" s="793"/>
      <c r="L24" s="1124"/>
      <c r="M24" s="794"/>
      <c r="N24" s="1124"/>
      <c r="O24" s="794"/>
      <c r="P24" s="1124"/>
      <c r="Q24" s="794"/>
      <c r="R24" s="1124"/>
      <c r="S24" s="794"/>
    </row>
    <row r="25" spans="1:19">
      <c r="A25" s="1125"/>
      <c r="B25" s="1127" t="s">
        <v>722</v>
      </c>
      <c r="C25" s="506"/>
      <c r="D25" s="507">
        <v>7081</v>
      </c>
      <c r="E25" s="508" t="s">
        <v>179</v>
      </c>
      <c r="F25" s="517">
        <v>15</v>
      </c>
      <c r="G25" s="315">
        <f t="shared" si="5"/>
        <v>106215</v>
      </c>
      <c r="H25" s="1124"/>
      <c r="I25" s="793">
        <f t="shared" si="6"/>
        <v>106215</v>
      </c>
      <c r="J25" s="1124"/>
      <c r="K25" s="793"/>
      <c r="L25" s="1124"/>
      <c r="M25" s="794"/>
      <c r="N25" s="1124"/>
      <c r="O25" s="794"/>
      <c r="P25" s="1124"/>
      <c r="Q25" s="794"/>
      <c r="R25" s="1124"/>
      <c r="S25" s="794"/>
    </row>
    <row r="26" spans="1:19">
      <c r="A26" s="1125"/>
      <c r="B26" s="1128"/>
      <c r="C26" s="506"/>
      <c r="D26" s="507"/>
      <c r="E26" s="508"/>
      <c r="F26" s="517"/>
      <c r="G26" s="315">
        <f t="shared" si="5"/>
        <v>0</v>
      </c>
      <c r="H26" s="1124"/>
      <c r="I26" s="793">
        <f t="shared" si="6"/>
        <v>0</v>
      </c>
      <c r="J26" s="1124"/>
      <c r="K26" s="793"/>
      <c r="L26" s="1124"/>
      <c r="M26" s="794"/>
      <c r="N26" s="1124"/>
      <c r="O26" s="794"/>
      <c r="P26" s="1124"/>
      <c r="Q26" s="794"/>
      <c r="R26" s="1124"/>
      <c r="S26" s="794"/>
    </row>
    <row r="27" spans="1:19">
      <c r="A27" s="1125"/>
      <c r="B27" s="1129"/>
      <c r="C27" s="506"/>
      <c r="D27" s="507"/>
      <c r="E27" s="508"/>
      <c r="F27" s="517"/>
      <c r="G27" s="315">
        <f t="shared" si="5"/>
        <v>0</v>
      </c>
      <c r="H27" s="1124"/>
      <c r="I27" s="793">
        <f t="shared" si="6"/>
        <v>0</v>
      </c>
      <c r="J27" s="1124"/>
      <c r="K27" s="793"/>
      <c r="L27" s="1124"/>
      <c r="M27" s="794"/>
      <c r="N27" s="1124"/>
      <c r="O27" s="794"/>
      <c r="P27" s="1124"/>
      <c r="Q27" s="794"/>
      <c r="R27" s="1124"/>
      <c r="S27" s="794"/>
    </row>
    <row r="28" spans="1:19">
      <c r="A28" s="1125"/>
      <c r="B28" s="1127"/>
      <c r="C28" s="506"/>
      <c r="D28" s="507"/>
      <c r="E28" s="508"/>
      <c r="F28" s="517"/>
      <c r="G28" s="315">
        <f t="shared" si="5"/>
        <v>0</v>
      </c>
      <c r="H28" s="1124"/>
      <c r="I28" s="793">
        <f t="shared" si="6"/>
        <v>0</v>
      </c>
      <c r="J28" s="1124"/>
      <c r="K28" s="793"/>
      <c r="L28" s="1124"/>
      <c r="M28" s="794"/>
      <c r="N28" s="1124"/>
      <c r="O28" s="794"/>
      <c r="P28" s="1124"/>
      <c r="Q28" s="794"/>
      <c r="R28" s="1124"/>
      <c r="S28" s="794"/>
    </row>
    <row r="29" spans="1:19">
      <c r="A29" s="1125"/>
      <c r="B29" s="1130"/>
      <c r="C29" s="506"/>
      <c r="D29" s="507"/>
      <c r="E29" s="508"/>
      <c r="F29" s="517"/>
      <c r="G29" s="315">
        <f t="shared" si="5"/>
        <v>0</v>
      </c>
      <c r="H29" s="1124"/>
      <c r="I29" s="793">
        <f t="shared" si="6"/>
        <v>0</v>
      </c>
      <c r="J29" s="1124"/>
      <c r="K29" s="793"/>
      <c r="L29" s="1124"/>
      <c r="M29" s="794"/>
      <c r="N29" s="1124"/>
      <c r="O29" s="794"/>
      <c r="P29" s="1124"/>
      <c r="Q29" s="794"/>
      <c r="R29" s="1124"/>
      <c r="S29" s="794"/>
    </row>
    <row r="30" spans="1:19">
      <c r="A30" s="1125"/>
      <c r="B30" s="1131"/>
      <c r="C30" s="506"/>
      <c r="D30" s="507"/>
      <c r="E30" s="508"/>
      <c r="F30" s="517"/>
      <c r="G30" s="315">
        <f t="shared" si="5"/>
        <v>0</v>
      </c>
      <c r="H30" s="1124"/>
      <c r="I30" s="793">
        <f t="shared" si="6"/>
        <v>0</v>
      </c>
      <c r="J30" s="1124"/>
      <c r="K30" s="793"/>
      <c r="L30" s="1124"/>
      <c r="M30" s="794"/>
      <c r="N30" s="1124"/>
      <c r="O30" s="794"/>
      <c r="P30" s="1124"/>
      <c r="Q30" s="794"/>
      <c r="R30" s="1124"/>
      <c r="S30" s="794"/>
    </row>
    <row r="31" spans="1:19">
      <c r="A31" s="1125"/>
      <c r="B31" s="1131"/>
      <c r="C31" s="506"/>
      <c r="D31" s="507"/>
      <c r="E31" s="508"/>
      <c r="F31" s="517"/>
      <c r="G31" s="315">
        <f t="shared" si="5"/>
        <v>0</v>
      </c>
      <c r="H31" s="1124"/>
      <c r="I31" s="793">
        <f t="shared" si="6"/>
        <v>0</v>
      </c>
      <c r="J31" s="1124"/>
      <c r="K31" s="793"/>
      <c r="L31" s="1124"/>
      <c r="M31" s="794"/>
      <c r="N31" s="1124"/>
      <c r="O31" s="794"/>
      <c r="P31" s="1124"/>
      <c r="Q31" s="794"/>
      <c r="R31" s="1124"/>
      <c r="S31" s="794"/>
    </row>
    <row r="32" spans="1:19">
      <c r="A32" s="1125"/>
      <c r="B32" s="1131"/>
      <c r="C32" s="506"/>
      <c r="D32" s="507"/>
      <c r="E32" s="508"/>
      <c r="F32" s="517"/>
      <c r="G32" s="315">
        <f t="shared" si="5"/>
        <v>0</v>
      </c>
      <c r="H32" s="1124"/>
      <c r="I32" s="793">
        <f t="shared" si="6"/>
        <v>0</v>
      </c>
      <c r="J32" s="1124"/>
      <c r="K32" s="793"/>
      <c r="L32" s="1124"/>
      <c r="M32" s="794"/>
      <c r="N32" s="1124"/>
      <c r="O32" s="794"/>
      <c r="P32" s="1124"/>
      <c r="Q32" s="794"/>
      <c r="R32" s="1124"/>
      <c r="S32" s="794"/>
    </row>
    <row r="33" spans="1:19">
      <c r="A33" s="1125"/>
      <c r="B33" s="1131"/>
      <c r="C33" s="506"/>
      <c r="D33" s="507"/>
      <c r="E33" s="508"/>
      <c r="F33" s="517"/>
      <c r="G33" s="315">
        <f t="shared" si="5"/>
        <v>0</v>
      </c>
      <c r="H33" s="1124"/>
      <c r="I33" s="793">
        <f t="shared" si="6"/>
        <v>0</v>
      </c>
      <c r="J33" s="1124"/>
      <c r="K33" s="793"/>
      <c r="L33" s="1124"/>
      <c r="M33" s="794"/>
      <c r="N33" s="1124"/>
      <c r="O33" s="794"/>
      <c r="P33" s="1124"/>
      <c r="Q33" s="794"/>
      <c r="R33" s="1124"/>
      <c r="S33" s="794"/>
    </row>
    <row r="34" spans="1:19">
      <c r="A34" s="1125"/>
      <c r="B34" s="1131"/>
      <c r="C34" s="506"/>
      <c r="D34" s="507"/>
      <c r="E34" s="508"/>
      <c r="F34" s="517"/>
      <c r="G34" s="315">
        <f t="shared" si="5"/>
        <v>0</v>
      </c>
      <c r="H34" s="1124"/>
      <c r="I34" s="793">
        <f t="shared" si="6"/>
        <v>0</v>
      </c>
      <c r="J34" s="1124"/>
      <c r="K34" s="793"/>
      <c r="L34" s="1124"/>
      <c r="M34" s="794"/>
      <c r="N34" s="1124"/>
      <c r="O34" s="794"/>
      <c r="P34" s="1124"/>
      <c r="Q34" s="794"/>
      <c r="R34" s="1124"/>
      <c r="S34" s="794"/>
    </row>
    <row r="35" spans="1:19">
      <c r="A35" s="1125"/>
      <c r="B35" s="1131"/>
      <c r="C35" s="506"/>
      <c r="D35" s="507"/>
      <c r="E35" s="508"/>
      <c r="F35" s="517"/>
      <c r="G35" s="315">
        <f t="shared" si="5"/>
        <v>0</v>
      </c>
      <c r="H35" s="1124"/>
      <c r="I35" s="793">
        <f t="shared" si="6"/>
        <v>0</v>
      </c>
      <c r="J35" s="1124"/>
      <c r="K35" s="793"/>
      <c r="L35" s="1124"/>
      <c r="M35" s="794"/>
      <c r="N35" s="1124"/>
      <c r="O35" s="794"/>
      <c r="P35" s="1124"/>
      <c r="Q35" s="794"/>
      <c r="R35" s="1124"/>
      <c r="S35" s="794"/>
    </row>
    <row r="36" spans="1:19">
      <c r="A36" s="1125"/>
      <c r="B36" s="792"/>
      <c r="C36" s="506"/>
      <c r="D36" s="507"/>
      <c r="E36" s="508"/>
      <c r="F36" s="517"/>
      <c r="G36" s="315">
        <f t="shared" si="5"/>
        <v>0</v>
      </c>
      <c r="H36" s="1124"/>
      <c r="I36" s="793">
        <f t="shared" si="6"/>
        <v>0</v>
      </c>
      <c r="J36" s="1124"/>
      <c r="K36" s="793"/>
      <c r="L36" s="1124"/>
      <c r="M36" s="794"/>
      <c r="N36" s="1124"/>
      <c r="O36" s="794"/>
      <c r="P36" s="1124"/>
      <c r="Q36" s="794"/>
      <c r="R36" s="1124"/>
      <c r="S36" s="794"/>
    </row>
    <row r="37" spans="1:19">
      <c r="A37" s="1125"/>
      <c r="B37" s="1132"/>
      <c r="C37" s="506"/>
      <c r="D37" s="507"/>
      <c r="E37" s="508"/>
      <c r="F37" s="517"/>
      <c r="G37" s="315">
        <f t="shared" si="5"/>
        <v>0</v>
      </c>
      <c r="H37" s="1124"/>
      <c r="I37" s="793">
        <f t="shared" si="6"/>
        <v>0</v>
      </c>
      <c r="J37" s="1124"/>
      <c r="K37" s="793"/>
      <c r="L37" s="1124"/>
      <c r="M37" s="794"/>
      <c r="N37" s="1124"/>
      <c r="O37" s="794"/>
      <c r="P37" s="1124"/>
      <c r="Q37" s="794"/>
      <c r="R37" s="1124"/>
      <c r="S37" s="794"/>
    </row>
    <row r="38" spans="1:19">
      <c r="A38" s="1125"/>
      <c r="B38" s="918"/>
      <c r="C38" s="506"/>
      <c r="D38" s="507"/>
      <c r="E38" s="508"/>
      <c r="F38" s="517"/>
      <c r="G38" s="315">
        <f t="shared" si="5"/>
        <v>0</v>
      </c>
      <c r="H38" s="1124"/>
      <c r="I38" s="793">
        <f t="shared" si="6"/>
        <v>0</v>
      </c>
      <c r="J38" s="1124"/>
      <c r="K38" s="793"/>
      <c r="L38" s="1124"/>
      <c r="M38" s="794"/>
      <c r="N38" s="1124"/>
      <c r="O38" s="794"/>
      <c r="P38" s="1124"/>
      <c r="Q38" s="794"/>
      <c r="R38" s="1124"/>
      <c r="S38" s="794"/>
    </row>
    <row r="39" spans="1:19">
      <c r="A39" s="1125"/>
      <c r="B39" s="792"/>
      <c r="C39" s="506"/>
      <c r="D39" s="507"/>
      <c r="E39" s="508"/>
      <c r="F39" s="517"/>
      <c r="G39" s="315">
        <f t="shared" si="5"/>
        <v>0</v>
      </c>
      <c r="H39" s="1124"/>
      <c r="I39" s="793">
        <f t="shared" si="6"/>
        <v>0</v>
      </c>
      <c r="J39" s="1124"/>
      <c r="K39" s="793"/>
      <c r="L39" s="1124"/>
      <c r="M39" s="794"/>
      <c r="N39" s="1124"/>
      <c r="O39" s="794"/>
      <c r="P39" s="1124"/>
      <c r="Q39" s="794"/>
      <c r="R39" s="1124"/>
      <c r="S39" s="794"/>
    </row>
    <row r="40" spans="1:19">
      <c r="A40" s="1125"/>
      <c r="B40" s="792"/>
      <c r="C40" s="506"/>
      <c r="D40" s="507"/>
      <c r="E40" s="508"/>
      <c r="F40" s="517"/>
      <c r="G40" s="315">
        <f t="shared" si="5"/>
        <v>0</v>
      </c>
      <c r="H40" s="1124"/>
      <c r="I40" s="793">
        <f t="shared" si="6"/>
        <v>0</v>
      </c>
      <c r="J40" s="1124"/>
      <c r="K40" s="793"/>
      <c r="L40" s="1124"/>
      <c r="M40" s="794"/>
      <c r="N40" s="1124"/>
      <c r="O40" s="794"/>
      <c r="P40" s="1124"/>
      <c r="Q40" s="794"/>
      <c r="R40" s="1124"/>
      <c r="S40" s="794"/>
    </row>
    <row r="41" spans="1:19">
      <c r="A41" s="1125"/>
      <c r="B41" s="918"/>
      <c r="C41" s="506"/>
      <c r="D41" s="507"/>
      <c r="E41" s="508"/>
      <c r="F41" s="517"/>
      <c r="G41" s="315">
        <f t="shared" si="5"/>
        <v>0</v>
      </c>
      <c r="H41" s="1124"/>
      <c r="I41" s="793">
        <f t="shared" si="6"/>
        <v>0</v>
      </c>
      <c r="J41" s="1124"/>
      <c r="K41" s="793"/>
      <c r="L41" s="1124"/>
      <c r="M41" s="794"/>
      <c r="N41" s="1124"/>
      <c r="O41" s="794"/>
      <c r="P41" s="1124"/>
      <c r="Q41" s="794"/>
      <c r="R41" s="1124"/>
      <c r="S41" s="794"/>
    </row>
    <row r="42" spans="1:19">
      <c r="A42" s="1125"/>
      <c r="B42" s="918"/>
      <c r="C42" s="506"/>
      <c r="D42" s="507"/>
      <c r="E42" s="508"/>
      <c r="F42" s="517"/>
      <c r="G42" s="315">
        <f t="shared" si="5"/>
        <v>0</v>
      </c>
      <c r="H42" s="1124"/>
      <c r="I42" s="793">
        <f t="shared" si="6"/>
        <v>0</v>
      </c>
      <c r="J42" s="1124"/>
      <c r="K42" s="793"/>
      <c r="L42" s="1124"/>
      <c r="M42" s="794"/>
      <c r="N42" s="1124"/>
      <c r="O42" s="794"/>
      <c r="P42" s="1124"/>
      <c r="Q42" s="794"/>
      <c r="R42" s="1124"/>
      <c r="S42" s="794"/>
    </row>
    <row r="43" spans="1:19">
      <c r="A43" s="1125"/>
      <c r="B43" s="918"/>
      <c r="C43" s="506"/>
      <c r="D43" s="507"/>
      <c r="E43" s="508"/>
      <c r="F43" s="517"/>
      <c r="G43" s="315">
        <f t="shared" si="5"/>
        <v>0</v>
      </c>
      <c r="H43" s="1124"/>
      <c r="I43" s="793">
        <f t="shared" si="6"/>
        <v>0</v>
      </c>
      <c r="J43" s="1124"/>
      <c r="K43" s="793"/>
      <c r="L43" s="1124"/>
      <c r="M43" s="794"/>
      <c r="N43" s="1124"/>
      <c r="O43" s="794"/>
      <c r="P43" s="1124"/>
      <c r="Q43" s="794"/>
      <c r="R43" s="1124"/>
      <c r="S43" s="794"/>
    </row>
    <row r="44" spans="1:19">
      <c r="A44" s="1125"/>
      <c r="B44" s="918"/>
      <c r="C44" s="506"/>
      <c r="D44" s="507"/>
      <c r="E44" s="508"/>
      <c r="F44" s="517"/>
      <c r="G44" s="315">
        <f t="shared" si="5"/>
        <v>0</v>
      </c>
      <c r="H44" s="1124"/>
      <c r="I44" s="793">
        <f t="shared" si="6"/>
        <v>0</v>
      </c>
      <c r="J44" s="1124"/>
      <c r="K44" s="793"/>
      <c r="L44" s="1124"/>
      <c r="M44" s="794"/>
      <c r="N44" s="1124"/>
      <c r="O44" s="794"/>
      <c r="P44" s="1124"/>
      <c r="Q44" s="794"/>
      <c r="R44" s="1124"/>
      <c r="S44" s="794"/>
    </row>
    <row r="45" spans="1:19">
      <c r="A45" s="1125"/>
      <c r="B45" s="918"/>
      <c r="C45" s="506"/>
      <c r="D45" s="507"/>
      <c r="E45" s="508"/>
      <c r="F45" s="517"/>
      <c r="G45" s="315">
        <f t="shared" si="5"/>
        <v>0</v>
      </c>
      <c r="H45" s="1124"/>
      <c r="I45" s="793">
        <f t="shared" si="6"/>
        <v>0</v>
      </c>
      <c r="J45" s="1124"/>
      <c r="K45" s="793"/>
      <c r="L45" s="1124"/>
      <c r="M45" s="794"/>
      <c r="N45" s="1124"/>
      <c r="O45" s="794"/>
      <c r="P45" s="1124"/>
      <c r="Q45" s="794"/>
      <c r="R45" s="1124"/>
      <c r="S45" s="794"/>
    </row>
    <row r="46" spans="1:19">
      <c r="A46" s="1125"/>
      <c r="B46" s="918"/>
      <c r="C46" s="506"/>
      <c r="D46" s="507"/>
      <c r="E46" s="508"/>
      <c r="F46" s="517"/>
      <c r="G46" s="315">
        <f t="shared" si="5"/>
        <v>0</v>
      </c>
      <c r="H46" s="1124"/>
      <c r="I46" s="793">
        <f t="shared" si="6"/>
        <v>0</v>
      </c>
      <c r="J46" s="1124"/>
      <c r="K46" s="793"/>
      <c r="L46" s="1124"/>
      <c r="M46" s="794"/>
      <c r="N46" s="1124"/>
      <c r="O46" s="794"/>
      <c r="P46" s="1124"/>
      <c r="Q46" s="794"/>
      <c r="R46" s="1124"/>
      <c r="S46" s="794"/>
    </row>
    <row r="47" spans="1:19">
      <c r="A47" s="1125"/>
      <c r="B47" s="1132"/>
      <c r="C47" s="506"/>
      <c r="D47" s="507"/>
      <c r="E47" s="508"/>
      <c r="F47" s="517"/>
      <c r="G47" s="315">
        <f t="shared" si="5"/>
        <v>0</v>
      </c>
      <c r="H47" s="1124"/>
      <c r="I47" s="793">
        <f t="shared" si="6"/>
        <v>0</v>
      </c>
      <c r="J47" s="1124"/>
      <c r="K47" s="793"/>
      <c r="L47" s="1124"/>
      <c r="M47" s="794"/>
      <c r="N47" s="1124"/>
      <c r="O47" s="794"/>
      <c r="P47" s="1124"/>
      <c r="Q47" s="794"/>
      <c r="R47" s="1124"/>
      <c r="S47" s="794"/>
    </row>
    <row r="48" spans="1:19">
      <c r="A48" s="1125"/>
      <c r="B48" s="918"/>
      <c r="C48" s="506"/>
      <c r="D48" s="507"/>
      <c r="E48" s="508"/>
      <c r="F48" s="517"/>
      <c r="G48" s="315">
        <f t="shared" si="5"/>
        <v>0</v>
      </c>
      <c r="H48" s="1124"/>
      <c r="I48" s="793">
        <f t="shared" si="6"/>
        <v>0</v>
      </c>
      <c r="J48" s="1124"/>
      <c r="K48" s="793"/>
      <c r="L48" s="1124"/>
      <c r="M48" s="794"/>
      <c r="N48" s="1124"/>
      <c r="O48" s="794"/>
      <c r="P48" s="1124"/>
      <c r="Q48" s="794"/>
      <c r="R48" s="1124"/>
      <c r="S48" s="794"/>
    </row>
    <row r="49" spans="1:34">
      <c r="A49" s="1125"/>
      <c r="B49" s="918"/>
      <c r="C49" s="506"/>
      <c r="D49" s="507"/>
      <c r="E49" s="508"/>
      <c r="F49" s="517"/>
      <c r="G49" s="315">
        <f t="shared" si="5"/>
        <v>0</v>
      </c>
      <c r="H49" s="1124"/>
      <c r="I49" s="793">
        <f t="shared" si="6"/>
        <v>0</v>
      </c>
      <c r="J49" s="1124"/>
      <c r="K49" s="793"/>
      <c r="L49" s="1124"/>
      <c r="M49" s="794"/>
      <c r="N49" s="1124"/>
      <c r="O49" s="794"/>
      <c r="P49" s="1124"/>
      <c r="Q49" s="794"/>
      <c r="R49" s="1124"/>
      <c r="S49" s="794"/>
    </row>
    <row r="50" spans="1:34" ht="15.75" thickBot="1">
      <c r="A50" s="1125"/>
      <c r="B50" s="1133"/>
      <c r="C50" s="491"/>
      <c r="D50" s="922"/>
      <c r="E50" s="508"/>
      <c r="F50" s="492"/>
      <c r="G50" s="315"/>
      <c r="H50" s="1124"/>
      <c r="I50" s="793"/>
      <c r="J50" s="1124"/>
      <c r="K50" s="793"/>
      <c r="L50" s="1124"/>
      <c r="M50" s="793"/>
      <c r="N50" s="1124"/>
      <c r="O50" s="793"/>
      <c r="P50" s="1124"/>
      <c r="Q50" s="793"/>
      <c r="R50" s="1124"/>
      <c r="S50" s="793"/>
    </row>
    <row r="51" spans="1:34" ht="15.75" thickTop="1">
      <c r="A51" s="15"/>
      <c r="B51" s="218" t="s">
        <v>518</v>
      </c>
      <c r="C51" s="17"/>
      <c r="D51" s="168"/>
      <c r="E51" s="177"/>
      <c r="F51" s="19"/>
      <c r="G51" s="219">
        <f>SUBTOTAL(9,G22:G50)</f>
        <v>594475</v>
      </c>
      <c r="H51" s="21"/>
      <c r="I51" s="217">
        <f>SUBTOTAL(9,I22:I50)</f>
        <v>594475</v>
      </c>
      <c r="J51" s="21"/>
      <c r="K51" s="217">
        <f>SUBTOTAL(9,K22:K50)</f>
        <v>0</v>
      </c>
      <c r="L51" s="21"/>
      <c r="M51" s="217">
        <f>SUBTOTAL(9,M22:M50)</f>
        <v>0</v>
      </c>
      <c r="N51" s="21"/>
      <c r="O51" s="162">
        <f>SUM(O19:O50)</f>
        <v>0</v>
      </c>
      <c r="P51" s="21"/>
      <c r="Q51" s="162">
        <f>SUM(Q19:Q50)</f>
        <v>0</v>
      </c>
      <c r="R51" s="21"/>
      <c r="S51" s="162">
        <f>SUM(S19:S50)</f>
        <v>0</v>
      </c>
    </row>
    <row r="52" spans="1:34">
      <c r="A52" s="1134"/>
      <c r="B52" s="923" t="s">
        <v>471</v>
      </c>
      <c r="C52" s="493"/>
      <c r="D52" s="924"/>
      <c r="E52" s="925"/>
      <c r="F52" s="494"/>
      <c r="G52" s="901"/>
      <c r="H52" s="1135">
        <v>0</v>
      </c>
      <c r="I52" s="163"/>
      <c r="J52" s="1135">
        <v>0</v>
      </c>
      <c r="K52" s="163"/>
      <c r="L52" s="1135">
        <v>0</v>
      </c>
      <c r="M52" s="163"/>
      <c r="N52" s="1135">
        <v>0</v>
      </c>
      <c r="O52" s="163"/>
      <c r="P52" s="1135">
        <v>0</v>
      </c>
      <c r="Q52" s="163"/>
      <c r="R52" s="1135">
        <v>0</v>
      </c>
      <c r="S52" s="163"/>
    </row>
    <row r="53" spans="1:34">
      <c r="A53" s="1134"/>
      <c r="B53" s="923" t="s">
        <v>472</v>
      </c>
      <c r="C53" s="493"/>
      <c r="D53" s="924"/>
      <c r="E53" s="925"/>
      <c r="F53" s="494"/>
      <c r="G53" s="901">
        <f>F52*G51</f>
        <v>0</v>
      </c>
      <c r="H53" s="1136"/>
      <c r="I53" s="1137">
        <f>H52*I51</f>
        <v>0</v>
      </c>
      <c r="J53" s="1136"/>
      <c r="K53" s="1137">
        <f>J52*K51</f>
        <v>0</v>
      </c>
      <c r="L53" s="1136"/>
      <c r="M53" s="1137">
        <f>L52*M51</f>
        <v>0</v>
      </c>
      <c r="N53" s="1136"/>
      <c r="O53" s="1137">
        <f>N52*O51</f>
        <v>0</v>
      </c>
      <c r="P53" s="1136"/>
      <c r="Q53" s="1137">
        <f>P52*Q51</f>
        <v>0</v>
      </c>
      <c r="R53" s="1136"/>
      <c r="S53" s="1137">
        <f>R52*S51</f>
        <v>0</v>
      </c>
    </row>
    <row r="54" spans="1:34">
      <c r="A54" s="1134"/>
      <c r="B54" s="923"/>
      <c r="C54" s="493"/>
      <c r="D54" s="924"/>
      <c r="E54" s="925"/>
      <c r="F54" s="494"/>
      <c r="G54" s="901"/>
      <c r="H54" s="1136"/>
      <c r="I54" s="1137"/>
      <c r="J54" s="1136"/>
      <c r="K54" s="1137"/>
      <c r="L54" s="1136"/>
      <c r="M54" s="1137"/>
      <c r="N54" s="1136"/>
      <c r="O54" s="1137"/>
      <c r="P54" s="1136"/>
      <c r="Q54" s="1137"/>
      <c r="R54" s="1136"/>
      <c r="S54" s="1137"/>
    </row>
    <row r="55" spans="1:34">
      <c r="A55" s="1134"/>
      <c r="B55" s="923" t="s">
        <v>473</v>
      </c>
      <c r="C55" s="493"/>
      <c r="D55" s="924"/>
      <c r="E55" s="925"/>
      <c r="F55" s="494"/>
      <c r="G55" s="901">
        <f>SUM(G51:G53)</f>
        <v>594475</v>
      </c>
      <c r="H55" s="1138"/>
      <c r="I55" s="1137">
        <f>SUM(I51:I53)</f>
        <v>594475</v>
      </c>
      <c r="J55" s="1138"/>
      <c r="K55" s="1137">
        <f>SUM(K51:K53)</f>
        <v>0</v>
      </c>
      <c r="L55" s="1138"/>
      <c r="M55" s="1137">
        <f>SUM(M51:M53)</f>
        <v>0</v>
      </c>
      <c r="N55" s="1138"/>
      <c r="O55" s="1137">
        <f>SUM(O51:O53)</f>
        <v>0</v>
      </c>
      <c r="P55" s="1138"/>
      <c r="Q55" s="1137">
        <f>SUM(Q51:Q53)</f>
        <v>0</v>
      </c>
      <c r="R55" s="1138"/>
      <c r="S55" s="1137">
        <f>SUM(S51:S53)</f>
        <v>0</v>
      </c>
    </row>
    <row r="56" spans="1:34">
      <c r="A56" s="1134"/>
      <c r="B56" s="495" t="s">
        <v>474</v>
      </c>
      <c r="C56" s="493"/>
      <c r="D56" s="924"/>
      <c r="E56" s="925"/>
      <c r="F56" s="495"/>
      <c r="G56" s="902">
        <f>G55/'Area Calculations'!$G$5</f>
        <v>1.5269454925601622</v>
      </c>
      <c r="H56" s="1139"/>
      <c r="I56" s="1140">
        <f>I55/'Area Calculations'!$G$5</f>
        <v>1.5269454925601622</v>
      </c>
      <c r="J56" s="1139"/>
      <c r="K56" s="1140">
        <f>K55/'Area Calculations'!$G$5</f>
        <v>0</v>
      </c>
      <c r="L56" s="1139"/>
      <c r="M56" s="1140">
        <f>M55/'Area Calculations'!$G$5</f>
        <v>0</v>
      </c>
      <c r="N56" s="1139"/>
      <c r="O56" s="1140">
        <f>O55/'Area Calculations'!$G$5</f>
        <v>0</v>
      </c>
      <c r="P56" s="1139"/>
      <c r="Q56" s="1140">
        <f>Q55/'Area Calculations'!$G$5</f>
        <v>0</v>
      </c>
      <c r="R56" s="1141"/>
      <c r="S56" s="1140">
        <f>S55/'Area Calculations'!$G$5</f>
        <v>0</v>
      </c>
    </row>
    <row r="57" spans="1:34" ht="15.75" thickBot="1">
      <c r="A57" s="1134"/>
      <c r="B57" s="496"/>
      <c r="C57" s="493"/>
      <c r="D57" s="924"/>
      <c r="E57" s="925"/>
      <c r="F57" s="494"/>
      <c r="G57" s="464"/>
      <c r="H57" s="1142"/>
      <c r="I57" s="1143"/>
      <c r="J57" s="1142"/>
      <c r="K57" s="1143"/>
      <c r="L57" s="1142"/>
      <c r="M57" s="1142"/>
      <c r="N57" s="1142"/>
      <c r="O57" s="1142"/>
      <c r="P57" s="1142"/>
      <c r="Q57" s="1142"/>
      <c r="R57" s="1142"/>
      <c r="S57" s="1142"/>
    </row>
    <row r="58" spans="1:34" ht="16.5" thickTop="1" thickBot="1">
      <c r="A58" s="691" t="s">
        <v>475</v>
      </c>
      <c r="B58" s="692"/>
      <c r="C58" s="14"/>
      <c r="D58" s="169"/>
      <c r="E58" s="178"/>
      <c r="F58" s="14"/>
      <c r="G58" s="220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34" ht="15.75" thickTop="1">
      <c r="A59" s="795"/>
      <c r="B59" s="497"/>
      <c r="C59" s="796"/>
      <c r="D59" s="851"/>
      <c r="E59" s="852"/>
      <c r="F59" s="796"/>
      <c r="G59" s="798"/>
      <c r="H59" s="799"/>
      <c r="I59" s="799"/>
      <c r="J59" s="799"/>
      <c r="K59" s="799"/>
      <c r="L59" s="799"/>
      <c r="M59" s="799"/>
      <c r="N59" s="799"/>
      <c r="O59" s="799"/>
      <c r="P59" s="799"/>
      <c r="Q59" s="799"/>
      <c r="R59" s="799"/>
      <c r="S59" s="799"/>
    </row>
    <row r="60" spans="1:34">
      <c r="A60" s="795"/>
      <c r="B60" s="497"/>
      <c r="C60" s="796"/>
      <c r="D60" s="851"/>
      <c r="E60" s="852"/>
      <c r="F60" s="796"/>
      <c r="G60" s="798"/>
      <c r="H60" s="799"/>
      <c r="I60" s="799"/>
      <c r="J60" s="799"/>
      <c r="K60" s="799"/>
      <c r="L60" s="799"/>
      <c r="M60" s="799"/>
      <c r="N60" s="799"/>
      <c r="O60" s="799"/>
      <c r="P60" s="799"/>
      <c r="Q60" s="799"/>
      <c r="R60" s="799"/>
      <c r="S60" s="799"/>
    </row>
    <row r="61" spans="1:34" ht="15.75" thickBot="1">
      <c r="A61" s="795"/>
      <c r="B61" s="497"/>
      <c r="C61" s="796"/>
      <c r="D61" s="851"/>
      <c r="E61" s="852"/>
      <c r="F61" s="796"/>
      <c r="G61" s="798"/>
      <c r="H61" s="799"/>
      <c r="I61" s="799"/>
      <c r="J61" s="799"/>
      <c r="K61" s="799"/>
      <c r="L61" s="799"/>
      <c r="M61" s="799"/>
      <c r="N61" s="799"/>
      <c r="O61" s="799"/>
      <c r="P61" s="799"/>
      <c r="Q61" s="799"/>
      <c r="R61" s="799"/>
      <c r="S61" s="799"/>
    </row>
    <row r="62" spans="1:34" s="2" customFormat="1" ht="16.5" thickTop="1" thickBot="1">
      <c r="A62" s="691" t="s">
        <v>476</v>
      </c>
      <c r="B62" s="692"/>
      <c r="C62" s="14"/>
      <c r="D62" s="169"/>
      <c r="E62" s="178"/>
      <c r="F62" s="14"/>
      <c r="G62" s="220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s="2" customFormat="1" ht="15.75" thickTop="1">
      <c r="A63" s="795"/>
      <c r="B63" s="497"/>
      <c r="C63" s="796"/>
      <c r="D63" s="851"/>
      <c r="E63" s="852"/>
      <c r="F63" s="796"/>
      <c r="G63" s="798"/>
      <c r="H63" s="799"/>
      <c r="I63" s="799"/>
      <c r="J63" s="799"/>
      <c r="K63" s="799"/>
      <c r="L63" s="799"/>
      <c r="M63" s="799"/>
      <c r="N63" s="799"/>
      <c r="O63" s="799"/>
      <c r="P63" s="799"/>
      <c r="Q63" s="799"/>
      <c r="R63" s="799"/>
      <c r="S63" s="799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s="2" customFormat="1">
      <c r="A64" s="795"/>
      <c r="B64" s="497"/>
      <c r="C64" s="796"/>
      <c r="D64" s="851"/>
      <c r="E64" s="852"/>
      <c r="F64" s="796"/>
      <c r="G64" s="798"/>
      <c r="H64" s="799"/>
      <c r="I64" s="799"/>
      <c r="J64" s="799"/>
      <c r="K64" s="799"/>
      <c r="L64" s="799"/>
      <c r="M64" s="799"/>
      <c r="N64" s="799"/>
      <c r="O64" s="799"/>
      <c r="P64" s="799"/>
      <c r="Q64" s="799"/>
      <c r="R64" s="799"/>
      <c r="S64" s="799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5.75" thickBot="1">
      <c r="A65" s="795"/>
      <c r="B65" s="497"/>
      <c r="C65" s="796"/>
      <c r="D65" s="851"/>
      <c r="E65" s="852"/>
      <c r="F65" s="796"/>
      <c r="G65" s="798"/>
      <c r="H65" s="799"/>
      <c r="I65" s="799"/>
      <c r="J65" s="799"/>
      <c r="K65" s="799"/>
      <c r="L65" s="799"/>
      <c r="M65" s="799"/>
      <c r="N65" s="799"/>
      <c r="O65" s="799"/>
      <c r="P65" s="799"/>
      <c r="Q65" s="799"/>
      <c r="R65" s="799"/>
      <c r="S65" s="799"/>
    </row>
    <row r="66" spans="1:34" s="2" customFormat="1" ht="16.5" thickTop="1" thickBot="1">
      <c r="A66" s="691" t="s">
        <v>477</v>
      </c>
      <c r="B66" s="692"/>
      <c r="C66" s="14"/>
      <c r="D66" s="169"/>
      <c r="E66" s="178"/>
      <c r="F66" s="14"/>
      <c r="G66" s="220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s="2" customFormat="1" ht="15.75" thickTop="1">
      <c r="A67" s="795"/>
      <c r="B67" s="497"/>
      <c r="C67" s="796"/>
      <c r="D67" s="851"/>
      <c r="E67" s="852"/>
      <c r="F67" s="796"/>
      <c r="G67" s="798"/>
      <c r="H67" s="799"/>
      <c r="I67" s="799"/>
      <c r="J67" s="799"/>
      <c r="K67" s="799"/>
      <c r="L67" s="799"/>
      <c r="M67" s="799"/>
      <c r="N67" s="799"/>
      <c r="O67" s="799"/>
      <c r="P67" s="799"/>
      <c r="Q67" s="799"/>
      <c r="R67" s="799"/>
      <c r="S67" s="799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s="2" customFormat="1">
      <c r="A68" s="1144"/>
      <c r="B68" s="497"/>
      <c r="C68" s="506"/>
      <c r="D68" s="507"/>
      <c r="E68" s="508"/>
      <c r="F68" s="506"/>
      <c r="G68" s="498"/>
      <c r="H68" s="1145"/>
      <c r="I68" s="1145"/>
      <c r="J68" s="1145"/>
      <c r="K68" s="1145"/>
      <c r="L68" s="1145"/>
      <c r="M68" s="1145"/>
      <c r="N68" s="1145"/>
      <c r="O68" s="1145"/>
      <c r="P68" s="1145"/>
      <c r="Q68" s="1145"/>
      <c r="R68" s="1145"/>
      <c r="S68" s="1145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s="2" customFormat="1" ht="15.75" thickBot="1">
      <c r="A69" s="1146"/>
      <c r="B69" s="501"/>
      <c r="C69" s="506"/>
      <c r="D69" s="507"/>
      <c r="E69" s="508"/>
      <c r="F69" s="506"/>
      <c r="G69" s="498"/>
      <c r="H69" s="1147"/>
      <c r="I69" s="1147"/>
      <c r="J69" s="1147"/>
      <c r="K69" s="1147"/>
      <c r="L69" s="1147"/>
      <c r="M69" s="1147"/>
      <c r="N69" s="1147"/>
      <c r="O69" s="1147"/>
      <c r="P69" s="1147"/>
      <c r="Q69" s="1147"/>
      <c r="R69" s="1147"/>
      <c r="S69" s="1147"/>
    </row>
    <row r="70" spans="1:34" s="2" customFormat="1" ht="16.5" thickTop="1" thickBot="1">
      <c r="A70" s="691" t="s">
        <v>478</v>
      </c>
      <c r="B70" s="692"/>
      <c r="C70" s="14"/>
      <c r="D70" s="169"/>
      <c r="E70" s="178"/>
      <c r="F70" s="14"/>
      <c r="G70" s="220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5.75" thickTop="1">
      <c r="A71" s="800"/>
      <c r="B71" s="801"/>
      <c r="C71" s="796"/>
      <c r="D71" s="851"/>
      <c r="E71" s="852"/>
      <c r="F71" s="796"/>
      <c r="G71" s="798"/>
      <c r="H71" s="799"/>
      <c r="I71" s="799"/>
      <c r="J71" s="799"/>
      <c r="K71" s="799"/>
      <c r="L71" s="799"/>
      <c r="M71" s="799"/>
      <c r="N71" s="799"/>
      <c r="O71" s="799"/>
      <c r="P71" s="799"/>
      <c r="Q71" s="799"/>
      <c r="R71" s="799"/>
      <c r="S71" s="799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s="1146"/>
      <c r="B72" s="501"/>
      <c r="C72" s="506"/>
      <c r="D72" s="507"/>
      <c r="E72" s="508"/>
      <c r="F72" s="506"/>
      <c r="G72" s="498"/>
      <c r="H72" s="1148"/>
      <c r="I72" s="1148"/>
      <c r="J72" s="1148"/>
      <c r="K72" s="1148"/>
      <c r="L72" s="1148"/>
      <c r="M72" s="1148"/>
      <c r="N72" s="1148"/>
      <c r="O72" s="1148"/>
      <c r="P72" s="1148"/>
      <c r="Q72" s="1148"/>
      <c r="R72" s="1148"/>
      <c r="S72" s="1148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5.75" thickBot="1">
      <c r="A73" s="1146"/>
      <c r="B73" s="501"/>
      <c r="C73" s="506"/>
      <c r="D73" s="507"/>
      <c r="E73" s="508"/>
      <c r="F73" s="506"/>
      <c r="G73" s="498"/>
      <c r="H73" s="1148"/>
      <c r="I73" s="1148"/>
      <c r="J73" s="1148"/>
      <c r="K73" s="1148"/>
      <c r="L73" s="1148"/>
      <c r="M73" s="1148"/>
      <c r="N73" s="1148"/>
      <c r="O73" s="1148"/>
      <c r="P73" s="1148"/>
      <c r="Q73" s="1148"/>
      <c r="R73" s="1148"/>
      <c r="S73" s="1148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6.5" thickTop="1" thickBot="1">
      <c r="A74" s="691" t="s">
        <v>479</v>
      </c>
      <c r="B74" s="692"/>
      <c r="C74" s="14"/>
      <c r="D74" s="169"/>
      <c r="E74" s="178"/>
      <c r="F74" s="14"/>
      <c r="G74" s="220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34" ht="15.75" thickTop="1">
      <c r="A75" s="1144"/>
      <c r="B75" s="497" t="s">
        <v>480</v>
      </c>
      <c r="C75" s="506"/>
      <c r="D75" s="507"/>
      <c r="E75" s="508"/>
      <c r="F75" s="506"/>
      <c r="G75" s="498"/>
      <c r="H75" s="1148"/>
      <c r="I75" s="1148"/>
      <c r="J75" s="1148"/>
      <c r="K75" s="1148"/>
      <c r="L75" s="1148"/>
      <c r="M75" s="1148"/>
      <c r="N75" s="1148"/>
      <c r="O75" s="1148"/>
      <c r="P75" s="1148"/>
      <c r="Q75" s="1148"/>
      <c r="R75" s="1148"/>
      <c r="S75" s="1148"/>
    </row>
    <row r="76" spans="1:34">
      <c r="A76" s="1144"/>
      <c r="B76" s="497" t="s">
        <v>481</v>
      </c>
      <c r="C76" s="506"/>
      <c r="D76" s="507"/>
      <c r="E76" s="508"/>
      <c r="F76" s="506"/>
      <c r="G76" s="498"/>
      <c r="H76" s="1148"/>
      <c r="I76" s="1148"/>
      <c r="J76" s="1148"/>
      <c r="K76" s="1148"/>
      <c r="L76" s="1148"/>
      <c r="M76" s="1148"/>
      <c r="N76" s="1148"/>
      <c r="O76" s="1148"/>
      <c r="P76" s="1148"/>
      <c r="Q76" s="1148"/>
      <c r="R76" s="1148"/>
      <c r="S76" s="1148"/>
    </row>
    <row r="77" spans="1:34">
      <c r="A77" s="1144"/>
      <c r="B77" s="497" t="s">
        <v>482</v>
      </c>
      <c r="C77" s="506"/>
      <c r="D77" s="507"/>
      <c r="E77" s="508"/>
      <c r="F77" s="506"/>
      <c r="G77" s="498"/>
      <c r="H77" s="1148"/>
      <c r="I77" s="1148"/>
      <c r="J77" s="1148"/>
      <c r="K77" s="1148"/>
      <c r="L77" s="1148"/>
      <c r="M77" s="1148"/>
      <c r="N77" s="1148"/>
      <c r="O77" s="1148"/>
      <c r="P77" s="1148"/>
      <c r="Q77" s="1148"/>
      <c r="R77" s="1148"/>
      <c r="S77" s="1148"/>
    </row>
    <row r="78" spans="1:34">
      <c r="A78" s="1144"/>
      <c r="B78" s="497" t="s">
        <v>483</v>
      </c>
      <c r="C78" s="506"/>
      <c r="D78" s="507"/>
      <c r="E78" s="508"/>
      <c r="F78" s="506"/>
      <c r="G78" s="498"/>
      <c r="H78" s="1148"/>
      <c r="I78" s="1148"/>
      <c r="J78" s="1148"/>
      <c r="K78" s="1148"/>
      <c r="L78" s="1148"/>
      <c r="M78" s="1148"/>
      <c r="N78" s="1148"/>
      <c r="O78" s="1148"/>
      <c r="P78" s="1148"/>
      <c r="Q78" s="1148"/>
      <c r="R78" s="1148"/>
      <c r="S78" s="1148"/>
    </row>
    <row r="79" spans="1:34" ht="15.75" thickBot="1">
      <c r="A79" s="23"/>
      <c r="B79" s="7"/>
      <c r="C79" s="8"/>
      <c r="D79" s="166"/>
      <c r="E79" s="172"/>
      <c r="F79" s="8"/>
      <c r="G79" s="221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spans="1:34" ht="16.5" thickTop="1" thickBot="1">
      <c r="A80" s="9" t="s">
        <v>484</v>
      </c>
      <c r="B80" s="10"/>
      <c r="C80" s="14"/>
      <c r="D80" s="169"/>
      <c r="E80" s="178"/>
      <c r="F80" s="14"/>
      <c r="G80" s="220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thickTop="1">
      <c r="A81" s="795"/>
      <c r="B81" s="802" t="s">
        <v>485</v>
      </c>
      <c r="C81" s="796"/>
      <c r="D81" s="851"/>
      <c r="E81" s="852"/>
      <c r="F81" s="796"/>
      <c r="G81" s="798"/>
      <c r="H81" s="803"/>
      <c r="I81" s="803"/>
      <c r="J81" s="803"/>
      <c r="K81" s="803"/>
      <c r="L81" s="803"/>
      <c r="M81" s="803"/>
      <c r="N81" s="803"/>
      <c r="O81" s="803"/>
      <c r="P81" s="803"/>
      <c r="Q81" s="803"/>
      <c r="R81" s="803"/>
      <c r="S81" s="803"/>
    </row>
    <row r="82" spans="1:19">
      <c r="A82" s="1144"/>
      <c r="B82" s="497" t="s">
        <v>486</v>
      </c>
      <c r="C82" s="506"/>
      <c r="D82" s="507"/>
      <c r="E82" s="508"/>
      <c r="F82" s="506"/>
      <c r="G82" s="498"/>
      <c r="H82" s="1149"/>
      <c r="I82" s="1149"/>
      <c r="J82" s="1149"/>
      <c r="K82" s="1149"/>
      <c r="L82" s="1149"/>
      <c r="M82" s="1149"/>
      <c r="N82" s="1149"/>
      <c r="O82" s="1149"/>
      <c r="P82" s="1149"/>
      <c r="Q82" s="1149"/>
      <c r="R82" s="1149"/>
      <c r="S82" s="1149"/>
    </row>
    <row r="83" spans="1:19" ht="15.75" thickBot="1">
      <c r="A83" s="1150"/>
      <c r="B83" s="1151" t="s">
        <v>487</v>
      </c>
      <c r="C83" s="1152"/>
      <c r="D83" s="1153"/>
      <c r="E83" s="1154"/>
      <c r="F83" s="1152"/>
      <c r="G83" s="1155"/>
      <c r="H83" s="1156"/>
      <c r="I83" s="1156"/>
      <c r="J83" s="1156"/>
      <c r="K83" s="1156"/>
      <c r="L83" s="1156"/>
      <c r="M83" s="1156"/>
      <c r="N83" s="1156"/>
      <c r="O83" s="1156"/>
      <c r="P83" s="1156"/>
      <c r="Q83" s="1156"/>
      <c r="R83" s="1156"/>
      <c r="S83" s="1156"/>
    </row>
    <row r="84" spans="1:19" ht="16.5" thickTop="1" thickBot="1"/>
    <row r="85" spans="1:19" ht="16.5" thickTop="1" thickBot="1">
      <c r="A85" s="42" t="s">
        <v>488</v>
      </c>
      <c r="B85" s="44"/>
    </row>
    <row r="86" spans="1:19" ht="15.75" thickTop="1">
      <c r="A86" s="43" t="s">
        <v>444</v>
      </c>
      <c r="B86" s="1157"/>
    </row>
    <row r="87" spans="1:19">
      <c r="A87" s="1158" t="s">
        <v>446</v>
      </c>
      <c r="B87" s="1157"/>
    </row>
    <row r="88" spans="1:19">
      <c r="A88" s="1159" t="s">
        <v>448</v>
      </c>
      <c r="B88" s="1160"/>
    </row>
    <row r="89" spans="1:19">
      <c r="A89" s="1159" t="s">
        <v>450</v>
      </c>
      <c r="B89" s="1161"/>
    </row>
    <row r="90" spans="1:19" s="2" customFormat="1" ht="15.75" thickBot="1">
      <c r="A90" s="1162" t="s">
        <v>489</v>
      </c>
      <c r="B90" s="1163">
        <f>$I$55</f>
        <v>594475</v>
      </c>
      <c r="D90" s="164"/>
      <c r="E90" s="59"/>
    </row>
    <row r="91" spans="1:19" s="2" customFormat="1" ht="15.75" thickTop="1">
      <c r="A91"/>
      <c r="B91" s="1"/>
      <c r="D91" s="164"/>
      <c r="E91" s="59"/>
    </row>
    <row r="92" spans="1:19" s="2" customFormat="1">
      <c r="A92" s="45"/>
      <c r="B92" s="1" t="s">
        <v>490</v>
      </c>
      <c r="D92" s="164"/>
      <c r="E92" s="59"/>
    </row>
    <row r="93" spans="1:19" s="2" customFormat="1">
      <c r="A93" s="46"/>
      <c r="B93" s="1" t="s">
        <v>491</v>
      </c>
      <c r="D93" s="164"/>
      <c r="E93" s="59"/>
    </row>
  </sheetData>
  <mergeCells count="35">
    <mergeCell ref="A58:B58"/>
    <mergeCell ref="A62:B62"/>
    <mergeCell ref="A66:B66"/>
    <mergeCell ref="A70:B70"/>
    <mergeCell ref="A74:B74"/>
    <mergeCell ref="R9:S9"/>
    <mergeCell ref="H8:I8"/>
    <mergeCell ref="J8:K8"/>
    <mergeCell ref="L8:M8"/>
    <mergeCell ref="N8:O8"/>
    <mergeCell ref="P8:Q8"/>
    <mergeCell ref="R8:S8"/>
    <mergeCell ref="H9:I9"/>
    <mergeCell ref="J9:K9"/>
    <mergeCell ref="L9:M9"/>
    <mergeCell ref="N9:O9"/>
    <mergeCell ref="P9:Q9"/>
    <mergeCell ref="R7:S7"/>
    <mergeCell ref="H6:I6"/>
    <mergeCell ref="J6:K6"/>
    <mergeCell ref="L6:M6"/>
    <mergeCell ref="N6:O6"/>
    <mergeCell ref="P6:Q6"/>
    <mergeCell ref="R6:S6"/>
    <mergeCell ref="H7:I7"/>
    <mergeCell ref="J7:K7"/>
    <mergeCell ref="L7:M7"/>
    <mergeCell ref="N7:O7"/>
    <mergeCell ref="P7:Q7"/>
    <mergeCell ref="R5:S5"/>
    <mergeCell ref="H5:I5"/>
    <mergeCell ref="J5:K5"/>
    <mergeCell ref="L5:M5"/>
    <mergeCell ref="N5:O5"/>
    <mergeCell ref="P5:Q5"/>
  </mergeCells>
  <conditionalFormatting sqref="H11:H18 L11:L18 N11:N18 P11:P18 R11:R18 H20:H50 J20:J50 L20:L50 N20:N50 P20:P50 R20:R50">
    <cfRule type="cellIs" dxfId="3" priority="3" operator="equal">
      <formula>"X"</formula>
    </cfRule>
    <cfRule type="cellIs" dxfId="2" priority="4" operator="equal">
      <formula>"I"</formula>
    </cfRule>
  </conditionalFormatting>
  <conditionalFormatting sqref="J11:J18">
    <cfRule type="cellIs" dxfId="1" priority="1" operator="equal">
      <formula>"X"</formula>
    </cfRule>
    <cfRule type="cellIs" dxfId="0" priority="2" operator="equal">
      <formula>"I"</formula>
    </cfRule>
  </conditionalFormatting>
  <hyperlinks>
    <hyperlink ref="B4" location="'Cost Summary'!A1" display="BACK TO SUMMARY SHEET" xr:uid="{B7BEA547-7D42-4BD8-A4BC-0D36DA5C25B0}"/>
  </hyperlinks>
  <pageMargins left="0.2" right="0.2" top="0.5" bottom="0.75" header="0.3" footer="0.3"/>
  <pageSetup paperSize="3" scale="78" fitToHeight="0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0717-7ED9-4DF9-8627-C95B6C913AF4}">
  <dimension ref="A1:AH118"/>
  <sheetViews>
    <sheetView zoomScale="85" zoomScaleNormal="85" workbookViewId="0">
      <pane xSplit="2" ySplit="9" topLeftCell="C56" activePane="bottomRight" state="frozen"/>
      <selection pane="bottomRight" activeCell="I74" sqref="I74:I75"/>
      <selection pane="bottomLeft" activeCell="A10" sqref="A10"/>
      <selection pane="topRight" activeCell="C1" sqref="C1"/>
    </sheetView>
  </sheetViews>
  <sheetFormatPr defaultRowHeight="15"/>
  <cols>
    <col min="1" max="1" width="11" customWidth="1"/>
    <col min="2" max="2" width="70.7109375" style="1" customWidth="1"/>
    <col min="3" max="3" width="10.85546875" style="2" bestFit="1" customWidth="1"/>
    <col min="4" max="5" width="7.5703125" style="2" customWidth="1"/>
    <col min="6" max="6" width="16.5703125" style="2" bestFit="1" customWidth="1"/>
    <col min="7" max="7" width="12.28515625" style="2" customWidth="1"/>
    <col min="8" max="8" width="7.42578125" style="2" bestFit="1" customWidth="1"/>
    <col min="9" max="9" width="14.85546875" style="2" customWidth="1"/>
    <col min="10" max="10" width="7.42578125" style="2" bestFit="1" customWidth="1"/>
    <col min="11" max="11" width="14.85546875" style="2" customWidth="1"/>
    <col min="12" max="12" width="7.42578125" style="2" bestFit="1" customWidth="1"/>
    <col min="13" max="13" width="14.85546875" style="2" customWidth="1"/>
    <col min="14" max="14" width="7.42578125" style="2" bestFit="1" customWidth="1"/>
    <col min="15" max="15" width="14.85546875" style="2" customWidth="1"/>
    <col min="16" max="16" width="7.42578125" style="2" bestFit="1" customWidth="1"/>
    <col min="17" max="17" width="14.85546875" style="2" customWidth="1"/>
    <col min="18" max="18" width="7.42578125" style="2" bestFit="1" customWidth="1"/>
    <col min="19" max="19" width="14.85546875" style="2" customWidth="1"/>
  </cols>
  <sheetData>
    <row r="1" spans="1:19">
      <c r="F1" s="55"/>
      <c r="G1" s="53" t="s">
        <v>436</v>
      </c>
    </row>
    <row r="2" spans="1:19" ht="15.75" thickBot="1">
      <c r="E2" s="49"/>
      <c r="F2" s="52"/>
      <c r="G2" s="53" t="s">
        <v>438</v>
      </c>
      <c r="H2" s="699"/>
      <c r="I2" s="699"/>
      <c r="J2" s="699"/>
      <c r="K2" s="699"/>
      <c r="L2" s="699"/>
      <c r="M2" s="699"/>
      <c r="N2" s="699"/>
      <c r="O2" s="699"/>
      <c r="P2" s="699"/>
      <c r="Q2" s="699"/>
      <c r="R2" s="699"/>
      <c r="S2" s="699"/>
    </row>
    <row r="3" spans="1:19" ht="21" thickBot="1">
      <c r="B3" s="61" t="s">
        <v>441</v>
      </c>
      <c r="F3" s="54"/>
      <c r="G3" s="53" t="s">
        <v>440</v>
      </c>
      <c r="H3" s="697" t="s">
        <v>569</v>
      </c>
      <c r="I3" s="698"/>
      <c r="J3" s="697" t="s">
        <v>570</v>
      </c>
      <c r="K3" s="698"/>
      <c r="L3" s="697" t="s">
        <v>571</v>
      </c>
      <c r="M3" s="698"/>
      <c r="N3" s="697" t="s">
        <v>572</v>
      </c>
      <c r="O3" s="698"/>
      <c r="P3" s="697" t="s">
        <v>573</v>
      </c>
      <c r="Q3" s="698"/>
      <c r="R3" s="697" t="s">
        <v>574</v>
      </c>
      <c r="S3" s="698"/>
    </row>
    <row r="4" spans="1:19" ht="15.75" thickTop="1">
      <c r="A4" s="3" t="s">
        <v>443</v>
      </c>
      <c r="B4" s="4" t="str">
        <f>'Area Calculations'!B4</f>
        <v>Bourbon Hotel Orlando</v>
      </c>
      <c r="C4" s="5"/>
      <c r="D4" s="5"/>
      <c r="E4" s="5"/>
      <c r="F4" s="5"/>
      <c r="G4" s="6" t="s">
        <v>444</v>
      </c>
      <c r="H4" s="673"/>
      <c r="I4" s="674"/>
      <c r="J4" s="673"/>
      <c r="K4" s="674"/>
      <c r="L4" s="673"/>
      <c r="M4" s="674"/>
      <c r="N4" s="673"/>
      <c r="O4" s="674"/>
      <c r="P4" s="673"/>
      <c r="Q4" s="674"/>
      <c r="R4" s="673"/>
      <c r="S4" s="674"/>
    </row>
    <row r="5" spans="1:19">
      <c r="A5" s="1164" t="s">
        <v>575</v>
      </c>
      <c r="B5" s="497" t="s">
        <v>723</v>
      </c>
      <c r="C5" s="506"/>
      <c r="D5" s="506"/>
      <c r="E5" s="506"/>
      <c r="F5" s="506"/>
      <c r="G5" s="462" t="s">
        <v>446</v>
      </c>
      <c r="H5" s="1165"/>
      <c r="I5" s="676"/>
      <c r="J5" s="1165"/>
      <c r="K5" s="676"/>
      <c r="L5" s="1165"/>
      <c r="M5" s="676"/>
      <c r="N5" s="1165"/>
      <c r="O5" s="676"/>
      <c r="P5" s="1165"/>
      <c r="Q5" s="676"/>
      <c r="R5" s="1165"/>
      <c r="S5" s="676"/>
    </row>
    <row r="6" spans="1:19">
      <c r="A6" s="1164" t="s">
        <v>577</v>
      </c>
      <c r="B6" s="509" t="s">
        <v>724</v>
      </c>
      <c r="C6" s="506"/>
      <c r="D6" s="506"/>
      <c r="E6" s="506"/>
      <c r="F6" s="506"/>
      <c r="G6" s="510" t="s">
        <v>448</v>
      </c>
      <c r="H6" s="1166"/>
      <c r="I6" s="678"/>
      <c r="J6" s="1166"/>
      <c r="K6" s="678"/>
      <c r="L6" s="1166"/>
      <c r="M6" s="678"/>
      <c r="N6" s="1166"/>
      <c r="O6" s="678"/>
      <c r="P6" s="1166"/>
      <c r="Q6" s="678"/>
      <c r="R6" s="1166"/>
      <c r="S6" s="678"/>
    </row>
    <row r="7" spans="1:19">
      <c r="A7" s="1164" t="s">
        <v>579</v>
      </c>
      <c r="B7" s="511"/>
      <c r="C7" s="506"/>
      <c r="D7" s="506"/>
      <c r="E7" s="506"/>
      <c r="F7" s="506"/>
      <c r="G7" s="510" t="s">
        <v>450</v>
      </c>
      <c r="H7" s="1167"/>
      <c r="I7" s="680"/>
      <c r="J7" s="1167"/>
      <c r="K7" s="680"/>
      <c r="L7" s="1167"/>
      <c r="M7" s="680"/>
      <c r="N7" s="1167"/>
      <c r="O7" s="680"/>
      <c r="P7" s="1167"/>
      <c r="Q7" s="680"/>
      <c r="R7" s="1167"/>
      <c r="S7" s="680"/>
    </row>
    <row r="8" spans="1:19" ht="15.75" thickBot="1">
      <c r="A8" s="40" t="s">
        <v>451</v>
      </c>
      <c r="B8" s="7"/>
      <c r="C8" s="8"/>
      <c r="D8" s="8"/>
      <c r="E8" s="8"/>
      <c r="F8" s="8"/>
      <c r="G8" s="40" t="s">
        <v>451</v>
      </c>
      <c r="H8" s="1168">
        <f>I73</f>
        <v>0</v>
      </c>
      <c r="I8" s="1169"/>
      <c r="J8" s="1168">
        <f>K73</f>
        <v>0</v>
      </c>
      <c r="K8" s="1169"/>
      <c r="L8" s="1168">
        <f>M73</f>
        <v>0</v>
      </c>
      <c r="M8" s="1169"/>
      <c r="N8" s="1168">
        <f>O73</f>
        <v>0</v>
      </c>
      <c r="O8" s="1169"/>
      <c r="P8" s="1168">
        <f>Q73</f>
        <v>0</v>
      </c>
      <c r="Q8" s="1169"/>
      <c r="R8" s="1168">
        <f>S73</f>
        <v>0</v>
      </c>
      <c r="S8" s="1169"/>
    </row>
    <row r="9" spans="1:19" ht="31.5" thickTop="1" thickBot="1">
      <c r="A9" s="9" t="s">
        <v>452</v>
      </c>
      <c r="B9" s="10"/>
      <c r="C9" s="11" t="s">
        <v>453</v>
      </c>
      <c r="D9" s="11" t="s">
        <v>454</v>
      </c>
      <c r="E9" s="11" t="s">
        <v>455</v>
      </c>
      <c r="F9" s="11" t="s">
        <v>456</v>
      </c>
      <c r="G9" s="12" t="s">
        <v>457</v>
      </c>
      <c r="H9" s="13" t="s">
        <v>458</v>
      </c>
      <c r="I9" s="13" t="s">
        <v>459</v>
      </c>
      <c r="J9" s="13" t="s">
        <v>458</v>
      </c>
      <c r="K9" s="13" t="s">
        <v>459</v>
      </c>
      <c r="L9" s="13" t="s">
        <v>458</v>
      </c>
      <c r="M9" s="13" t="s">
        <v>459</v>
      </c>
      <c r="N9" s="13" t="s">
        <v>458</v>
      </c>
      <c r="O9" s="13" t="s">
        <v>459</v>
      </c>
      <c r="P9" s="13" t="s">
        <v>458</v>
      </c>
      <c r="Q9" s="13" t="s">
        <v>459</v>
      </c>
      <c r="R9" s="13" t="s">
        <v>458</v>
      </c>
      <c r="S9" s="13" t="s">
        <v>459</v>
      </c>
    </row>
    <row r="10" spans="1:19" ht="15.75" hidden="1" thickTop="1">
      <c r="A10" s="1144"/>
      <c r="B10" s="956" t="s">
        <v>580</v>
      </c>
      <c r="C10" s="506"/>
      <c r="D10" s="506"/>
      <c r="E10" s="506"/>
      <c r="F10" s="506"/>
      <c r="G10" s="60"/>
      <c r="H10" s="1170"/>
      <c r="I10" s="1170"/>
      <c r="J10" s="1170"/>
      <c r="K10" s="1170"/>
      <c r="L10" s="1170"/>
      <c r="M10" s="1170"/>
      <c r="N10" s="1170"/>
      <c r="O10" s="1170"/>
      <c r="P10" s="1170"/>
      <c r="Q10" s="1170"/>
      <c r="R10" s="1170"/>
      <c r="S10" s="1170"/>
    </row>
    <row r="11" spans="1:19" ht="15.75" hidden="1" thickTop="1">
      <c r="A11" s="1144"/>
      <c r="B11" s="497" t="e">
        <f>'Area Calculations'!#REF!</f>
        <v>#REF!</v>
      </c>
      <c r="C11" s="958" t="s">
        <v>581</v>
      </c>
      <c r="D11" s="506"/>
      <c r="E11" s="506"/>
      <c r="F11" s="506"/>
      <c r="G11" s="60"/>
      <c r="H11" s="1170"/>
      <c r="I11" s="1170"/>
      <c r="J11" s="1170"/>
      <c r="K11" s="1170"/>
      <c r="L11" s="1170"/>
      <c r="M11" s="1170"/>
      <c r="N11" s="1170"/>
      <c r="O11" s="1170"/>
      <c r="P11" s="1170"/>
      <c r="Q11" s="1170"/>
      <c r="R11" s="1170"/>
      <c r="S11" s="1170"/>
    </row>
    <row r="12" spans="1:19" ht="15.75" hidden="1" thickTop="1">
      <c r="A12" s="1144"/>
      <c r="B12" s="497" t="e">
        <f>'Area Calculations'!#REF!</f>
        <v>#REF!</v>
      </c>
      <c r="C12" s="958" t="s">
        <v>581</v>
      </c>
      <c r="D12" s="506"/>
      <c r="E12" s="506"/>
      <c r="F12" s="506"/>
      <c r="G12" s="60"/>
      <c r="H12" s="1170"/>
      <c r="I12" s="1170"/>
      <c r="J12" s="1170"/>
      <c r="K12" s="1170"/>
      <c r="L12" s="1170"/>
      <c r="M12" s="1170"/>
      <c r="N12" s="1170"/>
      <c r="O12" s="1170"/>
      <c r="P12" s="1170"/>
      <c r="Q12" s="1170"/>
      <c r="R12" s="1170"/>
      <c r="S12" s="1170"/>
    </row>
    <row r="13" spans="1:19" ht="15.75" hidden="1" thickTop="1">
      <c r="A13" s="1144"/>
      <c r="B13" s="497" t="e">
        <f>'Area Calculations'!#REF!</f>
        <v>#REF!</v>
      </c>
      <c r="C13" s="958" t="s">
        <v>581</v>
      </c>
      <c r="D13" s="506"/>
      <c r="E13" s="506"/>
      <c r="F13" s="506"/>
      <c r="G13" s="60"/>
      <c r="H13" s="1170"/>
      <c r="I13" s="1170"/>
      <c r="J13" s="1170"/>
      <c r="K13" s="1170"/>
      <c r="L13" s="1170"/>
      <c r="M13" s="1170"/>
      <c r="N13" s="1170"/>
      <c r="O13" s="1170"/>
      <c r="P13" s="1170"/>
      <c r="Q13" s="1170"/>
      <c r="R13" s="1170"/>
      <c r="S13" s="1170"/>
    </row>
    <row r="14" spans="1:19" ht="15.75" hidden="1" thickTop="1">
      <c r="A14" s="1144"/>
      <c r="B14" s="497" t="e">
        <f>'Area Calculations'!#REF!</f>
        <v>#REF!</v>
      </c>
      <c r="C14" s="958" t="s">
        <v>581</v>
      </c>
      <c r="D14" s="506"/>
      <c r="E14" s="506"/>
      <c r="F14" s="506"/>
      <c r="G14" s="60"/>
      <c r="H14" s="1170"/>
      <c r="I14" s="1170"/>
      <c r="J14" s="1170"/>
      <c r="K14" s="1170"/>
      <c r="L14" s="1170"/>
      <c r="M14" s="1170"/>
      <c r="N14" s="1170"/>
      <c r="O14" s="1170"/>
      <c r="P14" s="1170"/>
      <c r="Q14" s="1170"/>
      <c r="R14" s="1170"/>
      <c r="S14" s="1170"/>
    </row>
    <row r="15" spans="1:19" ht="15.75" hidden="1" thickTop="1">
      <c r="A15" s="1144"/>
      <c r="B15" s="497" t="e">
        <f>'Area Calculations'!#REF!</f>
        <v>#REF!</v>
      </c>
      <c r="C15" s="958" t="s">
        <v>581</v>
      </c>
      <c r="D15" s="506"/>
      <c r="E15" s="506"/>
      <c r="F15" s="506"/>
      <c r="G15" s="60"/>
      <c r="H15" s="1170"/>
      <c r="I15" s="1170"/>
      <c r="J15" s="1170"/>
      <c r="K15" s="1170"/>
      <c r="L15" s="1170"/>
      <c r="M15" s="1170"/>
      <c r="N15" s="1170"/>
      <c r="O15" s="1170"/>
      <c r="P15" s="1170"/>
      <c r="Q15" s="1170"/>
      <c r="R15" s="1170"/>
      <c r="S15" s="1170"/>
    </row>
    <row r="16" spans="1:19" ht="15.75" hidden="1" thickTop="1">
      <c r="A16" s="1144"/>
      <c r="B16" s="497" t="e">
        <f>'Area Calculations'!#REF!</f>
        <v>#REF!</v>
      </c>
      <c r="C16" s="958" t="s">
        <v>581</v>
      </c>
      <c r="D16" s="506"/>
      <c r="E16" s="506"/>
      <c r="F16" s="506"/>
      <c r="G16" s="60"/>
      <c r="H16" s="1170"/>
      <c r="I16" s="1170"/>
      <c r="J16" s="1170"/>
      <c r="K16" s="1170"/>
      <c r="L16" s="1170"/>
      <c r="M16" s="1170"/>
      <c r="N16" s="1170"/>
      <c r="O16" s="1170"/>
      <c r="P16" s="1170"/>
      <c r="Q16" s="1170"/>
      <c r="R16" s="1170"/>
      <c r="S16" s="1170"/>
    </row>
    <row r="17" spans="1:19" ht="15.75" hidden="1" thickTop="1">
      <c r="A17" s="1144"/>
      <c r="B17" s="497" t="e">
        <f>'Area Calculations'!#REF!</f>
        <v>#REF!</v>
      </c>
      <c r="C17" s="958" t="s">
        <v>581</v>
      </c>
      <c r="D17" s="506"/>
      <c r="E17" s="506"/>
      <c r="F17" s="506"/>
      <c r="G17" s="60"/>
      <c r="H17" s="1170"/>
      <c r="I17" s="1170"/>
      <c r="J17" s="1170"/>
      <c r="K17" s="1170"/>
      <c r="L17" s="1170"/>
      <c r="M17" s="1170"/>
      <c r="N17" s="1170"/>
      <c r="O17" s="1170"/>
      <c r="P17" s="1170"/>
      <c r="Q17" s="1170"/>
      <c r="R17" s="1170"/>
      <c r="S17" s="1170"/>
    </row>
    <row r="18" spans="1:19" ht="15.75" hidden="1" thickTop="1">
      <c r="A18" s="1144"/>
      <c r="B18" s="497" t="e">
        <f>'Area Calculations'!#REF!</f>
        <v>#REF!</v>
      </c>
      <c r="C18" s="958" t="s">
        <v>581</v>
      </c>
      <c r="D18" s="506"/>
      <c r="E18" s="506"/>
      <c r="F18" s="506"/>
      <c r="G18" s="60"/>
      <c r="H18" s="1170"/>
      <c r="I18" s="1170"/>
      <c r="J18" s="1170"/>
      <c r="K18" s="1170"/>
      <c r="L18" s="1170"/>
      <c r="M18" s="1170"/>
      <c r="N18" s="1170"/>
      <c r="O18" s="1170"/>
      <c r="P18" s="1170"/>
      <c r="Q18" s="1170"/>
      <c r="R18" s="1170"/>
      <c r="S18" s="1170"/>
    </row>
    <row r="19" spans="1:19" ht="15.75" hidden="1" thickTop="1">
      <c r="A19" s="1144"/>
      <c r="B19" s="497" t="e">
        <f>'Area Calculations'!#REF!</f>
        <v>#REF!</v>
      </c>
      <c r="C19" s="958" t="s">
        <v>581</v>
      </c>
      <c r="D19" s="506"/>
      <c r="E19" s="506"/>
      <c r="F19" s="506"/>
      <c r="G19" s="60"/>
      <c r="H19" s="1170"/>
      <c r="I19" s="1170"/>
      <c r="J19" s="1170"/>
      <c r="K19" s="1170"/>
      <c r="L19" s="1170"/>
      <c r="M19" s="1170"/>
      <c r="N19" s="1170"/>
      <c r="O19" s="1170"/>
      <c r="P19" s="1170"/>
      <c r="Q19" s="1170"/>
      <c r="R19" s="1170"/>
      <c r="S19" s="1170"/>
    </row>
    <row r="20" spans="1:19" ht="15.75" thickTop="1">
      <c r="A20" s="1144"/>
      <c r="B20" s="497"/>
      <c r="C20" s="958"/>
      <c r="D20" s="506"/>
      <c r="E20" s="506"/>
      <c r="F20" s="506"/>
      <c r="G20" s="60"/>
      <c r="H20" s="1170"/>
      <c r="I20" s="1170"/>
      <c r="J20" s="1170"/>
      <c r="K20" s="1170"/>
      <c r="L20" s="1170"/>
      <c r="M20" s="1170"/>
      <c r="N20" s="1170"/>
      <c r="O20" s="1170"/>
      <c r="P20" s="1170"/>
      <c r="Q20" s="1170"/>
      <c r="R20" s="1170"/>
      <c r="S20" s="1170"/>
    </row>
    <row r="21" spans="1:19" ht="15.75" thickBot="1">
      <c r="A21" s="784"/>
      <c r="B21" s="959" t="s">
        <v>725</v>
      </c>
      <c r="C21" s="958"/>
      <c r="D21" s="506"/>
      <c r="E21" s="506"/>
      <c r="F21" s="506"/>
      <c r="G21" s="60"/>
      <c r="H21" s="1171"/>
      <c r="I21" s="782"/>
      <c r="J21" s="783"/>
      <c r="K21" s="783"/>
      <c r="L21" s="1171"/>
      <c r="M21" s="783"/>
      <c r="N21" s="1171"/>
      <c r="O21" s="783"/>
      <c r="P21" s="1171"/>
      <c r="Q21" s="783"/>
      <c r="R21" s="1171"/>
      <c r="S21" s="783"/>
    </row>
    <row r="22" spans="1:19" ht="16.5" hidden="1" thickBot="1">
      <c r="A22" s="784"/>
      <c r="B22" s="1172" t="s">
        <v>726</v>
      </c>
      <c r="C22" s="958"/>
      <c r="D22" s="506"/>
      <c r="E22" s="506"/>
      <c r="F22" s="506"/>
      <c r="G22" s="60"/>
      <c r="H22" s="1171"/>
      <c r="I22" s="782"/>
      <c r="J22" s="783"/>
      <c r="K22" s="783"/>
      <c r="L22" s="1171"/>
      <c r="M22" s="783"/>
      <c r="N22" s="1171"/>
      <c r="O22" s="783"/>
      <c r="P22" s="1171"/>
      <c r="Q22" s="783"/>
      <c r="R22" s="1171"/>
      <c r="S22" s="783"/>
    </row>
    <row r="23" spans="1:19" ht="16.5" thickBot="1">
      <c r="A23" s="781"/>
      <c r="B23" s="1173" t="s">
        <v>460</v>
      </c>
      <c r="C23" s="1174"/>
      <c r="D23" s="506"/>
      <c r="E23" s="506"/>
      <c r="F23" s="506"/>
      <c r="G23" s="60"/>
      <c r="H23" s="1171"/>
      <c r="I23" s="782"/>
      <c r="J23" s="1171"/>
      <c r="K23" s="47"/>
      <c r="L23" s="1171"/>
      <c r="M23" s="783"/>
      <c r="N23" s="1171"/>
      <c r="O23" s="783"/>
      <c r="P23" s="1171"/>
      <c r="Q23" s="783"/>
      <c r="R23" s="1171"/>
      <c r="S23" s="783"/>
    </row>
    <row r="24" spans="1:19">
      <c r="A24" s="784"/>
      <c r="B24" s="1175" t="s">
        <v>461</v>
      </c>
      <c r="C24" s="958"/>
      <c r="D24" s="506"/>
      <c r="E24" s="506"/>
      <c r="F24" s="506"/>
      <c r="G24" s="60"/>
      <c r="H24" s="1171"/>
      <c r="I24" s="782"/>
      <c r="J24" s="1171"/>
      <c r="K24" s="783"/>
      <c r="L24" s="1171"/>
      <c r="M24" s="783"/>
      <c r="N24" s="1171"/>
      <c r="O24" s="783"/>
      <c r="P24" s="1171"/>
      <c r="Q24" s="783"/>
      <c r="R24" s="1171"/>
      <c r="S24" s="783"/>
    </row>
    <row r="25" spans="1:19">
      <c r="A25" s="1176"/>
      <c r="B25" s="1177" t="s">
        <v>462</v>
      </c>
      <c r="C25" s="958"/>
      <c r="D25" s="506"/>
      <c r="E25" s="506"/>
      <c r="F25" s="506"/>
      <c r="G25" s="60"/>
      <c r="H25" s="1171"/>
      <c r="I25" s="782"/>
      <c r="J25" s="1171"/>
      <c r="K25" s="783"/>
      <c r="L25" s="1171"/>
      <c r="M25" s="783"/>
      <c r="N25" s="1171"/>
      <c r="O25" s="783"/>
      <c r="P25" s="1171"/>
      <c r="Q25" s="783"/>
      <c r="R25" s="1171"/>
      <c r="S25" s="783"/>
    </row>
    <row r="26" spans="1:19">
      <c r="A26" s="1176"/>
      <c r="B26" s="1178" t="s">
        <v>463</v>
      </c>
      <c r="C26" s="958"/>
      <c r="D26" s="506"/>
      <c r="E26" s="506"/>
      <c r="F26" s="506"/>
      <c r="G26" s="60"/>
      <c r="H26" s="1171"/>
      <c r="I26" s="782"/>
      <c r="J26" s="1171"/>
      <c r="K26" s="783"/>
      <c r="L26" s="1171"/>
      <c r="M26" s="783"/>
      <c r="N26" s="1171"/>
      <c r="O26" s="783"/>
      <c r="P26" s="1171"/>
      <c r="Q26" s="783"/>
      <c r="R26" s="1171"/>
      <c r="S26" s="783"/>
    </row>
    <row r="27" spans="1:19">
      <c r="A27" s="1176"/>
      <c r="B27" s="1178" t="s">
        <v>464</v>
      </c>
      <c r="C27" s="958"/>
      <c r="D27" s="506"/>
      <c r="E27" s="506"/>
      <c r="F27" s="506"/>
      <c r="G27" s="60"/>
      <c r="H27" s="1171"/>
      <c r="I27" s="782"/>
      <c r="J27" s="1171"/>
      <c r="K27" s="782"/>
      <c r="L27" s="1171"/>
      <c r="M27" s="782"/>
      <c r="N27" s="1171"/>
      <c r="O27" s="782"/>
      <c r="P27" s="1171"/>
      <c r="Q27" s="782"/>
      <c r="R27" s="1171"/>
      <c r="S27" s="782"/>
    </row>
    <row r="28" spans="1:19">
      <c r="A28" s="1176"/>
      <c r="B28" s="1178" t="s">
        <v>465</v>
      </c>
      <c r="C28" s="958"/>
      <c r="D28" s="506"/>
      <c r="E28" s="506"/>
      <c r="F28" s="506"/>
      <c r="G28" s="60"/>
      <c r="H28" s="1171"/>
      <c r="I28" s="782"/>
      <c r="J28" s="1171"/>
      <c r="K28" s="783"/>
      <c r="L28" s="1171"/>
      <c r="M28" s="783"/>
      <c r="N28" s="1171"/>
      <c r="O28" s="783"/>
      <c r="P28" s="1171"/>
      <c r="Q28" s="783"/>
      <c r="R28" s="1171"/>
      <c r="S28" s="783"/>
    </row>
    <row r="29" spans="1:19">
      <c r="A29" s="1176"/>
      <c r="B29" s="1178" t="s">
        <v>466</v>
      </c>
      <c r="C29" s="958"/>
      <c r="D29" s="506"/>
      <c r="E29" s="506"/>
      <c r="F29" s="517"/>
      <c r="G29" s="60"/>
      <c r="H29" s="1171"/>
      <c r="I29" s="782"/>
      <c r="J29" s="1171"/>
      <c r="K29" s="783"/>
      <c r="L29" s="1171"/>
      <c r="M29" s="783"/>
      <c r="N29" s="1171"/>
      <c r="O29" s="783"/>
      <c r="P29" s="1171"/>
      <c r="Q29" s="783"/>
      <c r="R29" s="1171"/>
      <c r="S29" s="783"/>
    </row>
    <row r="30" spans="1:19">
      <c r="A30" s="1176"/>
      <c r="B30" s="1179" t="s">
        <v>467</v>
      </c>
      <c r="C30" s="958"/>
      <c r="D30" s="506"/>
      <c r="E30" s="506"/>
      <c r="F30" s="517"/>
      <c r="G30" s="60"/>
      <c r="H30" s="1171"/>
      <c r="I30" s="782"/>
      <c r="J30" s="1171"/>
      <c r="K30" s="783"/>
      <c r="L30" s="1171"/>
      <c r="M30" s="783"/>
      <c r="N30" s="1171"/>
      <c r="O30" s="783"/>
      <c r="P30" s="1171"/>
      <c r="Q30" s="783"/>
      <c r="R30" s="1171"/>
      <c r="S30" s="783"/>
    </row>
    <row r="31" spans="1:19">
      <c r="A31" s="1176"/>
      <c r="B31" s="967" t="s">
        <v>468</v>
      </c>
      <c r="C31" s="1180"/>
      <c r="D31" s="513"/>
      <c r="E31" s="513"/>
      <c r="F31" s="513"/>
      <c r="G31" s="1181"/>
      <c r="H31" s="1182"/>
      <c r="I31" s="1182"/>
      <c r="J31" s="1182"/>
      <c r="K31" s="1182"/>
      <c r="L31" s="1183"/>
      <c r="M31" s="1184"/>
      <c r="N31" s="1182"/>
      <c r="O31" s="1182"/>
      <c r="P31" s="1182"/>
      <c r="Q31" s="1182"/>
      <c r="R31" s="1185"/>
      <c r="S31" s="1184"/>
    </row>
    <row r="32" spans="1:19">
      <c r="A32" s="1176"/>
      <c r="B32" s="1186"/>
      <c r="C32" s="958"/>
      <c r="D32" s="506"/>
      <c r="E32" s="506"/>
      <c r="F32" s="517"/>
      <c r="G32" s="60"/>
      <c r="H32" s="1171"/>
      <c r="I32" s="782"/>
      <c r="J32" s="1171"/>
      <c r="K32" s="783"/>
      <c r="L32" s="1171"/>
      <c r="M32" s="783"/>
      <c r="N32" s="1171"/>
      <c r="O32" s="783"/>
      <c r="P32" s="1171"/>
      <c r="Q32" s="783"/>
      <c r="R32" s="1171"/>
      <c r="S32" s="783"/>
    </row>
    <row r="33" spans="1:19" ht="15.75">
      <c r="A33" s="1176"/>
      <c r="B33" s="1187" t="s">
        <v>727</v>
      </c>
      <c r="C33" s="958"/>
      <c r="D33" s="964">
        <v>1</v>
      </c>
      <c r="E33" s="506" t="s">
        <v>645</v>
      </c>
      <c r="F33" s="517">
        <v>49418.3</v>
      </c>
      <c r="G33" s="60"/>
      <c r="H33" s="1171"/>
      <c r="I33" s="782"/>
      <c r="J33" s="1171"/>
      <c r="K33" s="783"/>
      <c r="L33" s="1171"/>
      <c r="M33" s="783"/>
      <c r="N33" s="1171"/>
      <c r="O33" s="783"/>
      <c r="P33" s="1171"/>
      <c r="Q33" s="783"/>
      <c r="R33" s="1171"/>
      <c r="S33" s="783"/>
    </row>
    <row r="34" spans="1:19">
      <c r="A34" s="1176"/>
      <c r="B34" s="1188" t="s">
        <v>728</v>
      </c>
      <c r="C34" s="958"/>
      <c r="D34" s="506"/>
      <c r="E34" s="506"/>
      <c r="F34" s="517"/>
      <c r="G34" s="60"/>
      <c r="H34" s="1171"/>
      <c r="I34" s="782"/>
      <c r="J34" s="1171"/>
      <c r="K34" s="783"/>
      <c r="L34" s="1171"/>
      <c r="M34" s="783"/>
      <c r="N34" s="1171"/>
      <c r="O34" s="783"/>
      <c r="P34" s="1171"/>
      <c r="Q34" s="783"/>
      <c r="R34" s="1171"/>
      <c r="S34" s="783"/>
    </row>
    <row r="35" spans="1:19">
      <c r="A35" s="1176"/>
      <c r="B35" s="1188" t="s">
        <v>729</v>
      </c>
      <c r="C35" s="491"/>
      <c r="D35" s="491"/>
      <c r="E35" s="506"/>
      <c r="F35" s="517"/>
      <c r="G35" s="60"/>
      <c r="H35" s="1171"/>
      <c r="I35" s="782"/>
      <c r="J35" s="1171"/>
      <c r="K35" s="783"/>
      <c r="L35" s="1171"/>
      <c r="M35" s="782"/>
      <c r="N35" s="1171"/>
      <c r="O35" s="782"/>
      <c r="P35" s="1171"/>
      <c r="Q35" s="783"/>
      <c r="R35" s="1171"/>
      <c r="S35" s="783"/>
    </row>
    <row r="36" spans="1:19">
      <c r="A36" s="1176"/>
      <c r="B36" s="1188" t="s">
        <v>730</v>
      </c>
      <c r="C36" s="491"/>
      <c r="D36" s="491"/>
      <c r="E36" s="506"/>
      <c r="F36" s="517"/>
      <c r="G36" s="60"/>
      <c r="H36" s="1171"/>
      <c r="I36" s="782"/>
      <c r="J36" s="1171"/>
      <c r="K36" s="783"/>
      <c r="L36" s="1171"/>
      <c r="M36" s="783"/>
      <c r="N36" s="1171"/>
      <c r="O36" s="783"/>
      <c r="P36" s="1171"/>
      <c r="Q36" s="783"/>
      <c r="R36" s="1171"/>
      <c r="S36" s="783"/>
    </row>
    <row r="37" spans="1:19">
      <c r="A37" s="1176"/>
      <c r="B37" s="1189" t="s">
        <v>731</v>
      </c>
      <c r="C37" s="491"/>
      <c r="D37" s="491"/>
      <c r="E37" s="506"/>
      <c r="F37" s="517"/>
      <c r="G37" s="60"/>
      <c r="H37" s="1171"/>
      <c r="I37" s="782"/>
      <c r="J37" s="1171"/>
      <c r="K37" s="783"/>
      <c r="L37" s="1171"/>
      <c r="M37" s="783"/>
      <c r="N37" s="1171"/>
      <c r="O37" s="783"/>
      <c r="P37" s="1171"/>
      <c r="Q37" s="783"/>
      <c r="R37" s="1171"/>
      <c r="S37" s="783"/>
    </row>
    <row r="38" spans="1:19">
      <c r="A38" s="1176"/>
      <c r="B38" s="1188" t="s">
        <v>732</v>
      </c>
      <c r="C38" s="491"/>
      <c r="D38" s="491"/>
      <c r="E38" s="506"/>
      <c r="F38" s="517"/>
      <c r="G38" s="60"/>
      <c r="H38" s="1171"/>
      <c r="I38" s="782"/>
      <c r="J38" s="1171"/>
      <c r="K38" s="783"/>
      <c r="L38" s="1171"/>
      <c r="M38" s="783"/>
      <c r="N38" s="1171"/>
      <c r="O38" s="783"/>
      <c r="P38" s="1171"/>
      <c r="Q38" s="783"/>
      <c r="R38" s="1171"/>
      <c r="S38" s="783"/>
    </row>
    <row r="39" spans="1:19">
      <c r="A39" s="1176"/>
      <c r="B39" s="1189" t="s">
        <v>733</v>
      </c>
      <c r="C39" s="491"/>
      <c r="D39" s="491"/>
      <c r="E39" s="506"/>
      <c r="F39" s="517"/>
      <c r="G39" s="60"/>
      <c r="H39" s="1171"/>
      <c r="I39" s="782"/>
      <c r="J39" s="1171"/>
      <c r="K39" s="783"/>
      <c r="L39" s="1171"/>
      <c r="M39" s="783"/>
      <c r="N39" s="1171"/>
      <c r="O39" s="783"/>
      <c r="P39" s="1171"/>
      <c r="Q39" s="783"/>
      <c r="R39" s="1171"/>
      <c r="S39" s="783"/>
    </row>
    <row r="40" spans="1:19">
      <c r="A40" s="1176"/>
      <c r="B40" s="1190"/>
      <c r="C40" s="491"/>
      <c r="D40" s="491"/>
      <c r="E40" s="506"/>
      <c r="F40" s="517"/>
      <c r="G40" s="60"/>
      <c r="H40" s="1171"/>
      <c r="I40" s="782"/>
      <c r="J40" s="1171"/>
      <c r="K40" s="783"/>
      <c r="L40" s="1171"/>
      <c r="M40" s="783"/>
      <c r="N40" s="1171"/>
      <c r="O40" s="783"/>
      <c r="P40" s="1171"/>
      <c r="Q40" s="783"/>
      <c r="R40" s="1171"/>
      <c r="S40" s="783"/>
    </row>
    <row r="41" spans="1:19" ht="15.75">
      <c r="A41" s="1176"/>
      <c r="B41" s="1187" t="s">
        <v>727</v>
      </c>
      <c r="C41" s="491"/>
      <c r="D41" s="491">
        <v>1</v>
      </c>
      <c r="E41" s="506" t="s">
        <v>645</v>
      </c>
      <c r="F41" s="517">
        <v>50298.3</v>
      </c>
      <c r="G41" s="60"/>
      <c r="H41" s="1171"/>
      <c r="I41" s="782"/>
      <c r="J41" s="1171"/>
      <c r="K41" s="783"/>
      <c r="L41" s="1171"/>
      <c r="M41" s="783"/>
      <c r="N41" s="1171"/>
      <c r="O41" s="783"/>
      <c r="P41" s="1171"/>
      <c r="Q41" s="783"/>
      <c r="R41" s="1171"/>
      <c r="S41" s="783"/>
    </row>
    <row r="42" spans="1:19">
      <c r="A42" s="1176"/>
      <c r="B42" s="1188" t="s">
        <v>728</v>
      </c>
      <c r="C42" s="491"/>
      <c r="D42" s="491"/>
      <c r="E42" s="506"/>
      <c r="F42" s="517"/>
      <c r="G42" s="60"/>
      <c r="H42" s="1171"/>
      <c r="I42" s="782"/>
      <c r="J42" s="1171"/>
      <c r="K42" s="783"/>
      <c r="L42" s="1171"/>
      <c r="M42" s="783"/>
      <c r="N42" s="1171"/>
      <c r="O42" s="783"/>
      <c r="P42" s="1171"/>
      <c r="Q42" s="783"/>
      <c r="R42" s="1171"/>
      <c r="S42" s="783"/>
    </row>
    <row r="43" spans="1:19">
      <c r="A43" s="1176"/>
      <c r="B43" s="1188" t="s">
        <v>729</v>
      </c>
      <c r="C43" s="491"/>
      <c r="D43" s="491"/>
      <c r="E43" s="506"/>
      <c r="F43" s="517"/>
      <c r="G43" s="60"/>
      <c r="H43" s="1171"/>
      <c r="I43" s="782"/>
      <c r="J43" s="1171"/>
      <c r="K43" s="783"/>
      <c r="L43" s="1171"/>
      <c r="M43" s="783"/>
      <c r="N43" s="1171"/>
      <c r="O43" s="783"/>
      <c r="P43" s="1171"/>
      <c r="Q43" s="783"/>
      <c r="R43" s="1171"/>
      <c r="S43" s="783"/>
    </row>
    <row r="44" spans="1:19">
      <c r="A44" s="1176"/>
      <c r="B44" s="1188" t="s">
        <v>734</v>
      </c>
      <c r="C44" s="491"/>
      <c r="D44" s="491"/>
      <c r="E44" s="506"/>
      <c r="F44" s="517"/>
      <c r="G44" s="60"/>
      <c r="H44" s="1171"/>
      <c r="I44" s="782"/>
      <c r="J44" s="1171"/>
      <c r="K44" s="783"/>
      <c r="L44" s="1171"/>
      <c r="M44" s="783"/>
      <c r="N44" s="1171"/>
      <c r="O44" s="783"/>
      <c r="P44" s="1171"/>
      <c r="Q44" s="783"/>
      <c r="R44" s="1171"/>
      <c r="S44" s="783"/>
    </row>
    <row r="45" spans="1:19">
      <c r="A45" s="1176"/>
      <c r="B45" s="1189" t="s">
        <v>731</v>
      </c>
      <c r="C45" s="491"/>
      <c r="D45" s="491"/>
      <c r="E45" s="506"/>
      <c r="F45" s="517"/>
      <c r="G45" s="60"/>
      <c r="H45" s="1171"/>
      <c r="I45" s="782"/>
      <c r="J45" s="1171"/>
      <c r="K45" s="783"/>
      <c r="L45" s="1171"/>
      <c r="M45" s="783"/>
      <c r="N45" s="1171"/>
      <c r="O45" s="783"/>
      <c r="P45" s="1171"/>
      <c r="Q45" s="783"/>
      <c r="R45" s="1171"/>
      <c r="S45" s="783"/>
    </row>
    <row r="46" spans="1:19">
      <c r="A46" s="1176"/>
      <c r="B46" s="1188" t="s">
        <v>732</v>
      </c>
      <c r="C46" s="491"/>
      <c r="D46" s="491"/>
      <c r="E46" s="506"/>
      <c r="F46" s="517"/>
      <c r="G46" s="60"/>
      <c r="H46" s="1171"/>
      <c r="I46" s="782"/>
      <c r="J46" s="1171"/>
      <c r="K46" s="783"/>
      <c r="L46" s="1171"/>
      <c r="M46" s="783"/>
      <c r="N46" s="1171"/>
      <c r="O46" s="783"/>
      <c r="P46" s="1171"/>
      <c r="Q46" s="783"/>
      <c r="R46" s="1171"/>
      <c r="S46" s="783"/>
    </row>
    <row r="47" spans="1:19">
      <c r="A47" s="1176"/>
      <c r="B47" s="1189" t="s">
        <v>735</v>
      </c>
      <c r="C47" s="491"/>
      <c r="D47" s="491"/>
      <c r="E47" s="506"/>
      <c r="F47" s="506"/>
      <c r="G47" s="60"/>
      <c r="H47" s="1171"/>
      <c r="I47" s="782"/>
      <c r="J47" s="1171"/>
      <c r="K47" s="783"/>
      <c r="L47" s="1171"/>
      <c r="M47" s="783"/>
      <c r="N47" s="1171"/>
      <c r="O47" s="783"/>
      <c r="P47" s="1171"/>
      <c r="Q47" s="783"/>
      <c r="R47" s="1171"/>
      <c r="S47" s="783"/>
    </row>
    <row r="48" spans="1:19">
      <c r="A48" s="1176"/>
      <c r="B48" s="1191"/>
      <c r="C48" s="491"/>
      <c r="D48" s="491"/>
      <c r="E48" s="506"/>
      <c r="F48" s="506"/>
      <c r="G48" s="60"/>
      <c r="H48" s="1171"/>
      <c r="I48" s="782"/>
      <c r="J48" s="1171"/>
      <c r="K48" s="783"/>
      <c r="L48" s="1171"/>
      <c r="M48" s="783"/>
      <c r="N48" s="1171"/>
      <c r="O48" s="783"/>
      <c r="P48" s="1171"/>
      <c r="Q48" s="783"/>
      <c r="R48" s="1171"/>
      <c r="S48" s="783"/>
    </row>
    <row r="49" spans="1:19" ht="15.75">
      <c r="A49" s="1176"/>
      <c r="B49" s="1187" t="s">
        <v>727</v>
      </c>
      <c r="C49" s="958"/>
      <c r="D49" s="491">
        <v>1</v>
      </c>
      <c r="E49" s="506" t="s">
        <v>645</v>
      </c>
      <c r="F49" s="517">
        <v>52852</v>
      </c>
      <c r="G49" s="60"/>
      <c r="H49" s="1171"/>
      <c r="I49" s="782"/>
      <c r="J49" s="1171"/>
      <c r="K49" s="783"/>
      <c r="L49" s="1171"/>
      <c r="M49" s="783"/>
      <c r="N49" s="1171"/>
      <c r="O49" s="783"/>
      <c r="P49" s="1171"/>
      <c r="Q49" s="782"/>
      <c r="R49" s="1171"/>
      <c r="S49" s="782"/>
    </row>
    <row r="50" spans="1:19">
      <c r="A50" s="1176"/>
      <c r="B50" s="1188" t="s">
        <v>736</v>
      </c>
      <c r="C50" s="958"/>
      <c r="D50" s="506"/>
      <c r="E50" s="506"/>
      <c r="F50" s="506"/>
      <c r="G50" s="60"/>
      <c r="H50" s="1171"/>
      <c r="I50" s="782"/>
      <c r="J50" s="1171"/>
      <c r="K50" s="783"/>
      <c r="L50" s="1171"/>
      <c r="M50" s="783"/>
      <c r="N50" s="1171"/>
      <c r="O50" s="783"/>
      <c r="P50" s="1171"/>
      <c r="Q50" s="783"/>
      <c r="R50" s="1171"/>
      <c r="S50" s="783"/>
    </row>
    <row r="51" spans="1:19">
      <c r="A51" s="1176"/>
      <c r="B51" s="1188" t="s">
        <v>729</v>
      </c>
      <c r="C51" s="958"/>
      <c r="D51" s="506"/>
      <c r="E51" s="506"/>
      <c r="F51" s="517"/>
      <c r="G51" s="60"/>
      <c r="H51" s="1171"/>
      <c r="I51" s="782"/>
      <c r="J51" s="1171"/>
      <c r="K51" s="783"/>
      <c r="L51" s="1171"/>
      <c r="M51" s="783"/>
      <c r="N51" s="1171"/>
      <c r="O51" s="783"/>
      <c r="P51" s="1171"/>
      <c r="Q51" s="783"/>
      <c r="R51" s="1171"/>
      <c r="S51" s="783"/>
    </row>
    <row r="52" spans="1:19">
      <c r="A52" s="1176"/>
      <c r="B52" s="1188" t="s">
        <v>737</v>
      </c>
      <c r="C52" s="958"/>
      <c r="D52" s="506"/>
      <c r="E52" s="506"/>
      <c r="F52" s="517"/>
      <c r="G52" s="60"/>
      <c r="H52" s="1171"/>
      <c r="I52" s="782"/>
      <c r="J52" s="1171"/>
      <c r="K52" s="783"/>
      <c r="L52" s="1171"/>
      <c r="M52" s="783"/>
      <c r="N52" s="1171"/>
      <c r="O52" s="783"/>
      <c r="P52" s="1171"/>
      <c r="Q52" s="783"/>
      <c r="R52" s="1171"/>
      <c r="S52" s="783"/>
    </row>
    <row r="53" spans="1:19">
      <c r="A53" s="1176"/>
      <c r="B53" s="1189" t="s">
        <v>738</v>
      </c>
      <c r="C53" s="958"/>
      <c r="D53" s="506"/>
      <c r="E53" s="506"/>
      <c r="F53" s="517"/>
      <c r="G53" s="60"/>
      <c r="H53" s="1171"/>
      <c r="I53" s="782"/>
      <c r="J53" s="1171"/>
      <c r="K53" s="783"/>
      <c r="L53" s="1171"/>
      <c r="M53" s="783"/>
      <c r="N53" s="1171"/>
      <c r="O53" s="783"/>
      <c r="P53" s="1171"/>
      <c r="Q53" s="783"/>
      <c r="R53" s="1171"/>
      <c r="S53" s="783"/>
    </row>
    <row r="54" spans="1:19">
      <c r="A54" s="1176"/>
      <c r="B54" s="1188" t="s">
        <v>739</v>
      </c>
      <c r="C54" s="958"/>
      <c r="D54" s="506"/>
      <c r="E54" s="506"/>
      <c r="F54" s="517"/>
      <c r="G54" s="60"/>
      <c r="H54" s="1171"/>
      <c r="I54" s="782"/>
      <c r="J54" s="1171"/>
      <c r="K54" s="783"/>
      <c r="L54" s="1171"/>
      <c r="M54" s="783"/>
      <c r="N54" s="1171"/>
      <c r="O54" s="783"/>
      <c r="P54" s="1171"/>
      <c r="Q54" s="783"/>
      <c r="R54" s="1171"/>
      <c r="S54" s="783"/>
    </row>
    <row r="55" spans="1:19">
      <c r="A55" s="1176"/>
      <c r="B55" s="1189" t="s">
        <v>740</v>
      </c>
      <c r="C55" s="958"/>
      <c r="D55" s="506"/>
      <c r="E55" s="506"/>
      <c r="F55" s="517"/>
      <c r="G55" s="60"/>
      <c r="H55" s="1171"/>
      <c r="I55" s="782"/>
      <c r="J55" s="1171"/>
      <c r="K55" s="783"/>
      <c r="L55" s="1171"/>
      <c r="M55" s="783"/>
      <c r="N55" s="1171"/>
      <c r="O55" s="783"/>
      <c r="P55" s="1171"/>
      <c r="Q55" s="783"/>
      <c r="R55" s="1171"/>
      <c r="S55" s="783"/>
    </row>
    <row r="56" spans="1:19">
      <c r="A56" s="1176"/>
      <c r="B56" s="1191"/>
      <c r="C56" s="958"/>
      <c r="D56" s="506"/>
      <c r="E56" s="506"/>
      <c r="F56" s="517"/>
      <c r="G56" s="60"/>
      <c r="H56" s="1171"/>
      <c r="I56" s="782"/>
      <c r="J56" s="1171"/>
      <c r="K56" s="783"/>
      <c r="L56" s="1171"/>
      <c r="M56" s="783"/>
      <c r="N56" s="1171"/>
      <c r="O56" s="783"/>
      <c r="P56" s="1171"/>
      <c r="Q56" s="783"/>
      <c r="R56" s="1171"/>
      <c r="S56" s="783"/>
    </row>
    <row r="57" spans="1:19">
      <c r="A57" s="1176"/>
      <c r="B57" s="1191"/>
      <c r="C57" s="958"/>
      <c r="D57" s="506"/>
      <c r="E57" s="506"/>
      <c r="F57" s="517"/>
      <c r="G57" s="60"/>
      <c r="H57" s="1171"/>
      <c r="I57" s="782"/>
      <c r="J57" s="1171"/>
      <c r="K57" s="783"/>
      <c r="L57" s="1171"/>
      <c r="M57" s="783"/>
      <c r="N57" s="1171"/>
      <c r="O57" s="783"/>
      <c r="P57" s="1171"/>
      <c r="Q57" s="783"/>
      <c r="R57" s="1171"/>
      <c r="S57" s="783"/>
    </row>
    <row r="58" spans="1:19" ht="15.75">
      <c r="A58" s="1176"/>
      <c r="B58" s="1187" t="s">
        <v>741</v>
      </c>
      <c r="C58" s="958"/>
      <c r="D58" s="506">
        <v>1</v>
      </c>
      <c r="E58" s="506" t="s">
        <v>645</v>
      </c>
      <c r="F58" s="517">
        <v>74300.800000000003</v>
      </c>
      <c r="G58" s="60"/>
      <c r="H58" s="1171"/>
      <c r="I58" s="782"/>
      <c r="J58" s="1171"/>
      <c r="K58" s="783"/>
      <c r="L58" s="1171"/>
      <c r="M58" s="783"/>
      <c r="N58" s="1171"/>
      <c r="O58" s="783"/>
      <c r="P58" s="1171"/>
      <c r="Q58" s="783"/>
      <c r="R58" s="1171"/>
      <c r="S58" s="783"/>
    </row>
    <row r="59" spans="1:19">
      <c r="A59" s="1176"/>
      <c r="B59" s="1191" t="s">
        <v>742</v>
      </c>
      <c r="C59" s="958"/>
      <c r="D59" s="506"/>
      <c r="E59" s="506"/>
      <c r="F59" s="517"/>
      <c r="G59" s="60"/>
      <c r="H59" s="1171"/>
      <c r="I59" s="782"/>
      <c r="J59" s="1171"/>
      <c r="K59" s="783"/>
      <c r="L59" s="1171"/>
      <c r="M59" s="783"/>
      <c r="N59" s="1171"/>
      <c r="O59" s="783"/>
      <c r="P59" s="1171"/>
      <c r="Q59" s="783"/>
      <c r="R59" s="1171"/>
      <c r="S59" s="783"/>
    </row>
    <row r="60" spans="1:19">
      <c r="A60" s="1176"/>
      <c r="B60" s="1191" t="s">
        <v>743</v>
      </c>
      <c r="C60" s="958"/>
      <c r="D60" s="506"/>
      <c r="E60" s="506"/>
      <c r="F60" s="517"/>
      <c r="G60" s="60"/>
      <c r="H60" s="1171"/>
      <c r="I60" s="782"/>
      <c r="J60" s="1171"/>
      <c r="K60" s="783"/>
      <c r="L60" s="1171"/>
      <c r="M60" s="783"/>
      <c r="N60" s="1171"/>
      <c r="O60" s="783"/>
      <c r="P60" s="1171"/>
      <c r="Q60" s="783"/>
      <c r="R60" s="1171"/>
      <c r="S60" s="783"/>
    </row>
    <row r="61" spans="1:19">
      <c r="A61" s="1176"/>
      <c r="B61" s="1191" t="s">
        <v>744</v>
      </c>
      <c r="C61" s="958"/>
      <c r="D61" s="506"/>
      <c r="E61" s="506"/>
      <c r="F61" s="517"/>
      <c r="G61" s="60"/>
      <c r="H61" s="1171"/>
      <c r="I61" s="782"/>
      <c r="J61" s="1171"/>
      <c r="K61" s="783"/>
      <c r="L61" s="1171"/>
      <c r="M61" s="783"/>
      <c r="N61" s="1171"/>
      <c r="O61" s="783"/>
      <c r="P61" s="1171"/>
      <c r="Q61" s="783"/>
      <c r="R61" s="1171"/>
      <c r="S61" s="783"/>
    </row>
    <row r="62" spans="1:19">
      <c r="A62" s="1176"/>
      <c r="B62" s="1191"/>
      <c r="C62" s="958"/>
      <c r="D62" s="506"/>
      <c r="E62" s="506"/>
      <c r="F62" s="517"/>
      <c r="G62" s="60"/>
      <c r="H62" s="1171"/>
      <c r="I62" s="782"/>
      <c r="J62" s="1171"/>
      <c r="K62" s="783"/>
      <c r="L62" s="1171"/>
      <c r="M62" s="783"/>
      <c r="N62" s="1171"/>
      <c r="O62" s="783"/>
      <c r="P62" s="1171"/>
      <c r="Q62" s="783"/>
      <c r="R62" s="1171"/>
      <c r="S62" s="783"/>
    </row>
    <row r="63" spans="1:19" ht="15.75">
      <c r="A63" s="1176"/>
      <c r="B63" s="1187" t="s">
        <v>745</v>
      </c>
      <c r="C63" s="958"/>
      <c r="D63" s="506">
        <v>1</v>
      </c>
      <c r="E63" s="506" t="s">
        <v>645</v>
      </c>
      <c r="F63" s="517">
        <v>123514.3</v>
      </c>
      <c r="G63" s="60"/>
      <c r="H63" s="1171"/>
      <c r="I63" s="782"/>
      <c r="J63" s="1171"/>
      <c r="K63" s="783"/>
      <c r="L63" s="1171"/>
      <c r="M63" s="783"/>
      <c r="N63" s="1171"/>
      <c r="O63" s="783"/>
      <c r="P63" s="1171"/>
      <c r="Q63" s="783"/>
      <c r="R63" s="1171"/>
      <c r="S63" s="783"/>
    </row>
    <row r="64" spans="1:19">
      <c r="A64" s="1176"/>
      <c r="B64" s="1191" t="s">
        <v>742</v>
      </c>
      <c r="C64" s="958"/>
      <c r="D64" s="506"/>
      <c r="E64" s="506"/>
      <c r="F64" s="517"/>
      <c r="G64" s="60"/>
      <c r="H64" s="1171"/>
      <c r="I64" s="782"/>
      <c r="J64" s="1171"/>
      <c r="K64" s="783"/>
      <c r="L64" s="1171"/>
      <c r="M64" s="783"/>
      <c r="N64" s="1171"/>
      <c r="O64" s="783"/>
      <c r="P64" s="1171"/>
      <c r="Q64" s="783"/>
      <c r="R64" s="1171"/>
      <c r="S64" s="783"/>
    </row>
    <row r="65" spans="1:19">
      <c r="A65" s="1176"/>
      <c r="B65" s="1191" t="s">
        <v>746</v>
      </c>
      <c r="C65" s="958"/>
      <c r="D65" s="506"/>
      <c r="E65" s="506"/>
      <c r="F65" s="517"/>
      <c r="G65" s="60"/>
      <c r="H65" s="1171"/>
      <c r="I65" s="782"/>
      <c r="J65" s="1171"/>
      <c r="K65" s="783"/>
      <c r="L65" s="1171"/>
      <c r="M65" s="783"/>
      <c r="N65" s="1171"/>
      <c r="O65" s="783"/>
      <c r="P65" s="1171"/>
      <c r="Q65" s="783"/>
      <c r="R65" s="1171"/>
      <c r="S65" s="783"/>
    </row>
    <row r="66" spans="1:19">
      <c r="A66" s="1176"/>
      <c r="B66" s="1191" t="s">
        <v>744</v>
      </c>
      <c r="C66" s="958"/>
      <c r="D66" s="506"/>
      <c r="E66" s="506"/>
      <c r="F66" s="517"/>
      <c r="G66" s="60"/>
      <c r="H66" s="1171"/>
      <c r="I66" s="782"/>
      <c r="J66" s="1171"/>
      <c r="K66" s="783"/>
      <c r="L66" s="1171"/>
      <c r="M66" s="783"/>
      <c r="N66" s="1171"/>
      <c r="O66" s="783"/>
      <c r="P66" s="1171"/>
      <c r="Q66" s="783"/>
      <c r="R66" s="1171"/>
      <c r="S66" s="783"/>
    </row>
    <row r="67" spans="1:19">
      <c r="A67" s="1176"/>
      <c r="B67" s="51"/>
      <c r="C67" s="958"/>
      <c r="D67" s="506"/>
      <c r="E67" s="506"/>
      <c r="F67" s="517"/>
      <c r="G67" s="60"/>
      <c r="H67" s="1171"/>
      <c r="I67" s="782"/>
      <c r="J67" s="1171"/>
      <c r="K67" s="783"/>
      <c r="L67" s="1171"/>
      <c r="M67" s="783"/>
      <c r="N67" s="1171"/>
      <c r="O67" s="783"/>
      <c r="P67" s="1171"/>
      <c r="Q67" s="783"/>
      <c r="R67" s="1171"/>
      <c r="S67" s="783"/>
    </row>
    <row r="68" spans="1:19" ht="15.75" thickBot="1">
      <c r="A68" s="1176"/>
      <c r="B68" s="1190"/>
      <c r="C68" s="958"/>
      <c r="D68" s="506"/>
      <c r="E68" s="506"/>
      <c r="F68" s="517"/>
      <c r="G68" s="60"/>
      <c r="H68" s="1171"/>
      <c r="I68" s="782"/>
      <c r="J68" s="1171"/>
      <c r="K68" s="783"/>
      <c r="L68" s="1171"/>
      <c r="M68" s="783"/>
      <c r="N68" s="1171"/>
      <c r="O68" s="783"/>
      <c r="P68" s="1171"/>
      <c r="Q68" s="783"/>
      <c r="R68" s="1171"/>
      <c r="S68" s="783"/>
    </row>
    <row r="69" spans="1:19" ht="15.75" thickTop="1">
      <c r="A69" s="15"/>
      <c r="B69" s="16"/>
      <c r="C69" s="17"/>
      <c r="D69" s="17"/>
      <c r="E69" s="18"/>
      <c r="F69" s="19" t="s">
        <v>470</v>
      </c>
      <c r="G69" s="20"/>
      <c r="H69" s="21"/>
      <c r="I69" s="35">
        <f>SUM(I31:I68)</f>
        <v>0</v>
      </c>
      <c r="J69" s="21"/>
      <c r="K69" s="35">
        <f>SUM(K31:K68)</f>
        <v>0</v>
      </c>
      <c r="L69" s="21"/>
      <c r="M69" s="35">
        <f>SUM(M31:M68)</f>
        <v>0</v>
      </c>
      <c r="N69" s="21"/>
      <c r="O69" s="35">
        <f>SUM(O31:O68)</f>
        <v>0</v>
      </c>
      <c r="P69" s="21"/>
      <c r="Q69" s="35">
        <f>SUM(Q31:Q68)</f>
        <v>0</v>
      </c>
      <c r="R69" s="21"/>
      <c r="S69" s="35">
        <f>SUM(S31:S68)</f>
        <v>0</v>
      </c>
    </row>
    <row r="70" spans="1:19">
      <c r="A70" s="1134"/>
      <c r="B70" s="496"/>
      <c r="C70" s="493"/>
      <c r="D70" s="493"/>
      <c r="E70" s="521"/>
      <c r="F70" s="494" t="s">
        <v>471</v>
      </c>
      <c r="G70" s="464"/>
      <c r="H70" s="1135">
        <v>0</v>
      </c>
      <c r="I70" s="37"/>
      <c r="J70" s="1135">
        <v>0</v>
      </c>
      <c r="K70" s="37"/>
      <c r="L70" s="1135">
        <v>0</v>
      </c>
      <c r="M70" s="37"/>
      <c r="N70" s="1135">
        <v>0</v>
      </c>
      <c r="O70" s="37"/>
      <c r="P70" s="1135">
        <v>0</v>
      </c>
      <c r="Q70" s="37"/>
      <c r="R70" s="1135">
        <v>0</v>
      </c>
      <c r="S70" s="37"/>
    </row>
    <row r="71" spans="1:19">
      <c r="A71" s="1134"/>
      <c r="B71" s="496"/>
      <c r="C71" s="493"/>
      <c r="D71" s="493"/>
      <c r="E71" s="521"/>
      <c r="F71" s="494" t="s">
        <v>472</v>
      </c>
      <c r="G71" s="464"/>
      <c r="H71" s="1136"/>
      <c r="I71" s="1192">
        <f>H70*I69</f>
        <v>0</v>
      </c>
      <c r="J71" s="1136"/>
      <c r="K71" s="1192">
        <f>J70*K69</f>
        <v>0</v>
      </c>
      <c r="L71" s="1136"/>
      <c r="M71" s="1192">
        <f>L70*M69</f>
        <v>0</v>
      </c>
      <c r="N71" s="1136"/>
      <c r="O71" s="1192">
        <f>N70*O69</f>
        <v>0</v>
      </c>
      <c r="P71" s="1136"/>
      <c r="Q71" s="1192">
        <f>P70*Q69</f>
        <v>0</v>
      </c>
      <c r="R71" s="1136"/>
      <c r="S71" s="1192">
        <f>R70*S69</f>
        <v>0</v>
      </c>
    </row>
    <row r="72" spans="1:19">
      <c r="A72" s="1134"/>
      <c r="B72" s="496"/>
      <c r="C72" s="493"/>
      <c r="D72" s="493"/>
      <c r="E72" s="521"/>
      <c r="F72" s="494"/>
      <c r="G72" s="464"/>
      <c r="H72" s="1136"/>
      <c r="I72" s="1137"/>
      <c r="J72" s="1136"/>
      <c r="K72" s="1137"/>
      <c r="L72" s="1136"/>
      <c r="M72" s="1137"/>
      <c r="N72" s="1136"/>
      <c r="O72" s="1137"/>
      <c r="P72" s="1136"/>
      <c r="Q72" s="1137"/>
      <c r="R72" s="1136"/>
      <c r="S72" s="1137"/>
    </row>
    <row r="73" spans="1:19">
      <c r="A73" s="1134"/>
      <c r="B73" s="496"/>
      <c r="C73" s="493"/>
      <c r="D73" s="493"/>
      <c r="E73" s="521"/>
      <c r="F73" s="494" t="s">
        <v>473</v>
      </c>
      <c r="G73" s="464"/>
      <c r="H73" s="1138"/>
      <c r="I73" s="1192">
        <f>SUM(I69:I71)</f>
        <v>0</v>
      </c>
      <c r="J73" s="1138"/>
      <c r="K73" s="1192">
        <f>SUM(K69:K71)</f>
        <v>0</v>
      </c>
      <c r="L73" s="1138"/>
      <c r="M73" s="1192">
        <f>SUM(M69:M71)</f>
        <v>0</v>
      </c>
      <c r="N73" s="1138"/>
      <c r="O73" s="1192">
        <f>SUM(O69:O71)</f>
        <v>0</v>
      </c>
      <c r="P73" s="1138"/>
      <c r="Q73" s="1192">
        <f>SUM(Q69:Q71)</f>
        <v>0</v>
      </c>
      <c r="R73" s="1138"/>
      <c r="S73" s="1192">
        <f>SUM(S69:S71)</f>
        <v>0</v>
      </c>
    </row>
    <row r="74" spans="1:19">
      <c r="A74" s="1134"/>
      <c r="B74" s="496"/>
      <c r="C74" s="493"/>
      <c r="D74" s="493"/>
      <c r="E74" s="521"/>
      <c r="F74" s="495" t="s">
        <v>474</v>
      </c>
      <c r="G74" s="902"/>
      <c r="H74" s="1139"/>
      <c r="I74" s="1141">
        <f>I73/'Area Calculations'!$G$5</f>
        <v>0</v>
      </c>
      <c r="J74" s="1139"/>
      <c r="K74" s="1141">
        <f>K73/'Area Calculations'!$G$5</f>
        <v>0</v>
      </c>
      <c r="L74" s="1139"/>
      <c r="M74" s="1141">
        <f>M73/'Area Calculations'!$G$5</f>
        <v>0</v>
      </c>
      <c r="N74" s="1139"/>
      <c r="O74" s="1141">
        <f>O73/'Area Calculations'!$G$5</f>
        <v>0</v>
      </c>
      <c r="P74" s="1139"/>
      <c r="Q74" s="1141">
        <f>Q73/'Area Calculations'!$G$5</f>
        <v>0</v>
      </c>
      <c r="R74" s="1139"/>
      <c r="S74" s="1141">
        <f>S73/'Area Calculations'!$G$5</f>
        <v>0</v>
      </c>
    </row>
    <row r="75" spans="1:19">
      <c r="A75" s="1134"/>
      <c r="B75" s="496"/>
      <c r="C75" s="493"/>
      <c r="D75" s="493"/>
      <c r="E75" s="521"/>
      <c r="F75" s="495" t="s">
        <v>582</v>
      </c>
      <c r="G75" s="978"/>
      <c r="H75" s="1139"/>
      <c r="I75" s="1141">
        <f>I73/'Area Calculations'!$G$9</f>
        <v>0</v>
      </c>
      <c r="J75" s="1139"/>
      <c r="K75" s="1141">
        <f>K73/'Area Calculations'!$G$9</f>
        <v>0</v>
      </c>
      <c r="L75" s="1139"/>
      <c r="M75" s="1141">
        <f>M73/'Area Calculations'!$G$9</f>
        <v>0</v>
      </c>
      <c r="N75" s="1139"/>
      <c r="O75" s="1141">
        <f>O73/'Area Calculations'!$G$9</f>
        <v>0</v>
      </c>
      <c r="P75" s="1139"/>
      <c r="Q75" s="1141">
        <f>Q73/'Area Calculations'!$G$9</f>
        <v>0</v>
      </c>
      <c r="R75" s="1139"/>
      <c r="S75" s="1141">
        <f>S73/'Area Calculations'!$G$9</f>
        <v>0</v>
      </c>
    </row>
    <row r="76" spans="1:19" ht="15.75" thickBot="1">
      <c r="A76" s="1134"/>
      <c r="B76" s="496"/>
      <c r="C76" s="493"/>
      <c r="D76" s="493"/>
      <c r="E76" s="521"/>
      <c r="F76" s="494"/>
      <c r="G76" s="464"/>
      <c r="H76" s="1142"/>
      <c r="I76" s="1142"/>
      <c r="J76" s="1142"/>
      <c r="K76" s="1142"/>
      <c r="L76" s="1142"/>
      <c r="M76" s="1142"/>
      <c r="N76" s="1142"/>
      <c r="O76" s="1142"/>
      <c r="P76" s="1142"/>
      <c r="Q76" s="1142"/>
      <c r="R76" s="1142"/>
      <c r="S76" s="1142"/>
    </row>
    <row r="77" spans="1:19" ht="16.5" thickTop="1" thickBot="1">
      <c r="A77" s="691" t="s">
        <v>475</v>
      </c>
      <c r="B77" s="692"/>
      <c r="C77" s="14"/>
      <c r="D77" s="14"/>
      <c r="E77" s="14"/>
      <c r="F77" s="14"/>
      <c r="G77" s="29"/>
      <c r="H77" s="27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spans="1:19" ht="15.75" thickTop="1">
      <c r="A78" s="1193"/>
      <c r="B78" s="497"/>
      <c r="C78" s="1194"/>
      <c r="D78" s="1194"/>
      <c r="E78" s="1194"/>
      <c r="F78" s="1194"/>
      <c r="G78" s="1195"/>
      <c r="H78" s="1196"/>
      <c r="I78" s="1197"/>
      <c r="J78" s="1197"/>
      <c r="K78" s="1197"/>
      <c r="L78" s="1197"/>
      <c r="M78" s="1197"/>
      <c r="N78" s="1197"/>
      <c r="O78" s="1197"/>
      <c r="P78" s="1197"/>
      <c r="Q78" s="1197"/>
      <c r="R78" s="1197"/>
      <c r="S78" s="1197"/>
    </row>
    <row r="79" spans="1:19">
      <c r="A79" s="1193"/>
      <c r="B79" s="497"/>
      <c r="C79" s="1194"/>
      <c r="D79" s="1194"/>
      <c r="E79" s="1194"/>
      <c r="F79" s="1194"/>
      <c r="G79" s="1195"/>
      <c r="H79" s="1196"/>
      <c r="I79" s="1197"/>
      <c r="J79" s="1197"/>
      <c r="K79" s="1197"/>
      <c r="L79" s="1197"/>
      <c r="M79" s="1197"/>
      <c r="N79" s="1197"/>
      <c r="O79" s="1197"/>
      <c r="P79" s="1197"/>
      <c r="Q79" s="1197"/>
      <c r="R79" s="1197"/>
      <c r="S79" s="1197"/>
    </row>
    <row r="80" spans="1:19" ht="15.75" thickBot="1">
      <c r="A80" s="1193"/>
      <c r="B80" s="497"/>
      <c r="C80" s="1194"/>
      <c r="D80" s="1194"/>
      <c r="E80" s="1194"/>
      <c r="F80" s="1194"/>
      <c r="G80" s="1195"/>
      <c r="H80" s="1196"/>
      <c r="I80" s="1197"/>
      <c r="J80" s="1197"/>
      <c r="K80" s="1197"/>
      <c r="L80" s="1197"/>
      <c r="M80" s="1197"/>
      <c r="N80" s="1197"/>
      <c r="O80" s="1197"/>
      <c r="P80" s="1197"/>
      <c r="Q80" s="1197"/>
      <c r="R80" s="1197"/>
      <c r="S80" s="1197"/>
    </row>
    <row r="81" spans="1:34" s="2" customFormat="1" ht="16.5" thickTop="1" thickBot="1">
      <c r="A81" s="691" t="s">
        <v>476</v>
      </c>
      <c r="B81" s="692"/>
      <c r="C81" s="14"/>
      <c r="D81" s="14"/>
      <c r="E81" s="14"/>
      <c r="F81" s="14"/>
      <c r="G81" s="29"/>
      <c r="H81" s="27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s="2" customFormat="1" ht="15.75" thickTop="1">
      <c r="A82" s="1193"/>
      <c r="B82" s="497"/>
      <c r="C82" s="1194"/>
      <c r="D82" s="1194"/>
      <c r="E82" s="1194"/>
      <c r="F82" s="1194"/>
      <c r="G82" s="1195"/>
      <c r="H82" s="1196"/>
      <c r="I82" s="1197"/>
      <c r="J82" s="1197"/>
      <c r="K82" s="1197"/>
      <c r="L82" s="1197"/>
      <c r="M82" s="1197"/>
      <c r="N82" s="1197"/>
      <c r="O82" s="1197"/>
      <c r="P82" s="1197"/>
      <c r="Q82" s="1197"/>
      <c r="R82" s="1197"/>
      <c r="S82" s="1197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s="2" customFormat="1">
      <c r="A83" s="1193"/>
      <c r="B83" s="497"/>
      <c r="C83" s="1194"/>
      <c r="D83" s="1194"/>
      <c r="E83" s="1194"/>
      <c r="F83" s="1194"/>
      <c r="G83" s="1195"/>
      <c r="H83" s="1196"/>
      <c r="I83" s="1197"/>
      <c r="J83" s="1197"/>
      <c r="K83" s="1197"/>
      <c r="L83" s="1197"/>
      <c r="M83" s="1197"/>
      <c r="N83" s="1197"/>
      <c r="O83" s="1197"/>
      <c r="P83" s="1197"/>
      <c r="Q83" s="1197"/>
      <c r="R83" s="1197"/>
      <c r="S83" s="1197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5.75" thickBot="1">
      <c r="A84" s="1193"/>
      <c r="B84" s="497"/>
      <c r="C84" s="1194"/>
      <c r="D84" s="1194"/>
      <c r="E84" s="1194"/>
      <c r="F84" s="1194"/>
      <c r="G84" s="1195"/>
      <c r="H84" s="1196"/>
      <c r="I84" s="1197"/>
      <c r="J84" s="1197"/>
      <c r="K84" s="1197"/>
      <c r="L84" s="1197"/>
      <c r="M84" s="1197"/>
      <c r="N84" s="1197"/>
      <c r="O84" s="1197"/>
      <c r="P84" s="1197"/>
      <c r="Q84" s="1197"/>
      <c r="R84" s="1197"/>
      <c r="S84" s="1197"/>
    </row>
    <row r="85" spans="1:34" s="2" customFormat="1" ht="16.5" thickTop="1" thickBot="1">
      <c r="A85" s="691" t="s">
        <v>477</v>
      </c>
      <c r="B85" s="692"/>
      <c r="C85" s="14"/>
      <c r="D85" s="14"/>
      <c r="E85" s="14"/>
      <c r="F85" s="14"/>
      <c r="G85" s="29"/>
      <c r="H85" s="27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s="2" customFormat="1" ht="15.75" thickTop="1">
      <c r="A86" s="1193"/>
      <c r="B86" s="497"/>
      <c r="C86" s="1194"/>
      <c r="D86" s="1194"/>
      <c r="E86" s="1194"/>
      <c r="F86" s="1194"/>
      <c r="G86" s="1195"/>
      <c r="H86" s="1196"/>
      <c r="I86" s="1197"/>
      <c r="J86" s="1197"/>
      <c r="K86" s="1197"/>
      <c r="L86" s="1197"/>
      <c r="M86" s="1197"/>
      <c r="N86" s="1197"/>
      <c r="O86" s="1197"/>
      <c r="P86" s="1197"/>
      <c r="Q86" s="1197"/>
      <c r="R86" s="1197"/>
      <c r="S86" s="1197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s="2" customFormat="1">
      <c r="A87" s="1144"/>
      <c r="B87" s="497"/>
      <c r="C87" s="506"/>
      <c r="D87" s="506"/>
      <c r="E87" s="506"/>
      <c r="F87" s="506"/>
      <c r="G87" s="983"/>
      <c r="H87" s="984"/>
      <c r="I87" s="1145"/>
      <c r="J87" s="1145"/>
      <c r="K87" s="1145"/>
      <c r="L87" s="1145"/>
      <c r="M87" s="1145"/>
      <c r="N87" s="1145"/>
      <c r="O87" s="1145"/>
      <c r="P87" s="1145"/>
      <c r="Q87" s="1145"/>
      <c r="R87" s="1145"/>
      <c r="S87" s="1145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s="2" customFormat="1" ht="15.75" thickBot="1">
      <c r="A88" s="1146"/>
      <c r="B88" s="501"/>
      <c r="C88" s="506"/>
      <c r="D88" s="506"/>
      <c r="E88" s="506"/>
      <c r="F88" s="506"/>
      <c r="G88" s="983"/>
      <c r="H88" s="985"/>
      <c r="I88" s="1147"/>
      <c r="J88" s="1147"/>
      <c r="K88" s="1147"/>
      <c r="L88" s="1147"/>
      <c r="M88" s="1147"/>
      <c r="N88" s="1147"/>
      <c r="O88" s="1147"/>
      <c r="P88" s="1147"/>
      <c r="Q88" s="1147"/>
      <c r="R88" s="1147"/>
      <c r="S88" s="1147"/>
    </row>
    <row r="89" spans="1:34" s="2" customFormat="1" ht="16.5" thickTop="1" thickBot="1">
      <c r="A89" s="691" t="s">
        <v>478</v>
      </c>
      <c r="B89" s="692"/>
      <c r="C89" s="14"/>
      <c r="D89" s="14"/>
      <c r="E89" s="14"/>
      <c r="F89" s="14"/>
      <c r="G89" s="29"/>
      <c r="H89" s="27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5.75" thickTop="1">
      <c r="A90" s="1198"/>
      <c r="B90" s="1199"/>
      <c r="C90" s="1194"/>
      <c r="D90" s="1194"/>
      <c r="E90" s="1194"/>
      <c r="F90" s="1194"/>
      <c r="G90" s="1195"/>
      <c r="H90" s="1196"/>
      <c r="I90" s="1197"/>
      <c r="J90" s="1197"/>
      <c r="K90" s="1197"/>
      <c r="L90" s="1197"/>
      <c r="M90" s="1197"/>
      <c r="N90" s="1197"/>
      <c r="O90" s="1197"/>
      <c r="P90" s="1197"/>
      <c r="Q90" s="1197"/>
      <c r="R90" s="1197"/>
      <c r="S90" s="1197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>
      <c r="A91" s="1146"/>
      <c r="B91" s="501"/>
      <c r="C91" s="506"/>
      <c r="D91" s="506"/>
      <c r="E91" s="506"/>
      <c r="F91" s="506"/>
      <c r="G91" s="983"/>
      <c r="H91" s="986"/>
      <c r="I91" s="1148"/>
      <c r="J91" s="1148"/>
      <c r="K91" s="1148"/>
      <c r="L91" s="1148"/>
      <c r="M91" s="1148"/>
      <c r="N91" s="1148"/>
      <c r="O91" s="1148"/>
      <c r="P91" s="1148"/>
      <c r="Q91" s="1148"/>
      <c r="R91" s="1148"/>
      <c r="S91" s="1148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5.75" thickBot="1">
      <c r="A92" s="1146"/>
      <c r="B92" s="501"/>
      <c r="C92" s="506"/>
      <c r="D92" s="506"/>
      <c r="E92" s="506"/>
      <c r="F92" s="506"/>
      <c r="G92" s="983"/>
      <c r="H92" s="986"/>
      <c r="I92" s="1148"/>
      <c r="J92" s="1148"/>
      <c r="K92" s="1148"/>
      <c r="L92" s="1148"/>
      <c r="M92" s="1148"/>
      <c r="N92" s="1148"/>
      <c r="O92" s="1148"/>
      <c r="P92" s="1148"/>
      <c r="Q92" s="1148"/>
      <c r="R92" s="1148"/>
      <c r="S92" s="1148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6.5" thickTop="1" thickBot="1">
      <c r="A93" s="691" t="s">
        <v>479</v>
      </c>
      <c r="B93" s="692"/>
      <c r="C93" s="14"/>
      <c r="D93" s="14"/>
      <c r="E93" s="14"/>
      <c r="F93" s="14"/>
      <c r="G93" s="29"/>
      <c r="H93" s="27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r="94" spans="1:34" ht="15.75" thickTop="1">
      <c r="A94" s="1144"/>
      <c r="B94" s="497" t="s">
        <v>480</v>
      </c>
      <c r="C94" s="506"/>
      <c r="D94" s="506"/>
      <c r="E94" s="506"/>
      <c r="F94" s="506"/>
      <c r="G94" s="983"/>
      <c r="H94" s="986"/>
      <c r="I94" s="1148"/>
      <c r="J94" s="1148"/>
      <c r="K94" s="1148"/>
      <c r="L94" s="1148"/>
      <c r="M94" s="1148"/>
      <c r="N94" s="1148"/>
      <c r="O94" s="1148"/>
      <c r="P94" s="1148"/>
      <c r="Q94" s="1148"/>
      <c r="R94" s="1148"/>
      <c r="S94" s="1148"/>
    </row>
    <row r="95" spans="1:34">
      <c r="A95" s="1144"/>
      <c r="B95" s="497" t="s">
        <v>481</v>
      </c>
      <c r="C95" s="506"/>
      <c r="D95" s="506"/>
      <c r="E95" s="506"/>
      <c r="F95" s="506"/>
      <c r="G95" s="983"/>
      <c r="H95" s="986"/>
      <c r="I95" s="1148"/>
      <c r="J95" s="1148"/>
      <c r="K95" s="1148"/>
      <c r="L95" s="1148"/>
      <c r="M95" s="1148"/>
      <c r="N95" s="1148"/>
      <c r="O95" s="1148"/>
      <c r="P95" s="1148"/>
      <c r="Q95" s="1148"/>
      <c r="R95" s="1148"/>
      <c r="S95" s="1148"/>
    </row>
    <row r="96" spans="1:34">
      <c r="A96" s="1144"/>
      <c r="B96" s="497" t="s">
        <v>482</v>
      </c>
      <c r="C96" s="506"/>
      <c r="D96" s="506"/>
      <c r="E96" s="506"/>
      <c r="F96" s="506"/>
      <c r="G96" s="983"/>
      <c r="H96" s="986"/>
      <c r="I96" s="1148"/>
      <c r="J96" s="1148"/>
      <c r="K96" s="1148"/>
      <c r="L96" s="1148"/>
      <c r="M96" s="1148"/>
      <c r="N96" s="1148"/>
      <c r="O96" s="1148"/>
      <c r="P96" s="1148"/>
      <c r="Q96" s="1148"/>
      <c r="R96" s="1148"/>
      <c r="S96" s="1148"/>
    </row>
    <row r="97" spans="1:34">
      <c r="A97" s="1144"/>
      <c r="B97" s="497" t="s">
        <v>483</v>
      </c>
      <c r="C97" s="506"/>
      <c r="D97" s="506"/>
      <c r="E97" s="506"/>
      <c r="F97" s="506"/>
      <c r="G97" s="983"/>
      <c r="H97" s="986"/>
      <c r="I97" s="1148"/>
      <c r="J97" s="1148"/>
      <c r="K97" s="1148"/>
      <c r="L97" s="1148"/>
      <c r="M97" s="1148"/>
      <c r="N97" s="1148"/>
      <c r="O97" s="1148"/>
      <c r="P97" s="1148"/>
      <c r="Q97" s="1148"/>
      <c r="R97" s="1148"/>
      <c r="S97" s="1148"/>
    </row>
    <row r="98" spans="1:34" ht="15.75" thickBot="1">
      <c r="A98" s="23"/>
      <c r="B98" s="7"/>
      <c r="C98" s="8"/>
      <c r="D98" s="8"/>
      <c r="E98" s="8"/>
      <c r="F98" s="8"/>
      <c r="G98" s="30"/>
      <c r="H98" s="28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</row>
    <row r="99" spans="1:34" ht="16.5" thickTop="1" thickBot="1">
      <c r="A99" s="9" t="s">
        <v>484</v>
      </c>
      <c r="B99" s="10"/>
      <c r="C99" s="14"/>
      <c r="D99" s="14"/>
      <c r="E99" s="14"/>
      <c r="F99" s="14"/>
      <c r="G99" s="29"/>
      <c r="H99" s="27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</row>
    <row r="100" spans="1:34" ht="15.75" thickTop="1">
      <c r="A100" s="1193"/>
      <c r="B100" s="1200" t="s">
        <v>485</v>
      </c>
      <c r="C100" s="1194"/>
      <c r="D100" s="1194"/>
      <c r="E100" s="1194"/>
      <c r="F100" s="1194"/>
      <c r="G100" s="1195"/>
      <c r="H100" s="783"/>
      <c r="I100" s="1201"/>
      <c r="J100" s="1201"/>
      <c r="K100" s="1201"/>
      <c r="L100" s="1201"/>
      <c r="M100" s="1201"/>
      <c r="N100" s="1201"/>
      <c r="O100" s="1201"/>
      <c r="P100" s="1201"/>
      <c r="Q100" s="1201"/>
      <c r="R100" s="1201"/>
      <c r="S100" s="1201"/>
    </row>
    <row r="101" spans="1:34">
      <c r="A101" s="1144"/>
      <c r="B101" s="497" t="s">
        <v>486</v>
      </c>
      <c r="C101" s="506"/>
      <c r="D101" s="506"/>
      <c r="E101" s="506"/>
      <c r="F101" s="506"/>
      <c r="G101" s="983"/>
      <c r="H101" s="987"/>
      <c r="I101" s="1149"/>
      <c r="J101" s="1149"/>
      <c r="K101" s="1149"/>
      <c r="L101" s="1149"/>
      <c r="M101" s="1149"/>
      <c r="N101" s="1149"/>
      <c r="O101" s="1149"/>
      <c r="P101" s="1149"/>
      <c r="Q101" s="1149"/>
      <c r="R101" s="1149"/>
      <c r="S101" s="1149"/>
    </row>
    <row r="102" spans="1:34" ht="15.75" thickBot="1">
      <c r="A102" s="1150"/>
      <c r="B102" s="1151" t="s">
        <v>487</v>
      </c>
      <c r="C102" s="1152"/>
      <c r="D102" s="1152"/>
      <c r="E102" s="1152"/>
      <c r="F102" s="1152"/>
      <c r="G102" s="1202"/>
      <c r="H102" s="1203"/>
      <c r="I102" s="1156"/>
      <c r="J102" s="1156"/>
      <c r="K102" s="1156"/>
      <c r="L102" s="1156"/>
      <c r="M102" s="1156"/>
      <c r="N102" s="1156"/>
      <c r="O102" s="1156"/>
      <c r="P102" s="1156"/>
      <c r="Q102" s="1156"/>
      <c r="R102" s="1156"/>
      <c r="S102" s="1156"/>
    </row>
    <row r="103" spans="1:34" ht="16.5" thickTop="1" thickBot="1"/>
    <row r="104" spans="1:34" ht="16.5" thickTop="1" thickBot="1">
      <c r="A104" s="42" t="s">
        <v>488</v>
      </c>
      <c r="B104" s="44" t="s">
        <v>747</v>
      </c>
    </row>
    <row r="105" spans="1:34" ht="15.75" thickTop="1">
      <c r="A105" s="43" t="s">
        <v>444</v>
      </c>
      <c r="B105" s="1157"/>
    </row>
    <row r="106" spans="1:34">
      <c r="A106" s="1158" t="s">
        <v>446</v>
      </c>
      <c r="B106" s="1157"/>
    </row>
    <row r="107" spans="1:34">
      <c r="A107" s="1159" t="s">
        <v>448</v>
      </c>
      <c r="B107" s="1160"/>
    </row>
    <row r="108" spans="1:34">
      <c r="A108" s="1159" t="s">
        <v>450</v>
      </c>
      <c r="B108" s="1161"/>
    </row>
    <row r="109" spans="1:34" s="2" customFormat="1" ht="15.75" thickBot="1">
      <c r="A109" s="1162" t="s">
        <v>489</v>
      </c>
      <c r="B109" s="1204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s="2" customFormat="1" ht="15.75" thickTop="1">
      <c r="A110"/>
      <c r="B110" s="1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5.75" thickBot="1"/>
    <row r="112" spans="1:34" ht="16.5" thickTop="1" thickBot="1">
      <c r="A112" s="42" t="s">
        <v>488</v>
      </c>
      <c r="B112" s="44" t="s">
        <v>748</v>
      </c>
    </row>
    <row r="113" spans="1:2" ht="15.75" thickTop="1">
      <c r="A113" s="43" t="s">
        <v>444</v>
      </c>
      <c r="B113" s="1157"/>
    </row>
    <row r="114" spans="1:2">
      <c r="A114" s="1158" t="s">
        <v>446</v>
      </c>
      <c r="B114" s="1157"/>
    </row>
    <row r="115" spans="1:2">
      <c r="A115" s="1159" t="s">
        <v>448</v>
      </c>
      <c r="B115" s="1160"/>
    </row>
    <row r="116" spans="1:2">
      <c r="A116" s="1159" t="s">
        <v>450</v>
      </c>
      <c r="B116" s="1161"/>
    </row>
    <row r="117" spans="1:2" ht="15.75" thickBot="1">
      <c r="A117" s="1162" t="s">
        <v>489</v>
      </c>
      <c r="B117" s="1204"/>
    </row>
    <row r="118" spans="1:2" ht="15.75" thickTop="1"/>
  </sheetData>
  <mergeCells count="47">
    <mergeCell ref="A77:B77"/>
    <mergeCell ref="A81:B81"/>
    <mergeCell ref="A85:B85"/>
    <mergeCell ref="A89:B89"/>
    <mergeCell ref="A93:B93"/>
    <mergeCell ref="R8:S8"/>
    <mergeCell ref="H7:I7"/>
    <mergeCell ref="J7:K7"/>
    <mergeCell ref="L7:M7"/>
    <mergeCell ref="N7:O7"/>
    <mergeCell ref="P7:Q7"/>
    <mergeCell ref="R7:S7"/>
    <mergeCell ref="H8:I8"/>
    <mergeCell ref="J8:K8"/>
    <mergeCell ref="L8:M8"/>
    <mergeCell ref="N8:O8"/>
    <mergeCell ref="P8:Q8"/>
    <mergeCell ref="R6:S6"/>
    <mergeCell ref="H5:I5"/>
    <mergeCell ref="J5:K5"/>
    <mergeCell ref="L5:M5"/>
    <mergeCell ref="N5:O5"/>
    <mergeCell ref="P5:Q5"/>
    <mergeCell ref="R5:S5"/>
    <mergeCell ref="H6:I6"/>
    <mergeCell ref="J6:K6"/>
    <mergeCell ref="L6:M6"/>
    <mergeCell ref="N6:O6"/>
    <mergeCell ref="P6:Q6"/>
    <mergeCell ref="R4:S4"/>
    <mergeCell ref="H3:I3"/>
    <mergeCell ref="J3:K3"/>
    <mergeCell ref="L3:M3"/>
    <mergeCell ref="N3:O3"/>
    <mergeCell ref="P3:Q3"/>
    <mergeCell ref="R3:S3"/>
    <mergeCell ref="H4:I4"/>
    <mergeCell ref="J4:K4"/>
    <mergeCell ref="L4:M4"/>
    <mergeCell ref="N4:O4"/>
    <mergeCell ref="P4:Q4"/>
    <mergeCell ref="R2:S2"/>
    <mergeCell ref="H2:I2"/>
    <mergeCell ref="J2:K2"/>
    <mergeCell ref="L2:M2"/>
    <mergeCell ref="N2:O2"/>
    <mergeCell ref="P2:Q2"/>
  </mergeCells>
  <hyperlinks>
    <hyperlink ref="B3" location="'Cost Summary'!A1" display="BACK TO SUMMARY SHEET" xr:uid="{2089BAF4-2A27-4E1B-A417-7C104219C5FA}"/>
  </hyperlink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1E4C-B765-4A18-9559-D1F341E36417}">
  <dimension ref="B1:BO206"/>
  <sheetViews>
    <sheetView workbookViewId="0">
      <selection activeCell="C16" sqref="C16"/>
    </sheetView>
  </sheetViews>
  <sheetFormatPr defaultRowHeight="15"/>
  <cols>
    <col min="2" max="2" width="7.7109375" style="62" customWidth="1"/>
    <col min="3" max="3" width="79.42578125" style="63" bestFit="1" customWidth="1"/>
    <col min="4" max="4" width="11.7109375" style="64" bestFit="1" customWidth="1"/>
    <col min="5" max="5" width="7.28515625" style="63" bestFit="1" customWidth="1"/>
    <col min="6" max="6" width="12.28515625" style="65" bestFit="1" customWidth="1"/>
    <col min="7" max="8" width="12.7109375" style="63" bestFit="1" customWidth="1"/>
    <col min="9" max="10" width="11.5703125" style="63" bestFit="1" customWidth="1"/>
    <col min="11" max="11" width="12.7109375" style="63" bestFit="1" customWidth="1"/>
    <col min="12" max="12" width="11.5703125" style="63" bestFit="1" customWidth="1"/>
    <col min="13" max="13" width="10.7109375" style="63" bestFit="1" customWidth="1"/>
    <col min="14" max="15" width="9.7109375" style="63" bestFit="1" customWidth="1"/>
    <col min="16" max="16" width="9.140625" style="63"/>
  </cols>
  <sheetData>
    <row r="1" spans="2:7">
      <c r="B1" s="62" t="s">
        <v>749</v>
      </c>
    </row>
    <row r="2" spans="2:7">
      <c r="B2" s="62">
        <v>10</v>
      </c>
      <c r="C2" s="63" t="s">
        <v>486</v>
      </c>
      <c r="D2" s="64" t="s">
        <v>750</v>
      </c>
      <c r="F2" s="65">
        <v>17500</v>
      </c>
      <c r="G2" s="66">
        <v>17500</v>
      </c>
    </row>
    <row r="3" spans="2:7">
      <c r="B3" s="62">
        <v>20</v>
      </c>
      <c r="C3" s="63" t="s">
        <v>751</v>
      </c>
      <c r="D3" s="64" t="s">
        <v>750</v>
      </c>
      <c r="F3" s="65">
        <v>33960</v>
      </c>
      <c r="G3" s="66">
        <v>33960</v>
      </c>
    </row>
    <row r="4" spans="2:7">
      <c r="C4" s="66"/>
    </row>
    <row r="5" spans="2:7">
      <c r="B5" s="62" t="s">
        <v>752</v>
      </c>
    </row>
    <row r="6" spans="2:7">
      <c r="B6" s="62">
        <v>50</v>
      </c>
      <c r="C6" s="63" t="s">
        <v>690</v>
      </c>
      <c r="D6" s="64" t="s">
        <v>753</v>
      </c>
      <c r="F6" s="65">
        <v>1</v>
      </c>
      <c r="G6" s="66">
        <v>2600</v>
      </c>
    </row>
    <row r="7" spans="2:7">
      <c r="B7" s="62">
        <v>55</v>
      </c>
      <c r="C7" s="63" t="s">
        <v>754</v>
      </c>
      <c r="D7" s="64" t="s">
        <v>755</v>
      </c>
      <c r="F7" s="65">
        <v>800</v>
      </c>
      <c r="G7" s="66">
        <v>4800</v>
      </c>
    </row>
    <row r="8" spans="2:7">
      <c r="B8" s="62">
        <v>70</v>
      </c>
      <c r="C8" s="63" t="s">
        <v>698</v>
      </c>
      <c r="D8" s="64" t="s">
        <v>756</v>
      </c>
      <c r="F8" s="65">
        <v>250</v>
      </c>
      <c r="G8" s="66">
        <v>5500</v>
      </c>
    </row>
    <row r="9" spans="2:7">
      <c r="B9" s="62">
        <v>75</v>
      </c>
      <c r="C9" s="63" t="s">
        <v>757</v>
      </c>
      <c r="D9" s="64" t="s">
        <v>758</v>
      </c>
      <c r="F9" s="65">
        <v>10</v>
      </c>
      <c r="G9" s="66">
        <v>1000</v>
      </c>
    </row>
    <row r="10" spans="2:7">
      <c r="G10" s="66"/>
    </row>
    <row r="11" spans="2:7">
      <c r="B11" s="62" t="s">
        <v>759</v>
      </c>
    </row>
    <row r="12" spans="2:7">
      <c r="B12" s="62">
        <v>108</v>
      </c>
      <c r="C12" s="63" t="s">
        <v>760</v>
      </c>
      <c r="D12" s="64" t="s">
        <v>750</v>
      </c>
      <c r="F12" s="65">
        <v>31000</v>
      </c>
      <c r="G12" s="66">
        <v>31000</v>
      </c>
    </row>
    <row r="13" spans="2:7">
      <c r="B13" s="62">
        <v>110</v>
      </c>
      <c r="C13" s="63" t="s">
        <v>761</v>
      </c>
      <c r="D13" s="64" t="s">
        <v>762</v>
      </c>
      <c r="F13" s="65">
        <v>4.5</v>
      </c>
      <c r="G13" s="66">
        <v>2700</v>
      </c>
    </row>
    <row r="14" spans="2:7">
      <c r="B14" s="62">
        <v>115</v>
      </c>
      <c r="C14" s="63" t="s">
        <v>763</v>
      </c>
      <c r="D14" s="64" t="s">
        <v>764</v>
      </c>
      <c r="F14" s="65">
        <v>12</v>
      </c>
      <c r="G14" s="66">
        <v>234000</v>
      </c>
    </row>
    <row r="15" spans="2:7">
      <c r="B15" s="62">
        <v>120</v>
      </c>
      <c r="C15" s="63" t="s">
        <v>765</v>
      </c>
      <c r="D15" s="64" t="s">
        <v>766</v>
      </c>
      <c r="F15" s="65">
        <v>0.35</v>
      </c>
      <c r="G15" s="66">
        <v>9905</v>
      </c>
    </row>
    <row r="16" spans="2:7">
      <c r="B16" s="62">
        <v>125</v>
      </c>
      <c r="C16" s="63" t="s">
        <v>767</v>
      </c>
      <c r="D16" s="64" t="s">
        <v>766</v>
      </c>
      <c r="F16" s="65">
        <v>1.2</v>
      </c>
      <c r="G16" s="66">
        <v>33960</v>
      </c>
    </row>
    <row r="17" spans="2:7">
      <c r="B17" s="62">
        <v>130</v>
      </c>
      <c r="C17" s="63" t="s">
        <v>768</v>
      </c>
      <c r="D17" s="64" t="s">
        <v>750</v>
      </c>
      <c r="F17" s="65">
        <v>34000</v>
      </c>
      <c r="G17" s="66">
        <v>34000</v>
      </c>
    </row>
    <row r="18" spans="2:7">
      <c r="B18" s="62">
        <v>135</v>
      </c>
      <c r="C18" s="63" t="s">
        <v>769</v>
      </c>
      <c r="D18" s="64" t="s">
        <v>770</v>
      </c>
      <c r="F18" s="65">
        <v>2.5</v>
      </c>
      <c r="G18" s="66">
        <v>10500</v>
      </c>
    </row>
    <row r="19" spans="2:7">
      <c r="G19" s="66"/>
    </row>
    <row r="20" spans="2:7">
      <c r="B20" s="62" t="s">
        <v>771</v>
      </c>
    </row>
    <row r="21" spans="2:7">
      <c r="B21" s="62">
        <v>200</v>
      </c>
      <c r="C21" s="63" t="s">
        <v>772</v>
      </c>
      <c r="D21" s="64" t="s">
        <v>773</v>
      </c>
      <c r="F21" s="65">
        <v>4.8</v>
      </c>
      <c r="G21" s="66">
        <v>41280</v>
      </c>
    </row>
    <row r="22" spans="2:7">
      <c r="B22" s="62">
        <v>205</v>
      </c>
      <c r="C22" s="63" t="s">
        <v>774</v>
      </c>
      <c r="D22" s="64" t="s">
        <v>775</v>
      </c>
      <c r="F22" s="65">
        <v>11</v>
      </c>
      <c r="G22" s="66">
        <v>89100</v>
      </c>
    </row>
    <row r="23" spans="2:7">
      <c r="B23" s="62">
        <v>215</v>
      </c>
      <c r="C23" s="63" t="s">
        <v>776</v>
      </c>
      <c r="D23" s="64" t="s">
        <v>777</v>
      </c>
      <c r="F23" s="65">
        <v>6.6</v>
      </c>
      <c r="G23" s="66">
        <v>52800</v>
      </c>
    </row>
    <row r="24" spans="2:7">
      <c r="B24" s="62">
        <v>220</v>
      </c>
      <c r="C24" s="63" t="s">
        <v>778</v>
      </c>
      <c r="D24" s="64" t="s">
        <v>777</v>
      </c>
      <c r="F24" s="65">
        <v>7</v>
      </c>
      <c r="G24" s="66">
        <v>56000</v>
      </c>
    </row>
    <row r="25" spans="2:7">
      <c r="B25" s="62">
        <v>225</v>
      </c>
      <c r="C25" s="63" t="s">
        <v>779</v>
      </c>
      <c r="D25" s="64" t="s">
        <v>780</v>
      </c>
      <c r="F25" s="65">
        <v>51</v>
      </c>
      <c r="G25" s="66">
        <v>4335</v>
      </c>
    </row>
    <row r="26" spans="2:7">
      <c r="B26" s="62">
        <v>230</v>
      </c>
      <c r="C26" s="63" t="s">
        <v>781</v>
      </c>
      <c r="D26" s="64" t="s">
        <v>782</v>
      </c>
      <c r="F26" s="65">
        <v>6</v>
      </c>
      <c r="G26" s="66">
        <v>9000</v>
      </c>
    </row>
    <row r="27" spans="2:7">
      <c r="B27" s="62">
        <v>240</v>
      </c>
      <c r="C27" s="63" t="s">
        <v>783</v>
      </c>
      <c r="D27" s="64" t="s">
        <v>784</v>
      </c>
      <c r="F27" s="65">
        <v>11.2</v>
      </c>
      <c r="G27" s="66">
        <v>47600</v>
      </c>
    </row>
    <row r="28" spans="2:7">
      <c r="B28" s="62">
        <v>241</v>
      </c>
      <c r="C28" s="63" t="s">
        <v>785</v>
      </c>
      <c r="D28" s="64" t="s">
        <v>786</v>
      </c>
      <c r="F28" s="65">
        <v>17.2</v>
      </c>
      <c r="G28" s="66">
        <v>1892</v>
      </c>
    </row>
    <row r="29" spans="2:7">
      <c r="B29" s="62">
        <v>242</v>
      </c>
      <c r="C29" s="63" t="s">
        <v>787</v>
      </c>
      <c r="D29" s="64" t="s">
        <v>788</v>
      </c>
      <c r="F29" s="65">
        <v>19.2</v>
      </c>
      <c r="G29" s="66">
        <v>4800</v>
      </c>
    </row>
    <row r="30" spans="2:7">
      <c r="B30" s="62">
        <v>245</v>
      </c>
      <c r="C30" s="63" t="s">
        <v>789</v>
      </c>
      <c r="D30" s="64" t="s">
        <v>790</v>
      </c>
      <c r="F30" s="65">
        <v>21</v>
      </c>
      <c r="G30" s="66">
        <v>3045</v>
      </c>
    </row>
    <row r="31" spans="2:7">
      <c r="B31" s="62">
        <v>250</v>
      </c>
      <c r="C31" s="63" t="s">
        <v>791</v>
      </c>
      <c r="D31" s="64" t="s">
        <v>792</v>
      </c>
      <c r="F31" s="65">
        <v>3.8</v>
      </c>
      <c r="G31" s="66">
        <v>53200</v>
      </c>
    </row>
    <row r="32" spans="2:7">
      <c r="B32" s="62">
        <v>252</v>
      </c>
      <c r="C32" s="63" t="s">
        <v>793</v>
      </c>
      <c r="D32" s="64" t="s">
        <v>794</v>
      </c>
      <c r="F32" s="65">
        <v>7.2</v>
      </c>
      <c r="G32" s="66">
        <v>864</v>
      </c>
    </row>
    <row r="33" spans="2:7">
      <c r="B33" s="62">
        <v>255</v>
      </c>
      <c r="C33" s="63" t="s">
        <v>795</v>
      </c>
      <c r="D33" s="64" t="s">
        <v>796</v>
      </c>
      <c r="F33" s="65">
        <v>800</v>
      </c>
      <c r="G33" s="66">
        <v>5600</v>
      </c>
    </row>
    <row r="34" spans="2:7">
      <c r="B34" s="62">
        <v>256</v>
      </c>
      <c r="C34" s="63" t="s">
        <v>797</v>
      </c>
      <c r="D34" s="64" t="s">
        <v>798</v>
      </c>
      <c r="F34" s="65">
        <v>43</v>
      </c>
      <c r="G34" s="66">
        <v>27950</v>
      </c>
    </row>
    <row r="35" spans="2:7">
      <c r="B35" s="62">
        <v>260</v>
      </c>
      <c r="C35" s="63" t="s">
        <v>799</v>
      </c>
      <c r="D35" s="64" t="s">
        <v>750</v>
      </c>
      <c r="F35" s="65">
        <v>13650</v>
      </c>
      <c r="G35" s="66">
        <v>13650</v>
      </c>
    </row>
    <row r="36" spans="2:7">
      <c r="G36" s="66"/>
    </row>
    <row r="37" spans="2:7">
      <c r="B37" s="62" t="s">
        <v>800</v>
      </c>
    </row>
    <row r="38" spans="2:7">
      <c r="B38" s="62">
        <v>300</v>
      </c>
      <c r="C38" s="63" t="s">
        <v>801</v>
      </c>
      <c r="D38" s="64" t="s">
        <v>802</v>
      </c>
      <c r="F38" s="65">
        <v>34</v>
      </c>
      <c r="G38" s="66">
        <v>1870</v>
      </c>
    </row>
    <row r="39" spans="2:7">
      <c r="B39" s="62">
        <v>305</v>
      </c>
      <c r="C39" s="63" t="s">
        <v>803</v>
      </c>
      <c r="D39" s="64" t="s">
        <v>804</v>
      </c>
      <c r="F39" s="65">
        <v>36</v>
      </c>
      <c r="G39" s="66">
        <v>2736</v>
      </c>
    </row>
    <row r="40" spans="2:7">
      <c r="B40" s="62">
        <v>310</v>
      </c>
      <c r="C40" s="63" t="s">
        <v>805</v>
      </c>
      <c r="D40" s="64" t="s">
        <v>806</v>
      </c>
      <c r="F40" s="65">
        <v>43</v>
      </c>
      <c r="G40" s="66">
        <v>11653</v>
      </c>
    </row>
    <row r="41" spans="2:7">
      <c r="B41" s="62">
        <v>315</v>
      </c>
      <c r="C41" s="63" t="s">
        <v>807</v>
      </c>
      <c r="D41" s="64" t="s">
        <v>808</v>
      </c>
      <c r="F41" s="65">
        <v>38</v>
      </c>
      <c r="G41" s="66">
        <v>21280</v>
      </c>
    </row>
    <row r="42" spans="2:7">
      <c r="B42" s="62">
        <v>320</v>
      </c>
      <c r="C42" s="63" t="s">
        <v>809</v>
      </c>
      <c r="D42" s="64" t="s">
        <v>810</v>
      </c>
      <c r="F42" s="65">
        <v>44</v>
      </c>
      <c r="G42" s="66">
        <v>20548</v>
      </c>
    </row>
    <row r="43" spans="2:7">
      <c r="B43" s="62">
        <v>325</v>
      </c>
      <c r="C43" s="63" t="s">
        <v>811</v>
      </c>
      <c r="D43" s="64" t="s">
        <v>812</v>
      </c>
      <c r="F43" s="65">
        <v>50</v>
      </c>
      <c r="G43" s="66">
        <v>7100</v>
      </c>
    </row>
    <row r="44" spans="2:7">
      <c r="B44" s="62">
        <v>330</v>
      </c>
      <c r="C44" s="63" t="s">
        <v>813</v>
      </c>
      <c r="D44" s="64" t="s">
        <v>814</v>
      </c>
      <c r="F44" s="65">
        <v>60</v>
      </c>
      <c r="G44" s="66">
        <v>106500</v>
      </c>
    </row>
    <row r="45" spans="2:7">
      <c r="B45" s="62">
        <v>332</v>
      </c>
      <c r="C45" s="63" t="s">
        <v>815</v>
      </c>
      <c r="D45" s="64" t="s">
        <v>816</v>
      </c>
      <c r="F45" s="65">
        <v>88</v>
      </c>
      <c r="G45" s="66">
        <v>5368</v>
      </c>
    </row>
    <row r="46" spans="2:7">
      <c r="B46" s="62">
        <v>335</v>
      </c>
      <c r="C46" s="63" t="s">
        <v>817</v>
      </c>
      <c r="D46" s="64" t="s">
        <v>818</v>
      </c>
      <c r="F46" s="65">
        <v>95</v>
      </c>
      <c r="G46" s="66">
        <v>14535</v>
      </c>
    </row>
    <row r="47" spans="2:7">
      <c r="B47" s="62">
        <v>340</v>
      </c>
      <c r="C47" s="63" t="s">
        <v>819</v>
      </c>
      <c r="D47" s="64" t="s">
        <v>820</v>
      </c>
      <c r="F47" s="65">
        <v>980</v>
      </c>
      <c r="G47" s="66">
        <v>3920</v>
      </c>
    </row>
    <row r="48" spans="2:7">
      <c r="B48" s="62">
        <v>345</v>
      </c>
      <c r="C48" s="63" t="s">
        <v>821</v>
      </c>
      <c r="D48" s="64" t="s">
        <v>822</v>
      </c>
      <c r="F48" s="65">
        <v>1700</v>
      </c>
      <c r="G48" s="66">
        <v>13600</v>
      </c>
    </row>
    <row r="49" spans="2:7">
      <c r="B49" s="62">
        <v>350</v>
      </c>
      <c r="C49" s="63" t="s">
        <v>823</v>
      </c>
      <c r="D49" s="64" t="s">
        <v>824</v>
      </c>
      <c r="F49" s="65">
        <v>4250</v>
      </c>
      <c r="G49" s="66">
        <v>4250</v>
      </c>
    </row>
    <row r="50" spans="2:7">
      <c r="B50" s="62">
        <v>355</v>
      </c>
      <c r="C50" s="63" t="s">
        <v>825</v>
      </c>
      <c r="D50" s="64" t="s">
        <v>824</v>
      </c>
      <c r="F50" s="65">
        <v>4100</v>
      </c>
      <c r="G50" s="66">
        <v>4100</v>
      </c>
    </row>
    <row r="51" spans="2:7">
      <c r="B51" s="62">
        <v>360</v>
      </c>
      <c r="C51" s="63" t="s">
        <v>826</v>
      </c>
      <c r="D51" s="64" t="s">
        <v>827</v>
      </c>
      <c r="F51" s="65">
        <v>5200</v>
      </c>
      <c r="G51" s="66">
        <v>26000</v>
      </c>
    </row>
    <row r="52" spans="2:7">
      <c r="B52" s="62">
        <v>362</v>
      </c>
      <c r="C52" s="63" t="s">
        <v>828</v>
      </c>
      <c r="D52" s="64" t="s">
        <v>824</v>
      </c>
      <c r="F52" s="65">
        <v>28000</v>
      </c>
      <c r="G52" s="66">
        <v>28000</v>
      </c>
    </row>
    <row r="53" spans="2:7">
      <c r="B53" s="62">
        <v>364</v>
      </c>
      <c r="C53" s="63" t="s">
        <v>829</v>
      </c>
      <c r="D53" s="64" t="s">
        <v>822</v>
      </c>
      <c r="F53" s="65">
        <v>4700</v>
      </c>
      <c r="G53" s="66">
        <v>37600</v>
      </c>
    </row>
    <row r="54" spans="2:7">
      <c r="B54" s="62">
        <v>366</v>
      </c>
      <c r="C54" s="63" t="s">
        <v>830</v>
      </c>
      <c r="D54" s="64" t="s">
        <v>831</v>
      </c>
      <c r="F54" s="65">
        <v>4600</v>
      </c>
      <c r="G54" s="66">
        <v>41400</v>
      </c>
    </row>
    <row r="55" spans="2:7">
      <c r="B55" s="62">
        <v>368</v>
      </c>
      <c r="C55" s="63" t="s">
        <v>832</v>
      </c>
      <c r="D55" s="64" t="s">
        <v>833</v>
      </c>
      <c r="F55" s="65">
        <v>4550</v>
      </c>
      <c r="G55" s="66">
        <v>9100</v>
      </c>
    </row>
    <row r="56" spans="2:7">
      <c r="B56" s="62">
        <v>369</v>
      </c>
      <c r="C56" s="63" t="s">
        <v>834</v>
      </c>
      <c r="D56" s="64" t="s">
        <v>824</v>
      </c>
      <c r="F56" s="65">
        <v>4400</v>
      </c>
      <c r="G56" s="66">
        <v>4400</v>
      </c>
    </row>
    <row r="57" spans="2:7">
      <c r="B57" s="62">
        <v>370</v>
      </c>
      <c r="C57" s="63" t="s">
        <v>835</v>
      </c>
      <c r="D57" s="64" t="s">
        <v>824</v>
      </c>
      <c r="F57" s="65">
        <v>5400</v>
      </c>
      <c r="G57" s="66">
        <v>5400</v>
      </c>
    </row>
    <row r="58" spans="2:7">
      <c r="B58" s="62">
        <v>380</v>
      </c>
      <c r="C58" s="63" t="s">
        <v>836</v>
      </c>
      <c r="D58" s="64" t="s">
        <v>837</v>
      </c>
      <c r="F58" s="65">
        <v>10</v>
      </c>
      <c r="G58" s="66">
        <v>35600</v>
      </c>
    </row>
    <row r="59" spans="2:7">
      <c r="B59" s="62">
        <v>385</v>
      </c>
      <c r="C59" s="63" t="s">
        <v>838</v>
      </c>
      <c r="D59" s="64" t="s">
        <v>837</v>
      </c>
      <c r="F59" s="65">
        <v>5</v>
      </c>
      <c r="G59" s="66">
        <v>17800</v>
      </c>
    </row>
    <row r="60" spans="2:7">
      <c r="G60" s="66"/>
    </row>
    <row r="61" spans="2:7">
      <c r="B61" s="62" t="s">
        <v>839</v>
      </c>
    </row>
    <row r="62" spans="2:7">
      <c r="B62" s="62">
        <v>405</v>
      </c>
      <c r="C62" s="63" t="s">
        <v>840</v>
      </c>
      <c r="D62" s="64" t="s">
        <v>841</v>
      </c>
      <c r="F62" s="65">
        <v>46</v>
      </c>
      <c r="G62" s="66">
        <v>1380</v>
      </c>
    </row>
    <row r="63" spans="2:7">
      <c r="B63" s="62">
        <v>410</v>
      </c>
      <c r="C63" s="63" t="s">
        <v>842</v>
      </c>
      <c r="D63" s="64" t="s">
        <v>843</v>
      </c>
      <c r="F63" s="65">
        <v>50</v>
      </c>
      <c r="G63" s="66">
        <v>11000</v>
      </c>
    </row>
    <row r="64" spans="2:7">
      <c r="B64" s="62">
        <v>415</v>
      </c>
      <c r="C64" s="63" t="s">
        <v>844</v>
      </c>
      <c r="D64" s="64" t="s">
        <v>824</v>
      </c>
      <c r="F64" s="65">
        <v>6500</v>
      </c>
      <c r="G64" s="66">
        <v>6500</v>
      </c>
    </row>
    <row r="65" spans="2:7">
      <c r="B65" s="62">
        <v>420</v>
      </c>
      <c r="C65" s="63" t="s">
        <v>845</v>
      </c>
      <c r="D65" s="64" t="s">
        <v>824</v>
      </c>
      <c r="F65" s="65">
        <v>7600</v>
      </c>
      <c r="G65" s="66">
        <v>7600</v>
      </c>
    </row>
    <row r="66" spans="2:7">
      <c r="B66" s="62">
        <v>425</v>
      </c>
      <c r="C66" s="63" t="s">
        <v>846</v>
      </c>
      <c r="D66" s="64" t="s">
        <v>847</v>
      </c>
      <c r="F66" s="65">
        <v>40</v>
      </c>
      <c r="G66" s="66">
        <v>11120</v>
      </c>
    </row>
    <row r="67" spans="2:7">
      <c r="B67" s="62">
        <v>426</v>
      </c>
      <c r="C67" s="63" t="s">
        <v>848</v>
      </c>
      <c r="D67" s="64" t="s">
        <v>750</v>
      </c>
      <c r="F67" s="65">
        <v>2700</v>
      </c>
      <c r="G67" s="66">
        <v>2700</v>
      </c>
    </row>
    <row r="68" spans="2:7">
      <c r="B68" s="62">
        <v>428</v>
      </c>
      <c r="C68" s="63" t="s">
        <v>849</v>
      </c>
      <c r="D68" s="64" t="s">
        <v>833</v>
      </c>
      <c r="F68" s="65">
        <v>10000</v>
      </c>
      <c r="G68" s="66">
        <v>20000</v>
      </c>
    </row>
    <row r="69" spans="2:7">
      <c r="B69" s="62">
        <v>440</v>
      </c>
      <c r="C69" s="63" t="s">
        <v>850</v>
      </c>
      <c r="D69" s="64" t="s">
        <v>788</v>
      </c>
      <c r="F69" s="65">
        <v>10</v>
      </c>
      <c r="G69" s="66">
        <v>2500</v>
      </c>
    </row>
    <row r="70" spans="2:7">
      <c r="B70" s="62">
        <v>445</v>
      </c>
      <c r="C70" s="63" t="s">
        <v>851</v>
      </c>
      <c r="D70" s="64" t="s">
        <v>788</v>
      </c>
      <c r="F70" s="65">
        <v>5</v>
      </c>
      <c r="G70" s="66">
        <v>1250</v>
      </c>
    </row>
    <row r="71" spans="2:7">
      <c r="G71" s="66"/>
    </row>
    <row r="72" spans="2:7">
      <c r="B72" s="62" t="s">
        <v>852</v>
      </c>
    </row>
    <row r="73" spans="2:7">
      <c r="B73" s="62">
        <v>460</v>
      </c>
      <c r="C73" s="63" t="s">
        <v>853</v>
      </c>
      <c r="D73" s="64" t="s">
        <v>854</v>
      </c>
      <c r="F73" s="65">
        <v>45</v>
      </c>
      <c r="G73" s="66">
        <v>13725</v>
      </c>
    </row>
    <row r="74" spans="2:7">
      <c r="B74" s="62">
        <v>470</v>
      </c>
      <c r="C74" s="63" t="s">
        <v>855</v>
      </c>
      <c r="D74" s="64" t="s">
        <v>750</v>
      </c>
      <c r="F74" s="65">
        <v>2300</v>
      </c>
      <c r="G74" s="66">
        <v>2300</v>
      </c>
    </row>
    <row r="75" spans="2:7">
      <c r="B75" s="62">
        <v>475</v>
      </c>
      <c r="C75" s="63" t="s">
        <v>856</v>
      </c>
      <c r="D75" s="64" t="s">
        <v>750</v>
      </c>
      <c r="F75" s="65">
        <v>132000</v>
      </c>
      <c r="G75" s="66">
        <v>132000</v>
      </c>
    </row>
    <row r="76" spans="2:7">
      <c r="B76" s="62">
        <v>485</v>
      </c>
      <c r="C76" s="63" t="s">
        <v>850</v>
      </c>
      <c r="D76" s="64" t="s">
        <v>854</v>
      </c>
      <c r="F76" s="65">
        <v>10</v>
      </c>
      <c r="G76" s="66">
        <v>3050</v>
      </c>
    </row>
    <row r="77" spans="2:7">
      <c r="B77" s="62">
        <v>490</v>
      </c>
      <c r="C77" s="63" t="s">
        <v>857</v>
      </c>
      <c r="D77" s="64" t="s">
        <v>854</v>
      </c>
      <c r="F77" s="65">
        <v>5</v>
      </c>
      <c r="G77" s="66">
        <v>1525</v>
      </c>
    </row>
    <row r="78" spans="2:7">
      <c r="G78" s="66"/>
    </row>
    <row r="79" spans="2:7">
      <c r="B79" s="62" t="s">
        <v>858</v>
      </c>
    </row>
    <row r="80" spans="2:7">
      <c r="B80" s="62">
        <v>505</v>
      </c>
      <c r="C80" s="63" t="s">
        <v>859</v>
      </c>
      <c r="D80" s="64" t="s">
        <v>860</v>
      </c>
      <c r="F80" s="65">
        <v>30</v>
      </c>
      <c r="G80" s="66">
        <v>40290</v>
      </c>
    </row>
    <row r="81" spans="2:7">
      <c r="B81" s="62">
        <v>506</v>
      </c>
      <c r="C81" s="63" t="s">
        <v>861</v>
      </c>
      <c r="D81" s="64" t="s">
        <v>862</v>
      </c>
      <c r="F81" s="65">
        <v>45</v>
      </c>
      <c r="G81" s="66">
        <v>2250</v>
      </c>
    </row>
    <row r="82" spans="2:7">
      <c r="B82" s="62">
        <v>510</v>
      </c>
      <c r="C82" s="63" t="s">
        <v>863</v>
      </c>
      <c r="D82" s="64" t="s">
        <v>820</v>
      </c>
      <c r="F82" s="65">
        <v>2600</v>
      </c>
      <c r="G82" s="66">
        <v>10400</v>
      </c>
    </row>
    <row r="83" spans="2:7">
      <c r="B83" s="62">
        <v>515</v>
      </c>
      <c r="C83" s="63" t="s">
        <v>864</v>
      </c>
      <c r="D83" s="64" t="s">
        <v>786</v>
      </c>
      <c r="F83" s="65">
        <v>28</v>
      </c>
      <c r="G83" s="66">
        <v>3080</v>
      </c>
    </row>
    <row r="84" spans="2:7">
      <c r="B84" s="62">
        <v>520</v>
      </c>
      <c r="C84" s="63" t="s">
        <v>865</v>
      </c>
      <c r="D84" s="64" t="s">
        <v>833</v>
      </c>
      <c r="F84" s="65">
        <v>2350</v>
      </c>
      <c r="G84" s="66">
        <v>4700</v>
      </c>
    </row>
    <row r="85" spans="2:7">
      <c r="B85" s="62">
        <v>525</v>
      </c>
      <c r="C85" s="63" t="s">
        <v>866</v>
      </c>
      <c r="D85" s="64" t="s">
        <v>750</v>
      </c>
      <c r="F85" s="65">
        <v>22000</v>
      </c>
      <c r="G85" s="66">
        <v>22000</v>
      </c>
    </row>
    <row r="86" spans="2:7">
      <c r="B86" s="62">
        <v>530</v>
      </c>
      <c r="C86" s="63" t="s">
        <v>867</v>
      </c>
      <c r="D86" s="64" t="s">
        <v>820</v>
      </c>
      <c r="F86" s="65">
        <v>5300</v>
      </c>
      <c r="G86" s="66">
        <v>21200</v>
      </c>
    </row>
    <row r="87" spans="2:7">
      <c r="B87" s="62">
        <v>535</v>
      </c>
      <c r="C87" s="63" t="s">
        <v>868</v>
      </c>
      <c r="D87" s="64" t="s">
        <v>824</v>
      </c>
      <c r="F87" s="65">
        <v>1800</v>
      </c>
      <c r="G87" s="66">
        <v>1800</v>
      </c>
    </row>
    <row r="88" spans="2:7">
      <c r="B88" s="62">
        <v>540</v>
      </c>
      <c r="C88" s="63" t="s">
        <v>855</v>
      </c>
      <c r="D88" s="64" t="s">
        <v>750</v>
      </c>
      <c r="F88" s="65">
        <v>3550</v>
      </c>
      <c r="G88" s="66">
        <v>3550</v>
      </c>
    </row>
    <row r="89" spans="2:7">
      <c r="B89" s="62">
        <v>545</v>
      </c>
      <c r="C89" s="63" t="s">
        <v>869</v>
      </c>
      <c r="D89" s="64" t="s">
        <v>824</v>
      </c>
      <c r="F89" s="65">
        <v>2500</v>
      </c>
      <c r="G89" s="66">
        <v>2500</v>
      </c>
    </row>
    <row r="90" spans="2:7">
      <c r="B90" s="62">
        <v>550</v>
      </c>
      <c r="C90" s="63" t="s">
        <v>870</v>
      </c>
      <c r="D90" s="64" t="s">
        <v>750</v>
      </c>
      <c r="F90" s="65">
        <v>2800</v>
      </c>
      <c r="G90" s="66">
        <v>2800</v>
      </c>
    </row>
    <row r="91" spans="2:7">
      <c r="G91" s="66"/>
    </row>
    <row r="92" spans="2:7">
      <c r="B92" s="62" t="s">
        <v>871</v>
      </c>
    </row>
    <row r="93" spans="2:7">
      <c r="B93" s="62">
        <v>600</v>
      </c>
      <c r="C93" s="63" t="s">
        <v>872</v>
      </c>
      <c r="D93" s="64" t="s">
        <v>873</v>
      </c>
      <c r="F93" s="65">
        <v>70</v>
      </c>
      <c r="G93" s="66">
        <v>9450</v>
      </c>
    </row>
    <row r="94" spans="2:7">
      <c r="B94" s="62">
        <v>605</v>
      </c>
      <c r="C94" s="63" t="s">
        <v>874</v>
      </c>
      <c r="D94" s="64" t="s">
        <v>824</v>
      </c>
      <c r="F94" s="65">
        <v>10000</v>
      </c>
      <c r="G94" s="66">
        <v>10000</v>
      </c>
    </row>
    <row r="95" spans="2:7">
      <c r="B95" s="62">
        <v>610</v>
      </c>
      <c r="C95" s="63" t="s">
        <v>875</v>
      </c>
      <c r="D95" s="64" t="s">
        <v>876</v>
      </c>
      <c r="F95" s="65">
        <v>28</v>
      </c>
      <c r="G95" s="66">
        <v>420</v>
      </c>
    </row>
    <row r="96" spans="2:7">
      <c r="B96" s="62">
        <v>615</v>
      </c>
      <c r="C96" s="63" t="s">
        <v>877</v>
      </c>
      <c r="D96" s="64" t="s">
        <v>750</v>
      </c>
      <c r="F96" s="65">
        <v>2100</v>
      </c>
      <c r="G96" s="66">
        <v>2100</v>
      </c>
    </row>
    <row r="97" spans="2:10">
      <c r="B97" s="62">
        <v>620</v>
      </c>
      <c r="C97" s="63" t="s">
        <v>878</v>
      </c>
      <c r="D97" s="64" t="s">
        <v>824</v>
      </c>
      <c r="F97" s="65">
        <v>2500</v>
      </c>
      <c r="G97" s="66">
        <v>2500</v>
      </c>
    </row>
    <row r="98" spans="2:10">
      <c r="B98" s="62">
        <v>625</v>
      </c>
      <c r="C98" s="63" t="s">
        <v>879</v>
      </c>
      <c r="D98" s="64" t="s">
        <v>824</v>
      </c>
      <c r="F98" s="65">
        <v>1800</v>
      </c>
      <c r="G98" s="66">
        <v>1800</v>
      </c>
    </row>
    <row r="99" spans="2:10">
      <c r="B99" s="62">
        <v>630</v>
      </c>
      <c r="C99" s="63" t="s">
        <v>880</v>
      </c>
      <c r="D99" s="64" t="s">
        <v>750</v>
      </c>
      <c r="F99" s="65">
        <v>2200</v>
      </c>
      <c r="G99" s="66">
        <v>2200</v>
      </c>
    </row>
    <row r="100" spans="2:10">
      <c r="G100" s="66"/>
    </row>
    <row r="101" spans="2:10">
      <c r="B101" s="62" t="s">
        <v>749</v>
      </c>
    </row>
    <row r="102" spans="2:10">
      <c r="B102" s="62">
        <v>10</v>
      </c>
      <c r="C102" s="63" t="s">
        <v>486</v>
      </c>
      <c r="D102" s="64" t="s">
        <v>750</v>
      </c>
      <c r="F102" s="65">
        <v>17500</v>
      </c>
      <c r="G102" s="66">
        <v>17500</v>
      </c>
    </row>
    <row r="103" spans="2:10">
      <c r="B103" s="62">
        <v>20</v>
      </c>
      <c r="C103" s="63" t="s">
        <v>751</v>
      </c>
      <c r="D103" s="64" t="s">
        <v>750</v>
      </c>
      <c r="F103" s="65">
        <v>12040</v>
      </c>
      <c r="G103" s="66">
        <v>12040</v>
      </c>
    </row>
    <row r="104" spans="2:10">
      <c r="B104" s="62">
        <v>30</v>
      </c>
      <c r="C104" s="63" t="s">
        <v>688</v>
      </c>
      <c r="D104" s="64" t="s">
        <v>750</v>
      </c>
      <c r="F104" s="65">
        <v>10000</v>
      </c>
      <c r="G104" s="66">
        <v>10000</v>
      </c>
    </row>
    <row r="105" spans="2:10">
      <c r="C105" s="66"/>
    </row>
    <row r="106" spans="2:10">
      <c r="B106" s="62" t="s">
        <v>752</v>
      </c>
    </row>
    <row r="107" spans="2:10">
      <c r="B107" s="62">
        <v>50</v>
      </c>
      <c r="C107" s="63" t="s">
        <v>690</v>
      </c>
      <c r="D107" s="64" t="s">
        <v>881</v>
      </c>
      <c r="F107" s="65">
        <v>1</v>
      </c>
      <c r="G107" s="66">
        <v>1700</v>
      </c>
    </row>
    <row r="108" spans="2:10">
      <c r="B108" s="62">
        <v>55</v>
      </c>
      <c r="C108" s="63" t="s">
        <v>754</v>
      </c>
      <c r="F108" s="65" t="s">
        <v>755</v>
      </c>
      <c r="H108" s="66">
        <v>800</v>
      </c>
      <c r="J108" s="66">
        <v>4800</v>
      </c>
    </row>
    <row r="109" spans="2:10">
      <c r="B109" s="62">
        <v>60</v>
      </c>
      <c r="C109" s="63" t="s">
        <v>882</v>
      </c>
      <c r="F109" s="65" t="s">
        <v>824</v>
      </c>
      <c r="G109" s="66">
        <v>3200</v>
      </c>
      <c r="I109" s="66">
        <v>3200</v>
      </c>
    </row>
    <row r="110" spans="2:10">
      <c r="B110" s="62">
        <v>65</v>
      </c>
      <c r="C110" s="63" t="s">
        <v>883</v>
      </c>
      <c r="D110" s="64" t="s">
        <v>884</v>
      </c>
      <c r="F110" s="65">
        <v>1870</v>
      </c>
      <c r="G110" s="66">
        <v>22440</v>
      </c>
    </row>
    <row r="111" spans="2:10">
      <c r="B111" s="62">
        <v>70</v>
      </c>
      <c r="C111" s="63" t="s">
        <v>698</v>
      </c>
      <c r="F111" s="65" t="s">
        <v>822</v>
      </c>
      <c r="H111" s="66">
        <v>250</v>
      </c>
      <c r="J111" s="66">
        <v>2000</v>
      </c>
    </row>
    <row r="112" spans="2:10">
      <c r="C112" s="66"/>
    </row>
    <row r="113" spans="2:14">
      <c r="B113" s="62" t="s">
        <v>759</v>
      </c>
    </row>
    <row r="114" spans="2:14">
      <c r="B114" s="62">
        <v>100</v>
      </c>
      <c r="C114" s="63" t="s">
        <v>885</v>
      </c>
      <c r="D114" s="64" t="s">
        <v>886</v>
      </c>
      <c r="F114" s="65">
        <v>5</v>
      </c>
      <c r="G114" s="66">
        <v>4500</v>
      </c>
    </row>
    <row r="115" spans="2:14">
      <c r="B115" s="62">
        <v>105</v>
      </c>
      <c r="C115" s="63" t="s">
        <v>887</v>
      </c>
      <c r="H115" s="63" t="s">
        <v>750</v>
      </c>
      <c r="J115" s="66">
        <v>2600</v>
      </c>
      <c r="M115" s="66">
        <v>2600</v>
      </c>
    </row>
    <row r="116" spans="2:14">
      <c r="B116" s="62">
        <v>108</v>
      </c>
      <c r="C116" s="63" t="s">
        <v>760</v>
      </c>
      <c r="H116" s="63" t="s">
        <v>750</v>
      </c>
      <c r="I116" s="66">
        <v>13400</v>
      </c>
      <c r="K116" s="66">
        <v>13400</v>
      </c>
    </row>
    <row r="117" spans="2:14">
      <c r="B117" s="62">
        <v>110</v>
      </c>
      <c r="C117" s="63" t="s">
        <v>761</v>
      </c>
      <c r="G117" s="63" t="s">
        <v>888</v>
      </c>
      <c r="K117" s="66">
        <v>4.5</v>
      </c>
      <c r="N117" s="66">
        <v>3150</v>
      </c>
    </row>
    <row r="118" spans="2:14">
      <c r="B118" s="62">
        <v>115</v>
      </c>
      <c r="C118" s="63" t="s">
        <v>763</v>
      </c>
      <c r="D118" s="64" t="s">
        <v>889</v>
      </c>
      <c r="H118" s="66">
        <v>12</v>
      </c>
      <c r="I118" s="66">
        <v>138000</v>
      </c>
    </row>
    <row r="119" spans="2:14">
      <c r="B119" s="62">
        <v>120</v>
      </c>
      <c r="C119" s="63" t="s">
        <v>765</v>
      </c>
      <c r="D119" s="64" t="s">
        <v>890</v>
      </c>
      <c r="I119" s="66">
        <v>0.35</v>
      </c>
      <c r="L119" s="66">
        <v>4060</v>
      </c>
    </row>
    <row r="120" spans="2:14">
      <c r="B120" s="62">
        <v>125</v>
      </c>
      <c r="C120" s="63" t="s">
        <v>767</v>
      </c>
      <c r="D120" s="64" t="s">
        <v>890</v>
      </c>
      <c r="I120" s="66">
        <v>1.2</v>
      </c>
      <c r="K120" s="66">
        <v>13920</v>
      </c>
    </row>
    <row r="121" spans="2:14">
      <c r="B121" s="62">
        <v>135</v>
      </c>
      <c r="C121" s="63" t="s">
        <v>769</v>
      </c>
      <c r="F121" s="65" t="s">
        <v>891</v>
      </c>
      <c r="J121" s="66">
        <v>2.5</v>
      </c>
      <c r="M121" s="66">
        <v>9500</v>
      </c>
    </row>
    <row r="122" spans="2:14">
      <c r="C122" s="66"/>
    </row>
    <row r="123" spans="2:14">
      <c r="B123" s="62" t="s">
        <v>771</v>
      </c>
    </row>
    <row r="124" spans="2:14">
      <c r="B124" s="62">
        <v>200</v>
      </c>
      <c r="C124" s="63" t="s">
        <v>772</v>
      </c>
      <c r="D124" s="64" t="s">
        <v>892</v>
      </c>
      <c r="F124" s="65">
        <v>4.8</v>
      </c>
      <c r="G124" s="66">
        <v>11520</v>
      </c>
    </row>
    <row r="125" spans="2:14">
      <c r="B125" s="62">
        <v>205</v>
      </c>
      <c r="C125" s="63" t="s">
        <v>774</v>
      </c>
      <c r="D125" s="64" t="s">
        <v>893</v>
      </c>
      <c r="F125" s="65">
        <v>11</v>
      </c>
      <c r="G125" s="66">
        <v>25300</v>
      </c>
    </row>
    <row r="126" spans="2:14">
      <c r="B126" s="62">
        <v>210</v>
      </c>
      <c r="C126" s="63" t="s">
        <v>894</v>
      </c>
      <c r="F126" s="65" t="s">
        <v>895</v>
      </c>
      <c r="G126" s="66">
        <v>14.2</v>
      </c>
      <c r="I126" s="66">
        <v>2130</v>
      </c>
    </row>
    <row r="127" spans="2:14">
      <c r="B127" s="62">
        <v>215</v>
      </c>
      <c r="C127" s="63" t="s">
        <v>776</v>
      </c>
      <c r="D127" s="64" t="s">
        <v>896</v>
      </c>
      <c r="G127" s="66">
        <v>6.6</v>
      </c>
      <c r="H127" s="66">
        <v>14520</v>
      </c>
    </row>
    <row r="128" spans="2:14">
      <c r="B128" s="62">
        <v>220</v>
      </c>
      <c r="C128" s="63" t="s">
        <v>778</v>
      </c>
      <c r="D128" s="64" t="s">
        <v>896</v>
      </c>
      <c r="G128" s="66">
        <v>7</v>
      </c>
      <c r="H128" s="66">
        <v>15400</v>
      </c>
    </row>
    <row r="129" spans="2:10">
      <c r="B129" s="62">
        <v>225</v>
      </c>
      <c r="C129" s="63" t="s">
        <v>897</v>
      </c>
      <c r="G129" s="63" t="s">
        <v>898</v>
      </c>
      <c r="H129" s="66">
        <v>51</v>
      </c>
      <c r="J129" s="66">
        <v>3315</v>
      </c>
    </row>
    <row r="130" spans="2:10">
      <c r="B130" s="62" t="s">
        <v>899</v>
      </c>
    </row>
    <row r="131" spans="2:10">
      <c r="B131" s="62">
        <v>240</v>
      </c>
      <c r="C131" s="63" t="s">
        <v>783</v>
      </c>
      <c r="D131" s="64" t="s">
        <v>900</v>
      </c>
      <c r="F131" s="65">
        <v>11.2</v>
      </c>
      <c r="G131" s="66">
        <v>7840</v>
      </c>
    </row>
    <row r="132" spans="2:10">
      <c r="B132" s="62">
        <v>245</v>
      </c>
      <c r="C132" s="63" t="s">
        <v>789</v>
      </c>
      <c r="D132" s="64" t="s">
        <v>901</v>
      </c>
      <c r="H132" s="66">
        <v>21</v>
      </c>
      <c r="I132" s="66">
        <v>6720</v>
      </c>
    </row>
    <row r="133" spans="2:10">
      <c r="B133" s="62">
        <v>250</v>
      </c>
      <c r="C133" s="63" t="s">
        <v>791</v>
      </c>
      <c r="D133" s="64" t="s">
        <v>902</v>
      </c>
      <c r="I133" s="66">
        <v>3.8</v>
      </c>
      <c r="J133" s="66">
        <v>2470</v>
      </c>
    </row>
    <row r="134" spans="2:10">
      <c r="B134" s="62">
        <v>255</v>
      </c>
      <c r="C134" s="63" t="s">
        <v>795</v>
      </c>
      <c r="F134" s="65" t="s">
        <v>820</v>
      </c>
      <c r="H134" s="66">
        <v>800</v>
      </c>
      <c r="I134" s="66">
        <v>3200</v>
      </c>
    </row>
    <row r="135" spans="2:10">
      <c r="B135" s="62">
        <v>260</v>
      </c>
      <c r="C135" s="63" t="s">
        <v>799</v>
      </c>
      <c r="F135" s="65" t="s">
        <v>750</v>
      </c>
      <c r="G135" s="66">
        <v>6050</v>
      </c>
      <c r="H135" s="66">
        <v>6050</v>
      </c>
    </row>
    <row r="136" spans="2:10">
      <c r="C136" s="66"/>
    </row>
    <row r="137" spans="2:10">
      <c r="B137" s="62" t="s">
        <v>903</v>
      </c>
    </row>
    <row r="138" spans="2:10">
      <c r="B138" s="62">
        <v>265</v>
      </c>
      <c r="C138" s="67" t="s">
        <v>772</v>
      </c>
      <c r="D138" s="64" t="s">
        <v>904</v>
      </c>
      <c r="F138" s="65">
        <v>5.3</v>
      </c>
      <c r="G138" s="66">
        <v>1113</v>
      </c>
    </row>
    <row r="139" spans="2:10">
      <c r="B139" s="62">
        <v>270</v>
      </c>
      <c r="C139" s="63" t="s">
        <v>905</v>
      </c>
      <c r="D139" s="64" t="s">
        <v>906</v>
      </c>
      <c r="F139" s="65">
        <v>16.8</v>
      </c>
      <c r="G139" s="64"/>
      <c r="H139" s="66">
        <v>3360</v>
      </c>
    </row>
    <row r="140" spans="2:10">
      <c r="B140" s="62">
        <v>275</v>
      </c>
      <c r="C140" s="63" t="s">
        <v>907</v>
      </c>
      <c r="D140" s="64" t="s">
        <v>906</v>
      </c>
      <c r="F140" s="65">
        <v>75</v>
      </c>
      <c r="G140" s="66">
        <v>15000</v>
      </c>
    </row>
    <row r="141" spans="2:10">
      <c r="B141" s="62">
        <v>280</v>
      </c>
      <c r="C141" s="63" t="s">
        <v>908</v>
      </c>
      <c r="D141" s="64" t="s">
        <v>906</v>
      </c>
      <c r="F141" s="65">
        <v>72</v>
      </c>
      <c r="G141" s="66">
        <v>14400</v>
      </c>
    </row>
    <row r="142" spans="2:10">
      <c r="B142" s="62">
        <v>285</v>
      </c>
      <c r="C142" s="63" t="s">
        <v>909</v>
      </c>
      <c r="D142" s="64" t="s">
        <v>786</v>
      </c>
      <c r="G142" s="66">
        <v>0</v>
      </c>
      <c r="J142" s="66">
        <v>0</v>
      </c>
    </row>
    <row r="144" spans="2:10">
      <c r="B144" s="62" t="s">
        <v>910</v>
      </c>
    </row>
    <row r="145" spans="2:67">
      <c r="B145" s="62">
        <v>300</v>
      </c>
      <c r="C145" s="68" t="s">
        <v>801</v>
      </c>
      <c r="D145" s="64">
        <v>55</v>
      </c>
      <c r="E145" s="62" t="s">
        <v>57</v>
      </c>
      <c r="F145" s="65">
        <v>34</v>
      </c>
      <c r="G145" s="65">
        <v>1870</v>
      </c>
    </row>
    <row r="146" spans="2:67">
      <c r="B146" s="62">
        <v>305</v>
      </c>
      <c r="C146" s="68" t="s">
        <v>803</v>
      </c>
      <c r="D146" s="64">
        <v>76</v>
      </c>
      <c r="E146" s="62" t="s">
        <v>57</v>
      </c>
      <c r="F146" s="65">
        <v>36</v>
      </c>
      <c r="G146" s="65">
        <v>2736</v>
      </c>
      <c r="I146" s="66"/>
      <c r="Q146" s="69"/>
      <c r="W146" s="69"/>
      <c r="AC146" s="69"/>
      <c r="AJ146" s="69"/>
      <c r="AQ146" s="69"/>
      <c r="AY146" s="69"/>
      <c r="BG146" s="69"/>
      <c r="BN146" s="69"/>
      <c r="BO146" s="69"/>
    </row>
    <row r="147" spans="2:67">
      <c r="B147" s="62">
        <v>310</v>
      </c>
      <c r="C147" s="68" t="s">
        <v>805</v>
      </c>
      <c r="D147" s="64">
        <v>271</v>
      </c>
      <c r="E147" s="62" t="s">
        <v>57</v>
      </c>
      <c r="F147" s="65">
        <v>43</v>
      </c>
      <c r="G147" s="65">
        <v>11653</v>
      </c>
      <c r="I147" s="66"/>
      <c r="Q147" s="69"/>
      <c r="W147" s="69"/>
      <c r="AC147" s="69"/>
      <c r="AJ147" s="69"/>
      <c r="AQ147" s="69"/>
      <c r="AY147" s="69"/>
      <c r="BG147" s="69"/>
      <c r="BN147" s="69"/>
      <c r="BO147" s="69"/>
    </row>
    <row r="148" spans="2:67">
      <c r="B148" s="62">
        <v>315</v>
      </c>
      <c r="C148" s="62" t="s">
        <v>807</v>
      </c>
      <c r="D148" s="64">
        <v>560</v>
      </c>
      <c r="E148" s="62" t="s">
        <v>57</v>
      </c>
      <c r="F148" s="65">
        <v>38</v>
      </c>
      <c r="G148" s="65">
        <v>21280</v>
      </c>
    </row>
    <row r="149" spans="2:67">
      <c r="B149" s="62">
        <v>320</v>
      </c>
      <c r="C149" s="62" t="s">
        <v>809</v>
      </c>
      <c r="D149" s="64">
        <v>467</v>
      </c>
      <c r="E149" s="62" t="s">
        <v>57</v>
      </c>
      <c r="F149" s="65">
        <v>44</v>
      </c>
      <c r="G149" s="65">
        <v>20548</v>
      </c>
      <c r="H149" s="66"/>
    </row>
    <row r="150" spans="2:67">
      <c r="B150" s="62">
        <v>325</v>
      </c>
      <c r="C150" s="62" t="s">
        <v>811</v>
      </c>
      <c r="D150" s="64">
        <v>142</v>
      </c>
      <c r="E150" s="62" t="s">
        <v>57</v>
      </c>
      <c r="F150" s="65">
        <v>50</v>
      </c>
      <c r="G150" s="65">
        <v>7100</v>
      </c>
      <c r="H150" s="66"/>
    </row>
    <row r="151" spans="2:67">
      <c r="B151" s="62">
        <v>330</v>
      </c>
      <c r="C151" s="62" t="s">
        <v>813</v>
      </c>
      <c r="D151" s="64">
        <v>1775</v>
      </c>
      <c r="E151" s="62" t="s">
        <v>57</v>
      </c>
      <c r="F151" s="65">
        <v>60</v>
      </c>
      <c r="G151" s="65">
        <v>106500</v>
      </c>
    </row>
    <row r="152" spans="2:67">
      <c r="B152" s="62">
        <v>332</v>
      </c>
      <c r="C152" s="62" t="s">
        <v>815</v>
      </c>
      <c r="D152" s="64">
        <v>61</v>
      </c>
      <c r="E152" s="62" t="s">
        <v>57</v>
      </c>
      <c r="F152" s="65">
        <v>88</v>
      </c>
      <c r="G152" s="65">
        <v>5368</v>
      </c>
    </row>
    <row r="153" spans="2:67">
      <c r="B153" s="62">
        <v>335</v>
      </c>
      <c r="C153" s="62" t="s">
        <v>817</v>
      </c>
      <c r="D153" s="64">
        <v>153</v>
      </c>
      <c r="E153" s="62" t="s">
        <v>57</v>
      </c>
      <c r="F153" s="65">
        <v>95</v>
      </c>
      <c r="G153" s="65">
        <v>14535</v>
      </c>
    </row>
    <row r="154" spans="2:67">
      <c r="B154" s="62">
        <v>340</v>
      </c>
      <c r="C154" s="62" t="s">
        <v>819</v>
      </c>
      <c r="D154" s="64">
        <v>4</v>
      </c>
      <c r="E154" s="62" t="s">
        <v>911</v>
      </c>
      <c r="F154" s="65">
        <v>980</v>
      </c>
      <c r="G154" s="65">
        <v>3920</v>
      </c>
    </row>
    <row r="155" spans="2:67">
      <c r="B155" s="62">
        <v>345</v>
      </c>
      <c r="C155" s="62" t="s">
        <v>821</v>
      </c>
      <c r="D155" s="64">
        <v>8</v>
      </c>
      <c r="E155" s="62" t="s">
        <v>911</v>
      </c>
      <c r="F155" s="65">
        <v>1700</v>
      </c>
      <c r="G155" s="65">
        <v>13600</v>
      </c>
    </row>
    <row r="156" spans="2:67">
      <c r="B156" s="62">
        <v>350</v>
      </c>
      <c r="C156" s="62" t="s">
        <v>823</v>
      </c>
      <c r="D156" s="64">
        <v>1</v>
      </c>
      <c r="E156" s="62" t="s">
        <v>911</v>
      </c>
      <c r="F156" s="65">
        <v>4250</v>
      </c>
      <c r="G156" s="65">
        <v>4250</v>
      </c>
    </row>
    <row r="157" spans="2:67">
      <c r="B157" s="62">
        <v>355</v>
      </c>
      <c r="C157" s="62" t="s">
        <v>825</v>
      </c>
      <c r="D157" s="64">
        <v>1</v>
      </c>
      <c r="E157" s="62" t="s">
        <v>911</v>
      </c>
      <c r="F157" s="65">
        <v>4100</v>
      </c>
      <c r="G157" s="65">
        <v>4100</v>
      </c>
    </row>
    <row r="158" spans="2:67">
      <c r="B158" s="62">
        <v>360</v>
      </c>
      <c r="C158" s="62" t="s">
        <v>826</v>
      </c>
      <c r="D158" s="64">
        <v>5</v>
      </c>
      <c r="E158" s="62" t="s">
        <v>911</v>
      </c>
      <c r="F158" s="65">
        <v>5200</v>
      </c>
      <c r="G158" s="65">
        <v>26000</v>
      </c>
    </row>
    <row r="159" spans="2:67">
      <c r="B159" s="62">
        <v>362</v>
      </c>
      <c r="C159" s="62" t="s">
        <v>828</v>
      </c>
      <c r="D159" s="64">
        <v>1</v>
      </c>
      <c r="E159" s="62" t="s">
        <v>911</v>
      </c>
      <c r="F159" s="65">
        <v>28000</v>
      </c>
      <c r="G159" s="65">
        <v>28000</v>
      </c>
    </row>
    <row r="160" spans="2:67">
      <c r="B160" s="62">
        <v>364</v>
      </c>
      <c r="C160" s="62" t="s">
        <v>829</v>
      </c>
      <c r="D160" s="64">
        <v>8</v>
      </c>
      <c r="E160" s="62" t="s">
        <v>911</v>
      </c>
      <c r="F160" s="65">
        <v>4700</v>
      </c>
      <c r="G160" s="65">
        <v>37600</v>
      </c>
    </row>
    <row r="161" spans="2:7">
      <c r="B161" s="62">
        <v>366</v>
      </c>
      <c r="C161" s="62" t="s">
        <v>830</v>
      </c>
      <c r="D161" s="64">
        <v>9</v>
      </c>
      <c r="E161" s="62" t="s">
        <v>911</v>
      </c>
      <c r="F161" s="65">
        <v>4600</v>
      </c>
      <c r="G161" s="65">
        <v>41400</v>
      </c>
    </row>
    <row r="162" spans="2:7">
      <c r="B162" s="62">
        <v>368</v>
      </c>
      <c r="C162" s="62" t="s">
        <v>832</v>
      </c>
      <c r="D162" s="64">
        <v>2</v>
      </c>
      <c r="E162" s="62" t="s">
        <v>911</v>
      </c>
      <c r="F162" s="65">
        <v>4550</v>
      </c>
      <c r="G162" s="65">
        <v>9100</v>
      </c>
    </row>
    <row r="163" spans="2:7">
      <c r="B163" s="62">
        <v>369</v>
      </c>
      <c r="C163" s="62" t="s">
        <v>834</v>
      </c>
      <c r="D163" s="64">
        <v>1</v>
      </c>
      <c r="E163" s="62" t="s">
        <v>911</v>
      </c>
      <c r="F163" s="65">
        <v>4400</v>
      </c>
      <c r="G163" s="65">
        <v>4400</v>
      </c>
    </row>
    <row r="164" spans="2:7">
      <c r="B164" s="62">
        <v>370</v>
      </c>
      <c r="C164" s="62" t="s">
        <v>835</v>
      </c>
      <c r="D164" s="64">
        <v>1</v>
      </c>
      <c r="E164" s="62" t="s">
        <v>911</v>
      </c>
      <c r="F164" s="65">
        <v>5400</v>
      </c>
      <c r="G164" s="65">
        <v>5400</v>
      </c>
    </row>
    <row r="165" spans="2:7">
      <c r="B165" s="62">
        <v>380</v>
      </c>
      <c r="C165" s="62" t="s">
        <v>836</v>
      </c>
      <c r="D165" s="64">
        <v>3560</v>
      </c>
      <c r="E165" s="62" t="s">
        <v>57</v>
      </c>
      <c r="F165" s="65">
        <v>10</v>
      </c>
      <c r="G165" s="65">
        <v>35600</v>
      </c>
    </row>
    <row r="166" spans="2:7">
      <c r="B166" s="62">
        <v>385</v>
      </c>
      <c r="C166" s="62" t="s">
        <v>838</v>
      </c>
      <c r="D166" s="64">
        <v>3560</v>
      </c>
      <c r="E166" s="62" t="s">
        <v>57</v>
      </c>
      <c r="F166" s="65">
        <v>5</v>
      </c>
      <c r="G166" s="65">
        <v>17800</v>
      </c>
    </row>
    <row r="168" spans="2:7">
      <c r="B168" s="62" t="s">
        <v>912</v>
      </c>
    </row>
    <row r="169" spans="2:7">
      <c r="B169" s="62">
        <v>405</v>
      </c>
      <c r="C169" s="62" t="s">
        <v>840</v>
      </c>
      <c r="D169" s="64">
        <v>30</v>
      </c>
      <c r="E169" s="62" t="s">
        <v>57</v>
      </c>
      <c r="F169" s="65">
        <v>46</v>
      </c>
      <c r="G169" s="65">
        <f>D169*F169</f>
        <v>1380</v>
      </c>
    </row>
    <row r="170" spans="2:7">
      <c r="B170" s="62">
        <v>410</v>
      </c>
      <c r="C170" s="62" t="s">
        <v>842</v>
      </c>
      <c r="D170" s="64">
        <v>220</v>
      </c>
      <c r="E170" s="62" t="s">
        <v>57</v>
      </c>
      <c r="F170" s="65">
        <v>50</v>
      </c>
      <c r="G170" s="65">
        <f t="shared" ref="G170:G177" si="0">D170*F170</f>
        <v>11000</v>
      </c>
    </row>
    <row r="171" spans="2:7">
      <c r="B171" s="62">
        <v>415</v>
      </c>
      <c r="C171" s="62" t="s">
        <v>844</v>
      </c>
      <c r="D171" s="64">
        <v>1</v>
      </c>
      <c r="E171" s="62" t="s">
        <v>911</v>
      </c>
      <c r="F171" s="65">
        <v>6500</v>
      </c>
      <c r="G171" s="65">
        <f t="shared" si="0"/>
        <v>6500</v>
      </c>
    </row>
    <row r="172" spans="2:7">
      <c r="B172" s="62">
        <v>420</v>
      </c>
      <c r="C172" s="62" t="s">
        <v>845</v>
      </c>
      <c r="D172" s="64">
        <v>1</v>
      </c>
      <c r="E172" s="62" t="s">
        <v>911</v>
      </c>
      <c r="F172" s="65">
        <v>7600</v>
      </c>
      <c r="G172" s="65">
        <f t="shared" si="0"/>
        <v>7600</v>
      </c>
    </row>
    <row r="173" spans="2:7">
      <c r="B173" s="62">
        <v>425</v>
      </c>
      <c r="C173" s="62" t="s">
        <v>846</v>
      </c>
      <c r="D173" s="64">
        <v>278</v>
      </c>
      <c r="E173" s="62" t="s">
        <v>57</v>
      </c>
      <c r="F173" s="65">
        <v>40</v>
      </c>
      <c r="G173" s="65">
        <f t="shared" si="0"/>
        <v>11120</v>
      </c>
    </row>
    <row r="174" spans="2:7">
      <c r="B174" s="62">
        <v>426</v>
      </c>
      <c r="C174" s="62" t="s">
        <v>913</v>
      </c>
      <c r="D174" s="64">
        <v>1</v>
      </c>
      <c r="E174" s="62" t="s">
        <v>914</v>
      </c>
      <c r="F174" s="65">
        <v>2700</v>
      </c>
      <c r="G174" s="65">
        <f t="shared" si="0"/>
        <v>2700</v>
      </c>
    </row>
    <row r="175" spans="2:7">
      <c r="B175" s="62">
        <v>428</v>
      </c>
      <c r="C175" s="62" t="s">
        <v>849</v>
      </c>
      <c r="D175" s="64">
        <v>2</v>
      </c>
      <c r="E175" s="62" t="s">
        <v>911</v>
      </c>
      <c r="F175" s="65">
        <v>10000</v>
      </c>
      <c r="G175" s="65">
        <f t="shared" si="0"/>
        <v>20000</v>
      </c>
    </row>
    <row r="176" spans="2:7">
      <c r="B176" s="62">
        <v>440</v>
      </c>
      <c r="C176" s="62" t="s">
        <v>850</v>
      </c>
      <c r="D176" s="64">
        <v>250</v>
      </c>
      <c r="E176" s="62" t="s">
        <v>57</v>
      </c>
      <c r="F176" s="65">
        <v>10</v>
      </c>
      <c r="G176" s="65">
        <f t="shared" si="0"/>
        <v>2500</v>
      </c>
    </row>
    <row r="177" spans="2:7">
      <c r="B177" s="62">
        <v>445</v>
      </c>
      <c r="C177" s="62" t="s">
        <v>851</v>
      </c>
      <c r="D177" s="64">
        <v>250</v>
      </c>
      <c r="E177" s="62" t="s">
        <v>57</v>
      </c>
      <c r="F177" s="65">
        <v>5</v>
      </c>
      <c r="G177" s="65">
        <f t="shared" si="0"/>
        <v>1250</v>
      </c>
    </row>
    <row r="178" spans="2:7">
      <c r="G178" s="65"/>
    </row>
    <row r="179" spans="2:7">
      <c r="B179" s="62" t="s">
        <v>915</v>
      </c>
      <c r="G179" s="65"/>
    </row>
    <row r="180" spans="2:7">
      <c r="B180" s="62">
        <v>460</v>
      </c>
      <c r="C180" s="62" t="s">
        <v>853</v>
      </c>
      <c r="D180" s="64">
        <v>305</v>
      </c>
      <c r="E180" s="62" t="s">
        <v>57</v>
      </c>
      <c r="F180" s="65">
        <v>45</v>
      </c>
      <c r="G180" s="65">
        <f>D180*F180</f>
        <v>13725</v>
      </c>
    </row>
    <row r="181" spans="2:7">
      <c r="B181" s="62">
        <v>470</v>
      </c>
      <c r="C181" s="62" t="s">
        <v>855</v>
      </c>
      <c r="D181" s="64">
        <v>1</v>
      </c>
      <c r="E181" s="62" t="s">
        <v>914</v>
      </c>
      <c r="F181" s="65">
        <v>2300</v>
      </c>
      <c r="G181" s="65">
        <f>D181*F181</f>
        <v>2300</v>
      </c>
    </row>
    <row r="182" spans="2:7">
      <c r="B182" s="62">
        <v>475</v>
      </c>
      <c r="C182" s="62" t="s">
        <v>856</v>
      </c>
      <c r="D182" s="64">
        <v>1</v>
      </c>
      <c r="E182" s="62" t="s">
        <v>914</v>
      </c>
      <c r="F182" s="65">
        <v>132000</v>
      </c>
      <c r="G182" s="65">
        <f>D182*F182</f>
        <v>132000</v>
      </c>
    </row>
    <row r="183" spans="2:7">
      <c r="B183" s="62">
        <v>485</v>
      </c>
      <c r="C183" s="62" t="s">
        <v>850</v>
      </c>
      <c r="D183" s="64">
        <v>305</v>
      </c>
      <c r="E183" s="62" t="s">
        <v>57</v>
      </c>
      <c r="F183" s="65">
        <v>10</v>
      </c>
      <c r="G183" s="65">
        <f>D183*F183</f>
        <v>3050</v>
      </c>
    </row>
    <row r="184" spans="2:7">
      <c r="B184" s="62">
        <v>490</v>
      </c>
      <c r="C184" s="62" t="s">
        <v>857</v>
      </c>
      <c r="D184" s="64">
        <v>305</v>
      </c>
      <c r="E184" s="62" t="s">
        <v>57</v>
      </c>
      <c r="F184" s="65">
        <v>5</v>
      </c>
      <c r="G184" s="65">
        <f>D184*F184</f>
        <v>1525</v>
      </c>
    </row>
    <row r="185" spans="2:7">
      <c r="G185" s="65"/>
    </row>
    <row r="186" spans="2:7">
      <c r="B186" s="62" t="s">
        <v>916</v>
      </c>
      <c r="G186" s="65"/>
    </row>
    <row r="187" spans="2:7">
      <c r="B187" s="62">
        <v>505</v>
      </c>
      <c r="C187" s="62" t="s">
        <v>859</v>
      </c>
      <c r="D187" s="64">
        <v>1343</v>
      </c>
      <c r="E187" s="62" t="s">
        <v>57</v>
      </c>
      <c r="F187" s="65">
        <v>30</v>
      </c>
      <c r="G187" s="65">
        <f t="shared" ref="G187:G197" si="1">D187*F187</f>
        <v>40290</v>
      </c>
    </row>
    <row r="188" spans="2:7">
      <c r="B188" s="62">
        <v>506</v>
      </c>
      <c r="C188" s="62" t="s">
        <v>861</v>
      </c>
      <c r="D188" s="64">
        <v>50</v>
      </c>
      <c r="E188" s="62" t="s">
        <v>57</v>
      </c>
      <c r="F188" s="65">
        <v>45</v>
      </c>
      <c r="G188" s="65">
        <f t="shared" si="1"/>
        <v>2250</v>
      </c>
    </row>
    <row r="189" spans="2:7">
      <c r="B189" s="62">
        <v>510</v>
      </c>
      <c r="C189" s="62" t="s">
        <v>863</v>
      </c>
      <c r="D189" s="64">
        <v>4</v>
      </c>
      <c r="E189" s="62" t="s">
        <v>911</v>
      </c>
      <c r="F189" s="65">
        <v>2600</v>
      </c>
      <c r="G189" s="65">
        <f t="shared" si="1"/>
        <v>10400</v>
      </c>
    </row>
    <row r="190" spans="2:7">
      <c r="B190" s="62">
        <v>515</v>
      </c>
      <c r="C190" s="62" t="s">
        <v>864</v>
      </c>
      <c r="D190" s="64">
        <v>110</v>
      </c>
      <c r="E190" s="62" t="s">
        <v>57</v>
      </c>
      <c r="F190" s="65">
        <v>28</v>
      </c>
      <c r="G190" s="65">
        <f t="shared" si="1"/>
        <v>3080</v>
      </c>
    </row>
    <row r="191" spans="2:7">
      <c r="B191" s="62">
        <v>520</v>
      </c>
      <c r="C191" s="62" t="s">
        <v>865</v>
      </c>
      <c r="D191" s="64">
        <v>2</v>
      </c>
      <c r="E191" s="62" t="s">
        <v>911</v>
      </c>
      <c r="F191" s="65">
        <v>2350</v>
      </c>
      <c r="G191" s="65">
        <f t="shared" si="1"/>
        <v>4700</v>
      </c>
    </row>
    <row r="192" spans="2:7">
      <c r="B192" s="62">
        <v>525</v>
      </c>
      <c r="C192" s="62" t="s">
        <v>866</v>
      </c>
      <c r="D192" s="64">
        <v>1</v>
      </c>
      <c r="E192" s="62" t="s">
        <v>914</v>
      </c>
      <c r="F192" s="65">
        <v>22000</v>
      </c>
      <c r="G192" s="65">
        <f t="shared" si="1"/>
        <v>22000</v>
      </c>
    </row>
    <row r="193" spans="2:7">
      <c r="B193" s="62">
        <v>530</v>
      </c>
      <c r="C193" s="62" t="s">
        <v>867</v>
      </c>
      <c r="D193" s="64">
        <v>4</v>
      </c>
      <c r="E193" s="62" t="s">
        <v>911</v>
      </c>
      <c r="F193" s="65">
        <v>5300</v>
      </c>
      <c r="G193" s="65">
        <f t="shared" si="1"/>
        <v>21200</v>
      </c>
    </row>
    <row r="194" spans="2:7">
      <c r="B194" s="62">
        <v>535</v>
      </c>
      <c r="C194" s="62" t="s">
        <v>868</v>
      </c>
      <c r="D194" s="64">
        <v>1</v>
      </c>
      <c r="E194" s="62" t="s">
        <v>911</v>
      </c>
      <c r="F194" s="65">
        <v>1800</v>
      </c>
      <c r="G194" s="65">
        <f t="shared" si="1"/>
        <v>1800</v>
      </c>
    </row>
    <row r="195" spans="2:7">
      <c r="B195" s="62">
        <v>540</v>
      </c>
      <c r="C195" s="62" t="s">
        <v>855</v>
      </c>
      <c r="D195" s="64">
        <v>1</v>
      </c>
      <c r="E195" s="62" t="s">
        <v>914</v>
      </c>
      <c r="F195" s="65">
        <v>3550</v>
      </c>
      <c r="G195" s="65">
        <f t="shared" si="1"/>
        <v>3550</v>
      </c>
    </row>
    <row r="196" spans="2:7">
      <c r="B196" s="62">
        <v>545</v>
      </c>
      <c r="C196" s="62" t="s">
        <v>869</v>
      </c>
      <c r="D196" s="64">
        <v>1</v>
      </c>
      <c r="E196" s="62" t="s">
        <v>911</v>
      </c>
      <c r="F196" s="65">
        <v>2500</v>
      </c>
      <c r="G196" s="65">
        <f t="shared" si="1"/>
        <v>2500</v>
      </c>
    </row>
    <row r="197" spans="2:7">
      <c r="B197" s="62">
        <v>550</v>
      </c>
      <c r="C197" s="62" t="s">
        <v>870</v>
      </c>
      <c r="D197" s="64">
        <v>1</v>
      </c>
      <c r="E197" s="62" t="s">
        <v>914</v>
      </c>
      <c r="F197" s="65">
        <v>2800</v>
      </c>
      <c r="G197" s="65">
        <f t="shared" si="1"/>
        <v>2800</v>
      </c>
    </row>
    <row r="198" spans="2:7">
      <c r="G198" s="65"/>
    </row>
    <row r="199" spans="2:7">
      <c r="B199" s="62" t="s">
        <v>917</v>
      </c>
      <c r="G199" s="65"/>
    </row>
    <row r="200" spans="2:7">
      <c r="B200" s="62">
        <v>600</v>
      </c>
      <c r="C200" s="62" t="s">
        <v>872</v>
      </c>
      <c r="D200" s="62">
        <v>135</v>
      </c>
      <c r="E200" s="62" t="s">
        <v>57</v>
      </c>
      <c r="F200" s="65">
        <v>70</v>
      </c>
      <c r="G200" s="65">
        <f t="shared" ref="G200:G206" si="2">D200*F200</f>
        <v>9450</v>
      </c>
    </row>
    <row r="201" spans="2:7">
      <c r="B201" s="62">
        <v>605</v>
      </c>
      <c r="C201" s="62" t="s">
        <v>874</v>
      </c>
      <c r="D201" s="62">
        <v>1</v>
      </c>
      <c r="E201" s="62" t="s">
        <v>911</v>
      </c>
      <c r="F201" s="65">
        <v>10000</v>
      </c>
      <c r="G201" s="65">
        <f t="shared" si="2"/>
        <v>10000</v>
      </c>
    </row>
    <row r="202" spans="2:7">
      <c r="B202" s="62">
        <v>610</v>
      </c>
      <c r="C202" s="62" t="s">
        <v>875</v>
      </c>
      <c r="D202" s="62">
        <v>15</v>
      </c>
      <c r="E202" s="62" t="s">
        <v>57</v>
      </c>
      <c r="F202" s="65">
        <v>28</v>
      </c>
      <c r="G202" s="65">
        <f t="shared" si="2"/>
        <v>420</v>
      </c>
    </row>
    <row r="203" spans="2:7">
      <c r="B203" s="62">
        <v>615</v>
      </c>
      <c r="C203" s="62" t="s">
        <v>877</v>
      </c>
      <c r="D203" s="62">
        <v>1</v>
      </c>
      <c r="E203" s="62" t="s">
        <v>914</v>
      </c>
      <c r="F203" s="65">
        <v>2100</v>
      </c>
      <c r="G203" s="65">
        <f t="shared" si="2"/>
        <v>2100</v>
      </c>
    </row>
    <row r="204" spans="2:7">
      <c r="B204" s="62">
        <v>620</v>
      </c>
      <c r="C204" s="62" t="s">
        <v>878</v>
      </c>
      <c r="D204" s="62">
        <v>1</v>
      </c>
      <c r="E204" s="62" t="s">
        <v>911</v>
      </c>
      <c r="F204" s="65">
        <v>2500</v>
      </c>
      <c r="G204" s="65">
        <f t="shared" si="2"/>
        <v>2500</v>
      </c>
    </row>
    <row r="205" spans="2:7">
      <c r="B205" s="62">
        <v>625</v>
      </c>
      <c r="C205" s="63" t="s">
        <v>879</v>
      </c>
      <c r="D205" s="62">
        <v>1</v>
      </c>
      <c r="E205" s="62" t="s">
        <v>911</v>
      </c>
      <c r="F205" s="65">
        <v>1800</v>
      </c>
      <c r="G205" s="65">
        <f t="shared" si="2"/>
        <v>1800</v>
      </c>
    </row>
    <row r="206" spans="2:7">
      <c r="B206" s="62">
        <v>630</v>
      </c>
      <c r="C206" s="63" t="s">
        <v>918</v>
      </c>
      <c r="D206" s="62">
        <v>1</v>
      </c>
      <c r="E206" s="62" t="s">
        <v>914</v>
      </c>
      <c r="F206" s="65">
        <v>2200</v>
      </c>
      <c r="G206" s="65">
        <f t="shared" si="2"/>
        <v>2200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8366-A1E0-460A-964F-2F2DF99BB1A6}">
  <dimension ref="B2:CV46"/>
  <sheetViews>
    <sheetView topLeftCell="A13" workbookViewId="0">
      <selection activeCell="M25" sqref="M25"/>
    </sheetView>
  </sheetViews>
  <sheetFormatPr defaultRowHeight="15"/>
  <cols>
    <col min="1" max="1" width="2.7109375" customWidth="1"/>
    <col min="2" max="2" width="10.28515625" customWidth="1"/>
    <col min="3" max="3" width="3.28515625" bestFit="1" customWidth="1"/>
    <col min="4" max="4" width="3.7109375" customWidth="1"/>
    <col min="5" max="5" width="33.140625" bestFit="1" customWidth="1"/>
    <col min="6" max="6" width="9.5703125" style="70" bestFit="1" customWidth="1"/>
    <col min="7" max="7" width="3.140625" bestFit="1" customWidth="1"/>
    <col min="8" max="8" width="9.5703125" style="70" bestFit="1" customWidth="1"/>
    <col min="9" max="9" width="3.140625" bestFit="1" customWidth="1"/>
    <col min="10" max="10" width="10.28515625" customWidth="1"/>
    <col min="11" max="11" width="3.28515625" bestFit="1" customWidth="1"/>
    <col min="12" max="12" width="3.7109375" customWidth="1"/>
    <col min="13" max="13" width="33.140625" bestFit="1" customWidth="1"/>
    <col min="14" max="14" width="9.5703125" style="70" bestFit="1" customWidth="1"/>
    <col min="15" max="15" width="3.140625" bestFit="1" customWidth="1"/>
    <col min="16" max="16" width="9.5703125" style="70" bestFit="1" customWidth="1"/>
    <col min="17" max="17" width="3.140625" bestFit="1" customWidth="1"/>
    <col min="18" max="18" width="10.28515625" customWidth="1"/>
    <col min="19" max="19" width="3.28515625" bestFit="1" customWidth="1"/>
    <col min="20" max="20" width="3.7109375" customWidth="1"/>
    <col min="21" max="21" width="33.140625" bestFit="1" customWidth="1"/>
    <col min="22" max="22" width="9.5703125" style="70" bestFit="1" customWidth="1"/>
    <col min="23" max="23" width="3.140625" bestFit="1" customWidth="1"/>
    <col min="24" max="24" width="9.5703125" style="70" bestFit="1" customWidth="1"/>
    <col min="25" max="25" width="3.140625" bestFit="1" customWidth="1"/>
    <col min="26" max="26" width="10.28515625" customWidth="1"/>
    <col min="27" max="27" width="3.28515625" bestFit="1" customWidth="1"/>
    <col min="28" max="28" width="3.7109375" customWidth="1"/>
    <col min="29" max="29" width="33.140625" bestFit="1" customWidth="1"/>
    <col min="30" max="30" width="9.5703125" style="70" bestFit="1" customWidth="1"/>
    <col min="31" max="31" width="3.140625" bestFit="1" customWidth="1"/>
    <col min="32" max="32" width="9.5703125" style="70" bestFit="1" customWidth="1"/>
    <col min="33" max="33" width="3.140625" bestFit="1" customWidth="1"/>
    <col min="34" max="34" width="10.28515625" customWidth="1"/>
    <col min="35" max="35" width="3.28515625" bestFit="1" customWidth="1"/>
    <col min="36" max="36" width="3.7109375" customWidth="1"/>
    <col min="37" max="37" width="33.140625" bestFit="1" customWidth="1"/>
    <col min="38" max="38" width="9.5703125" style="70" bestFit="1" customWidth="1"/>
    <col min="39" max="39" width="3.140625" bestFit="1" customWidth="1"/>
    <col min="40" max="40" width="9.5703125" style="70" bestFit="1" customWidth="1"/>
    <col min="41" max="41" width="3.140625" bestFit="1" customWidth="1"/>
    <col min="42" max="42" width="10.28515625" customWidth="1"/>
    <col min="43" max="43" width="3.28515625" bestFit="1" customWidth="1"/>
    <col min="44" max="44" width="3.7109375" customWidth="1"/>
    <col min="45" max="45" width="33.140625" bestFit="1" customWidth="1"/>
    <col min="46" max="46" width="9.5703125" style="70" bestFit="1" customWidth="1"/>
    <col min="47" max="47" width="3.140625" bestFit="1" customWidth="1"/>
    <col min="48" max="48" width="9.5703125" style="70" bestFit="1" customWidth="1"/>
    <col min="49" max="49" width="3.140625" bestFit="1" customWidth="1"/>
    <col min="50" max="50" width="10.28515625" customWidth="1"/>
    <col min="51" max="51" width="3.28515625" bestFit="1" customWidth="1"/>
    <col min="52" max="52" width="3.7109375" customWidth="1"/>
    <col min="53" max="53" width="33.140625" bestFit="1" customWidth="1"/>
    <col min="54" max="54" width="9.5703125" style="70" bestFit="1" customWidth="1"/>
    <col min="55" max="55" width="3.140625" bestFit="1" customWidth="1"/>
    <col min="56" max="56" width="9.5703125" style="70" bestFit="1" customWidth="1"/>
    <col min="57" max="57" width="3.140625" bestFit="1" customWidth="1"/>
    <col min="58" max="58" width="10.28515625" customWidth="1"/>
    <col min="59" max="59" width="3.28515625" bestFit="1" customWidth="1"/>
    <col min="60" max="60" width="3.7109375" customWidth="1"/>
    <col min="61" max="61" width="33.140625" bestFit="1" customWidth="1"/>
    <col min="62" max="62" width="9.5703125" style="70" bestFit="1" customWidth="1"/>
    <col min="63" max="63" width="3.140625" bestFit="1" customWidth="1"/>
    <col min="64" max="64" width="9.5703125" style="70" bestFit="1" customWidth="1"/>
    <col min="65" max="65" width="3.140625" bestFit="1" customWidth="1"/>
    <col min="66" max="66" width="10.28515625" customWidth="1"/>
    <col min="67" max="67" width="3.28515625" bestFit="1" customWidth="1"/>
    <col min="68" max="68" width="3.7109375" customWidth="1"/>
    <col min="69" max="69" width="33.140625" bestFit="1" customWidth="1"/>
    <col min="70" max="70" width="9.5703125" style="70" bestFit="1" customWidth="1"/>
    <col min="71" max="71" width="3.140625" bestFit="1" customWidth="1"/>
    <col min="72" max="72" width="9.5703125" style="70" bestFit="1" customWidth="1"/>
    <col min="73" max="73" width="3.140625" bestFit="1" customWidth="1"/>
    <col min="74" max="74" width="10.28515625" customWidth="1"/>
    <col min="75" max="75" width="3.28515625" bestFit="1" customWidth="1"/>
    <col min="76" max="76" width="3.7109375" customWidth="1"/>
    <col min="77" max="77" width="33.140625" bestFit="1" customWidth="1"/>
    <col min="78" max="78" width="9.5703125" style="70" bestFit="1" customWidth="1"/>
    <col min="79" max="79" width="3.140625" bestFit="1" customWidth="1"/>
    <col min="80" max="80" width="9.5703125" style="70" bestFit="1" customWidth="1"/>
    <col min="81" max="81" width="3.140625" bestFit="1" customWidth="1"/>
    <col min="82" max="82" width="10.28515625" customWidth="1"/>
    <col min="83" max="83" width="3.28515625" bestFit="1" customWidth="1"/>
    <col min="84" max="84" width="3.7109375" customWidth="1"/>
    <col min="85" max="85" width="33.140625" bestFit="1" customWidth="1"/>
    <col min="86" max="86" width="9.5703125" style="70" bestFit="1" customWidth="1"/>
    <col min="87" max="87" width="3.140625" bestFit="1" customWidth="1"/>
    <col min="88" max="88" width="9.5703125" style="70" bestFit="1" customWidth="1"/>
    <col min="89" max="89" width="3.140625" bestFit="1" customWidth="1"/>
    <col min="90" max="90" width="10.28515625" customWidth="1"/>
    <col min="91" max="91" width="3.28515625" bestFit="1" customWidth="1"/>
    <col min="92" max="92" width="3.7109375" customWidth="1"/>
    <col min="93" max="93" width="33.140625" bestFit="1" customWidth="1"/>
    <col min="94" max="94" width="9.5703125" style="70" bestFit="1" customWidth="1"/>
    <col min="95" max="95" width="3.140625" bestFit="1" customWidth="1"/>
    <col min="96" max="96" width="9.5703125" style="70" bestFit="1" customWidth="1"/>
    <col min="97" max="97" width="3.140625" bestFit="1" customWidth="1"/>
    <col min="98" max="98" width="3" bestFit="1" customWidth="1"/>
    <col min="100" max="100" width="3.140625" bestFit="1" customWidth="1"/>
  </cols>
  <sheetData>
    <row r="2" spans="2:100">
      <c r="B2" t="s">
        <v>919</v>
      </c>
      <c r="C2">
        <v>12</v>
      </c>
      <c r="D2" t="s">
        <v>56</v>
      </c>
      <c r="F2" s="70">
        <v>471</v>
      </c>
      <c r="G2" t="s">
        <v>179</v>
      </c>
      <c r="H2" s="70">
        <f>$C$2*F2</f>
        <v>5652</v>
      </c>
      <c r="I2" t="s">
        <v>179</v>
      </c>
      <c r="J2" t="s">
        <v>920</v>
      </c>
      <c r="K2">
        <v>12</v>
      </c>
      <c r="L2" t="s">
        <v>56</v>
      </c>
      <c r="N2" s="70">
        <v>357</v>
      </c>
      <c r="O2" t="s">
        <v>179</v>
      </c>
      <c r="P2" s="70">
        <f>$K$2*N2</f>
        <v>4284</v>
      </c>
      <c r="Q2" t="s">
        <v>179</v>
      </c>
      <c r="R2" t="s">
        <v>921</v>
      </c>
      <c r="S2">
        <v>10</v>
      </c>
      <c r="T2" t="s">
        <v>56</v>
      </c>
      <c r="V2" s="70">
        <v>686</v>
      </c>
      <c r="W2" t="s">
        <v>179</v>
      </c>
      <c r="X2" s="70">
        <f>S$2*V2</f>
        <v>6860</v>
      </c>
      <c r="Y2" t="s">
        <v>179</v>
      </c>
      <c r="Z2" t="s">
        <v>922</v>
      </c>
      <c r="AA2">
        <v>32</v>
      </c>
      <c r="AB2" t="s">
        <v>56</v>
      </c>
      <c r="AD2" s="70">
        <v>507</v>
      </c>
      <c r="AE2" t="s">
        <v>179</v>
      </c>
      <c r="AF2" s="70">
        <f>AA$2*AD2</f>
        <v>16224</v>
      </c>
      <c r="AG2" t="s">
        <v>179</v>
      </c>
      <c r="AH2" t="s">
        <v>923</v>
      </c>
      <c r="AI2">
        <v>6</v>
      </c>
      <c r="AJ2" t="s">
        <v>56</v>
      </c>
      <c r="AL2" s="70">
        <v>845</v>
      </c>
      <c r="AM2" t="s">
        <v>179</v>
      </c>
      <c r="AN2" s="70">
        <f>AI$2*AL2</f>
        <v>5070</v>
      </c>
      <c r="AO2" t="s">
        <v>179</v>
      </c>
      <c r="AP2" t="s">
        <v>924</v>
      </c>
      <c r="AQ2">
        <v>4</v>
      </c>
      <c r="AR2" t="s">
        <v>56</v>
      </c>
      <c r="AT2" s="70">
        <v>357</v>
      </c>
      <c r="AU2" t="s">
        <v>179</v>
      </c>
      <c r="AV2" s="70">
        <f>AQ$2*AT2</f>
        <v>1428</v>
      </c>
      <c r="AW2" t="s">
        <v>179</v>
      </c>
      <c r="AX2" t="s">
        <v>925</v>
      </c>
      <c r="AY2">
        <v>2</v>
      </c>
      <c r="AZ2" t="s">
        <v>56</v>
      </c>
      <c r="BB2" s="70">
        <v>374</v>
      </c>
      <c r="BC2" t="s">
        <v>179</v>
      </c>
      <c r="BD2" s="70">
        <f>AY$2*BB2</f>
        <v>748</v>
      </c>
      <c r="BE2" t="s">
        <v>179</v>
      </c>
      <c r="BF2" t="s">
        <v>926</v>
      </c>
      <c r="BG2">
        <v>2</v>
      </c>
      <c r="BH2" t="s">
        <v>56</v>
      </c>
      <c r="BJ2" s="70">
        <v>300</v>
      </c>
      <c r="BK2" t="s">
        <v>179</v>
      </c>
      <c r="BL2" s="70">
        <f>BG$2*BJ2</f>
        <v>600</v>
      </c>
      <c r="BM2" t="s">
        <v>179</v>
      </c>
      <c r="BN2" t="s">
        <v>927</v>
      </c>
      <c r="BO2">
        <v>12</v>
      </c>
      <c r="BP2" t="s">
        <v>56</v>
      </c>
      <c r="BR2" s="70">
        <v>507</v>
      </c>
      <c r="BS2" t="s">
        <v>179</v>
      </c>
      <c r="BT2" s="70">
        <f>BO$2*BR2</f>
        <v>6084</v>
      </c>
      <c r="BU2" t="s">
        <v>179</v>
      </c>
      <c r="BV2" t="s">
        <v>928</v>
      </c>
      <c r="BW2">
        <v>4</v>
      </c>
      <c r="BX2" t="s">
        <v>56</v>
      </c>
      <c r="BZ2" s="70">
        <v>471</v>
      </c>
      <c r="CA2" t="s">
        <v>179</v>
      </c>
      <c r="CB2" s="70">
        <f>BW$2*BZ2</f>
        <v>1884</v>
      </c>
      <c r="CC2" t="s">
        <v>179</v>
      </c>
      <c r="CD2" t="s">
        <v>929</v>
      </c>
      <c r="CE2">
        <v>2</v>
      </c>
      <c r="CF2" t="s">
        <v>56</v>
      </c>
      <c r="CH2" s="70">
        <v>306</v>
      </c>
      <c r="CI2" t="s">
        <v>179</v>
      </c>
      <c r="CJ2" s="70">
        <f>CE$2*CH2</f>
        <v>612</v>
      </c>
      <c r="CK2" t="s">
        <v>179</v>
      </c>
      <c r="CL2" t="s">
        <v>930</v>
      </c>
      <c r="CM2">
        <v>2</v>
      </c>
      <c r="CN2" t="s">
        <v>56</v>
      </c>
      <c r="CP2" s="70">
        <v>534</v>
      </c>
      <c r="CQ2" t="s">
        <v>179</v>
      </c>
      <c r="CR2" s="70">
        <f>CM$2*CP2</f>
        <v>1068</v>
      </c>
      <c r="CS2" t="s">
        <v>179</v>
      </c>
      <c r="CU2" s="25">
        <f>H2+P2+X2+AF2+AV2+AN2+BD2+BL2+BT2+CB2+CJ2+CR2</f>
        <v>50514</v>
      </c>
      <c r="CV2" t="s">
        <v>179</v>
      </c>
    </row>
    <row r="3" spans="2:100">
      <c r="D3" t="s">
        <v>931</v>
      </c>
      <c r="L3" t="s">
        <v>931</v>
      </c>
      <c r="T3" t="s">
        <v>931</v>
      </c>
      <c r="AB3" t="s">
        <v>931</v>
      </c>
      <c r="AJ3" t="s">
        <v>931</v>
      </c>
      <c r="AR3" t="s">
        <v>931</v>
      </c>
      <c r="AZ3" t="s">
        <v>931</v>
      </c>
      <c r="BH3" t="s">
        <v>931</v>
      </c>
      <c r="BP3" t="s">
        <v>931</v>
      </c>
      <c r="BX3" t="s">
        <v>931</v>
      </c>
      <c r="CF3" t="s">
        <v>931</v>
      </c>
      <c r="CN3" t="s">
        <v>931</v>
      </c>
    </row>
    <row r="4" spans="2:100">
      <c r="E4" t="s">
        <v>932</v>
      </c>
      <c r="F4" s="70">
        <v>375</v>
      </c>
      <c r="G4" t="s">
        <v>179</v>
      </c>
      <c r="H4" s="70">
        <f>$C$2*F4</f>
        <v>4500</v>
      </c>
      <c r="I4" t="s">
        <v>179</v>
      </c>
      <c r="M4" t="s">
        <v>932</v>
      </c>
      <c r="N4" s="70">
        <v>263.25</v>
      </c>
      <c r="O4" t="s">
        <v>179</v>
      </c>
      <c r="P4" s="70">
        <f>$K$2*N4</f>
        <v>3159</v>
      </c>
      <c r="Q4" t="s">
        <v>179</v>
      </c>
      <c r="U4" t="s">
        <v>932</v>
      </c>
      <c r="V4" s="70">
        <v>624</v>
      </c>
      <c r="W4" t="s">
        <v>179</v>
      </c>
      <c r="X4" s="70">
        <f>S$2*V4</f>
        <v>6240</v>
      </c>
      <c r="Y4" t="s">
        <v>179</v>
      </c>
      <c r="AC4" t="s">
        <v>932</v>
      </c>
      <c r="AD4" s="70">
        <v>399.2</v>
      </c>
      <c r="AE4" t="s">
        <v>179</v>
      </c>
      <c r="AF4" s="70">
        <f>AA$2*AD4</f>
        <v>12774.4</v>
      </c>
      <c r="AG4" t="s">
        <v>179</v>
      </c>
      <c r="AK4" t="s">
        <v>932</v>
      </c>
      <c r="AL4" s="70">
        <v>629.51</v>
      </c>
      <c r="AM4" t="s">
        <v>179</v>
      </c>
      <c r="AN4" s="70">
        <f>AI$2*AL4</f>
        <v>3777.06</v>
      </c>
      <c r="AO4" t="s">
        <v>179</v>
      </c>
      <c r="AS4" t="s">
        <v>932</v>
      </c>
      <c r="AT4" s="70">
        <v>238.5</v>
      </c>
      <c r="AU4" t="s">
        <v>179</v>
      </c>
      <c r="AV4" s="70">
        <f>AQ$2*AT4</f>
        <v>954</v>
      </c>
      <c r="AW4" t="s">
        <v>179</v>
      </c>
      <c r="BA4" t="s">
        <v>932</v>
      </c>
      <c r="BB4" s="70">
        <v>289.52</v>
      </c>
      <c r="BC4" t="s">
        <v>179</v>
      </c>
      <c r="BD4" s="70">
        <f>AY$2*BB4</f>
        <v>579.04</v>
      </c>
      <c r="BE4" t="s">
        <v>179</v>
      </c>
      <c r="BI4" t="s">
        <v>932</v>
      </c>
      <c r="BJ4" s="70">
        <v>267.20999999999998</v>
      </c>
      <c r="BK4" t="s">
        <v>179</v>
      </c>
      <c r="BL4" s="70">
        <f>BG$2*BJ4</f>
        <v>534.41999999999996</v>
      </c>
      <c r="BM4" t="s">
        <v>179</v>
      </c>
      <c r="BQ4" t="s">
        <v>932</v>
      </c>
      <c r="BR4" s="70">
        <v>427.03</v>
      </c>
      <c r="BS4" t="s">
        <v>179</v>
      </c>
      <c r="BT4" s="70">
        <f>BO$2*BR4</f>
        <v>5124.3599999999997</v>
      </c>
      <c r="BU4" t="s">
        <v>179</v>
      </c>
      <c r="BY4" t="s">
        <v>932</v>
      </c>
      <c r="BZ4" s="70">
        <v>437.37</v>
      </c>
      <c r="CA4" t="s">
        <v>179</v>
      </c>
      <c r="CB4" s="70">
        <f>BW$2*BZ4</f>
        <v>1749.48</v>
      </c>
      <c r="CC4" t="s">
        <v>179</v>
      </c>
      <c r="CG4" t="s">
        <v>932</v>
      </c>
      <c r="CH4" s="70">
        <v>274.89999999999998</v>
      </c>
      <c r="CI4" t="s">
        <v>179</v>
      </c>
      <c r="CJ4" s="70">
        <f>CE$2*CH4</f>
        <v>549.79999999999995</v>
      </c>
      <c r="CK4" t="s">
        <v>179</v>
      </c>
      <c r="CO4" t="s">
        <v>932</v>
      </c>
      <c r="CP4" s="70">
        <v>465.15</v>
      </c>
      <c r="CQ4" t="s">
        <v>179</v>
      </c>
      <c r="CR4" s="70">
        <f>CM$2*CP4</f>
        <v>930.3</v>
      </c>
      <c r="CS4" t="s">
        <v>179</v>
      </c>
      <c r="CU4" s="25">
        <f>H4+P4+X4+AF4+AV4+AN4+BD4+BL4+BT4+CB4+CJ4+CR4</f>
        <v>40871.860000000008</v>
      </c>
      <c r="CV4" t="s">
        <v>179</v>
      </c>
    </row>
    <row r="5" spans="2:100">
      <c r="E5" t="s">
        <v>933</v>
      </c>
      <c r="F5" s="70">
        <v>321</v>
      </c>
      <c r="G5" t="s">
        <v>179</v>
      </c>
      <c r="H5" s="70">
        <f>$C$2*F5</f>
        <v>3852</v>
      </c>
      <c r="I5" t="s">
        <v>179</v>
      </c>
      <c r="M5" t="s">
        <v>933</v>
      </c>
      <c r="N5" s="70">
        <v>489</v>
      </c>
      <c r="O5" t="s">
        <v>179</v>
      </c>
      <c r="P5" s="70">
        <f>$C$2*N5</f>
        <v>5868</v>
      </c>
      <c r="Q5" t="s">
        <v>179</v>
      </c>
      <c r="U5" t="s">
        <v>933</v>
      </c>
      <c r="V5" s="70">
        <v>468</v>
      </c>
      <c r="W5" t="s">
        <v>179</v>
      </c>
      <c r="X5" s="70">
        <f>S$2*V5</f>
        <v>4680</v>
      </c>
      <c r="Y5" t="s">
        <v>179</v>
      </c>
      <c r="AC5" t="s">
        <v>933</v>
      </c>
      <c r="AD5" s="70">
        <v>469</v>
      </c>
      <c r="AE5" t="s">
        <v>179</v>
      </c>
      <c r="AF5" s="70">
        <f>AA$2*AD5</f>
        <v>15008</v>
      </c>
      <c r="AG5" t="s">
        <v>179</v>
      </c>
      <c r="AK5" t="s">
        <v>933</v>
      </c>
      <c r="AL5" s="70">
        <v>405</v>
      </c>
      <c r="AM5" t="s">
        <v>179</v>
      </c>
      <c r="AN5" s="70">
        <f>AI$2*AL5</f>
        <v>2430</v>
      </c>
      <c r="AO5" t="s">
        <v>179</v>
      </c>
      <c r="AS5" t="s">
        <v>933</v>
      </c>
      <c r="AT5" s="70">
        <v>487</v>
      </c>
      <c r="AU5" t="s">
        <v>179</v>
      </c>
      <c r="AV5" s="70">
        <f>AQ$2*AT5</f>
        <v>1948</v>
      </c>
      <c r="AW5" t="s">
        <v>179</v>
      </c>
      <c r="BA5" t="s">
        <v>933</v>
      </c>
      <c r="BB5" s="70">
        <v>453</v>
      </c>
      <c r="BC5" t="s">
        <v>179</v>
      </c>
      <c r="BD5" s="70">
        <f>AY$2*BB5</f>
        <v>906</v>
      </c>
      <c r="BE5" t="s">
        <v>179</v>
      </c>
      <c r="BI5" t="s">
        <v>933</v>
      </c>
      <c r="BJ5" s="70">
        <v>505</v>
      </c>
      <c r="BK5" t="s">
        <v>179</v>
      </c>
      <c r="BL5" s="70">
        <f>BG$2*BJ5</f>
        <v>1010</v>
      </c>
      <c r="BM5" t="s">
        <v>179</v>
      </c>
      <c r="BQ5" t="s">
        <v>933</v>
      </c>
      <c r="BR5" s="70">
        <v>467</v>
      </c>
      <c r="BS5" t="s">
        <v>179</v>
      </c>
      <c r="BT5" s="70">
        <f>BO$2*BR5</f>
        <v>5604</v>
      </c>
      <c r="BU5" t="s">
        <v>179</v>
      </c>
      <c r="BY5" t="s">
        <v>933</v>
      </c>
      <c r="BZ5" s="70">
        <v>296</v>
      </c>
      <c r="CA5" t="s">
        <v>179</v>
      </c>
      <c r="CB5" s="70">
        <f>BW$2*BZ5</f>
        <v>1184</v>
      </c>
      <c r="CC5" t="s">
        <v>179</v>
      </c>
      <c r="CG5" t="s">
        <v>933</v>
      </c>
      <c r="CH5" s="70">
        <v>309</v>
      </c>
      <c r="CI5" t="s">
        <v>179</v>
      </c>
      <c r="CJ5" s="70">
        <f>CE$2*CH5</f>
        <v>618</v>
      </c>
      <c r="CK5" t="s">
        <v>179</v>
      </c>
      <c r="CO5" t="s">
        <v>933</v>
      </c>
      <c r="CP5" s="70">
        <v>404</v>
      </c>
      <c r="CQ5" t="s">
        <v>179</v>
      </c>
      <c r="CR5" s="70">
        <f>CM$2*CP5</f>
        <v>808</v>
      </c>
      <c r="CS5" t="s">
        <v>179</v>
      </c>
      <c r="CU5" s="25">
        <f>H5+P5+X5+AF5+AV5+AN5+BD5+BL5+BT5+CB5+CJ5+CR5</f>
        <v>43916</v>
      </c>
      <c r="CV5" t="s">
        <v>179</v>
      </c>
    </row>
    <row r="6" spans="2:100">
      <c r="E6" t="s">
        <v>934</v>
      </c>
      <c r="F6" s="70">
        <v>329</v>
      </c>
      <c r="G6" t="s">
        <v>179</v>
      </c>
      <c r="H6" s="70">
        <f>$C$2*F6</f>
        <v>3948</v>
      </c>
      <c r="I6" t="s">
        <v>179</v>
      </c>
      <c r="M6" t="s">
        <v>934</v>
      </c>
      <c r="N6" s="70">
        <v>150</v>
      </c>
      <c r="O6" t="s">
        <v>179</v>
      </c>
      <c r="P6" s="70">
        <f>$C$2*N6</f>
        <v>1800</v>
      </c>
      <c r="Q6" t="s">
        <v>179</v>
      </c>
      <c r="U6" t="s">
        <v>934</v>
      </c>
      <c r="V6" s="70">
        <v>333</v>
      </c>
      <c r="W6" t="s">
        <v>179</v>
      </c>
      <c r="X6" s="70">
        <f>S$2*V6</f>
        <v>3330</v>
      </c>
      <c r="Y6" t="s">
        <v>179</v>
      </c>
      <c r="AC6" t="s">
        <v>934</v>
      </c>
      <c r="AD6" s="70">
        <v>244.5</v>
      </c>
      <c r="AE6" t="s">
        <v>179</v>
      </c>
      <c r="AF6" s="70">
        <f>AA$2*AD6</f>
        <v>7824</v>
      </c>
      <c r="AG6" t="s">
        <v>179</v>
      </c>
      <c r="AK6" t="s">
        <v>934</v>
      </c>
      <c r="AL6" s="70">
        <v>431.75</v>
      </c>
      <c r="AM6" t="s">
        <v>179</v>
      </c>
      <c r="AN6" s="70">
        <f>AI$2*AL6</f>
        <v>2590.5</v>
      </c>
      <c r="AO6" t="s">
        <v>179</v>
      </c>
      <c r="AS6" t="s">
        <v>934</v>
      </c>
      <c r="AT6" s="70">
        <v>149.91999999999999</v>
      </c>
      <c r="AU6" t="s">
        <v>179</v>
      </c>
      <c r="AV6" s="70">
        <f>AQ$2*AT6</f>
        <v>599.67999999999995</v>
      </c>
      <c r="AW6" t="s">
        <v>179</v>
      </c>
      <c r="BA6" t="s">
        <v>934</v>
      </c>
      <c r="BB6" s="70">
        <v>20</v>
      </c>
      <c r="BC6" t="s">
        <v>179</v>
      </c>
      <c r="BD6" s="70">
        <f>AY$2*BB6</f>
        <v>40</v>
      </c>
      <c r="BE6" t="s">
        <v>179</v>
      </c>
      <c r="BI6" t="s">
        <v>934</v>
      </c>
      <c r="BJ6" s="70">
        <v>142.09</v>
      </c>
      <c r="BK6" t="s">
        <v>179</v>
      </c>
      <c r="BL6" s="70">
        <f>BG$2*BJ6</f>
        <v>284.18</v>
      </c>
      <c r="BM6" t="s">
        <v>179</v>
      </c>
      <c r="BQ6" t="s">
        <v>934</v>
      </c>
      <c r="BR6" s="70">
        <v>245.35</v>
      </c>
      <c r="BS6" t="s">
        <v>179</v>
      </c>
      <c r="BT6" s="70">
        <f>BO$2*BR6</f>
        <v>2944.2</v>
      </c>
      <c r="BU6" t="s">
        <v>179</v>
      </c>
      <c r="BY6" t="s">
        <v>934</v>
      </c>
      <c r="BZ6" s="70">
        <v>353.25</v>
      </c>
      <c r="CA6" t="s">
        <v>179</v>
      </c>
      <c r="CB6" s="70">
        <f>BW$2*BZ6</f>
        <v>1413</v>
      </c>
      <c r="CC6" t="s">
        <v>179</v>
      </c>
      <c r="CG6" t="s">
        <v>934</v>
      </c>
      <c r="CH6" s="70">
        <v>198.07</v>
      </c>
      <c r="CI6" t="s">
        <v>179</v>
      </c>
      <c r="CJ6" s="70">
        <f>CE$2*CH6</f>
        <v>396.14</v>
      </c>
      <c r="CK6" t="s">
        <v>179</v>
      </c>
      <c r="CO6" t="s">
        <v>934</v>
      </c>
      <c r="CP6" s="70">
        <v>235.5</v>
      </c>
      <c r="CQ6" t="s">
        <v>179</v>
      </c>
      <c r="CR6" s="70">
        <f>CM$2*CP6</f>
        <v>471</v>
      </c>
      <c r="CS6" t="s">
        <v>179</v>
      </c>
      <c r="CU6" s="25">
        <f>H6+P6+X6+AF6+AV6+AN6+BD6+BL6+BT6+CB6+CJ6+CR6</f>
        <v>25640.7</v>
      </c>
      <c r="CV6" t="s">
        <v>179</v>
      </c>
    </row>
    <row r="7" spans="2:100">
      <c r="E7" t="s">
        <v>935</v>
      </c>
      <c r="F7" s="71">
        <f>F27</f>
        <v>390</v>
      </c>
      <c r="G7" t="s">
        <v>179</v>
      </c>
      <c r="H7" s="70">
        <f>$C$2*F7</f>
        <v>4680</v>
      </c>
      <c r="I7" t="s">
        <v>179</v>
      </c>
      <c r="M7" t="s">
        <v>935</v>
      </c>
      <c r="N7" s="71">
        <f>N27</f>
        <v>297</v>
      </c>
      <c r="O7" t="s">
        <v>179</v>
      </c>
      <c r="P7" s="70">
        <f>$C$2*N7</f>
        <v>3564</v>
      </c>
      <c r="Q7" t="s">
        <v>179</v>
      </c>
      <c r="U7" t="s">
        <v>935</v>
      </c>
      <c r="V7" s="71">
        <f>V27</f>
        <v>595</v>
      </c>
      <c r="W7" t="s">
        <v>179</v>
      </c>
      <c r="X7" s="70">
        <f>$C$2*V7</f>
        <v>7140</v>
      </c>
      <c r="Y7" t="s">
        <v>179</v>
      </c>
      <c r="AC7" t="s">
        <v>935</v>
      </c>
      <c r="AD7" s="71">
        <f>AD27</f>
        <v>429</v>
      </c>
      <c r="AE7" t="s">
        <v>179</v>
      </c>
      <c r="AF7" s="70">
        <f>$C$2*AD7</f>
        <v>5148</v>
      </c>
      <c r="AG7" t="s">
        <v>179</v>
      </c>
      <c r="AK7" t="s">
        <v>935</v>
      </c>
      <c r="AL7" s="71">
        <f>AL27</f>
        <v>761</v>
      </c>
      <c r="AM7" t="s">
        <v>179</v>
      </c>
      <c r="AN7" s="70">
        <f>$C$2*AL7</f>
        <v>9132</v>
      </c>
      <c r="AO7" t="s">
        <v>179</v>
      </c>
      <c r="AS7" t="s">
        <v>935</v>
      </c>
      <c r="AT7" s="71">
        <f>AT27</f>
        <v>300</v>
      </c>
      <c r="AU7" t="s">
        <v>179</v>
      </c>
      <c r="AV7" s="70">
        <f>$C$2*AT7</f>
        <v>3600</v>
      </c>
      <c r="AW7" t="s">
        <v>179</v>
      </c>
      <c r="BA7" t="s">
        <v>935</v>
      </c>
      <c r="BB7" s="71">
        <f>BB27</f>
        <v>316</v>
      </c>
      <c r="BC7" t="s">
        <v>179</v>
      </c>
      <c r="BD7" s="70">
        <f>$C$2*BB7</f>
        <v>3792</v>
      </c>
      <c r="BE7" t="s">
        <v>179</v>
      </c>
      <c r="BI7" t="s">
        <v>935</v>
      </c>
      <c r="BJ7" s="71">
        <f>BJ27</f>
        <v>247</v>
      </c>
      <c r="BK7" t="s">
        <v>179</v>
      </c>
      <c r="BL7" s="70">
        <f>$C$2*BJ7</f>
        <v>2964</v>
      </c>
      <c r="BM7" t="s">
        <v>179</v>
      </c>
      <c r="BQ7" t="s">
        <v>935</v>
      </c>
      <c r="BR7" s="71">
        <f>BR27</f>
        <v>436</v>
      </c>
      <c r="BS7" t="s">
        <v>179</v>
      </c>
      <c r="BT7" s="70">
        <f>$C$2*BR7</f>
        <v>5232</v>
      </c>
      <c r="BU7" t="s">
        <v>179</v>
      </c>
      <c r="BY7" t="s">
        <v>935</v>
      </c>
      <c r="BZ7" s="71">
        <f>BZ27</f>
        <v>405</v>
      </c>
      <c r="CA7" t="s">
        <v>179</v>
      </c>
      <c r="CB7" s="70">
        <f>$C$2*BZ7</f>
        <v>4860</v>
      </c>
      <c r="CC7" t="s">
        <v>179</v>
      </c>
      <c r="CG7" t="s">
        <v>935</v>
      </c>
      <c r="CH7" s="71">
        <f>CH27</f>
        <v>247</v>
      </c>
      <c r="CI7" t="s">
        <v>179</v>
      </c>
      <c r="CJ7" s="70">
        <f>$C$2*CH7</f>
        <v>2964</v>
      </c>
      <c r="CK7" t="s">
        <v>179</v>
      </c>
      <c r="CO7" t="s">
        <v>935</v>
      </c>
      <c r="CP7" s="71">
        <f>CP27</f>
        <v>455</v>
      </c>
      <c r="CQ7" t="s">
        <v>179</v>
      </c>
      <c r="CR7" s="70">
        <f>$C$2*CP7</f>
        <v>5460</v>
      </c>
      <c r="CS7" t="s">
        <v>179</v>
      </c>
      <c r="CU7" s="25">
        <f>H7+P7+X7+AF7+AV7+AN7+BD7+BL7+BT7+CB7+CJ7+CR7</f>
        <v>58536</v>
      </c>
      <c r="CV7" t="s">
        <v>179</v>
      </c>
    </row>
    <row r="8" spans="2:100">
      <c r="E8" t="s">
        <v>936</v>
      </c>
      <c r="M8" t="s">
        <v>936</v>
      </c>
      <c r="U8" t="s">
        <v>936</v>
      </c>
      <c r="AC8" t="s">
        <v>936</v>
      </c>
      <c r="AK8" t="s">
        <v>936</v>
      </c>
      <c r="AS8" t="s">
        <v>936</v>
      </c>
      <c r="BA8" t="s">
        <v>936</v>
      </c>
      <c r="BI8" t="s">
        <v>936</v>
      </c>
      <c r="BQ8" t="s">
        <v>936</v>
      </c>
      <c r="BY8" t="s">
        <v>936</v>
      </c>
      <c r="CG8" t="s">
        <v>936</v>
      </c>
      <c r="CO8" t="s">
        <v>936</v>
      </c>
    </row>
    <row r="9" spans="2:100">
      <c r="D9" t="s">
        <v>937</v>
      </c>
      <c r="L9" t="s">
        <v>937</v>
      </c>
      <c r="T9" t="s">
        <v>937</v>
      </c>
      <c r="AB9" t="s">
        <v>937</v>
      </c>
      <c r="AJ9" t="s">
        <v>937</v>
      </c>
      <c r="AR9" t="s">
        <v>937</v>
      </c>
      <c r="AZ9" t="s">
        <v>937</v>
      </c>
      <c r="BH9" t="s">
        <v>937</v>
      </c>
      <c r="BP9" t="s">
        <v>937</v>
      </c>
      <c r="BX9" t="s">
        <v>937</v>
      </c>
      <c r="CF9" t="s">
        <v>937</v>
      </c>
      <c r="CN9" t="s">
        <v>937</v>
      </c>
    </row>
    <row r="10" spans="2:100">
      <c r="E10" t="s">
        <v>938</v>
      </c>
      <c r="F10" s="70">
        <v>5</v>
      </c>
      <c r="G10" t="s">
        <v>939</v>
      </c>
      <c r="H10" s="70">
        <f t="shared" ref="H10:H15" si="0">$C$2*F10</f>
        <v>60</v>
      </c>
      <c r="I10" t="s">
        <v>939</v>
      </c>
      <c r="M10" t="s">
        <v>938</v>
      </c>
      <c r="N10" s="70">
        <v>5</v>
      </c>
      <c r="O10" t="s">
        <v>939</v>
      </c>
      <c r="P10" s="70">
        <f>$K$2*N10</f>
        <v>60</v>
      </c>
      <c r="Q10" t="s">
        <v>939</v>
      </c>
      <c r="U10" t="s">
        <v>938</v>
      </c>
      <c r="V10" s="70">
        <v>5</v>
      </c>
      <c r="W10" t="s">
        <v>939</v>
      </c>
      <c r="X10" s="70">
        <f t="shared" ref="X10:X15" si="1">S$2*V10</f>
        <v>50</v>
      </c>
      <c r="Y10" t="s">
        <v>939</v>
      </c>
      <c r="AC10" t="s">
        <v>938</v>
      </c>
      <c r="AD10" s="70">
        <v>5</v>
      </c>
      <c r="AE10" t="s">
        <v>939</v>
      </c>
      <c r="AF10" s="70">
        <f t="shared" ref="AF10:AF15" si="2">AA$2*AD10</f>
        <v>160</v>
      </c>
      <c r="AG10" t="s">
        <v>939</v>
      </c>
      <c r="AK10" t="s">
        <v>938</v>
      </c>
      <c r="AL10" s="70">
        <v>5</v>
      </c>
      <c r="AM10" t="s">
        <v>939</v>
      </c>
      <c r="AN10" s="70">
        <f t="shared" ref="AN10:AN15" si="3">AI$2*AL10</f>
        <v>30</v>
      </c>
      <c r="AO10" t="s">
        <v>939</v>
      </c>
      <c r="AS10" t="s">
        <v>938</v>
      </c>
      <c r="AU10" t="s">
        <v>939</v>
      </c>
      <c r="AV10" s="70">
        <f t="shared" ref="AV10:AV15" si="4">AQ$2*AT10</f>
        <v>0</v>
      </c>
      <c r="AW10" t="s">
        <v>939</v>
      </c>
      <c r="BA10" t="s">
        <v>938</v>
      </c>
      <c r="BC10" t="s">
        <v>939</v>
      </c>
      <c r="BD10" s="70">
        <f t="shared" ref="BD10:BD15" si="5">AY$2*BB10</f>
        <v>0</v>
      </c>
      <c r="BE10" t="s">
        <v>939</v>
      </c>
      <c r="BI10" t="s">
        <v>938</v>
      </c>
      <c r="BK10" t="s">
        <v>939</v>
      </c>
      <c r="BL10" s="70">
        <f t="shared" ref="BL10:BL15" si="6">BG$2*BJ10</f>
        <v>0</v>
      </c>
      <c r="BM10" t="s">
        <v>939</v>
      </c>
      <c r="BQ10" t="s">
        <v>938</v>
      </c>
      <c r="BS10" t="s">
        <v>939</v>
      </c>
      <c r="BT10" s="70">
        <f t="shared" ref="BT10:BT15" si="7">BO$2*BR10</f>
        <v>0</v>
      </c>
      <c r="BU10" t="s">
        <v>939</v>
      </c>
      <c r="BY10" t="s">
        <v>938</v>
      </c>
      <c r="CA10" t="s">
        <v>939</v>
      </c>
      <c r="CB10" s="70">
        <f t="shared" ref="CB10:CB15" si="8">BW$2*BZ10</f>
        <v>0</v>
      </c>
      <c r="CC10" t="s">
        <v>939</v>
      </c>
      <c r="CG10" t="s">
        <v>938</v>
      </c>
      <c r="CI10" t="s">
        <v>939</v>
      </c>
      <c r="CJ10" s="70">
        <f t="shared" ref="CJ10:CJ15" si="9">CE$2*CH10</f>
        <v>0</v>
      </c>
      <c r="CK10" t="s">
        <v>939</v>
      </c>
      <c r="CO10" t="s">
        <v>938</v>
      </c>
      <c r="CQ10" t="s">
        <v>939</v>
      </c>
      <c r="CR10" s="70">
        <f t="shared" ref="CR10:CR15" si="10">CM$2*CP10</f>
        <v>0</v>
      </c>
      <c r="CS10" t="s">
        <v>939</v>
      </c>
      <c r="CU10" s="25">
        <f t="shared" ref="CU10:CU15" si="11">H10+P10+X10+AF10+AV10+AN10+BD10+BL10+BT10+CB10+CJ10+CR10</f>
        <v>360</v>
      </c>
      <c r="CV10" t="s">
        <v>939</v>
      </c>
    </row>
    <row r="11" spans="2:100">
      <c r="E11" t="s">
        <v>940</v>
      </c>
      <c r="F11" s="70">
        <v>7.5</v>
      </c>
      <c r="G11" t="s">
        <v>939</v>
      </c>
      <c r="H11" s="70">
        <f>$C$2*F11</f>
        <v>90</v>
      </c>
      <c r="I11" t="s">
        <v>939</v>
      </c>
      <c r="M11" t="s">
        <v>940</v>
      </c>
      <c r="N11" s="70">
        <v>7.5</v>
      </c>
      <c r="O11" t="s">
        <v>939</v>
      </c>
      <c r="P11" s="70">
        <f>$K$2*N11</f>
        <v>90</v>
      </c>
      <c r="Q11" t="s">
        <v>939</v>
      </c>
      <c r="U11" t="s">
        <v>940</v>
      </c>
      <c r="V11" s="70">
        <v>7.5</v>
      </c>
      <c r="W11" t="s">
        <v>939</v>
      </c>
      <c r="X11" s="70">
        <f>S$2*V11</f>
        <v>75</v>
      </c>
      <c r="Y11" t="s">
        <v>939</v>
      </c>
      <c r="AC11" t="s">
        <v>940</v>
      </c>
      <c r="AD11" s="70">
        <v>7.5</v>
      </c>
      <c r="AE11" t="s">
        <v>939</v>
      </c>
      <c r="AF11" s="70">
        <f>AA$2*AD11</f>
        <v>240</v>
      </c>
      <c r="AG11" t="s">
        <v>939</v>
      </c>
      <c r="AK11" t="s">
        <v>940</v>
      </c>
      <c r="AL11" s="70">
        <v>7.5</v>
      </c>
      <c r="AM11" t="s">
        <v>939</v>
      </c>
      <c r="AN11" s="70">
        <f t="shared" si="3"/>
        <v>45</v>
      </c>
      <c r="AO11" t="s">
        <v>939</v>
      </c>
      <c r="AS11" t="s">
        <v>938</v>
      </c>
      <c r="AU11" t="s">
        <v>939</v>
      </c>
      <c r="AV11" s="70">
        <f>AQ$2*AT11</f>
        <v>0</v>
      </c>
      <c r="AW11" t="s">
        <v>939</v>
      </c>
      <c r="BA11" t="s">
        <v>940</v>
      </c>
      <c r="BC11" t="s">
        <v>939</v>
      </c>
      <c r="BD11" s="70">
        <f t="shared" si="5"/>
        <v>0</v>
      </c>
      <c r="BE11" t="s">
        <v>939</v>
      </c>
      <c r="BI11" t="s">
        <v>940</v>
      </c>
      <c r="BK11" t="s">
        <v>939</v>
      </c>
      <c r="BL11" s="70">
        <f t="shared" si="6"/>
        <v>0</v>
      </c>
      <c r="BM11" t="s">
        <v>939</v>
      </c>
      <c r="BQ11" t="s">
        <v>940</v>
      </c>
      <c r="BS11" t="s">
        <v>939</v>
      </c>
      <c r="BT11" s="70">
        <f t="shared" si="7"/>
        <v>0</v>
      </c>
      <c r="BU11" t="s">
        <v>939</v>
      </c>
      <c r="BY11" t="s">
        <v>940</v>
      </c>
      <c r="CA11" t="s">
        <v>939</v>
      </c>
      <c r="CB11" s="70">
        <f t="shared" si="8"/>
        <v>0</v>
      </c>
      <c r="CC11" t="s">
        <v>939</v>
      </c>
      <c r="CG11" t="s">
        <v>940</v>
      </c>
      <c r="CI11" t="s">
        <v>939</v>
      </c>
      <c r="CJ11" s="70">
        <f t="shared" si="9"/>
        <v>0</v>
      </c>
      <c r="CK11" t="s">
        <v>939</v>
      </c>
      <c r="CO11" t="s">
        <v>940</v>
      </c>
      <c r="CQ11" t="s">
        <v>939</v>
      </c>
      <c r="CR11" s="70">
        <f t="shared" si="10"/>
        <v>0</v>
      </c>
      <c r="CS11" t="s">
        <v>939</v>
      </c>
      <c r="CU11" s="25">
        <f t="shared" si="11"/>
        <v>540</v>
      </c>
      <c r="CV11" t="s">
        <v>939</v>
      </c>
    </row>
    <row r="12" spans="2:100">
      <c r="E12" t="s">
        <v>941</v>
      </c>
      <c r="F12" s="70">
        <v>4</v>
      </c>
      <c r="G12" t="s">
        <v>939</v>
      </c>
      <c r="H12" s="70">
        <f t="shared" si="0"/>
        <v>48</v>
      </c>
      <c r="I12" t="s">
        <v>939</v>
      </c>
      <c r="M12" t="s">
        <v>941</v>
      </c>
      <c r="N12" s="70">
        <v>4</v>
      </c>
      <c r="O12" t="s">
        <v>939</v>
      </c>
      <c r="P12" s="70">
        <f>$C$2*N12</f>
        <v>48</v>
      </c>
      <c r="Q12" t="s">
        <v>939</v>
      </c>
      <c r="U12" t="s">
        <v>941</v>
      </c>
      <c r="V12" s="70">
        <v>8</v>
      </c>
      <c r="W12" t="s">
        <v>939</v>
      </c>
      <c r="X12" s="70">
        <f t="shared" si="1"/>
        <v>80</v>
      </c>
      <c r="Y12" t="s">
        <v>939</v>
      </c>
      <c r="AC12" t="s">
        <v>941</v>
      </c>
      <c r="AD12" s="70">
        <v>4</v>
      </c>
      <c r="AE12" t="s">
        <v>939</v>
      </c>
      <c r="AF12" s="70">
        <f t="shared" si="2"/>
        <v>128</v>
      </c>
      <c r="AG12" t="s">
        <v>939</v>
      </c>
      <c r="AK12" t="s">
        <v>941</v>
      </c>
      <c r="AL12" s="70">
        <v>4</v>
      </c>
      <c r="AM12" t="s">
        <v>939</v>
      </c>
      <c r="AN12" s="70">
        <f t="shared" si="3"/>
        <v>24</v>
      </c>
      <c r="AO12" t="s">
        <v>939</v>
      </c>
      <c r="AS12" t="s">
        <v>941</v>
      </c>
      <c r="AT12" s="70">
        <v>4</v>
      </c>
      <c r="AU12" t="s">
        <v>939</v>
      </c>
      <c r="AV12" s="70">
        <f t="shared" si="4"/>
        <v>16</v>
      </c>
      <c r="AW12" t="s">
        <v>939</v>
      </c>
      <c r="BA12" t="s">
        <v>941</v>
      </c>
      <c r="BB12" s="70">
        <v>1</v>
      </c>
      <c r="BC12" t="s">
        <v>939</v>
      </c>
      <c r="BD12" s="70">
        <f t="shared" si="5"/>
        <v>2</v>
      </c>
      <c r="BE12" t="s">
        <v>939</v>
      </c>
      <c r="BI12" t="s">
        <v>941</v>
      </c>
      <c r="BK12" t="s">
        <v>939</v>
      </c>
      <c r="BL12" s="70">
        <f t="shared" si="6"/>
        <v>0</v>
      </c>
      <c r="BM12" t="s">
        <v>939</v>
      </c>
      <c r="BQ12" t="s">
        <v>941</v>
      </c>
      <c r="BR12" s="70">
        <v>4</v>
      </c>
      <c r="BS12" t="s">
        <v>939</v>
      </c>
      <c r="BT12" s="70">
        <f t="shared" si="7"/>
        <v>48</v>
      </c>
      <c r="BU12" t="s">
        <v>939</v>
      </c>
      <c r="BY12" t="s">
        <v>941</v>
      </c>
      <c r="BZ12" s="70">
        <v>4</v>
      </c>
      <c r="CA12" t="s">
        <v>939</v>
      </c>
      <c r="CB12" s="70">
        <f t="shared" si="8"/>
        <v>16</v>
      </c>
      <c r="CC12" t="s">
        <v>939</v>
      </c>
      <c r="CG12" t="s">
        <v>941</v>
      </c>
      <c r="CH12" s="70">
        <v>4</v>
      </c>
      <c r="CI12" t="s">
        <v>939</v>
      </c>
      <c r="CJ12" s="70">
        <f t="shared" si="9"/>
        <v>8</v>
      </c>
      <c r="CK12" t="s">
        <v>939</v>
      </c>
      <c r="CO12" t="s">
        <v>941</v>
      </c>
      <c r="CP12" s="70">
        <v>4</v>
      </c>
      <c r="CQ12" t="s">
        <v>939</v>
      </c>
      <c r="CR12" s="70">
        <f t="shared" si="10"/>
        <v>8</v>
      </c>
      <c r="CS12" t="s">
        <v>939</v>
      </c>
      <c r="CU12" s="25">
        <f t="shared" si="11"/>
        <v>426</v>
      </c>
      <c r="CV12" t="s">
        <v>939</v>
      </c>
    </row>
    <row r="13" spans="2:100">
      <c r="E13" t="s">
        <v>942</v>
      </c>
      <c r="F13" s="70">
        <v>5</v>
      </c>
      <c r="G13" t="s">
        <v>271</v>
      </c>
      <c r="H13" s="70">
        <f t="shared" si="0"/>
        <v>60</v>
      </c>
      <c r="I13" t="s">
        <v>271</v>
      </c>
      <c r="M13" t="s">
        <v>942</v>
      </c>
      <c r="N13" s="70">
        <v>5</v>
      </c>
      <c r="O13" t="s">
        <v>271</v>
      </c>
      <c r="P13" s="70">
        <f>$C$2*N13</f>
        <v>60</v>
      </c>
      <c r="Q13" t="s">
        <v>271</v>
      </c>
      <c r="U13" t="s">
        <v>942</v>
      </c>
      <c r="V13" s="70">
        <v>5</v>
      </c>
      <c r="W13" t="s">
        <v>271</v>
      </c>
      <c r="X13" s="70">
        <f t="shared" si="1"/>
        <v>50</v>
      </c>
      <c r="Y13" t="s">
        <v>271</v>
      </c>
      <c r="AC13" t="s">
        <v>942</v>
      </c>
      <c r="AD13" s="70">
        <v>5</v>
      </c>
      <c r="AE13" t="s">
        <v>271</v>
      </c>
      <c r="AF13" s="70">
        <f t="shared" si="2"/>
        <v>160</v>
      </c>
      <c r="AG13" t="s">
        <v>271</v>
      </c>
      <c r="AK13" t="s">
        <v>942</v>
      </c>
      <c r="AL13" s="70">
        <v>5</v>
      </c>
      <c r="AM13" t="s">
        <v>271</v>
      </c>
      <c r="AN13" s="70">
        <f t="shared" si="3"/>
        <v>30</v>
      </c>
      <c r="AO13" t="s">
        <v>271</v>
      </c>
      <c r="AS13" t="s">
        <v>942</v>
      </c>
      <c r="AT13" s="70">
        <v>5</v>
      </c>
      <c r="AU13" t="s">
        <v>271</v>
      </c>
      <c r="AV13" s="70">
        <f t="shared" si="4"/>
        <v>20</v>
      </c>
      <c r="AW13" t="s">
        <v>271</v>
      </c>
      <c r="BA13" t="s">
        <v>942</v>
      </c>
      <c r="BB13" s="70">
        <v>1</v>
      </c>
      <c r="BC13" t="s">
        <v>271</v>
      </c>
      <c r="BD13" s="70">
        <f t="shared" si="5"/>
        <v>2</v>
      </c>
      <c r="BE13" t="s">
        <v>271</v>
      </c>
      <c r="BI13" t="s">
        <v>942</v>
      </c>
      <c r="BJ13" s="70">
        <v>5</v>
      </c>
      <c r="BK13" t="s">
        <v>271</v>
      </c>
      <c r="BL13" s="70">
        <f t="shared" si="6"/>
        <v>10</v>
      </c>
      <c r="BM13" t="s">
        <v>271</v>
      </c>
      <c r="BQ13" t="s">
        <v>942</v>
      </c>
      <c r="BR13" s="70">
        <v>5</v>
      </c>
      <c r="BS13" t="s">
        <v>271</v>
      </c>
      <c r="BT13" s="70">
        <f t="shared" si="7"/>
        <v>60</v>
      </c>
      <c r="BU13" t="s">
        <v>271</v>
      </c>
      <c r="BY13" t="s">
        <v>942</v>
      </c>
      <c r="BZ13" s="70">
        <v>5</v>
      </c>
      <c r="CA13" t="s">
        <v>271</v>
      </c>
      <c r="CB13" s="70">
        <f t="shared" si="8"/>
        <v>20</v>
      </c>
      <c r="CC13" t="s">
        <v>271</v>
      </c>
      <c r="CG13" t="s">
        <v>942</v>
      </c>
      <c r="CH13" s="70">
        <v>5</v>
      </c>
      <c r="CI13" t="s">
        <v>271</v>
      </c>
      <c r="CJ13" s="70">
        <f t="shared" si="9"/>
        <v>10</v>
      </c>
      <c r="CK13" t="s">
        <v>271</v>
      </c>
      <c r="CO13" t="s">
        <v>942</v>
      </c>
      <c r="CP13" s="70">
        <v>5</v>
      </c>
      <c r="CQ13" t="s">
        <v>271</v>
      </c>
      <c r="CR13" s="70">
        <f t="shared" si="10"/>
        <v>10</v>
      </c>
      <c r="CS13" t="s">
        <v>271</v>
      </c>
      <c r="CU13" s="25">
        <f t="shared" si="11"/>
        <v>492</v>
      </c>
      <c r="CV13" t="s">
        <v>271</v>
      </c>
    </row>
    <row r="14" spans="2:100">
      <c r="E14" t="s">
        <v>943</v>
      </c>
      <c r="F14" s="70">
        <v>93</v>
      </c>
      <c r="G14" t="s">
        <v>329</v>
      </c>
      <c r="H14" s="70">
        <f t="shared" si="0"/>
        <v>1116</v>
      </c>
      <c r="I14" t="s">
        <v>329</v>
      </c>
      <c r="M14" t="s">
        <v>943</v>
      </c>
      <c r="N14" s="70">
        <v>72</v>
      </c>
      <c r="O14" t="s">
        <v>329</v>
      </c>
      <c r="P14" s="70">
        <f>$C$2*N14</f>
        <v>864</v>
      </c>
      <c r="Q14" t="s">
        <v>329</v>
      </c>
      <c r="U14" t="s">
        <v>943</v>
      </c>
      <c r="V14" s="70">
        <v>128</v>
      </c>
      <c r="W14" t="s">
        <v>329</v>
      </c>
      <c r="X14" s="70">
        <f t="shared" si="1"/>
        <v>1280</v>
      </c>
      <c r="Y14" t="s">
        <v>329</v>
      </c>
      <c r="AC14" t="s">
        <v>943</v>
      </c>
      <c r="AD14" s="70">
        <v>111</v>
      </c>
      <c r="AE14" t="s">
        <v>329</v>
      </c>
      <c r="AF14" s="70">
        <f t="shared" si="2"/>
        <v>3552</v>
      </c>
      <c r="AG14" t="s">
        <v>329</v>
      </c>
      <c r="AK14" t="s">
        <v>943</v>
      </c>
      <c r="AL14" s="70">
        <v>190</v>
      </c>
      <c r="AM14" t="s">
        <v>329</v>
      </c>
      <c r="AN14" s="70">
        <f t="shared" si="3"/>
        <v>1140</v>
      </c>
      <c r="AO14" t="s">
        <v>329</v>
      </c>
      <c r="AS14" t="s">
        <v>943</v>
      </c>
      <c r="AT14" s="70">
        <v>23</v>
      </c>
      <c r="AU14" t="s">
        <v>329</v>
      </c>
      <c r="AV14" s="70">
        <f t="shared" si="4"/>
        <v>92</v>
      </c>
      <c r="AW14" t="s">
        <v>329</v>
      </c>
      <c r="BA14" t="s">
        <v>943</v>
      </c>
      <c r="BB14" s="70">
        <v>79</v>
      </c>
      <c r="BC14" t="s">
        <v>329</v>
      </c>
      <c r="BD14" s="70">
        <f t="shared" si="5"/>
        <v>158</v>
      </c>
      <c r="BE14" t="s">
        <v>329</v>
      </c>
      <c r="BI14" t="s">
        <v>943</v>
      </c>
      <c r="BJ14" s="70">
        <v>62</v>
      </c>
      <c r="BK14" t="s">
        <v>329</v>
      </c>
      <c r="BL14" s="70">
        <f t="shared" si="6"/>
        <v>124</v>
      </c>
      <c r="BM14" t="s">
        <v>329</v>
      </c>
      <c r="BQ14" t="s">
        <v>943</v>
      </c>
      <c r="BR14" s="70">
        <v>114</v>
      </c>
      <c r="BS14" t="s">
        <v>329</v>
      </c>
      <c r="BT14" s="70">
        <f t="shared" si="7"/>
        <v>1368</v>
      </c>
      <c r="BU14" t="s">
        <v>329</v>
      </c>
      <c r="BY14" t="s">
        <v>943</v>
      </c>
      <c r="BZ14" s="70">
        <v>116</v>
      </c>
      <c r="CA14" t="s">
        <v>329</v>
      </c>
      <c r="CB14" s="70">
        <f t="shared" si="8"/>
        <v>464</v>
      </c>
      <c r="CC14" t="s">
        <v>329</v>
      </c>
      <c r="CG14" t="s">
        <v>943</v>
      </c>
      <c r="CH14" s="70">
        <v>68</v>
      </c>
      <c r="CI14" t="s">
        <v>329</v>
      </c>
      <c r="CJ14" s="70">
        <f t="shared" si="9"/>
        <v>136</v>
      </c>
      <c r="CK14" t="s">
        <v>329</v>
      </c>
      <c r="CO14" t="s">
        <v>943</v>
      </c>
      <c r="CP14" s="70">
        <v>102</v>
      </c>
      <c r="CQ14" t="s">
        <v>329</v>
      </c>
      <c r="CR14" s="70">
        <f t="shared" si="10"/>
        <v>204</v>
      </c>
      <c r="CS14" t="s">
        <v>329</v>
      </c>
      <c r="CU14" s="25">
        <f t="shared" si="11"/>
        <v>10498</v>
      </c>
      <c r="CV14" t="s">
        <v>329</v>
      </c>
    </row>
    <row r="15" spans="2:100">
      <c r="E15" t="s">
        <v>944</v>
      </c>
      <c r="F15" s="70">
        <v>6</v>
      </c>
      <c r="G15" t="s">
        <v>329</v>
      </c>
      <c r="H15" s="70">
        <f t="shared" si="0"/>
        <v>72</v>
      </c>
      <c r="I15" t="s">
        <v>329</v>
      </c>
      <c r="M15" t="s">
        <v>944</v>
      </c>
      <c r="N15" s="70">
        <v>5</v>
      </c>
      <c r="O15" t="s">
        <v>329</v>
      </c>
      <c r="P15" s="70">
        <f>$C$2*N15</f>
        <v>60</v>
      </c>
      <c r="Q15" t="s">
        <v>329</v>
      </c>
      <c r="U15" t="s">
        <v>944</v>
      </c>
      <c r="V15" s="70">
        <v>7</v>
      </c>
      <c r="W15" t="s">
        <v>329</v>
      </c>
      <c r="X15" s="70">
        <f t="shared" si="1"/>
        <v>70</v>
      </c>
      <c r="Y15" t="s">
        <v>329</v>
      </c>
      <c r="AC15" t="s">
        <v>944</v>
      </c>
      <c r="AD15" s="70">
        <v>5</v>
      </c>
      <c r="AE15" t="s">
        <v>329</v>
      </c>
      <c r="AF15" s="70">
        <f t="shared" si="2"/>
        <v>160</v>
      </c>
      <c r="AG15" t="s">
        <v>329</v>
      </c>
      <c r="AK15" t="s">
        <v>944</v>
      </c>
      <c r="AL15" s="70">
        <v>15</v>
      </c>
      <c r="AM15" t="s">
        <v>329</v>
      </c>
      <c r="AN15" s="70">
        <f t="shared" si="3"/>
        <v>90</v>
      </c>
      <c r="AO15" t="s">
        <v>329</v>
      </c>
      <c r="AS15" t="s">
        <v>944</v>
      </c>
      <c r="AT15" s="70">
        <v>6</v>
      </c>
      <c r="AU15" t="s">
        <v>329</v>
      </c>
      <c r="AV15" s="70">
        <f t="shared" si="4"/>
        <v>24</v>
      </c>
      <c r="AW15" t="s">
        <v>329</v>
      </c>
      <c r="BA15" t="s">
        <v>944</v>
      </c>
      <c r="BB15" s="70">
        <v>6</v>
      </c>
      <c r="BC15" t="s">
        <v>329</v>
      </c>
      <c r="BD15" s="70">
        <f t="shared" si="5"/>
        <v>12</v>
      </c>
      <c r="BE15" t="s">
        <v>329</v>
      </c>
      <c r="BI15" t="s">
        <v>944</v>
      </c>
      <c r="BJ15" s="70">
        <v>6</v>
      </c>
      <c r="BK15" t="s">
        <v>329</v>
      </c>
      <c r="BL15" s="70">
        <f t="shared" si="6"/>
        <v>12</v>
      </c>
      <c r="BM15" t="s">
        <v>329</v>
      </c>
      <c r="BQ15" t="s">
        <v>944</v>
      </c>
      <c r="BR15" s="70">
        <v>12</v>
      </c>
      <c r="BS15" t="s">
        <v>329</v>
      </c>
      <c r="BT15" s="70">
        <f t="shared" si="7"/>
        <v>144</v>
      </c>
      <c r="BU15" t="s">
        <v>329</v>
      </c>
      <c r="BY15" t="s">
        <v>944</v>
      </c>
      <c r="BZ15" s="70">
        <v>12</v>
      </c>
      <c r="CA15" t="s">
        <v>329</v>
      </c>
      <c r="CB15" s="70">
        <f t="shared" si="8"/>
        <v>48</v>
      </c>
      <c r="CC15" t="s">
        <v>329</v>
      </c>
      <c r="CG15" t="s">
        <v>944</v>
      </c>
      <c r="CH15" s="70">
        <v>6</v>
      </c>
      <c r="CI15" t="s">
        <v>329</v>
      </c>
      <c r="CJ15" s="70">
        <f t="shared" si="9"/>
        <v>12</v>
      </c>
      <c r="CK15" t="s">
        <v>329</v>
      </c>
      <c r="CO15" t="s">
        <v>944</v>
      </c>
      <c r="CP15" s="70">
        <v>6</v>
      </c>
      <c r="CQ15" t="s">
        <v>329</v>
      </c>
      <c r="CR15" s="70">
        <f t="shared" si="10"/>
        <v>12</v>
      </c>
      <c r="CS15" t="s">
        <v>329</v>
      </c>
      <c r="CU15" s="25">
        <f t="shared" si="11"/>
        <v>716</v>
      </c>
      <c r="CV15" t="s">
        <v>329</v>
      </c>
    </row>
    <row r="16" spans="2:100">
      <c r="D16" t="s">
        <v>945</v>
      </c>
      <c r="L16" t="s">
        <v>945</v>
      </c>
      <c r="T16" t="s">
        <v>945</v>
      </c>
      <c r="AB16" t="s">
        <v>945</v>
      </c>
      <c r="AJ16" t="s">
        <v>945</v>
      </c>
      <c r="AR16" t="s">
        <v>945</v>
      </c>
      <c r="AZ16" t="s">
        <v>945</v>
      </c>
      <c r="BH16" t="s">
        <v>945</v>
      </c>
      <c r="BP16" t="s">
        <v>945</v>
      </c>
      <c r="BX16" t="s">
        <v>945</v>
      </c>
      <c r="CF16" t="s">
        <v>945</v>
      </c>
      <c r="CN16" t="s">
        <v>945</v>
      </c>
    </row>
    <row r="17" spans="4:100">
      <c r="E17" t="s">
        <v>946</v>
      </c>
      <c r="F17" s="70">
        <v>1</v>
      </c>
      <c r="G17" t="s">
        <v>271</v>
      </c>
      <c r="H17" s="70">
        <f>$C$2*F17</f>
        <v>12</v>
      </c>
      <c r="I17" t="s">
        <v>271</v>
      </c>
      <c r="M17" t="s">
        <v>946</v>
      </c>
      <c r="O17" t="s">
        <v>271</v>
      </c>
      <c r="P17" s="70">
        <f>$K$2*N17</f>
        <v>0</v>
      </c>
      <c r="Q17" t="s">
        <v>271</v>
      </c>
      <c r="U17" t="s">
        <v>946</v>
      </c>
      <c r="V17" s="70">
        <v>1</v>
      </c>
      <c r="W17" t="s">
        <v>271</v>
      </c>
      <c r="X17" s="70">
        <f>S$2*V17</f>
        <v>10</v>
      </c>
      <c r="Y17" t="s">
        <v>271</v>
      </c>
      <c r="AC17" t="s">
        <v>946</v>
      </c>
      <c r="AD17" s="70">
        <v>1</v>
      </c>
      <c r="AE17" t="s">
        <v>271</v>
      </c>
      <c r="AF17" s="70">
        <f>AA$2*AD17</f>
        <v>32</v>
      </c>
      <c r="AG17" t="s">
        <v>271</v>
      </c>
      <c r="AK17" t="s">
        <v>946</v>
      </c>
      <c r="AM17" t="s">
        <v>271</v>
      </c>
      <c r="AN17" s="70">
        <f>AI$2*AL17</f>
        <v>0</v>
      </c>
      <c r="AO17" t="s">
        <v>271</v>
      </c>
      <c r="AS17" t="s">
        <v>946</v>
      </c>
      <c r="AT17" s="70">
        <v>1</v>
      </c>
      <c r="AU17" t="s">
        <v>271</v>
      </c>
      <c r="AV17" s="70">
        <f>AQ$2*AT17</f>
        <v>4</v>
      </c>
      <c r="AW17" t="s">
        <v>271</v>
      </c>
      <c r="BA17" t="s">
        <v>946</v>
      </c>
      <c r="BB17" s="70">
        <v>1</v>
      </c>
      <c r="BC17" t="s">
        <v>271</v>
      </c>
      <c r="BD17" s="70">
        <f>AY$2*BB17</f>
        <v>2</v>
      </c>
      <c r="BE17" t="s">
        <v>271</v>
      </c>
      <c r="BI17" t="s">
        <v>946</v>
      </c>
      <c r="BJ17" s="70">
        <v>1</v>
      </c>
      <c r="BK17" t="s">
        <v>271</v>
      </c>
      <c r="BL17" s="70">
        <f>BG$2*BJ17</f>
        <v>2</v>
      </c>
      <c r="BM17" t="s">
        <v>271</v>
      </c>
      <c r="BQ17" t="s">
        <v>946</v>
      </c>
      <c r="BR17" s="70">
        <v>2</v>
      </c>
      <c r="BS17" t="s">
        <v>271</v>
      </c>
      <c r="BT17" s="70">
        <f>BO$2*BR17</f>
        <v>24</v>
      </c>
      <c r="BU17" t="s">
        <v>271</v>
      </c>
      <c r="BY17" t="s">
        <v>946</v>
      </c>
      <c r="BZ17" s="70">
        <v>2</v>
      </c>
      <c r="CA17" t="s">
        <v>271</v>
      </c>
      <c r="CB17" s="70">
        <f>BW$2*BZ17</f>
        <v>8</v>
      </c>
      <c r="CC17" t="s">
        <v>271</v>
      </c>
      <c r="CG17" t="s">
        <v>946</v>
      </c>
      <c r="CH17" s="70">
        <v>1</v>
      </c>
      <c r="CI17" t="s">
        <v>271</v>
      </c>
      <c r="CJ17" s="70">
        <f>CE$2*CH17</f>
        <v>2</v>
      </c>
      <c r="CK17" t="s">
        <v>271</v>
      </c>
      <c r="CO17" t="s">
        <v>946</v>
      </c>
      <c r="CP17" s="70">
        <v>1</v>
      </c>
      <c r="CQ17" t="s">
        <v>271</v>
      </c>
      <c r="CR17" s="70">
        <f>CM$2*CP17</f>
        <v>2</v>
      </c>
      <c r="CS17" t="s">
        <v>271</v>
      </c>
      <c r="CU17" s="25">
        <f>H17+P17+X17+AF17+AV17+AN17+BD17+BL17+BT17+CB17+CJ17+CR17</f>
        <v>98</v>
      </c>
      <c r="CV17" t="s">
        <v>271</v>
      </c>
    </row>
    <row r="18" spans="4:100">
      <c r="E18" t="s">
        <v>947</v>
      </c>
      <c r="F18" s="70">
        <v>1</v>
      </c>
      <c r="G18" t="s">
        <v>271</v>
      </c>
      <c r="H18" s="70">
        <f>$C$2*F18</f>
        <v>12</v>
      </c>
      <c r="I18" t="s">
        <v>271</v>
      </c>
      <c r="M18" t="s">
        <v>947</v>
      </c>
      <c r="N18" s="70">
        <v>1</v>
      </c>
      <c r="O18" t="s">
        <v>271</v>
      </c>
      <c r="P18" s="70">
        <f>$C$2*N18</f>
        <v>12</v>
      </c>
      <c r="Q18" t="s">
        <v>271</v>
      </c>
      <c r="U18" t="s">
        <v>947</v>
      </c>
      <c r="V18" s="70">
        <v>1</v>
      </c>
      <c r="W18" t="s">
        <v>271</v>
      </c>
      <c r="X18" s="70">
        <f>S$2*V18</f>
        <v>10</v>
      </c>
      <c r="Y18" t="s">
        <v>271</v>
      </c>
      <c r="AC18" t="s">
        <v>947</v>
      </c>
      <c r="AD18" s="70">
        <v>1</v>
      </c>
      <c r="AE18" t="s">
        <v>271</v>
      </c>
      <c r="AF18" s="70">
        <f>AA$2*AD18</f>
        <v>32</v>
      </c>
      <c r="AG18" t="s">
        <v>271</v>
      </c>
      <c r="AK18" t="s">
        <v>947</v>
      </c>
      <c r="AL18" s="70">
        <v>1</v>
      </c>
      <c r="AM18" t="s">
        <v>271</v>
      </c>
      <c r="AN18" s="70">
        <f>AI$2*AL18</f>
        <v>6</v>
      </c>
      <c r="AO18" t="s">
        <v>271</v>
      </c>
      <c r="AS18" t="s">
        <v>947</v>
      </c>
      <c r="AT18" s="70">
        <v>1</v>
      </c>
      <c r="AU18" t="s">
        <v>271</v>
      </c>
      <c r="AV18" s="70">
        <f>AQ$2*AT18</f>
        <v>4</v>
      </c>
      <c r="AW18" t="s">
        <v>271</v>
      </c>
      <c r="BA18" t="s">
        <v>947</v>
      </c>
      <c r="BB18" s="70">
        <v>1</v>
      </c>
      <c r="BC18" t="s">
        <v>271</v>
      </c>
      <c r="BD18" s="70">
        <f>AY$2*BB18</f>
        <v>2</v>
      </c>
      <c r="BE18" t="s">
        <v>271</v>
      </c>
      <c r="BI18" t="s">
        <v>947</v>
      </c>
      <c r="BJ18" s="70">
        <v>1</v>
      </c>
      <c r="BK18" t="s">
        <v>271</v>
      </c>
      <c r="BL18" s="70">
        <f>BG$2*BJ18</f>
        <v>2</v>
      </c>
      <c r="BM18" t="s">
        <v>271</v>
      </c>
      <c r="BQ18" t="s">
        <v>947</v>
      </c>
      <c r="BR18" s="70">
        <v>1</v>
      </c>
      <c r="BS18" t="s">
        <v>271</v>
      </c>
      <c r="BT18" s="70">
        <f>BO$2*BR18</f>
        <v>12</v>
      </c>
      <c r="BU18" t="s">
        <v>271</v>
      </c>
      <c r="BY18" t="s">
        <v>947</v>
      </c>
      <c r="BZ18" s="70">
        <v>1</v>
      </c>
      <c r="CA18" t="s">
        <v>271</v>
      </c>
      <c r="CB18" s="70">
        <f>BW$2*BZ18</f>
        <v>4</v>
      </c>
      <c r="CC18" t="s">
        <v>271</v>
      </c>
      <c r="CG18" t="s">
        <v>947</v>
      </c>
      <c r="CH18" s="70">
        <v>1</v>
      </c>
      <c r="CI18" t="s">
        <v>271</v>
      </c>
      <c r="CJ18" s="70">
        <f>CE$2*CH18</f>
        <v>2</v>
      </c>
      <c r="CK18" t="s">
        <v>271</v>
      </c>
      <c r="CO18" t="s">
        <v>947</v>
      </c>
      <c r="CP18" s="70">
        <v>1</v>
      </c>
      <c r="CQ18" t="s">
        <v>271</v>
      </c>
      <c r="CR18" s="70">
        <f>CM$2*CP18</f>
        <v>2</v>
      </c>
      <c r="CS18" t="s">
        <v>271</v>
      </c>
      <c r="CU18" s="25">
        <f>H18+P18+X18+AF18+AV18+AN18+BD18+BL18+BT18+CB18+CJ18+CR18</f>
        <v>100</v>
      </c>
      <c r="CV18" t="s">
        <v>271</v>
      </c>
    </row>
    <row r="19" spans="4:100">
      <c r="U19" t="s">
        <v>948</v>
      </c>
      <c r="V19" s="70">
        <v>1</v>
      </c>
      <c r="W19" t="s">
        <v>271</v>
      </c>
      <c r="X19" s="70">
        <f>S$2*V19</f>
        <v>10</v>
      </c>
      <c r="Y19" t="s">
        <v>271</v>
      </c>
      <c r="AC19" t="s">
        <v>948</v>
      </c>
      <c r="AE19" t="s">
        <v>271</v>
      </c>
      <c r="AF19" s="70">
        <f>AA$2*AD19</f>
        <v>0</v>
      </c>
      <c r="AG19" t="s">
        <v>271</v>
      </c>
      <c r="AK19" t="s">
        <v>948</v>
      </c>
      <c r="AM19" t="s">
        <v>271</v>
      </c>
      <c r="AN19" s="70">
        <f>AI$2*AL19</f>
        <v>0</v>
      </c>
      <c r="AO19" t="s">
        <v>271</v>
      </c>
      <c r="AS19" t="s">
        <v>948</v>
      </c>
      <c r="AU19" t="s">
        <v>271</v>
      </c>
      <c r="AV19" s="70">
        <f>AQ$2*AT19</f>
        <v>0</v>
      </c>
      <c r="AW19" t="s">
        <v>271</v>
      </c>
      <c r="BA19" t="s">
        <v>948</v>
      </c>
      <c r="BC19" t="s">
        <v>271</v>
      </c>
      <c r="BD19" s="70">
        <f>AY$2*BB19</f>
        <v>0</v>
      </c>
      <c r="BE19" t="s">
        <v>271</v>
      </c>
      <c r="BI19" t="s">
        <v>948</v>
      </c>
      <c r="BK19" t="s">
        <v>271</v>
      </c>
      <c r="BL19" s="70">
        <f>BG$2*BJ19</f>
        <v>0</v>
      </c>
      <c r="BM19" t="s">
        <v>271</v>
      </c>
      <c r="BQ19" t="s">
        <v>948</v>
      </c>
      <c r="BS19" t="s">
        <v>271</v>
      </c>
      <c r="BT19" s="70">
        <f>BO$2*BR19</f>
        <v>0</v>
      </c>
      <c r="BU19" t="s">
        <v>271</v>
      </c>
      <c r="BY19" t="s">
        <v>948</v>
      </c>
      <c r="CA19" t="s">
        <v>271</v>
      </c>
      <c r="CB19" s="70">
        <f>BW$2*BZ19</f>
        <v>0</v>
      </c>
      <c r="CC19" t="s">
        <v>271</v>
      </c>
      <c r="CG19" t="s">
        <v>948</v>
      </c>
      <c r="CI19" t="s">
        <v>271</v>
      </c>
      <c r="CJ19" s="70">
        <f>CE$2*CH19</f>
        <v>0</v>
      </c>
      <c r="CK19" t="s">
        <v>271</v>
      </c>
      <c r="CO19" t="s">
        <v>948</v>
      </c>
      <c r="CQ19" t="s">
        <v>271</v>
      </c>
      <c r="CR19" s="70">
        <f>CM$2*CP19</f>
        <v>0</v>
      </c>
      <c r="CS19" t="s">
        <v>271</v>
      </c>
      <c r="CU19" s="25">
        <f>H19+P19+X19+AF19+AV19+AN19+BD19+BL19+BT19+CB19+CJ19+CR19</f>
        <v>10</v>
      </c>
      <c r="CV19" t="s">
        <v>271</v>
      </c>
    </row>
    <row r="20" spans="4:100">
      <c r="E20" t="s">
        <v>949</v>
      </c>
      <c r="F20" s="70">
        <v>1</v>
      </c>
      <c r="G20" t="s">
        <v>271</v>
      </c>
      <c r="H20" s="70">
        <f>$C$2*F20</f>
        <v>12</v>
      </c>
      <c r="I20" t="s">
        <v>271</v>
      </c>
      <c r="M20" t="s">
        <v>949</v>
      </c>
      <c r="O20" t="s">
        <v>271</v>
      </c>
      <c r="P20" s="70">
        <f>$C$2*N20</f>
        <v>0</v>
      </c>
      <c r="Q20" t="s">
        <v>271</v>
      </c>
      <c r="U20" t="s">
        <v>949</v>
      </c>
      <c r="V20" s="70">
        <v>2</v>
      </c>
      <c r="W20" t="s">
        <v>271</v>
      </c>
      <c r="X20" s="70">
        <f>S$2*V20</f>
        <v>20</v>
      </c>
      <c r="Y20" t="s">
        <v>271</v>
      </c>
      <c r="AC20" t="s">
        <v>949</v>
      </c>
      <c r="AD20" s="70">
        <v>1</v>
      </c>
      <c r="AE20" t="s">
        <v>271</v>
      </c>
      <c r="AF20" s="70">
        <f>AA$2*AD20</f>
        <v>32</v>
      </c>
      <c r="AG20" t="s">
        <v>271</v>
      </c>
      <c r="AK20" t="s">
        <v>949</v>
      </c>
      <c r="AL20" s="70">
        <v>3</v>
      </c>
      <c r="AM20" t="s">
        <v>271</v>
      </c>
      <c r="AN20" s="70">
        <f>AI$2*AL20</f>
        <v>18</v>
      </c>
      <c r="AO20" t="s">
        <v>271</v>
      </c>
      <c r="AS20" t="s">
        <v>949</v>
      </c>
      <c r="AU20" t="s">
        <v>271</v>
      </c>
      <c r="AV20" s="70">
        <f>AQ$2*AT20</f>
        <v>0</v>
      </c>
      <c r="AW20" t="s">
        <v>271</v>
      </c>
      <c r="BA20" t="s">
        <v>949</v>
      </c>
      <c r="BC20" t="s">
        <v>271</v>
      </c>
      <c r="BD20" s="70">
        <f>AY$2*BB20</f>
        <v>0</v>
      </c>
      <c r="BE20" t="s">
        <v>271</v>
      </c>
      <c r="BI20" t="s">
        <v>949</v>
      </c>
      <c r="BK20" t="s">
        <v>271</v>
      </c>
      <c r="BL20" s="70">
        <f>BG$2*BJ20</f>
        <v>0</v>
      </c>
      <c r="BM20" t="s">
        <v>271</v>
      </c>
      <c r="BQ20" t="s">
        <v>949</v>
      </c>
      <c r="BS20" t="s">
        <v>271</v>
      </c>
      <c r="BT20" s="70">
        <f>BO$2*BR20</f>
        <v>0</v>
      </c>
      <c r="BU20" t="s">
        <v>271</v>
      </c>
      <c r="BY20" t="s">
        <v>949</v>
      </c>
      <c r="CA20" t="s">
        <v>271</v>
      </c>
      <c r="CB20" s="70">
        <f>BW$2*BZ20</f>
        <v>0</v>
      </c>
      <c r="CC20" t="s">
        <v>271</v>
      </c>
      <c r="CG20" t="s">
        <v>949</v>
      </c>
      <c r="CI20" t="s">
        <v>271</v>
      </c>
      <c r="CJ20" s="70">
        <f>CE$2*CH20</f>
        <v>0</v>
      </c>
      <c r="CK20" t="s">
        <v>271</v>
      </c>
      <c r="CO20" t="s">
        <v>949</v>
      </c>
      <c r="CP20" s="70">
        <v>1</v>
      </c>
      <c r="CQ20" t="s">
        <v>271</v>
      </c>
      <c r="CR20" s="70">
        <f>CM$2*CP20</f>
        <v>2</v>
      </c>
      <c r="CS20" t="s">
        <v>271</v>
      </c>
      <c r="CU20" s="25">
        <f>H20+P20+X20+AF20+AV20+AN20+BD20+BL20+BT20+CB20+CJ20+CR20</f>
        <v>84</v>
      </c>
      <c r="CV20" t="s">
        <v>271</v>
      </c>
    </row>
    <row r="21" spans="4:100">
      <c r="E21" t="s">
        <v>950</v>
      </c>
      <c r="F21" s="70">
        <v>1</v>
      </c>
      <c r="G21" t="s">
        <v>271</v>
      </c>
      <c r="H21" s="70">
        <f>$C$2*F21</f>
        <v>12</v>
      </c>
      <c r="I21" t="s">
        <v>271</v>
      </c>
      <c r="M21" t="s">
        <v>950</v>
      </c>
      <c r="N21" s="70">
        <v>1</v>
      </c>
      <c r="O21" t="s">
        <v>271</v>
      </c>
      <c r="P21" s="70">
        <f>$C$2*N21</f>
        <v>12</v>
      </c>
      <c r="Q21" t="s">
        <v>271</v>
      </c>
      <c r="U21" t="s">
        <v>950</v>
      </c>
      <c r="V21" s="70">
        <v>1</v>
      </c>
      <c r="W21" t="s">
        <v>271</v>
      </c>
      <c r="X21" s="70">
        <f>S$2*V21</f>
        <v>10</v>
      </c>
      <c r="Y21" t="s">
        <v>271</v>
      </c>
      <c r="AC21" t="s">
        <v>950</v>
      </c>
      <c r="AD21" s="70">
        <v>1</v>
      </c>
      <c r="AE21" t="s">
        <v>271</v>
      </c>
      <c r="AF21" s="70">
        <f>AA$2*AD21</f>
        <v>32</v>
      </c>
      <c r="AG21" t="s">
        <v>271</v>
      </c>
      <c r="AK21" t="s">
        <v>950</v>
      </c>
      <c r="AL21" s="70">
        <v>1</v>
      </c>
      <c r="AM21" t="s">
        <v>271</v>
      </c>
      <c r="AN21" s="70">
        <f>AI$2*AL21</f>
        <v>6</v>
      </c>
      <c r="AO21" t="s">
        <v>271</v>
      </c>
      <c r="AS21" t="s">
        <v>950</v>
      </c>
      <c r="AT21" s="70">
        <v>1</v>
      </c>
      <c r="AU21" t="s">
        <v>271</v>
      </c>
      <c r="AV21" s="70">
        <f>AQ$2*AT21</f>
        <v>4</v>
      </c>
      <c r="AW21" t="s">
        <v>271</v>
      </c>
      <c r="BA21" t="s">
        <v>950</v>
      </c>
      <c r="BB21" s="70">
        <v>1</v>
      </c>
      <c r="BC21" t="s">
        <v>271</v>
      </c>
      <c r="BD21" s="70">
        <f>AY$2*BB21</f>
        <v>2</v>
      </c>
      <c r="BE21" t="s">
        <v>271</v>
      </c>
      <c r="BI21" t="s">
        <v>950</v>
      </c>
      <c r="BJ21" s="70">
        <v>1</v>
      </c>
      <c r="BK21" t="s">
        <v>271</v>
      </c>
      <c r="BL21" s="70">
        <f>BG$2*BJ21</f>
        <v>2</v>
      </c>
      <c r="BM21" t="s">
        <v>271</v>
      </c>
      <c r="BQ21" t="s">
        <v>950</v>
      </c>
      <c r="BR21" s="70">
        <v>1</v>
      </c>
      <c r="BS21" t="s">
        <v>271</v>
      </c>
      <c r="BT21" s="70">
        <f>BO$2*BR21</f>
        <v>12</v>
      </c>
      <c r="BU21" t="s">
        <v>271</v>
      </c>
      <c r="BY21" t="s">
        <v>950</v>
      </c>
      <c r="BZ21" s="70">
        <v>1</v>
      </c>
      <c r="CA21" t="s">
        <v>271</v>
      </c>
      <c r="CB21" s="70">
        <f>BW$2*BZ21</f>
        <v>4</v>
      </c>
      <c r="CC21" t="s">
        <v>271</v>
      </c>
      <c r="CG21" t="s">
        <v>950</v>
      </c>
      <c r="CH21" s="70">
        <v>1</v>
      </c>
      <c r="CI21" t="s">
        <v>271</v>
      </c>
      <c r="CJ21" s="70">
        <f>CE$2*CH21</f>
        <v>2</v>
      </c>
      <c r="CK21" t="s">
        <v>271</v>
      </c>
      <c r="CO21" t="s">
        <v>950</v>
      </c>
      <c r="CP21" s="70">
        <v>1</v>
      </c>
      <c r="CQ21" t="s">
        <v>271</v>
      </c>
      <c r="CR21" s="70">
        <f>CM$2*CP21</f>
        <v>2</v>
      </c>
      <c r="CS21" t="s">
        <v>271</v>
      </c>
      <c r="CU21" s="25">
        <f>H21+P21+X21+AF21+AV21+AN21+BD21+BL21+BT21+CB21+CJ21+CR21</f>
        <v>100</v>
      </c>
      <c r="CV21" t="s">
        <v>271</v>
      </c>
    </row>
    <row r="22" spans="4:100">
      <c r="D22" t="s">
        <v>951</v>
      </c>
      <c r="L22" t="s">
        <v>951</v>
      </c>
      <c r="T22" t="s">
        <v>951</v>
      </c>
      <c r="AB22" t="s">
        <v>951</v>
      </c>
      <c r="AJ22" t="s">
        <v>951</v>
      </c>
      <c r="AR22" t="s">
        <v>951</v>
      </c>
      <c r="AZ22" t="s">
        <v>951</v>
      </c>
      <c r="BH22" t="s">
        <v>951</v>
      </c>
      <c r="BP22" t="s">
        <v>951</v>
      </c>
      <c r="BX22" t="s">
        <v>951</v>
      </c>
      <c r="CF22" t="s">
        <v>951</v>
      </c>
      <c r="CN22" t="s">
        <v>951</v>
      </c>
    </row>
    <row r="23" spans="4:100">
      <c r="E23" t="s">
        <v>952</v>
      </c>
      <c r="F23" s="70">
        <v>346</v>
      </c>
      <c r="G23" t="s">
        <v>179</v>
      </c>
      <c r="H23" s="70">
        <f t="shared" ref="H23:H31" si="12">$C$2*F23</f>
        <v>4152</v>
      </c>
      <c r="I23" t="s">
        <v>179</v>
      </c>
      <c r="M23" t="s">
        <v>952</v>
      </c>
      <c r="N23" s="70">
        <v>249</v>
      </c>
      <c r="O23" t="s">
        <v>179</v>
      </c>
      <c r="P23" s="70">
        <f>$K$2*N23</f>
        <v>2988</v>
      </c>
      <c r="Q23" t="s">
        <v>179</v>
      </c>
      <c r="U23" t="s">
        <v>952</v>
      </c>
      <c r="V23" s="70">
        <v>503</v>
      </c>
      <c r="W23" t="s">
        <v>179</v>
      </c>
      <c r="X23" s="70">
        <f t="shared" ref="X23:X31" si="13">S$2*V23</f>
        <v>5030</v>
      </c>
      <c r="Y23" t="s">
        <v>179</v>
      </c>
      <c r="AC23" t="s">
        <v>952</v>
      </c>
      <c r="AD23" s="70">
        <v>382</v>
      </c>
      <c r="AE23" t="s">
        <v>179</v>
      </c>
      <c r="AF23" s="70">
        <f t="shared" ref="AF23:AF31" si="14">AA$2*AD23</f>
        <v>12224</v>
      </c>
      <c r="AG23" t="s">
        <v>179</v>
      </c>
      <c r="AK23" t="s">
        <v>952</v>
      </c>
      <c r="AL23" s="70">
        <v>714</v>
      </c>
      <c r="AM23" t="s">
        <v>179</v>
      </c>
      <c r="AN23" s="70">
        <f t="shared" ref="AN23:AN31" si="15">AI$2*AL23</f>
        <v>4284</v>
      </c>
      <c r="AO23" t="s">
        <v>179</v>
      </c>
      <c r="AS23" t="s">
        <v>952</v>
      </c>
      <c r="AT23" s="70">
        <v>250</v>
      </c>
      <c r="AU23" t="s">
        <v>179</v>
      </c>
      <c r="AV23" s="70">
        <f t="shared" ref="AV23:AV31" si="16">AQ$2*AT23</f>
        <v>1000</v>
      </c>
      <c r="AW23" t="s">
        <v>179</v>
      </c>
      <c r="BA23" t="s">
        <v>952</v>
      </c>
      <c r="BB23" s="70">
        <v>269</v>
      </c>
      <c r="BC23" t="s">
        <v>179</v>
      </c>
      <c r="BD23" s="70">
        <f t="shared" ref="BD23:BD31" si="17">AY$2*BB23</f>
        <v>538</v>
      </c>
      <c r="BE23" t="s">
        <v>179</v>
      </c>
      <c r="BI23" t="s">
        <v>952</v>
      </c>
      <c r="BJ23" s="70">
        <v>199</v>
      </c>
      <c r="BK23" t="s">
        <v>179</v>
      </c>
      <c r="BL23" s="70">
        <f t="shared" ref="BL23:BL31" si="18">BG$2*BJ23</f>
        <v>398</v>
      </c>
      <c r="BM23" t="s">
        <v>179</v>
      </c>
      <c r="BQ23" t="s">
        <v>952</v>
      </c>
      <c r="BR23" s="70">
        <v>390</v>
      </c>
      <c r="BS23" t="s">
        <v>179</v>
      </c>
      <c r="BT23" s="70">
        <f t="shared" ref="BT23:BT31" si="19">BO$2*BR23</f>
        <v>4680</v>
      </c>
      <c r="BU23" t="s">
        <v>179</v>
      </c>
      <c r="BY23" t="s">
        <v>952</v>
      </c>
      <c r="BZ23" s="70">
        <v>357</v>
      </c>
      <c r="CA23" t="s">
        <v>179</v>
      </c>
      <c r="CB23" s="70">
        <f t="shared" ref="CB23:CB31" si="20">BW$2*BZ23</f>
        <v>1428</v>
      </c>
      <c r="CC23" t="s">
        <v>179</v>
      </c>
      <c r="CG23" t="s">
        <v>952</v>
      </c>
      <c r="CH23" s="70">
        <v>201</v>
      </c>
      <c r="CI23" t="s">
        <v>179</v>
      </c>
      <c r="CJ23" s="70">
        <f t="shared" ref="CJ23:CJ31" si="21">CE$2*CH23</f>
        <v>402</v>
      </c>
      <c r="CK23" t="s">
        <v>179</v>
      </c>
      <c r="CO23" t="s">
        <v>952</v>
      </c>
      <c r="CP23" s="70">
        <v>396</v>
      </c>
      <c r="CQ23" t="s">
        <v>179</v>
      </c>
      <c r="CR23" s="70">
        <f t="shared" ref="CR23:CR31" si="22">CM$2*CP23</f>
        <v>792</v>
      </c>
      <c r="CS23" t="s">
        <v>179</v>
      </c>
      <c r="CU23" s="25">
        <f t="shared" ref="CU23:CU31" si="23">H23+P23+X23+AF23+AV23+AN23+BD23+BL23+BT23+CB23+CJ23+CR23</f>
        <v>37916</v>
      </c>
      <c r="CV23" t="s">
        <v>179</v>
      </c>
    </row>
    <row r="24" spans="4:100">
      <c r="E24" t="s">
        <v>953</v>
      </c>
      <c r="F24" s="70">
        <v>44</v>
      </c>
      <c r="G24" t="s">
        <v>179</v>
      </c>
      <c r="H24" s="70">
        <f t="shared" si="12"/>
        <v>528</v>
      </c>
      <c r="I24" t="s">
        <v>179</v>
      </c>
      <c r="M24" t="s">
        <v>953</v>
      </c>
      <c r="N24" s="70">
        <v>48</v>
      </c>
      <c r="O24" t="s">
        <v>179</v>
      </c>
      <c r="P24" s="70">
        <f>$C$2*N24</f>
        <v>576</v>
      </c>
      <c r="Q24" t="s">
        <v>179</v>
      </c>
      <c r="U24" t="s">
        <v>953</v>
      </c>
      <c r="V24" s="70">
        <v>92</v>
      </c>
      <c r="W24" t="s">
        <v>179</v>
      </c>
      <c r="X24" s="70">
        <f t="shared" si="13"/>
        <v>920</v>
      </c>
      <c r="Y24" t="s">
        <v>179</v>
      </c>
      <c r="AC24" t="s">
        <v>953</v>
      </c>
      <c r="AD24" s="70">
        <v>47</v>
      </c>
      <c r="AE24" t="s">
        <v>179</v>
      </c>
      <c r="AF24" s="70">
        <f t="shared" si="14"/>
        <v>1504</v>
      </c>
      <c r="AG24" t="s">
        <v>179</v>
      </c>
      <c r="AK24" t="s">
        <v>953</v>
      </c>
      <c r="AL24" s="70">
        <v>47</v>
      </c>
      <c r="AM24" t="s">
        <v>179</v>
      </c>
      <c r="AN24" s="70">
        <f t="shared" si="15"/>
        <v>282</v>
      </c>
      <c r="AO24" t="s">
        <v>179</v>
      </c>
      <c r="AS24" t="s">
        <v>953</v>
      </c>
      <c r="AT24" s="70">
        <v>50</v>
      </c>
      <c r="AU24" t="s">
        <v>179</v>
      </c>
      <c r="AV24" s="70">
        <f t="shared" si="16"/>
        <v>200</v>
      </c>
      <c r="AW24" t="s">
        <v>179</v>
      </c>
      <c r="BA24" t="s">
        <v>953</v>
      </c>
      <c r="BB24" s="70">
        <v>47</v>
      </c>
      <c r="BC24" t="s">
        <v>179</v>
      </c>
      <c r="BD24" s="70">
        <f t="shared" si="17"/>
        <v>94</v>
      </c>
      <c r="BE24" t="s">
        <v>179</v>
      </c>
      <c r="BI24" t="s">
        <v>953</v>
      </c>
      <c r="BJ24" s="70">
        <v>48</v>
      </c>
      <c r="BK24" t="s">
        <v>179</v>
      </c>
      <c r="BL24" s="70">
        <f t="shared" si="18"/>
        <v>96</v>
      </c>
      <c r="BM24" t="s">
        <v>179</v>
      </c>
      <c r="BQ24" t="s">
        <v>953</v>
      </c>
      <c r="BR24" s="70">
        <v>46</v>
      </c>
      <c r="BS24" t="s">
        <v>179</v>
      </c>
      <c r="BT24" s="70">
        <f t="shared" si="19"/>
        <v>552</v>
      </c>
      <c r="BU24" t="s">
        <v>179</v>
      </c>
      <c r="BY24" t="s">
        <v>953</v>
      </c>
      <c r="BZ24" s="70">
        <v>48</v>
      </c>
      <c r="CA24" t="s">
        <v>179</v>
      </c>
      <c r="CB24" s="70">
        <f t="shared" si="20"/>
        <v>192</v>
      </c>
      <c r="CC24" t="s">
        <v>179</v>
      </c>
      <c r="CG24" t="s">
        <v>953</v>
      </c>
      <c r="CH24" s="70">
        <v>46</v>
      </c>
      <c r="CI24" t="s">
        <v>179</v>
      </c>
      <c r="CJ24" s="70">
        <f t="shared" si="21"/>
        <v>92</v>
      </c>
      <c r="CK24" t="s">
        <v>179</v>
      </c>
      <c r="CO24" t="s">
        <v>953</v>
      </c>
      <c r="CP24" s="70">
        <v>59</v>
      </c>
      <c r="CQ24" t="s">
        <v>179</v>
      </c>
      <c r="CR24" s="70">
        <f t="shared" si="22"/>
        <v>118</v>
      </c>
      <c r="CS24" t="s">
        <v>179</v>
      </c>
      <c r="CU24" s="25">
        <f t="shared" si="23"/>
        <v>5154</v>
      </c>
      <c r="CV24" t="s">
        <v>179</v>
      </c>
    </row>
    <row r="25" spans="4:100">
      <c r="E25" t="s">
        <v>954</v>
      </c>
      <c r="F25" s="70">
        <v>23</v>
      </c>
      <c r="G25" t="s">
        <v>329</v>
      </c>
      <c r="H25" s="70">
        <f t="shared" si="12"/>
        <v>276</v>
      </c>
      <c r="I25" t="s">
        <v>329</v>
      </c>
      <c r="M25" t="s">
        <v>954</v>
      </c>
      <c r="N25" s="70">
        <v>23</v>
      </c>
      <c r="O25" t="s">
        <v>329</v>
      </c>
      <c r="P25" s="70">
        <f>$C$2*N25</f>
        <v>276</v>
      </c>
      <c r="Q25" t="s">
        <v>329</v>
      </c>
      <c r="U25" t="s">
        <v>954</v>
      </c>
      <c r="V25" s="70">
        <v>46</v>
      </c>
      <c r="W25" t="s">
        <v>329</v>
      </c>
      <c r="X25" s="70">
        <f t="shared" si="13"/>
        <v>460</v>
      </c>
      <c r="Y25" t="s">
        <v>329</v>
      </c>
      <c r="AC25" t="s">
        <v>954</v>
      </c>
      <c r="AD25" s="70">
        <v>25</v>
      </c>
      <c r="AE25" t="s">
        <v>329</v>
      </c>
      <c r="AF25" s="70">
        <f t="shared" si="14"/>
        <v>800</v>
      </c>
      <c r="AG25" t="s">
        <v>329</v>
      </c>
      <c r="AK25" t="s">
        <v>954</v>
      </c>
      <c r="AL25" s="70">
        <v>23</v>
      </c>
      <c r="AM25" t="s">
        <v>329</v>
      </c>
      <c r="AN25" s="70">
        <f t="shared" si="15"/>
        <v>138</v>
      </c>
      <c r="AO25" t="s">
        <v>329</v>
      </c>
      <c r="AS25" t="s">
        <v>954</v>
      </c>
      <c r="AT25" s="70">
        <v>23</v>
      </c>
      <c r="AU25" t="s">
        <v>329</v>
      </c>
      <c r="AV25" s="70">
        <f t="shared" si="16"/>
        <v>92</v>
      </c>
      <c r="AW25" t="s">
        <v>329</v>
      </c>
      <c r="BA25" t="s">
        <v>954</v>
      </c>
      <c r="BB25" s="70">
        <v>23</v>
      </c>
      <c r="BC25" t="s">
        <v>329</v>
      </c>
      <c r="BD25" s="70">
        <f t="shared" si="17"/>
        <v>46</v>
      </c>
      <c r="BE25" t="s">
        <v>329</v>
      </c>
      <c r="BI25" t="s">
        <v>954</v>
      </c>
      <c r="BJ25" s="70">
        <v>23</v>
      </c>
      <c r="BK25" t="s">
        <v>329</v>
      </c>
      <c r="BL25" s="70">
        <f t="shared" si="18"/>
        <v>46</v>
      </c>
      <c r="BM25" t="s">
        <v>329</v>
      </c>
      <c r="BQ25" t="s">
        <v>954</v>
      </c>
      <c r="BR25" s="70">
        <v>23</v>
      </c>
      <c r="BS25" t="s">
        <v>329</v>
      </c>
      <c r="BT25" s="70">
        <f t="shared" si="19"/>
        <v>276</v>
      </c>
      <c r="BU25" t="s">
        <v>329</v>
      </c>
      <c r="BY25" t="s">
        <v>954</v>
      </c>
      <c r="BZ25" s="70">
        <v>22</v>
      </c>
      <c r="CA25" t="s">
        <v>329</v>
      </c>
      <c r="CB25" s="70">
        <f t="shared" si="20"/>
        <v>88</v>
      </c>
      <c r="CC25" t="s">
        <v>329</v>
      </c>
      <c r="CG25" t="s">
        <v>954</v>
      </c>
      <c r="CH25" s="70">
        <v>22</v>
      </c>
      <c r="CI25" t="s">
        <v>329</v>
      </c>
      <c r="CJ25" s="70">
        <f t="shared" si="21"/>
        <v>44</v>
      </c>
      <c r="CK25" t="s">
        <v>329</v>
      </c>
      <c r="CO25" t="s">
        <v>954</v>
      </c>
      <c r="CP25" s="70">
        <v>27</v>
      </c>
      <c r="CQ25" t="s">
        <v>329</v>
      </c>
      <c r="CR25" s="70">
        <f t="shared" si="22"/>
        <v>54</v>
      </c>
      <c r="CS25" t="s">
        <v>329</v>
      </c>
      <c r="CU25" s="25">
        <f t="shared" si="23"/>
        <v>2596</v>
      </c>
      <c r="CV25" t="s">
        <v>329</v>
      </c>
    </row>
    <row r="26" spans="4:100">
      <c r="E26" t="s">
        <v>955</v>
      </c>
      <c r="F26" s="71">
        <f>(F4*2)+F6+F5</f>
        <v>1400</v>
      </c>
      <c r="G26" t="s">
        <v>179</v>
      </c>
      <c r="H26" s="71">
        <f t="shared" si="12"/>
        <v>16800</v>
      </c>
      <c r="I26" t="s">
        <v>179</v>
      </c>
      <c r="M26" t="s">
        <v>955</v>
      </c>
      <c r="N26" s="71">
        <f>(N4*2)+N6+N5</f>
        <v>1165.5</v>
      </c>
      <c r="O26" t="s">
        <v>179</v>
      </c>
      <c r="P26" s="71">
        <f>$K$2*N26</f>
        <v>13986</v>
      </c>
      <c r="Q26" t="s">
        <v>179</v>
      </c>
      <c r="U26" t="s">
        <v>955</v>
      </c>
      <c r="V26" s="71">
        <f>(V4*2)+V6+V5</f>
        <v>2049</v>
      </c>
      <c r="W26" t="s">
        <v>179</v>
      </c>
      <c r="X26" s="71">
        <f t="shared" si="13"/>
        <v>20490</v>
      </c>
      <c r="Y26" t="s">
        <v>179</v>
      </c>
      <c r="AC26" t="s">
        <v>955</v>
      </c>
      <c r="AD26" s="71">
        <f>(AD4*2)+AD6+AD5</f>
        <v>1511.9</v>
      </c>
      <c r="AE26" t="s">
        <v>179</v>
      </c>
      <c r="AF26" s="71">
        <f t="shared" si="14"/>
        <v>48380.800000000003</v>
      </c>
      <c r="AG26" t="s">
        <v>179</v>
      </c>
      <c r="AK26" t="s">
        <v>955</v>
      </c>
      <c r="AL26" s="71">
        <f>(AL4*2)+AL6+AL5</f>
        <v>2095.77</v>
      </c>
      <c r="AM26" t="s">
        <v>179</v>
      </c>
      <c r="AN26" s="71">
        <f t="shared" si="15"/>
        <v>12574.619999999999</v>
      </c>
      <c r="AO26" t="s">
        <v>179</v>
      </c>
      <c r="AS26" t="s">
        <v>955</v>
      </c>
      <c r="AT26" s="71">
        <f>(AT4*2)+AT6+AT5</f>
        <v>1113.92</v>
      </c>
      <c r="AU26" t="s">
        <v>179</v>
      </c>
      <c r="AV26" s="71">
        <f t="shared" si="16"/>
        <v>4455.68</v>
      </c>
      <c r="AW26" t="s">
        <v>179</v>
      </c>
      <c r="BA26" t="s">
        <v>955</v>
      </c>
      <c r="BB26" s="71">
        <f>(BB4*2)+BB6+BB5</f>
        <v>1052.04</v>
      </c>
      <c r="BC26" t="s">
        <v>179</v>
      </c>
      <c r="BD26" s="71">
        <f t="shared" si="17"/>
        <v>2104.08</v>
      </c>
      <c r="BE26" t="s">
        <v>179</v>
      </c>
      <c r="BI26" t="s">
        <v>955</v>
      </c>
      <c r="BJ26" s="71">
        <f>(BJ4*2)+BJ6+BJ5</f>
        <v>1181.51</v>
      </c>
      <c r="BK26" t="s">
        <v>179</v>
      </c>
      <c r="BL26" s="71">
        <f t="shared" si="18"/>
        <v>2363.02</v>
      </c>
      <c r="BM26" t="s">
        <v>179</v>
      </c>
      <c r="BQ26" t="s">
        <v>955</v>
      </c>
      <c r="BR26" s="71">
        <f>(BR4*2)+BR6+BR5</f>
        <v>1566.4099999999999</v>
      </c>
      <c r="BS26" t="s">
        <v>179</v>
      </c>
      <c r="BT26" s="71">
        <f t="shared" si="19"/>
        <v>18796.919999999998</v>
      </c>
      <c r="BU26" t="s">
        <v>179</v>
      </c>
      <c r="BY26" t="s">
        <v>955</v>
      </c>
      <c r="BZ26" s="71">
        <f>(BZ4*2)+BZ6+BZ5</f>
        <v>1523.99</v>
      </c>
      <c r="CA26" t="s">
        <v>179</v>
      </c>
      <c r="CB26" s="71">
        <f t="shared" si="20"/>
        <v>6095.96</v>
      </c>
      <c r="CC26" t="s">
        <v>179</v>
      </c>
      <c r="CG26" t="s">
        <v>955</v>
      </c>
      <c r="CH26" s="71">
        <f>(CH4*2)+CH6+CH5</f>
        <v>1056.8699999999999</v>
      </c>
      <c r="CI26" t="s">
        <v>179</v>
      </c>
      <c r="CJ26" s="71">
        <f t="shared" si="21"/>
        <v>2113.7399999999998</v>
      </c>
      <c r="CK26" t="s">
        <v>179</v>
      </c>
      <c r="CO26" t="s">
        <v>955</v>
      </c>
      <c r="CP26" s="71">
        <f>(CP4*2)+CP6+CP5</f>
        <v>1569.8</v>
      </c>
      <c r="CQ26" t="s">
        <v>179</v>
      </c>
      <c r="CR26" s="71">
        <f t="shared" si="22"/>
        <v>3139.6</v>
      </c>
      <c r="CS26" t="s">
        <v>179</v>
      </c>
      <c r="CU26" s="25">
        <f t="shared" si="23"/>
        <v>151300.41999999998</v>
      </c>
      <c r="CV26" t="s">
        <v>179</v>
      </c>
    </row>
    <row r="27" spans="4:100">
      <c r="E27" t="s">
        <v>956</v>
      </c>
      <c r="F27" s="71">
        <f>F23+F24</f>
        <v>390</v>
      </c>
      <c r="G27" t="s">
        <v>179</v>
      </c>
      <c r="H27" s="71">
        <f t="shared" si="12"/>
        <v>4680</v>
      </c>
      <c r="I27" t="s">
        <v>179</v>
      </c>
      <c r="M27" t="s">
        <v>956</v>
      </c>
      <c r="N27" s="71">
        <f>N23+N24</f>
        <v>297</v>
      </c>
      <c r="O27" t="s">
        <v>179</v>
      </c>
      <c r="P27" s="71">
        <f>$K$2*N27</f>
        <v>3564</v>
      </c>
      <c r="Q27" t="s">
        <v>179</v>
      </c>
      <c r="U27" t="s">
        <v>956</v>
      </c>
      <c r="V27" s="71">
        <f>V23+V24</f>
        <v>595</v>
      </c>
      <c r="W27" t="s">
        <v>179</v>
      </c>
      <c r="X27" s="71">
        <f t="shared" si="13"/>
        <v>5950</v>
      </c>
      <c r="Y27" t="s">
        <v>179</v>
      </c>
      <c r="AC27" t="s">
        <v>956</v>
      </c>
      <c r="AD27" s="71">
        <f>AD23+AD24</f>
        <v>429</v>
      </c>
      <c r="AE27" t="s">
        <v>179</v>
      </c>
      <c r="AF27" s="71">
        <f t="shared" si="14"/>
        <v>13728</v>
      </c>
      <c r="AG27" t="s">
        <v>179</v>
      </c>
      <c r="AK27" t="s">
        <v>956</v>
      </c>
      <c r="AL27" s="71">
        <f>AL23+AL24</f>
        <v>761</v>
      </c>
      <c r="AM27" t="s">
        <v>179</v>
      </c>
      <c r="AN27" s="71">
        <f t="shared" si="15"/>
        <v>4566</v>
      </c>
      <c r="AO27" t="s">
        <v>179</v>
      </c>
      <c r="AS27" t="s">
        <v>956</v>
      </c>
      <c r="AT27" s="71">
        <f>AT23+AT24</f>
        <v>300</v>
      </c>
      <c r="AU27" t="s">
        <v>179</v>
      </c>
      <c r="AV27" s="71">
        <f t="shared" si="16"/>
        <v>1200</v>
      </c>
      <c r="AW27" t="s">
        <v>179</v>
      </c>
      <c r="BA27" t="s">
        <v>956</v>
      </c>
      <c r="BB27" s="71">
        <f>BB23+BB24</f>
        <v>316</v>
      </c>
      <c r="BC27" t="s">
        <v>179</v>
      </c>
      <c r="BD27" s="71">
        <f t="shared" si="17"/>
        <v>632</v>
      </c>
      <c r="BE27" t="s">
        <v>179</v>
      </c>
      <c r="BI27" t="s">
        <v>956</v>
      </c>
      <c r="BJ27" s="71">
        <f>BJ23+BJ24</f>
        <v>247</v>
      </c>
      <c r="BK27" t="s">
        <v>179</v>
      </c>
      <c r="BL27" s="71">
        <f t="shared" si="18"/>
        <v>494</v>
      </c>
      <c r="BM27" t="s">
        <v>179</v>
      </c>
      <c r="BQ27" t="s">
        <v>956</v>
      </c>
      <c r="BR27" s="71">
        <f>BR23+BR24</f>
        <v>436</v>
      </c>
      <c r="BS27" t="s">
        <v>179</v>
      </c>
      <c r="BT27" s="71">
        <f t="shared" si="19"/>
        <v>5232</v>
      </c>
      <c r="BU27" t="s">
        <v>179</v>
      </c>
      <c r="BY27" t="s">
        <v>956</v>
      </c>
      <c r="BZ27" s="71">
        <f>BZ23+BZ24</f>
        <v>405</v>
      </c>
      <c r="CA27" t="s">
        <v>179</v>
      </c>
      <c r="CB27" s="71">
        <f t="shared" si="20"/>
        <v>1620</v>
      </c>
      <c r="CC27" t="s">
        <v>179</v>
      </c>
      <c r="CG27" t="s">
        <v>956</v>
      </c>
      <c r="CH27" s="71">
        <f>CH23+CH24</f>
        <v>247</v>
      </c>
      <c r="CI27" t="s">
        <v>179</v>
      </c>
      <c r="CJ27" s="71">
        <f t="shared" si="21"/>
        <v>494</v>
      </c>
      <c r="CK27" t="s">
        <v>179</v>
      </c>
      <c r="CO27" t="s">
        <v>956</v>
      </c>
      <c r="CP27" s="71">
        <f>CP23+CP24</f>
        <v>455</v>
      </c>
      <c r="CQ27" t="s">
        <v>179</v>
      </c>
      <c r="CR27" s="71">
        <f t="shared" si="22"/>
        <v>910</v>
      </c>
      <c r="CS27" t="s">
        <v>179</v>
      </c>
      <c r="CU27" s="25">
        <f t="shared" si="23"/>
        <v>43070</v>
      </c>
      <c r="CV27" t="s">
        <v>179</v>
      </c>
    </row>
    <row r="28" spans="4:100">
      <c r="E28" t="s">
        <v>957</v>
      </c>
      <c r="F28" s="71">
        <f>F14</f>
        <v>93</v>
      </c>
      <c r="G28" t="s">
        <v>329</v>
      </c>
      <c r="H28" s="71">
        <f t="shared" si="12"/>
        <v>1116</v>
      </c>
      <c r="I28" t="s">
        <v>329</v>
      </c>
      <c r="M28" t="s">
        <v>957</v>
      </c>
      <c r="N28" s="71">
        <f>N14</f>
        <v>72</v>
      </c>
      <c r="O28" t="s">
        <v>329</v>
      </c>
      <c r="P28" s="71">
        <f>$K$2*N28</f>
        <v>864</v>
      </c>
      <c r="Q28" t="s">
        <v>329</v>
      </c>
      <c r="U28" t="s">
        <v>957</v>
      </c>
      <c r="V28" s="71">
        <f>V14</f>
        <v>128</v>
      </c>
      <c r="W28" t="s">
        <v>329</v>
      </c>
      <c r="X28" s="71">
        <f t="shared" si="13"/>
        <v>1280</v>
      </c>
      <c r="Y28" t="s">
        <v>329</v>
      </c>
      <c r="AC28" t="s">
        <v>957</v>
      </c>
      <c r="AD28" s="71">
        <f>AD14</f>
        <v>111</v>
      </c>
      <c r="AE28" t="s">
        <v>329</v>
      </c>
      <c r="AF28" s="71">
        <f t="shared" si="14"/>
        <v>3552</v>
      </c>
      <c r="AG28" t="s">
        <v>329</v>
      </c>
      <c r="AK28" t="s">
        <v>957</v>
      </c>
      <c r="AL28" s="71">
        <f>AL14</f>
        <v>190</v>
      </c>
      <c r="AM28" t="s">
        <v>329</v>
      </c>
      <c r="AN28" s="71">
        <f t="shared" si="15"/>
        <v>1140</v>
      </c>
      <c r="AO28" t="s">
        <v>329</v>
      </c>
      <c r="AS28" t="s">
        <v>957</v>
      </c>
      <c r="AT28" s="71">
        <f>AT14</f>
        <v>23</v>
      </c>
      <c r="AU28" t="s">
        <v>329</v>
      </c>
      <c r="AV28" s="71">
        <f t="shared" si="16"/>
        <v>92</v>
      </c>
      <c r="AW28" t="s">
        <v>329</v>
      </c>
      <c r="BA28" t="s">
        <v>957</v>
      </c>
      <c r="BB28" s="71">
        <f>BB14</f>
        <v>79</v>
      </c>
      <c r="BC28" t="s">
        <v>329</v>
      </c>
      <c r="BD28" s="71">
        <f t="shared" si="17"/>
        <v>158</v>
      </c>
      <c r="BE28" t="s">
        <v>329</v>
      </c>
      <c r="BI28" t="s">
        <v>957</v>
      </c>
      <c r="BJ28" s="71">
        <f>BJ14</f>
        <v>62</v>
      </c>
      <c r="BK28" t="s">
        <v>329</v>
      </c>
      <c r="BL28" s="71">
        <f t="shared" si="18"/>
        <v>124</v>
      </c>
      <c r="BM28" t="s">
        <v>329</v>
      </c>
      <c r="BQ28" t="s">
        <v>957</v>
      </c>
      <c r="BR28" s="71">
        <f>BR14</f>
        <v>114</v>
      </c>
      <c r="BS28" t="s">
        <v>329</v>
      </c>
      <c r="BT28" s="71">
        <f t="shared" si="19"/>
        <v>1368</v>
      </c>
      <c r="BU28" t="s">
        <v>329</v>
      </c>
      <c r="BY28" t="s">
        <v>957</v>
      </c>
      <c r="BZ28" s="71">
        <f>BZ14</f>
        <v>116</v>
      </c>
      <c r="CA28" t="s">
        <v>329</v>
      </c>
      <c r="CB28" s="71">
        <f t="shared" si="20"/>
        <v>464</v>
      </c>
      <c r="CC28" t="s">
        <v>329</v>
      </c>
      <c r="CG28" t="s">
        <v>957</v>
      </c>
      <c r="CH28" s="71">
        <f>CH14</f>
        <v>68</v>
      </c>
      <c r="CI28" t="s">
        <v>329</v>
      </c>
      <c r="CJ28" s="71">
        <f t="shared" si="21"/>
        <v>136</v>
      </c>
      <c r="CK28" t="s">
        <v>329</v>
      </c>
      <c r="CO28" t="s">
        <v>957</v>
      </c>
      <c r="CP28" s="71">
        <f>CP14</f>
        <v>102</v>
      </c>
      <c r="CQ28" t="s">
        <v>329</v>
      </c>
      <c r="CR28" s="71">
        <f t="shared" si="22"/>
        <v>204</v>
      </c>
      <c r="CS28" t="s">
        <v>329</v>
      </c>
      <c r="CU28" s="25">
        <f t="shared" si="23"/>
        <v>10498</v>
      </c>
      <c r="CV28" t="s">
        <v>329</v>
      </c>
    </row>
    <row r="29" spans="4:100">
      <c r="E29" t="s">
        <v>958</v>
      </c>
      <c r="F29" s="71">
        <f>F17+F18+F20+F21</f>
        <v>4</v>
      </c>
      <c r="G29" t="s">
        <v>271</v>
      </c>
      <c r="H29" s="71">
        <f t="shared" si="12"/>
        <v>48</v>
      </c>
      <c r="I29" t="s">
        <v>271</v>
      </c>
      <c r="M29" t="s">
        <v>958</v>
      </c>
      <c r="N29" s="71">
        <f>N17+N18+N20+N21</f>
        <v>2</v>
      </c>
      <c r="O29" t="s">
        <v>271</v>
      </c>
      <c r="P29" s="71">
        <f>$K$2*N29</f>
        <v>24</v>
      </c>
      <c r="Q29" t="s">
        <v>271</v>
      </c>
      <c r="U29" t="s">
        <v>958</v>
      </c>
      <c r="V29" s="71">
        <f>V17+V18+V19+V20+V21</f>
        <v>6</v>
      </c>
      <c r="W29" t="s">
        <v>271</v>
      </c>
      <c r="X29" s="71">
        <f t="shared" si="13"/>
        <v>60</v>
      </c>
      <c r="Y29" t="s">
        <v>271</v>
      </c>
      <c r="AC29" t="s">
        <v>958</v>
      </c>
      <c r="AD29" s="71">
        <f>AD17+AD18+AD19+AD20+AD21</f>
        <v>4</v>
      </c>
      <c r="AE29" t="s">
        <v>271</v>
      </c>
      <c r="AF29" s="71">
        <f t="shared" si="14"/>
        <v>128</v>
      </c>
      <c r="AG29" t="s">
        <v>271</v>
      </c>
      <c r="AK29" t="s">
        <v>958</v>
      </c>
      <c r="AL29" s="71">
        <f>AL17+AL18+AL19+AL20+AL21</f>
        <v>5</v>
      </c>
      <c r="AM29" t="s">
        <v>271</v>
      </c>
      <c r="AN29" s="71">
        <f t="shared" si="15"/>
        <v>30</v>
      </c>
      <c r="AO29" t="s">
        <v>271</v>
      </c>
      <c r="AS29" t="s">
        <v>958</v>
      </c>
      <c r="AT29" s="71">
        <f>AT17+AT18+AT19+AT20+AT21</f>
        <v>3</v>
      </c>
      <c r="AU29" t="s">
        <v>271</v>
      </c>
      <c r="AV29" s="71">
        <f t="shared" si="16"/>
        <v>12</v>
      </c>
      <c r="AW29" t="s">
        <v>271</v>
      </c>
      <c r="BA29" t="s">
        <v>958</v>
      </c>
      <c r="BB29" s="71">
        <f>BB17+BB18+BB19+BB20+BB21</f>
        <v>3</v>
      </c>
      <c r="BC29" t="s">
        <v>271</v>
      </c>
      <c r="BD29" s="71">
        <f t="shared" si="17"/>
        <v>6</v>
      </c>
      <c r="BE29" t="s">
        <v>271</v>
      </c>
      <c r="BI29" t="s">
        <v>958</v>
      </c>
      <c r="BJ29" s="71">
        <f>BJ17+BJ18+BJ19+BJ20+BJ21</f>
        <v>3</v>
      </c>
      <c r="BK29" t="s">
        <v>271</v>
      </c>
      <c r="BL29" s="71">
        <f t="shared" si="18"/>
        <v>6</v>
      </c>
      <c r="BM29" t="s">
        <v>271</v>
      </c>
      <c r="BQ29" t="s">
        <v>958</v>
      </c>
      <c r="BR29" s="71">
        <f>BR17+BR18+BR19+BR20+BR21</f>
        <v>4</v>
      </c>
      <c r="BS29" t="s">
        <v>271</v>
      </c>
      <c r="BT29" s="71">
        <f t="shared" si="19"/>
        <v>48</v>
      </c>
      <c r="BU29" t="s">
        <v>271</v>
      </c>
      <c r="BY29" t="s">
        <v>958</v>
      </c>
      <c r="BZ29" s="71">
        <f>BZ17+BZ18+BZ19+BZ20+BZ21</f>
        <v>4</v>
      </c>
      <c r="CA29" t="s">
        <v>271</v>
      </c>
      <c r="CB29" s="71">
        <f t="shared" si="20"/>
        <v>16</v>
      </c>
      <c r="CC29" t="s">
        <v>271</v>
      </c>
      <c r="CG29" t="s">
        <v>958</v>
      </c>
      <c r="CH29" s="71">
        <f>CH17+CH18+CH19+CH20+CH21</f>
        <v>3</v>
      </c>
      <c r="CI29" t="s">
        <v>271</v>
      </c>
      <c r="CJ29" s="71">
        <f t="shared" si="21"/>
        <v>6</v>
      </c>
      <c r="CK29" t="s">
        <v>271</v>
      </c>
      <c r="CO29" t="s">
        <v>958</v>
      </c>
      <c r="CP29" s="71">
        <f>CP17+CP18+CP19+CP20+CP21</f>
        <v>4</v>
      </c>
      <c r="CQ29" t="s">
        <v>271</v>
      </c>
      <c r="CR29" s="71">
        <f t="shared" si="22"/>
        <v>8</v>
      </c>
      <c r="CS29" t="s">
        <v>271</v>
      </c>
      <c r="CU29" s="25">
        <f t="shared" si="23"/>
        <v>392</v>
      </c>
      <c r="CV29" t="s">
        <v>271</v>
      </c>
    </row>
    <row r="30" spans="4:100">
      <c r="E30" t="s">
        <v>959</v>
      </c>
      <c r="F30" s="71">
        <f>F13</f>
        <v>5</v>
      </c>
      <c r="G30" t="s">
        <v>271</v>
      </c>
      <c r="H30" s="71">
        <f t="shared" si="12"/>
        <v>60</v>
      </c>
      <c r="I30" t="s">
        <v>271</v>
      </c>
      <c r="M30" t="s">
        <v>959</v>
      </c>
      <c r="N30" s="71">
        <f>N13</f>
        <v>5</v>
      </c>
      <c r="O30" t="s">
        <v>271</v>
      </c>
      <c r="P30" s="71">
        <f>$C$2*N30</f>
        <v>60</v>
      </c>
      <c r="Q30" t="s">
        <v>271</v>
      </c>
      <c r="U30" t="s">
        <v>959</v>
      </c>
      <c r="V30" s="71">
        <f>V13</f>
        <v>5</v>
      </c>
      <c r="W30" t="s">
        <v>271</v>
      </c>
      <c r="X30" s="71">
        <f t="shared" si="13"/>
        <v>50</v>
      </c>
      <c r="Y30" t="s">
        <v>271</v>
      </c>
      <c r="AC30" t="s">
        <v>959</v>
      </c>
      <c r="AD30" s="71">
        <f>AD13</f>
        <v>5</v>
      </c>
      <c r="AE30" t="s">
        <v>271</v>
      </c>
      <c r="AF30" s="71">
        <f t="shared" si="14"/>
        <v>160</v>
      </c>
      <c r="AG30" t="s">
        <v>271</v>
      </c>
      <c r="AK30" t="s">
        <v>959</v>
      </c>
      <c r="AL30" s="71">
        <f>AL13</f>
        <v>5</v>
      </c>
      <c r="AM30" t="s">
        <v>271</v>
      </c>
      <c r="AN30" s="71">
        <f t="shared" si="15"/>
        <v>30</v>
      </c>
      <c r="AO30" t="s">
        <v>271</v>
      </c>
      <c r="AS30" t="s">
        <v>959</v>
      </c>
      <c r="AT30" s="71">
        <f>AT13</f>
        <v>5</v>
      </c>
      <c r="AU30" t="s">
        <v>271</v>
      </c>
      <c r="AV30" s="71">
        <f t="shared" si="16"/>
        <v>20</v>
      </c>
      <c r="AW30" t="s">
        <v>271</v>
      </c>
      <c r="BA30" t="s">
        <v>959</v>
      </c>
      <c r="BB30" s="71">
        <f>BB13</f>
        <v>1</v>
      </c>
      <c r="BC30" t="s">
        <v>271</v>
      </c>
      <c r="BD30" s="71">
        <f t="shared" si="17"/>
        <v>2</v>
      </c>
      <c r="BE30" t="s">
        <v>271</v>
      </c>
      <c r="BI30" t="s">
        <v>959</v>
      </c>
      <c r="BJ30" s="71">
        <f>BJ13</f>
        <v>5</v>
      </c>
      <c r="BK30" t="s">
        <v>271</v>
      </c>
      <c r="BL30" s="71">
        <f t="shared" si="18"/>
        <v>10</v>
      </c>
      <c r="BM30" t="s">
        <v>271</v>
      </c>
      <c r="BQ30" t="s">
        <v>959</v>
      </c>
      <c r="BR30" s="71">
        <f>BR13</f>
        <v>5</v>
      </c>
      <c r="BS30" t="s">
        <v>271</v>
      </c>
      <c r="BT30" s="71">
        <f t="shared" si="19"/>
        <v>60</v>
      </c>
      <c r="BU30" t="s">
        <v>271</v>
      </c>
      <c r="BY30" t="s">
        <v>959</v>
      </c>
      <c r="BZ30" s="71">
        <f>BZ13</f>
        <v>5</v>
      </c>
      <c r="CA30" t="s">
        <v>271</v>
      </c>
      <c r="CB30" s="71">
        <f t="shared" si="20"/>
        <v>20</v>
      </c>
      <c r="CC30" t="s">
        <v>271</v>
      </c>
      <c r="CG30" t="s">
        <v>959</v>
      </c>
      <c r="CH30" s="71">
        <f>CH13</f>
        <v>5</v>
      </c>
      <c r="CI30" t="s">
        <v>271</v>
      </c>
      <c r="CJ30" s="71">
        <f t="shared" si="21"/>
        <v>10</v>
      </c>
      <c r="CK30" t="s">
        <v>271</v>
      </c>
      <c r="CO30" t="s">
        <v>959</v>
      </c>
      <c r="CP30" s="71">
        <f>CP13</f>
        <v>5</v>
      </c>
      <c r="CQ30" t="s">
        <v>271</v>
      </c>
      <c r="CR30" s="71">
        <f t="shared" si="22"/>
        <v>10</v>
      </c>
      <c r="CS30" t="s">
        <v>271</v>
      </c>
      <c r="CU30" s="25">
        <f t="shared" si="23"/>
        <v>492</v>
      </c>
      <c r="CV30" t="s">
        <v>271</v>
      </c>
    </row>
    <row r="31" spans="4:100">
      <c r="E31" t="s">
        <v>960</v>
      </c>
      <c r="F31" s="71">
        <f>F15</f>
        <v>6</v>
      </c>
      <c r="G31" t="s">
        <v>329</v>
      </c>
      <c r="H31" s="71">
        <f t="shared" si="12"/>
        <v>72</v>
      </c>
      <c r="I31" t="s">
        <v>329</v>
      </c>
      <c r="M31" t="s">
        <v>960</v>
      </c>
      <c r="N31" s="71">
        <f>N15</f>
        <v>5</v>
      </c>
      <c r="O31" t="s">
        <v>329</v>
      </c>
      <c r="P31" s="71">
        <f>$C$2*N31</f>
        <v>60</v>
      </c>
      <c r="Q31" t="s">
        <v>329</v>
      </c>
      <c r="U31" t="s">
        <v>960</v>
      </c>
      <c r="V31" s="71">
        <f>V15</f>
        <v>7</v>
      </c>
      <c r="W31" t="s">
        <v>329</v>
      </c>
      <c r="X31" s="71">
        <f t="shared" si="13"/>
        <v>70</v>
      </c>
      <c r="Y31" t="s">
        <v>329</v>
      </c>
      <c r="AC31" t="s">
        <v>960</v>
      </c>
      <c r="AD31" s="71">
        <f>AD15</f>
        <v>5</v>
      </c>
      <c r="AE31" t="s">
        <v>329</v>
      </c>
      <c r="AF31" s="71">
        <f t="shared" si="14"/>
        <v>160</v>
      </c>
      <c r="AG31" t="s">
        <v>329</v>
      </c>
      <c r="AK31" t="s">
        <v>960</v>
      </c>
      <c r="AL31" s="71">
        <f>AL15</f>
        <v>15</v>
      </c>
      <c r="AM31" t="s">
        <v>329</v>
      </c>
      <c r="AN31" s="71">
        <f t="shared" si="15"/>
        <v>90</v>
      </c>
      <c r="AO31" t="s">
        <v>329</v>
      </c>
      <c r="AS31" t="s">
        <v>960</v>
      </c>
      <c r="AT31" s="71">
        <f>AT15</f>
        <v>6</v>
      </c>
      <c r="AU31" t="s">
        <v>329</v>
      </c>
      <c r="AV31" s="71">
        <f t="shared" si="16"/>
        <v>24</v>
      </c>
      <c r="AW31" t="s">
        <v>329</v>
      </c>
      <c r="BA31" t="s">
        <v>960</v>
      </c>
      <c r="BB31" s="71">
        <f>BB15</f>
        <v>6</v>
      </c>
      <c r="BC31" t="s">
        <v>329</v>
      </c>
      <c r="BD31" s="71">
        <f t="shared" si="17"/>
        <v>12</v>
      </c>
      <c r="BE31" t="s">
        <v>329</v>
      </c>
      <c r="BI31" t="s">
        <v>960</v>
      </c>
      <c r="BJ31" s="71">
        <f>BJ15</f>
        <v>6</v>
      </c>
      <c r="BK31" t="s">
        <v>329</v>
      </c>
      <c r="BL31" s="71">
        <f t="shared" si="18"/>
        <v>12</v>
      </c>
      <c r="BM31" t="s">
        <v>329</v>
      </c>
      <c r="BQ31" t="s">
        <v>960</v>
      </c>
      <c r="BR31" s="71">
        <f>BR15</f>
        <v>12</v>
      </c>
      <c r="BS31" t="s">
        <v>329</v>
      </c>
      <c r="BT31" s="71">
        <f t="shared" si="19"/>
        <v>144</v>
      </c>
      <c r="BU31" t="s">
        <v>329</v>
      </c>
      <c r="BY31" t="s">
        <v>960</v>
      </c>
      <c r="BZ31" s="71">
        <f>BZ15</f>
        <v>12</v>
      </c>
      <c r="CA31" t="s">
        <v>329</v>
      </c>
      <c r="CB31" s="71">
        <f t="shared" si="20"/>
        <v>48</v>
      </c>
      <c r="CC31" t="s">
        <v>329</v>
      </c>
      <c r="CG31" t="s">
        <v>960</v>
      </c>
      <c r="CH31" s="71">
        <f>CH15</f>
        <v>6</v>
      </c>
      <c r="CI31" t="s">
        <v>329</v>
      </c>
      <c r="CJ31" s="71">
        <f t="shared" si="21"/>
        <v>12</v>
      </c>
      <c r="CK31" t="s">
        <v>329</v>
      </c>
      <c r="CO31" t="s">
        <v>960</v>
      </c>
      <c r="CP31" s="71">
        <f>CP15</f>
        <v>6</v>
      </c>
      <c r="CQ31" t="s">
        <v>329</v>
      </c>
      <c r="CR31" s="71">
        <f t="shared" si="22"/>
        <v>12</v>
      </c>
      <c r="CS31" t="s">
        <v>329</v>
      </c>
      <c r="CU31" s="25">
        <f t="shared" si="23"/>
        <v>716</v>
      </c>
      <c r="CV31" t="s">
        <v>329</v>
      </c>
    </row>
    <row r="32" spans="4:100">
      <c r="D32" t="s">
        <v>961</v>
      </c>
      <c r="L32" t="s">
        <v>961</v>
      </c>
      <c r="T32" t="s">
        <v>961</v>
      </c>
      <c r="AB32" t="s">
        <v>961</v>
      </c>
      <c r="AJ32" t="s">
        <v>961</v>
      </c>
      <c r="AR32" t="s">
        <v>961</v>
      </c>
      <c r="AZ32" t="s">
        <v>961</v>
      </c>
      <c r="BH32" t="s">
        <v>961</v>
      </c>
      <c r="BP32" t="s">
        <v>961</v>
      </c>
      <c r="BX32" t="s">
        <v>961</v>
      </c>
      <c r="CF32" t="s">
        <v>961</v>
      </c>
      <c r="CN32" t="s">
        <v>961</v>
      </c>
    </row>
    <row r="33" spans="4:100">
      <c r="E33" t="s">
        <v>962</v>
      </c>
      <c r="F33" s="70">
        <v>1</v>
      </c>
      <c r="G33" t="s">
        <v>271</v>
      </c>
      <c r="H33" s="70">
        <f>$C$2*F33</f>
        <v>12</v>
      </c>
      <c r="I33" t="s">
        <v>271</v>
      </c>
      <c r="M33" t="s">
        <v>962</v>
      </c>
      <c r="N33" s="70">
        <v>1</v>
      </c>
      <c r="O33" t="s">
        <v>271</v>
      </c>
      <c r="P33" s="70">
        <f>$K$2*N33</f>
        <v>12</v>
      </c>
      <c r="Q33" t="s">
        <v>271</v>
      </c>
      <c r="U33" t="s">
        <v>962</v>
      </c>
      <c r="V33" s="70">
        <v>2</v>
      </c>
      <c r="W33" t="s">
        <v>271</v>
      </c>
      <c r="X33" s="70">
        <f>S$2*V33</f>
        <v>20</v>
      </c>
      <c r="Y33" t="s">
        <v>271</v>
      </c>
      <c r="AC33" t="s">
        <v>962</v>
      </c>
      <c r="AD33" s="70">
        <v>1</v>
      </c>
      <c r="AE33" t="s">
        <v>271</v>
      </c>
      <c r="AF33" s="70">
        <f>AA$2*AD33</f>
        <v>32</v>
      </c>
      <c r="AG33" t="s">
        <v>271</v>
      </c>
      <c r="AK33" t="s">
        <v>962</v>
      </c>
      <c r="AL33" s="70">
        <v>1</v>
      </c>
      <c r="AM33" t="s">
        <v>271</v>
      </c>
      <c r="AN33" s="70">
        <f>AI$2*AL33</f>
        <v>6</v>
      </c>
      <c r="AO33" t="s">
        <v>271</v>
      </c>
      <c r="AS33" t="s">
        <v>962</v>
      </c>
      <c r="AT33" s="70">
        <v>1</v>
      </c>
      <c r="AU33" t="s">
        <v>271</v>
      </c>
      <c r="AV33" s="70">
        <f>AQ$2*AT33</f>
        <v>4</v>
      </c>
      <c r="AW33" t="s">
        <v>271</v>
      </c>
      <c r="BA33" t="s">
        <v>962</v>
      </c>
      <c r="BB33" s="70">
        <v>1</v>
      </c>
      <c r="BC33" t="s">
        <v>271</v>
      </c>
      <c r="BD33" s="70">
        <f>AY$2*BB33</f>
        <v>2</v>
      </c>
      <c r="BE33" t="s">
        <v>271</v>
      </c>
      <c r="BI33" t="s">
        <v>962</v>
      </c>
      <c r="BJ33" s="70">
        <v>1</v>
      </c>
      <c r="BK33" t="s">
        <v>271</v>
      </c>
      <c r="BL33" s="70">
        <f>BG$2*BJ33</f>
        <v>2</v>
      </c>
      <c r="BM33" t="s">
        <v>271</v>
      </c>
      <c r="BQ33" t="s">
        <v>962</v>
      </c>
      <c r="BR33" s="70">
        <v>1</v>
      </c>
      <c r="BS33" t="s">
        <v>271</v>
      </c>
      <c r="BT33" s="70">
        <f>BO$2*BR33</f>
        <v>12</v>
      </c>
      <c r="BU33" t="s">
        <v>271</v>
      </c>
      <c r="BY33" t="s">
        <v>962</v>
      </c>
      <c r="BZ33" s="70">
        <v>1</v>
      </c>
      <c r="CA33" t="s">
        <v>271</v>
      </c>
      <c r="CB33" s="70">
        <f>BW$2*BZ33</f>
        <v>4</v>
      </c>
      <c r="CC33" t="s">
        <v>271</v>
      </c>
      <c r="CG33" t="s">
        <v>962</v>
      </c>
      <c r="CH33" s="70">
        <v>1</v>
      </c>
      <c r="CI33" t="s">
        <v>271</v>
      </c>
      <c r="CJ33" s="70">
        <f>CE$2*CH33</f>
        <v>2</v>
      </c>
      <c r="CK33" t="s">
        <v>271</v>
      </c>
      <c r="CO33" t="s">
        <v>962</v>
      </c>
      <c r="CP33" s="70">
        <v>1</v>
      </c>
      <c r="CQ33" t="s">
        <v>271</v>
      </c>
      <c r="CR33" s="70">
        <f>CM$2*CP33</f>
        <v>2</v>
      </c>
      <c r="CS33" t="s">
        <v>271</v>
      </c>
      <c r="CU33" s="25">
        <f>H33+P33+X33+AF33+AV33+AN33+BD33+BL33+BT33+CB33+CJ33+CR33</f>
        <v>110</v>
      </c>
      <c r="CV33" t="s">
        <v>271</v>
      </c>
    </row>
    <row r="34" spans="4:100">
      <c r="E34" t="s">
        <v>963</v>
      </c>
      <c r="F34" s="70">
        <v>1</v>
      </c>
      <c r="G34" t="s">
        <v>271</v>
      </c>
      <c r="H34" s="70">
        <f>$C$2*F34</f>
        <v>12</v>
      </c>
      <c r="I34" t="s">
        <v>271</v>
      </c>
      <c r="M34" t="s">
        <v>963</v>
      </c>
      <c r="N34" s="70">
        <v>1</v>
      </c>
      <c r="O34" t="s">
        <v>271</v>
      </c>
      <c r="P34" s="70">
        <f>$C$2*N34</f>
        <v>12</v>
      </c>
      <c r="Q34" t="s">
        <v>271</v>
      </c>
      <c r="U34" t="s">
        <v>963</v>
      </c>
      <c r="V34" s="70">
        <v>2</v>
      </c>
      <c r="W34" t="s">
        <v>271</v>
      </c>
      <c r="X34" s="70">
        <f>S$2*V34</f>
        <v>20</v>
      </c>
      <c r="Y34" t="s">
        <v>271</v>
      </c>
      <c r="AC34" t="s">
        <v>963</v>
      </c>
      <c r="AD34" s="70">
        <v>1</v>
      </c>
      <c r="AE34" t="s">
        <v>271</v>
      </c>
      <c r="AF34" s="70">
        <f>AA$2*AD34</f>
        <v>32</v>
      </c>
      <c r="AG34" t="s">
        <v>271</v>
      </c>
      <c r="AK34" t="s">
        <v>963</v>
      </c>
      <c r="AL34" s="70">
        <v>1</v>
      </c>
      <c r="AM34" t="s">
        <v>271</v>
      </c>
      <c r="AN34" s="70">
        <f>AI$2*AL34</f>
        <v>6</v>
      </c>
      <c r="AO34" t="s">
        <v>271</v>
      </c>
      <c r="AS34" t="s">
        <v>963</v>
      </c>
      <c r="AT34" s="70">
        <v>1</v>
      </c>
      <c r="AU34" t="s">
        <v>271</v>
      </c>
      <c r="AV34" s="70">
        <f>AQ$2*AT34</f>
        <v>4</v>
      </c>
      <c r="AW34" t="s">
        <v>271</v>
      </c>
      <c r="BA34" t="s">
        <v>963</v>
      </c>
      <c r="BB34" s="70">
        <v>1</v>
      </c>
      <c r="BC34" t="s">
        <v>271</v>
      </c>
      <c r="BD34" s="70">
        <f>AY$2*BB34</f>
        <v>2</v>
      </c>
      <c r="BE34" t="s">
        <v>271</v>
      </c>
      <c r="BI34" t="s">
        <v>963</v>
      </c>
      <c r="BJ34" s="70">
        <v>1</v>
      </c>
      <c r="BK34" t="s">
        <v>271</v>
      </c>
      <c r="BL34" s="70">
        <f>BG$2*BJ34</f>
        <v>2</v>
      </c>
      <c r="BM34" t="s">
        <v>271</v>
      </c>
      <c r="BQ34" t="s">
        <v>963</v>
      </c>
      <c r="BR34" s="70">
        <v>1</v>
      </c>
      <c r="BS34" t="s">
        <v>271</v>
      </c>
      <c r="BT34" s="70">
        <f>BO$2*BR34</f>
        <v>12</v>
      </c>
      <c r="BU34" t="s">
        <v>271</v>
      </c>
      <c r="BY34" t="s">
        <v>963</v>
      </c>
      <c r="BZ34" s="70">
        <v>1</v>
      </c>
      <c r="CA34" t="s">
        <v>271</v>
      </c>
      <c r="CB34" s="70">
        <f>BW$2*BZ34</f>
        <v>4</v>
      </c>
      <c r="CC34" t="s">
        <v>271</v>
      </c>
      <c r="CG34" t="s">
        <v>963</v>
      </c>
      <c r="CH34" s="70">
        <v>1</v>
      </c>
      <c r="CI34" t="s">
        <v>271</v>
      </c>
      <c r="CJ34" s="70">
        <f>CE$2*CH34</f>
        <v>2</v>
      </c>
      <c r="CK34" t="s">
        <v>271</v>
      </c>
      <c r="CO34" t="s">
        <v>963</v>
      </c>
      <c r="CP34" s="70">
        <v>1</v>
      </c>
      <c r="CQ34" t="s">
        <v>271</v>
      </c>
      <c r="CR34" s="70">
        <f>CM$2*CP34</f>
        <v>2</v>
      </c>
      <c r="CS34" t="s">
        <v>271</v>
      </c>
      <c r="CU34" s="25">
        <f>H34+P34+X34+AF34+AV34+AN34+BD34+BL34+BT34+CB34+CJ34+CR34</f>
        <v>110</v>
      </c>
      <c r="CV34" t="s">
        <v>271</v>
      </c>
    </row>
    <row r="35" spans="4:100">
      <c r="E35" t="s">
        <v>964</v>
      </c>
      <c r="F35" s="70">
        <v>1</v>
      </c>
      <c r="G35" t="s">
        <v>271</v>
      </c>
      <c r="H35" s="70">
        <f>$C$2*F35</f>
        <v>12</v>
      </c>
      <c r="I35" t="s">
        <v>271</v>
      </c>
      <c r="M35" t="s">
        <v>964</v>
      </c>
      <c r="N35" s="70">
        <v>1</v>
      </c>
      <c r="O35" t="s">
        <v>271</v>
      </c>
      <c r="P35" s="70">
        <f>$C$2*N35</f>
        <v>12</v>
      </c>
      <c r="Q35" t="s">
        <v>271</v>
      </c>
      <c r="U35" t="s">
        <v>964</v>
      </c>
      <c r="V35" s="70">
        <v>2</v>
      </c>
      <c r="W35" t="s">
        <v>271</v>
      </c>
      <c r="X35" s="70">
        <f>S$2*V35</f>
        <v>20</v>
      </c>
      <c r="Y35" t="s">
        <v>271</v>
      </c>
      <c r="AC35" t="s">
        <v>964</v>
      </c>
      <c r="AD35" s="70">
        <v>1</v>
      </c>
      <c r="AE35" t="s">
        <v>271</v>
      </c>
      <c r="AF35" s="70">
        <f>AA$2*AD35</f>
        <v>32</v>
      </c>
      <c r="AG35" t="s">
        <v>271</v>
      </c>
      <c r="AK35" t="s">
        <v>964</v>
      </c>
      <c r="AL35" s="70">
        <v>1</v>
      </c>
      <c r="AM35" t="s">
        <v>271</v>
      </c>
      <c r="AN35" s="70">
        <f>AI$2*AL35</f>
        <v>6</v>
      </c>
      <c r="AO35" t="s">
        <v>271</v>
      </c>
      <c r="AS35" t="s">
        <v>964</v>
      </c>
      <c r="AT35" s="70">
        <v>1</v>
      </c>
      <c r="AU35" t="s">
        <v>271</v>
      </c>
      <c r="AV35" s="70">
        <f>AQ$2*AT35</f>
        <v>4</v>
      </c>
      <c r="AW35" t="s">
        <v>271</v>
      </c>
      <c r="BA35" t="s">
        <v>964</v>
      </c>
      <c r="BB35" s="70">
        <v>1</v>
      </c>
      <c r="BC35" t="s">
        <v>271</v>
      </c>
      <c r="BD35" s="70">
        <f>AY$2*BB35</f>
        <v>2</v>
      </c>
      <c r="BE35" t="s">
        <v>271</v>
      </c>
      <c r="BI35" t="s">
        <v>964</v>
      </c>
      <c r="BJ35" s="70">
        <v>1</v>
      </c>
      <c r="BK35" t="s">
        <v>271</v>
      </c>
      <c r="BL35" s="70">
        <f>BG$2*BJ35</f>
        <v>2</v>
      </c>
      <c r="BM35" t="s">
        <v>271</v>
      </c>
      <c r="BQ35" t="s">
        <v>964</v>
      </c>
      <c r="BR35" s="70">
        <v>1</v>
      </c>
      <c r="BS35" t="s">
        <v>271</v>
      </c>
      <c r="BT35" s="70">
        <f>BO$2*BR35</f>
        <v>12</v>
      </c>
      <c r="BU35" t="s">
        <v>271</v>
      </c>
      <c r="BY35" t="s">
        <v>964</v>
      </c>
      <c r="BZ35" s="70">
        <v>1</v>
      </c>
      <c r="CA35" t="s">
        <v>271</v>
      </c>
      <c r="CB35" s="70">
        <f>BW$2*BZ35</f>
        <v>4</v>
      </c>
      <c r="CC35" t="s">
        <v>271</v>
      </c>
      <c r="CG35" t="s">
        <v>964</v>
      </c>
      <c r="CH35" s="70">
        <v>1</v>
      </c>
      <c r="CI35" t="s">
        <v>271</v>
      </c>
      <c r="CJ35" s="70">
        <f>CE$2*CH35</f>
        <v>2</v>
      </c>
      <c r="CK35" t="s">
        <v>271</v>
      </c>
      <c r="CO35" t="s">
        <v>964</v>
      </c>
      <c r="CP35" s="70">
        <v>1</v>
      </c>
      <c r="CQ35" t="s">
        <v>271</v>
      </c>
      <c r="CR35" s="70">
        <f>CM$2*CP35</f>
        <v>2</v>
      </c>
      <c r="CS35" t="s">
        <v>271</v>
      </c>
      <c r="CU35" s="25">
        <f>H35+P35+X35+AF35+AV35+AN35+BD35+BL35+BT35+CB35+CJ35+CR35</f>
        <v>110</v>
      </c>
      <c r="CV35" t="s">
        <v>271</v>
      </c>
    </row>
    <row r="36" spans="4:100">
      <c r="E36" t="s">
        <v>965</v>
      </c>
      <c r="F36" s="70">
        <v>1</v>
      </c>
      <c r="G36" t="s">
        <v>271</v>
      </c>
      <c r="H36" s="70">
        <f>$C$2*F36</f>
        <v>12</v>
      </c>
      <c r="I36" t="s">
        <v>271</v>
      </c>
      <c r="M36" t="s">
        <v>965</v>
      </c>
      <c r="N36" s="70">
        <v>1</v>
      </c>
      <c r="O36" t="s">
        <v>271</v>
      </c>
      <c r="P36" s="70">
        <f>$C$2*N36</f>
        <v>12</v>
      </c>
      <c r="Q36" t="s">
        <v>271</v>
      </c>
      <c r="U36" t="s">
        <v>965</v>
      </c>
      <c r="V36" s="70">
        <v>2</v>
      </c>
      <c r="W36" t="s">
        <v>271</v>
      </c>
      <c r="X36" s="70">
        <f>S$2*V36</f>
        <v>20</v>
      </c>
      <c r="Y36" t="s">
        <v>271</v>
      </c>
      <c r="AC36" t="s">
        <v>965</v>
      </c>
      <c r="AD36" s="70">
        <v>1</v>
      </c>
      <c r="AE36" t="s">
        <v>271</v>
      </c>
      <c r="AF36" s="70">
        <f>AA$2*AD36</f>
        <v>32</v>
      </c>
      <c r="AG36" t="s">
        <v>271</v>
      </c>
      <c r="AK36" t="s">
        <v>965</v>
      </c>
      <c r="AL36" s="70">
        <v>1</v>
      </c>
      <c r="AM36" t="s">
        <v>271</v>
      </c>
      <c r="AN36" s="70">
        <f>AI$2*AL36</f>
        <v>6</v>
      </c>
      <c r="AO36" t="s">
        <v>271</v>
      </c>
      <c r="AS36" t="s">
        <v>965</v>
      </c>
      <c r="AT36" s="70">
        <v>1</v>
      </c>
      <c r="AU36" t="s">
        <v>271</v>
      </c>
      <c r="AV36" s="70">
        <f>AQ$2*AT36</f>
        <v>4</v>
      </c>
      <c r="AW36" t="s">
        <v>271</v>
      </c>
      <c r="BA36" t="s">
        <v>965</v>
      </c>
      <c r="BB36" s="70">
        <v>1</v>
      </c>
      <c r="BC36" t="s">
        <v>271</v>
      </c>
      <c r="BD36" s="70">
        <f>AY$2*BB36</f>
        <v>2</v>
      </c>
      <c r="BE36" t="s">
        <v>271</v>
      </c>
      <c r="BI36" t="s">
        <v>965</v>
      </c>
      <c r="BJ36" s="70">
        <v>1</v>
      </c>
      <c r="BK36" t="s">
        <v>271</v>
      </c>
      <c r="BL36" s="70">
        <f>BG$2*BJ36</f>
        <v>2</v>
      </c>
      <c r="BM36" t="s">
        <v>271</v>
      </c>
      <c r="BQ36" t="s">
        <v>965</v>
      </c>
      <c r="BR36" s="70">
        <v>1</v>
      </c>
      <c r="BS36" t="s">
        <v>271</v>
      </c>
      <c r="BT36" s="70">
        <f>BO$2*BR36</f>
        <v>12</v>
      </c>
      <c r="BU36" t="s">
        <v>271</v>
      </c>
      <c r="BY36" t="s">
        <v>965</v>
      </c>
      <c r="BZ36" s="70">
        <v>1</v>
      </c>
      <c r="CA36" t="s">
        <v>271</v>
      </c>
      <c r="CB36" s="70">
        <f>BW$2*BZ36</f>
        <v>4</v>
      </c>
      <c r="CC36" t="s">
        <v>271</v>
      </c>
      <c r="CG36" t="s">
        <v>965</v>
      </c>
      <c r="CH36" s="70">
        <v>1</v>
      </c>
      <c r="CI36" t="s">
        <v>271</v>
      </c>
      <c r="CJ36" s="70">
        <f>CE$2*CH36</f>
        <v>2</v>
      </c>
      <c r="CK36" t="s">
        <v>271</v>
      </c>
      <c r="CO36" t="s">
        <v>965</v>
      </c>
      <c r="CP36" s="70">
        <v>1</v>
      </c>
      <c r="CQ36" t="s">
        <v>271</v>
      </c>
      <c r="CR36" s="70">
        <f>CM$2*CP36</f>
        <v>2</v>
      </c>
      <c r="CS36" t="s">
        <v>271</v>
      </c>
      <c r="CU36" s="25">
        <f>H36+P36+X36+AF36+AV36+AN36+BD36+BL36+BT36+CB36+CJ36+CR36</f>
        <v>110</v>
      </c>
      <c r="CV36" t="s">
        <v>271</v>
      </c>
    </row>
    <row r="37" spans="4:100">
      <c r="D37" t="s">
        <v>966</v>
      </c>
      <c r="L37" t="s">
        <v>966</v>
      </c>
      <c r="T37" t="s">
        <v>966</v>
      </c>
      <c r="AB37" t="s">
        <v>966</v>
      </c>
      <c r="AJ37" t="s">
        <v>966</v>
      </c>
      <c r="AR37" t="s">
        <v>966</v>
      </c>
      <c r="AZ37" t="s">
        <v>966</v>
      </c>
      <c r="BH37" t="s">
        <v>966</v>
      </c>
      <c r="BP37" t="s">
        <v>966</v>
      </c>
      <c r="BX37" t="s">
        <v>966</v>
      </c>
      <c r="CF37" t="s">
        <v>966</v>
      </c>
      <c r="CN37" t="s">
        <v>966</v>
      </c>
    </row>
    <row r="38" spans="4:100">
      <c r="E38" t="s">
        <v>967</v>
      </c>
      <c r="F38" s="70">
        <v>2</v>
      </c>
      <c r="G38" t="s">
        <v>271</v>
      </c>
      <c r="H38" s="70">
        <f>$C$2*F38</f>
        <v>24</v>
      </c>
      <c r="I38" t="s">
        <v>271</v>
      </c>
      <c r="M38" t="s">
        <v>967</v>
      </c>
      <c r="N38" s="70">
        <v>1</v>
      </c>
      <c r="O38" t="s">
        <v>271</v>
      </c>
      <c r="P38" s="70">
        <f>$K$2*N38</f>
        <v>12</v>
      </c>
      <c r="Q38" t="s">
        <v>271</v>
      </c>
      <c r="U38" t="s">
        <v>967</v>
      </c>
      <c r="V38" s="70">
        <v>3</v>
      </c>
      <c r="W38" t="s">
        <v>271</v>
      </c>
      <c r="X38" s="70">
        <f>S$2*V38</f>
        <v>30</v>
      </c>
      <c r="Y38" t="s">
        <v>271</v>
      </c>
      <c r="AC38" t="s">
        <v>967</v>
      </c>
      <c r="AD38" s="70">
        <v>2</v>
      </c>
      <c r="AE38" t="s">
        <v>271</v>
      </c>
      <c r="AF38" s="70">
        <f>AA$2*AD38</f>
        <v>64</v>
      </c>
      <c r="AG38" t="s">
        <v>271</v>
      </c>
      <c r="AK38" t="s">
        <v>967</v>
      </c>
      <c r="AL38" s="70">
        <v>3</v>
      </c>
      <c r="AM38" t="s">
        <v>271</v>
      </c>
      <c r="AN38" s="70">
        <f>AI$2*AL38</f>
        <v>18</v>
      </c>
      <c r="AO38" t="s">
        <v>271</v>
      </c>
      <c r="AS38" t="s">
        <v>967</v>
      </c>
      <c r="AT38" s="70">
        <v>1</v>
      </c>
      <c r="AU38" t="s">
        <v>271</v>
      </c>
      <c r="AV38" s="70">
        <f>AQ$2*AT38</f>
        <v>4</v>
      </c>
      <c r="AW38" t="s">
        <v>271</v>
      </c>
      <c r="BA38" t="s">
        <v>967</v>
      </c>
      <c r="BB38" s="70">
        <v>1</v>
      </c>
      <c r="BC38" t="s">
        <v>271</v>
      </c>
      <c r="BD38" s="70">
        <f>AY$2*BB38</f>
        <v>2</v>
      </c>
      <c r="BE38" t="s">
        <v>271</v>
      </c>
      <c r="BI38" t="s">
        <v>967</v>
      </c>
      <c r="BJ38" s="70">
        <v>1</v>
      </c>
      <c r="BK38" t="s">
        <v>271</v>
      </c>
      <c r="BL38" s="70">
        <f>BG$2*BJ38</f>
        <v>2</v>
      </c>
      <c r="BM38" t="s">
        <v>271</v>
      </c>
      <c r="BQ38" t="s">
        <v>967</v>
      </c>
      <c r="BR38" s="70">
        <v>2</v>
      </c>
      <c r="BS38" t="s">
        <v>271</v>
      </c>
      <c r="BT38" s="70">
        <f>BO$2*BR38</f>
        <v>24</v>
      </c>
      <c r="BU38" t="s">
        <v>271</v>
      </c>
      <c r="BY38" t="s">
        <v>967</v>
      </c>
      <c r="BZ38" s="70">
        <v>3</v>
      </c>
      <c r="CA38" t="s">
        <v>271</v>
      </c>
      <c r="CB38" s="70">
        <f>BW$2*BZ38</f>
        <v>12</v>
      </c>
      <c r="CC38" t="s">
        <v>271</v>
      </c>
      <c r="CG38" t="s">
        <v>967</v>
      </c>
      <c r="CH38" s="70">
        <v>1</v>
      </c>
      <c r="CI38" t="s">
        <v>271</v>
      </c>
      <c r="CJ38" s="70">
        <f>CE$2*CH38</f>
        <v>2</v>
      </c>
      <c r="CK38" t="s">
        <v>271</v>
      </c>
      <c r="CO38" t="s">
        <v>967</v>
      </c>
      <c r="CP38" s="70">
        <v>2</v>
      </c>
      <c r="CQ38" t="s">
        <v>271</v>
      </c>
      <c r="CR38" s="70">
        <f>CM$2*CP38</f>
        <v>4</v>
      </c>
      <c r="CS38" t="s">
        <v>271</v>
      </c>
      <c r="CU38" s="25">
        <f>H38+P38+X38+AF38+AV38+AN38+BD38+BL38+BT38+CB38+CJ38+CR38</f>
        <v>198</v>
      </c>
      <c r="CV38" t="s">
        <v>271</v>
      </c>
    </row>
    <row r="39" spans="4:100">
      <c r="D39" t="s">
        <v>968</v>
      </c>
      <c r="L39" t="s">
        <v>968</v>
      </c>
      <c r="T39" t="s">
        <v>968</v>
      </c>
      <c r="AB39" t="s">
        <v>968</v>
      </c>
      <c r="AJ39" t="s">
        <v>968</v>
      </c>
      <c r="AR39" t="s">
        <v>968</v>
      </c>
      <c r="AZ39" t="s">
        <v>968</v>
      </c>
      <c r="BH39" t="s">
        <v>968</v>
      </c>
      <c r="BP39" t="s">
        <v>968</v>
      </c>
      <c r="BX39" t="s">
        <v>968</v>
      </c>
      <c r="CF39" t="s">
        <v>968</v>
      </c>
      <c r="CN39" t="s">
        <v>968</v>
      </c>
    </row>
    <row r="40" spans="4:100">
      <c r="E40" t="s">
        <v>969</v>
      </c>
      <c r="F40" s="70">
        <v>1</v>
      </c>
      <c r="G40" t="s">
        <v>271</v>
      </c>
      <c r="H40" s="70">
        <f>$C$2*F40</f>
        <v>12</v>
      </c>
      <c r="I40" t="s">
        <v>271</v>
      </c>
      <c r="M40" t="s">
        <v>969</v>
      </c>
      <c r="N40" s="70">
        <v>1</v>
      </c>
      <c r="O40" t="s">
        <v>271</v>
      </c>
      <c r="P40" s="70">
        <f>$K$2*N40</f>
        <v>12</v>
      </c>
      <c r="Q40" t="s">
        <v>271</v>
      </c>
      <c r="U40" t="s">
        <v>969</v>
      </c>
      <c r="V40" s="70">
        <v>1</v>
      </c>
      <c r="W40" t="s">
        <v>271</v>
      </c>
      <c r="X40" s="70">
        <f>S$2*V40</f>
        <v>10</v>
      </c>
      <c r="Y40" t="s">
        <v>271</v>
      </c>
      <c r="AC40" t="s">
        <v>969</v>
      </c>
      <c r="AD40" s="70">
        <v>1</v>
      </c>
      <c r="AE40" t="s">
        <v>271</v>
      </c>
      <c r="AF40" s="70">
        <f>AA$2*AD40</f>
        <v>32</v>
      </c>
      <c r="AG40" t="s">
        <v>271</v>
      </c>
      <c r="AK40" t="s">
        <v>969</v>
      </c>
      <c r="AL40" s="70">
        <v>1</v>
      </c>
      <c r="AM40" t="s">
        <v>271</v>
      </c>
      <c r="AN40" s="70">
        <f>AI$2*AL40</f>
        <v>6</v>
      </c>
      <c r="AO40" t="s">
        <v>271</v>
      </c>
      <c r="AS40" t="s">
        <v>969</v>
      </c>
      <c r="AU40" t="s">
        <v>271</v>
      </c>
      <c r="AV40" s="70">
        <f>AQ$2*AT40</f>
        <v>0</v>
      </c>
      <c r="AW40" t="s">
        <v>271</v>
      </c>
      <c r="BA40" t="s">
        <v>969</v>
      </c>
      <c r="BC40" t="s">
        <v>271</v>
      </c>
      <c r="BD40" s="70">
        <f>AY$2*BB40</f>
        <v>0</v>
      </c>
      <c r="BE40" t="s">
        <v>271</v>
      </c>
      <c r="BI40" t="s">
        <v>969</v>
      </c>
      <c r="BK40" t="s">
        <v>271</v>
      </c>
      <c r="BL40" s="70">
        <f>BG$2*BJ40</f>
        <v>0</v>
      </c>
      <c r="BM40" t="s">
        <v>271</v>
      </c>
      <c r="BQ40" t="s">
        <v>969</v>
      </c>
      <c r="BS40" t="s">
        <v>271</v>
      </c>
      <c r="BT40" s="70">
        <f>BO$2*BR40</f>
        <v>0</v>
      </c>
      <c r="BU40" t="s">
        <v>271</v>
      </c>
      <c r="BY40" t="s">
        <v>969</v>
      </c>
      <c r="CA40" t="s">
        <v>271</v>
      </c>
      <c r="CB40" s="70">
        <f>BW$2*BZ40</f>
        <v>0</v>
      </c>
      <c r="CC40" t="s">
        <v>271</v>
      </c>
      <c r="CG40" t="s">
        <v>969</v>
      </c>
      <c r="CI40" t="s">
        <v>271</v>
      </c>
      <c r="CJ40" s="70">
        <f>CE$2*CH40</f>
        <v>0</v>
      </c>
      <c r="CK40" t="s">
        <v>271</v>
      </c>
      <c r="CO40" t="s">
        <v>969</v>
      </c>
      <c r="CQ40" t="s">
        <v>271</v>
      </c>
      <c r="CR40" s="70">
        <f>CM$2*CP40</f>
        <v>0</v>
      </c>
      <c r="CS40" t="s">
        <v>271</v>
      </c>
      <c r="CU40" s="25">
        <f>H40+P40+X40+AF40+AV40+AN40+BD40+BL40+BT40+CB40+CJ40+CR40</f>
        <v>72</v>
      </c>
      <c r="CV40" t="s">
        <v>271</v>
      </c>
    </row>
    <row r="41" spans="4:100">
      <c r="E41" t="s">
        <v>970</v>
      </c>
      <c r="F41" s="70">
        <v>1</v>
      </c>
      <c r="G41" t="s">
        <v>271</v>
      </c>
      <c r="H41" s="70">
        <f>$C$2*F41</f>
        <v>12</v>
      </c>
      <c r="I41" t="s">
        <v>271</v>
      </c>
      <c r="M41" t="s">
        <v>970</v>
      </c>
      <c r="N41" s="70">
        <v>1</v>
      </c>
      <c r="O41" t="s">
        <v>271</v>
      </c>
      <c r="P41" s="70">
        <f>$C$2*N41</f>
        <v>12</v>
      </c>
      <c r="Q41" t="s">
        <v>271</v>
      </c>
      <c r="U41" t="s">
        <v>970</v>
      </c>
      <c r="V41" s="70">
        <v>1</v>
      </c>
      <c r="W41" t="s">
        <v>271</v>
      </c>
      <c r="X41" s="70">
        <f>S$2*V41</f>
        <v>10</v>
      </c>
      <c r="Y41" t="s">
        <v>271</v>
      </c>
      <c r="AC41" t="s">
        <v>970</v>
      </c>
      <c r="AD41" s="70">
        <v>1</v>
      </c>
      <c r="AE41" t="s">
        <v>271</v>
      </c>
      <c r="AF41" s="70">
        <f>AA$2*AD41</f>
        <v>32</v>
      </c>
      <c r="AG41" t="s">
        <v>271</v>
      </c>
      <c r="AK41" t="s">
        <v>970</v>
      </c>
      <c r="AL41" s="70">
        <v>1</v>
      </c>
      <c r="AM41" t="s">
        <v>271</v>
      </c>
      <c r="AN41" s="70">
        <f>AI$2*AL41</f>
        <v>6</v>
      </c>
      <c r="AO41" t="s">
        <v>271</v>
      </c>
      <c r="AS41" t="s">
        <v>970</v>
      </c>
      <c r="AU41" t="s">
        <v>271</v>
      </c>
      <c r="AV41" s="70">
        <f>AQ$2*AT41</f>
        <v>0</v>
      </c>
      <c r="AW41" t="s">
        <v>271</v>
      </c>
      <c r="BA41" t="s">
        <v>970</v>
      </c>
      <c r="BC41" t="s">
        <v>271</v>
      </c>
      <c r="BD41" s="70">
        <f>AY$2*BB41</f>
        <v>0</v>
      </c>
      <c r="BE41" t="s">
        <v>271</v>
      </c>
      <c r="BI41" t="s">
        <v>970</v>
      </c>
      <c r="BK41" t="s">
        <v>271</v>
      </c>
      <c r="BL41" s="70">
        <f>BG$2*BJ41</f>
        <v>0</v>
      </c>
      <c r="BM41" t="s">
        <v>271</v>
      </c>
      <c r="BQ41" t="s">
        <v>970</v>
      </c>
      <c r="BS41" t="s">
        <v>271</v>
      </c>
      <c r="BT41" s="70">
        <f>BO$2*BR41</f>
        <v>0</v>
      </c>
      <c r="BU41" t="s">
        <v>271</v>
      </c>
      <c r="BY41" t="s">
        <v>970</v>
      </c>
      <c r="CA41" t="s">
        <v>271</v>
      </c>
      <c r="CB41" s="70">
        <f>BW$2*BZ41</f>
        <v>0</v>
      </c>
      <c r="CC41" t="s">
        <v>271</v>
      </c>
      <c r="CG41" t="s">
        <v>970</v>
      </c>
      <c r="CI41" t="s">
        <v>271</v>
      </c>
      <c r="CJ41" s="70">
        <f>CE$2*CH41</f>
        <v>0</v>
      </c>
      <c r="CK41" t="s">
        <v>271</v>
      </c>
      <c r="CO41" t="s">
        <v>970</v>
      </c>
      <c r="CQ41" t="s">
        <v>271</v>
      </c>
      <c r="CR41" s="70">
        <f>CM$2*CP41</f>
        <v>0</v>
      </c>
      <c r="CS41" t="s">
        <v>271</v>
      </c>
      <c r="CU41" s="25">
        <f>H41+P41+X41+AF41+AV41+AN41+BD41+BL41+BT41+CB41+CJ41+CR41</f>
        <v>72</v>
      </c>
      <c r="CV41" t="s">
        <v>271</v>
      </c>
    </row>
    <row r="42" spans="4:100">
      <c r="D42" t="s">
        <v>971</v>
      </c>
      <c r="L42" t="s">
        <v>971</v>
      </c>
      <c r="T42" t="s">
        <v>165</v>
      </c>
      <c r="AB42" t="s">
        <v>165</v>
      </c>
      <c r="AJ42" t="s">
        <v>165</v>
      </c>
      <c r="AR42" t="s">
        <v>165</v>
      </c>
      <c r="AZ42" t="s">
        <v>165</v>
      </c>
      <c r="BH42" t="s">
        <v>165</v>
      </c>
      <c r="BP42" t="s">
        <v>165</v>
      </c>
      <c r="BX42" t="s">
        <v>165</v>
      </c>
      <c r="CF42" t="s">
        <v>165</v>
      </c>
      <c r="CN42" t="s">
        <v>165</v>
      </c>
    </row>
    <row r="43" spans="4:100">
      <c r="E43" t="s">
        <v>972</v>
      </c>
      <c r="F43" s="70">
        <v>1</v>
      </c>
      <c r="G43" t="s">
        <v>271</v>
      </c>
      <c r="H43" s="70">
        <f>$C$2*F43</f>
        <v>12</v>
      </c>
      <c r="I43" t="s">
        <v>271</v>
      </c>
      <c r="M43" t="s">
        <v>972</v>
      </c>
      <c r="N43" s="70">
        <v>1</v>
      </c>
      <c r="O43" t="s">
        <v>271</v>
      </c>
      <c r="P43" s="70">
        <f>$K$2*N43</f>
        <v>12</v>
      </c>
      <c r="Q43" t="s">
        <v>271</v>
      </c>
      <c r="U43" t="s">
        <v>972</v>
      </c>
      <c r="V43" s="70">
        <v>1</v>
      </c>
      <c r="W43" t="s">
        <v>271</v>
      </c>
      <c r="X43" s="70">
        <f>S$2*V43</f>
        <v>10</v>
      </c>
      <c r="Y43" t="s">
        <v>271</v>
      </c>
      <c r="AC43" t="s">
        <v>972</v>
      </c>
      <c r="AD43" s="70">
        <v>1</v>
      </c>
      <c r="AE43" t="s">
        <v>271</v>
      </c>
      <c r="AF43" s="70">
        <f>AA$2*AD43</f>
        <v>32</v>
      </c>
      <c r="AG43" t="s">
        <v>271</v>
      </c>
      <c r="AK43" t="s">
        <v>972</v>
      </c>
      <c r="AL43" s="70">
        <v>1</v>
      </c>
      <c r="AM43" t="s">
        <v>271</v>
      </c>
      <c r="AN43" s="70">
        <f>AI$2*AL43</f>
        <v>6</v>
      </c>
      <c r="AO43" t="s">
        <v>271</v>
      </c>
      <c r="AS43" t="s">
        <v>972</v>
      </c>
      <c r="AU43" t="s">
        <v>271</v>
      </c>
      <c r="AV43" s="70">
        <f>AQ$2*AT43</f>
        <v>0</v>
      </c>
      <c r="AW43" t="s">
        <v>271</v>
      </c>
      <c r="BA43" t="s">
        <v>972</v>
      </c>
      <c r="BC43" t="s">
        <v>271</v>
      </c>
      <c r="BD43" s="70">
        <f>AY$2*BB43</f>
        <v>0</v>
      </c>
      <c r="BE43" t="s">
        <v>271</v>
      </c>
      <c r="BI43" t="s">
        <v>972</v>
      </c>
      <c r="BK43" t="s">
        <v>271</v>
      </c>
      <c r="BL43" s="70">
        <f>BG$2*BJ43</f>
        <v>0</v>
      </c>
      <c r="BM43" t="s">
        <v>271</v>
      </c>
      <c r="BQ43" t="s">
        <v>972</v>
      </c>
      <c r="BS43" t="s">
        <v>271</v>
      </c>
      <c r="BT43" s="70">
        <f>BO$2*BR43</f>
        <v>0</v>
      </c>
      <c r="BU43" t="s">
        <v>271</v>
      </c>
      <c r="BY43" t="s">
        <v>972</v>
      </c>
      <c r="CA43" t="s">
        <v>271</v>
      </c>
      <c r="CB43" s="70">
        <f>BW$2*BZ43</f>
        <v>0</v>
      </c>
      <c r="CC43" t="s">
        <v>271</v>
      </c>
      <c r="CG43" t="s">
        <v>972</v>
      </c>
      <c r="CI43" t="s">
        <v>271</v>
      </c>
      <c r="CJ43" s="70">
        <f>CE$2*CH43</f>
        <v>0</v>
      </c>
      <c r="CK43" t="s">
        <v>271</v>
      </c>
      <c r="CO43" t="s">
        <v>972</v>
      </c>
      <c r="CQ43" t="s">
        <v>271</v>
      </c>
      <c r="CR43" s="70">
        <f>CM$2*CP43</f>
        <v>0</v>
      </c>
      <c r="CS43" t="s">
        <v>271</v>
      </c>
      <c r="CU43" s="25">
        <f>H43+P43+X43+AF43+AV43+AN43+BD43+BL43+BT43+CB43+CJ43+CR43</f>
        <v>72</v>
      </c>
      <c r="CV43" t="s">
        <v>271</v>
      </c>
    </row>
    <row r="44" spans="4:100">
      <c r="E44" t="s">
        <v>973</v>
      </c>
      <c r="F44" s="70">
        <v>1</v>
      </c>
      <c r="G44" t="s">
        <v>271</v>
      </c>
      <c r="H44" s="70">
        <f>$C$2*F44</f>
        <v>12</v>
      </c>
      <c r="I44" t="s">
        <v>271</v>
      </c>
      <c r="M44" t="s">
        <v>973</v>
      </c>
      <c r="N44" s="70">
        <v>1</v>
      </c>
      <c r="O44" t="s">
        <v>271</v>
      </c>
      <c r="P44" s="70">
        <f>$C$2*N44</f>
        <v>12</v>
      </c>
      <c r="Q44" t="s">
        <v>271</v>
      </c>
      <c r="U44" t="s">
        <v>973</v>
      </c>
      <c r="V44" s="70">
        <v>2</v>
      </c>
      <c r="W44" t="s">
        <v>271</v>
      </c>
      <c r="X44" s="70">
        <f>S$2*V44</f>
        <v>20</v>
      </c>
      <c r="Y44" t="s">
        <v>271</v>
      </c>
      <c r="AC44" t="s">
        <v>973</v>
      </c>
      <c r="AD44" s="70">
        <v>1</v>
      </c>
      <c r="AE44" t="s">
        <v>271</v>
      </c>
      <c r="AF44" s="70">
        <f>AA$2*AD44</f>
        <v>32</v>
      </c>
      <c r="AG44" t="s">
        <v>271</v>
      </c>
      <c r="AK44" t="s">
        <v>973</v>
      </c>
      <c r="AL44" s="70">
        <v>1</v>
      </c>
      <c r="AM44" t="s">
        <v>271</v>
      </c>
      <c r="AN44" s="70">
        <f>AI$2*AL44</f>
        <v>6</v>
      </c>
      <c r="AO44" t="s">
        <v>271</v>
      </c>
      <c r="AS44" t="s">
        <v>973</v>
      </c>
      <c r="AT44" s="70">
        <v>1</v>
      </c>
      <c r="AU44" t="s">
        <v>271</v>
      </c>
      <c r="AV44" s="70">
        <f>AQ$2*AT44</f>
        <v>4</v>
      </c>
      <c r="AW44" t="s">
        <v>271</v>
      </c>
      <c r="BA44" t="s">
        <v>973</v>
      </c>
      <c r="BB44" s="70">
        <v>1</v>
      </c>
      <c r="BC44" t="s">
        <v>271</v>
      </c>
      <c r="BD44" s="70">
        <f>AY$2*BB44</f>
        <v>2</v>
      </c>
      <c r="BE44" t="s">
        <v>271</v>
      </c>
      <c r="BI44" t="s">
        <v>973</v>
      </c>
      <c r="BJ44" s="70">
        <v>1</v>
      </c>
      <c r="BK44" t="s">
        <v>271</v>
      </c>
      <c r="BL44" s="70">
        <f>BG$2*BJ44</f>
        <v>2</v>
      </c>
      <c r="BM44" t="s">
        <v>271</v>
      </c>
      <c r="BQ44" t="s">
        <v>973</v>
      </c>
      <c r="BR44" s="70">
        <v>1</v>
      </c>
      <c r="BS44" t="s">
        <v>271</v>
      </c>
      <c r="BT44" s="70">
        <f>BO$2*BR44</f>
        <v>12</v>
      </c>
      <c r="BU44" t="s">
        <v>271</v>
      </c>
      <c r="BY44" t="s">
        <v>973</v>
      </c>
      <c r="BZ44" s="70">
        <v>1</v>
      </c>
      <c r="CA44" t="s">
        <v>271</v>
      </c>
      <c r="CB44" s="70">
        <f>BW$2*BZ44</f>
        <v>4</v>
      </c>
      <c r="CC44" t="s">
        <v>271</v>
      </c>
      <c r="CG44" t="s">
        <v>973</v>
      </c>
      <c r="CH44" s="70">
        <v>1</v>
      </c>
      <c r="CI44" t="s">
        <v>271</v>
      </c>
      <c r="CJ44" s="70">
        <f>CE$2*CH44</f>
        <v>2</v>
      </c>
      <c r="CK44" t="s">
        <v>271</v>
      </c>
      <c r="CO44" t="s">
        <v>973</v>
      </c>
      <c r="CP44" s="70">
        <v>1</v>
      </c>
      <c r="CQ44" t="s">
        <v>271</v>
      </c>
      <c r="CR44" s="70">
        <f>CM$2*CP44</f>
        <v>2</v>
      </c>
      <c r="CS44" t="s">
        <v>271</v>
      </c>
      <c r="CU44" s="25">
        <f>H44+P44+X44+AF44+AV44+AN44+BD44+BL44+BT44+CB44+CJ44+CR44</f>
        <v>110</v>
      </c>
      <c r="CV44" t="s">
        <v>271</v>
      </c>
    </row>
    <row r="45" spans="4:100">
      <c r="E45" t="s">
        <v>974</v>
      </c>
      <c r="F45" s="70">
        <v>1</v>
      </c>
      <c r="G45" t="s">
        <v>271</v>
      </c>
      <c r="H45" s="70">
        <f>$C$2*F45</f>
        <v>12</v>
      </c>
      <c r="I45" t="s">
        <v>271</v>
      </c>
      <c r="M45" t="s">
        <v>974</v>
      </c>
      <c r="N45" s="70">
        <v>1</v>
      </c>
      <c r="O45" t="s">
        <v>271</v>
      </c>
      <c r="P45" s="70">
        <f>$C$2*N45</f>
        <v>12</v>
      </c>
      <c r="Q45" t="s">
        <v>271</v>
      </c>
      <c r="U45" t="s">
        <v>974</v>
      </c>
      <c r="V45" s="70">
        <v>2</v>
      </c>
      <c r="W45" t="s">
        <v>271</v>
      </c>
      <c r="X45" s="70">
        <f>S$2*V45</f>
        <v>20</v>
      </c>
      <c r="Y45" t="s">
        <v>271</v>
      </c>
      <c r="AC45" t="s">
        <v>974</v>
      </c>
      <c r="AD45" s="70">
        <v>1</v>
      </c>
      <c r="AE45" t="s">
        <v>271</v>
      </c>
      <c r="AF45" s="70">
        <f>AA$2*AD45</f>
        <v>32</v>
      </c>
      <c r="AG45" t="s">
        <v>271</v>
      </c>
      <c r="AK45" t="s">
        <v>974</v>
      </c>
      <c r="AL45" s="70">
        <v>1</v>
      </c>
      <c r="AM45" t="s">
        <v>271</v>
      </c>
      <c r="AN45" s="70">
        <f>AI$2*AL45</f>
        <v>6</v>
      </c>
      <c r="AO45" t="s">
        <v>271</v>
      </c>
      <c r="AS45" t="s">
        <v>974</v>
      </c>
      <c r="AT45" s="70">
        <v>1</v>
      </c>
      <c r="AU45" t="s">
        <v>271</v>
      </c>
      <c r="AV45" s="70">
        <f>AQ$2*AT45</f>
        <v>4</v>
      </c>
      <c r="AW45" t="s">
        <v>271</v>
      </c>
      <c r="BA45" t="s">
        <v>974</v>
      </c>
      <c r="BB45" s="70">
        <v>1</v>
      </c>
      <c r="BC45" t="s">
        <v>271</v>
      </c>
      <c r="BD45" s="70">
        <f>AY$2*BB45</f>
        <v>2</v>
      </c>
      <c r="BE45" t="s">
        <v>271</v>
      </c>
      <c r="BI45" t="s">
        <v>974</v>
      </c>
      <c r="BJ45" s="70">
        <v>1</v>
      </c>
      <c r="BK45" t="s">
        <v>271</v>
      </c>
      <c r="BL45" s="70">
        <f>BG$2*BJ45</f>
        <v>2</v>
      </c>
      <c r="BM45" t="s">
        <v>271</v>
      </c>
      <c r="BQ45" t="s">
        <v>974</v>
      </c>
      <c r="BR45" s="70">
        <v>1</v>
      </c>
      <c r="BS45" t="s">
        <v>271</v>
      </c>
      <c r="BT45" s="70">
        <f>BO$2*BR45</f>
        <v>12</v>
      </c>
      <c r="BU45" t="s">
        <v>271</v>
      </c>
      <c r="BY45" t="s">
        <v>974</v>
      </c>
      <c r="BZ45" s="70">
        <v>1</v>
      </c>
      <c r="CA45" t="s">
        <v>271</v>
      </c>
      <c r="CB45" s="70">
        <f>BW$2*BZ45</f>
        <v>4</v>
      </c>
      <c r="CC45" t="s">
        <v>271</v>
      </c>
      <c r="CG45" t="s">
        <v>974</v>
      </c>
      <c r="CH45" s="70">
        <v>1</v>
      </c>
      <c r="CI45" t="s">
        <v>271</v>
      </c>
      <c r="CJ45" s="70">
        <f>CE$2*CH45</f>
        <v>2</v>
      </c>
      <c r="CK45" t="s">
        <v>271</v>
      </c>
      <c r="CO45" t="s">
        <v>974</v>
      </c>
      <c r="CP45" s="70">
        <v>1</v>
      </c>
      <c r="CQ45" t="s">
        <v>271</v>
      </c>
      <c r="CR45" s="70">
        <f>CM$2*CP45</f>
        <v>2</v>
      </c>
      <c r="CS45" t="s">
        <v>271</v>
      </c>
      <c r="CU45" s="25">
        <f>H45+P45+X45+AF45+AV45+AN45+BD45+BL45+BT45+CB45+CJ45+CR45</f>
        <v>110</v>
      </c>
      <c r="CV45" t="s">
        <v>271</v>
      </c>
    </row>
    <row r="46" spans="4:100">
      <c r="E46" t="s">
        <v>975</v>
      </c>
      <c r="F46" s="70">
        <v>1</v>
      </c>
      <c r="G46" t="s">
        <v>271</v>
      </c>
      <c r="H46" s="70">
        <f>$C$2*F46</f>
        <v>12</v>
      </c>
      <c r="I46" t="s">
        <v>271</v>
      </c>
      <c r="M46" t="s">
        <v>975</v>
      </c>
      <c r="N46" s="70">
        <v>1</v>
      </c>
      <c r="O46" t="s">
        <v>271</v>
      </c>
      <c r="P46" s="70">
        <f>$C$2*N46</f>
        <v>12</v>
      </c>
      <c r="Q46" t="s">
        <v>271</v>
      </c>
      <c r="U46" t="s">
        <v>975</v>
      </c>
      <c r="V46" s="70">
        <v>1</v>
      </c>
      <c r="W46" t="s">
        <v>271</v>
      </c>
      <c r="X46" s="70">
        <f>S$2*V46</f>
        <v>10</v>
      </c>
      <c r="Y46" t="s">
        <v>271</v>
      </c>
      <c r="AC46" t="s">
        <v>975</v>
      </c>
      <c r="AD46" s="70">
        <v>1</v>
      </c>
      <c r="AE46" t="s">
        <v>271</v>
      </c>
      <c r="AF46" s="70">
        <f>AA$2*AD46</f>
        <v>32</v>
      </c>
      <c r="AG46" t="s">
        <v>271</v>
      </c>
      <c r="AK46" t="s">
        <v>975</v>
      </c>
      <c r="AL46" s="70">
        <v>1</v>
      </c>
      <c r="AM46" t="s">
        <v>271</v>
      </c>
      <c r="AN46" s="70">
        <f>AI$2*AL46</f>
        <v>6</v>
      </c>
      <c r="AO46" t="s">
        <v>271</v>
      </c>
      <c r="AS46" t="s">
        <v>975</v>
      </c>
      <c r="AT46" s="70">
        <v>1</v>
      </c>
      <c r="AU46" t="s">
        <v>271</v>
      </c>
      <c r="AV46" s="70">
        <f>AQ$2*AT46</f>
        <v>4</v>
      </c>
      <c r="AW46" t="s">
        <v>271</v>
      </c>
      <c r="BA46" t="s">
        <v>975</v>
      </c>
      <c r="BB46" s="70">
        <v>1</v>
      </c>
      <c r="BC46" t="s">
        <v>271</v>
      </c>
      <c r="BD46" s="70">
        <f>AY$2*BB46</f>
        <v>2</v>
      </c>
      <c r="BE46" t="s">
        <v>271</v>
      </c>
      <c r="BI46" t="s">
        <v>975</v>
      </c>
      <c r="BJ46" s="70">
        <v>1</v>
      </c>
      <c r="BK46" t="s">
        <v>271</v>
      </c>
      <c r="BL46" s="70">
        <f>BG$2*BJ46</f>
        <v>2</v>
      </c>
      <c r="BM46" t="s">
        <v>271</v>
      </c>
      <c r="BQ46" t="s">
        <v>975</v>
      </c>
      <c r="BR46" s="70">
        <v>1</v>
      </c>
      <c r="BS46" t="s">
        <v>271</v>
      </c>
      <c r="BT46" s="70">
        <f>BO$2*BR46</f>
        <v>12</v>
      </c>
      <c r="BU46" t="s">
        <v>271</v>
      </c>
      <c r="BY46" t="s">
        <v>975</v>
      </c>
      <c r="BZ46" s="70">
        <v>1</v>
      </c>
      <c r="CA46" t="s">
        <v>271</v>
      </c>
      <c r="CB46" s="70">
        <f>BW$2*BZ46</f>
        <v>4</v>
      </c>
      <c r="CC46" t="s">
        <v>271</v>
      </c>
      <c r="CG46" t="s">
        <v>975</v>
      </c>
      <c r="CH46" s="70">
        <v>1</v>
      </c>
      <c r="CI46" t="s">
        <v>271</v>
      </c>
      <c r="CJ46" s="70">
        <f>CE$2*CH46</f>
        <v>2</v>
      </c>
      <c r="CK46" t="s">
        <v>271</v>
      </c>
      <c r="CO46" t="s">
        <v>975</v>
      </c>
      <c r="CP46" s="70">
        <v>1</v>
      </c>
      <c r="CQ46" t="s">
        <v>271</v>
      </c>
      <c r="CR46" s="70">
        <f>CM$2*CP46</f>
        <v>2</v>
      </c>
      <c r="CS46" t="s">
        <v>271</v>
      </c>
      <c r="CU46" s="25">
        <f>H46+P46+X46+AF46+AV46+AN46+BD46+BL46+BT46+CB46+CJ46+CR46</f>
        <v>100</v>
      </c>
      <c r="CV46" t="s">
        <v>271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bda209-fb17-4fd3-beff-fb2b6666029a">
      <Terms xmlns="http://schemas.microsoft.com/office/infopath/2007/PartnerControls"/>
    </lcf76f155ced4ddcb4097134ff3c332f>
    <TaxCatchAll xmlns="7a1a6427-7447-401b-b669-b1fb53f6e165" xsi:nil="true"/>
    <IconOverlay xmlns="http://schemas.microsoft.com/sharepoint/v4" xsi:nil="true"/>
    <PrimeClassificationStatus xmlns="bffdc749-fe4c-4aff-a124-bb498114a6cb" xsi:nil="true"/>
    <PrimeClassificationStatusDetails xmlns="bffdc749-fe4c-4aff-a124-bb498114a6cb" xsi:nil="true"/>
    <PrimeCorrectedByUser xmlns="bffdc749-fe4c-4aff-a124-bb498114a6cb" xsi:nil="true"/>
    <TaxKeywordTaxHTField xmlns="bffdc749-fe4c-4aff-a124-bb498114a6cb">
      <Terms xmlns="http://schemas.microsoft.com/office/infopath/2007/PartnerControls"/>
    </TaxKeywordTaxHTField>
    <PrimeLastClassified xmlns="bffdc749-fe4c-4aff-a124-bb498114a6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AB7BAA39244D4189A3D2B7AA90A8B9" ma:contentTypeVersion="21" ma:contentTypeDescription="Create a new document." ma:contentTypeScope="" ma:versionID="8ff7be97cbefd0a60049e2bace403b21">
  <xsd:schema xmlns:xsd="http://www.w3.org/2001/XMLSchema" xmlns:xs="http://www.w3.org/2001/XMLSchema" xmlns:p="http://schemas.microsoft.com/office/2006/metadata/properties" xmlns:ns2="32bda209-fb17-4fd3-beff-fb2b6666029a" xmlns:ns3="7a1a6427-7447-401b-b669-b1fb53f6e165" xmlns:ns4="http://schemas.microsoft.com/sharepoint/v4" xmlns:ns5="bffdc749-fe4c-4aff-a124-bb498114a6cb" targetNamespace="http://schemas.microsoft.com/office/2006/metadata/properties" ma:root="true" ma:fieldsID="b515eac5011d202b58ca33f511f6dd02" ns2:_="" ns3:_="" ns4:_="" ns5:_="">
    <xsd:import namespace="32bda209-fb17-4fd3-beff-fb2b6666029a"/>
    <xsd:import namespace="7a1a6427-7447-401b-b669-b1fb53f6e165"/>
    <xsd:import namespace="http://schemas.microsoft.com/sharepoint/v4"/>
    <xsd:import namespace="bffdc749-fe4c-4aff-a124-bb498114a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  <xsd:element ref="ns4:IconOverlay" minOccurs="0"/>
                <xsd:element ref="ns5:TaxKeywordTaxHTField" minOccurs="0"/>
                <xsd:element ref="ns5:PrimeClassificationStatus" minOccurs="0"/>
                <xsd:element ref="ns5:PrimeClassificationStatusDetails" minOccurs="0"/>
                <xsd:element ref="ns5:PrimeLastClassified" minOccurs="0"/>
                <xsd:element ref="ns5:PrimeCorrectedByUs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da209-fb17-4fd3-beff-fb2b66660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cca09f-7c2a-419f-a79f-e64e1f5bc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a6427-7447-401b-b669-b1fb53f6e1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f6b1d5-a19d-4c2b-a309-5f490d70c921}" ma:internalName="TaxCatchAll" ma:showField="CatchAllData" ma:web="bffdc749-fe4c-4aff-a124-bb498114a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2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dc749-fe4c-4aff-a124-bb498114a6cb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24" nillable="true" ma:taxonomy="true" ma:internalName="TaxKeywordTaxHTField" ma:taxonomyFieldName="TaxKeyword" ma:displayName="Enterprise Keywords" ma:fieldId="{23f27201-bee3-471e-b2e7-b64fd8b7ca38}" ma:taxonomyMulti="true" ma:sspId="9dcca09f-7c2a-419f-a79f-e64e1f5bcf9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PrimeClassificationStatus" ma:index="25" nillable="true" ma:displayName="Processing status" ma:internalName="PrimeClassificationStatus">
      <xsd:simpleType>
        <xsd:restriction base="dms:Text"/>
      </xsd:simpleType>
    </xsd:element>
    <xsd:element name="PrimeClassificationStatusDetails" ma:index="26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27" nillable="true" ma:displayName="Processed" ma:internalName="PrimeLastClassified">
      <xsd:simpleType>
        <xsd:restriction base="dms:DateTime"/>
      </xsd:simpleType>
    </xsd:element>
    <xsd:element name="PrimeCorrectedByUser" ma:index="28" nillable="true" ma:displayName="Corrected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E06E81-5B01-4E25-82B9-6438D27D27C1}"/>
</file>

<file path=customXml/itemProps2.xml><?xml version="1.0" encoding="utf-8"?>
<ds:datastoreItem xmlns:ds="http://schemas.openxmlformats.org/officeDocument/2006/customXml" ds:itemID="{CE885BFE-622C-4E67-8E23-7DCBF35BD076}"/>
</file>

<file path=customXml/itemProps3.xml><?xml version="1.0" encoding="utf-8"?>
<ds:datastoreItem xmlns:ds="http://schemas.openxmlformats.org/officeDocument/2006/customXml" ds:itemID="{5333CFCA-85CA-4D64-A9B7-EEF1F5D053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Safwat Tawedros</dc:creator>
  <cp:keywords/>
  <dc:description/>
  <cp:lastModifiedBy/>
  <cp:revision/>
  <dcterms:created xsi:type="dcterms:W3CDTF">2015-06-05T18:17:20Z</dcterms:created>
  <dcterms:modified xsi:type="dcterms:W3CDTF">2026-05-04T09:21:12Z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0x01010099AB7BAA39244D4189A3D2B7AA90A8B9</vt:lpwstr>
  </property>
  <property fmtid="{D5CDD505-2E9C-101B-9397-08002B2CF9AE}" pid="3" name="MediaServiceImageTags">
    <vt:lpwstr/>
  </property>
</Properties>
</file>