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working\waccache\BN3PEPF0000C4D3\EXCELCNV\d0145ba6-4746-4fcb-a552-05923f42eb53\"/>
    </mc:Choice>
  </mc:AlternateContent>
  <xr:revisionPtr revIDLastSave="0" documentId="8_{FED57801-2500-44C4-8BC6-0691614774CC}" xr6:coauthVersionLast="47" xr6:coauthVersionMax="47" xr10:uidLastSave="{00000000-0000-0000-0000-000000000000}"/>
  <bookViews>
    <workbookView xWindow="-60" yWindow="-60" windowWidth="15480" windowHeight="11640" tabRatio="589" xr2:uid="{CF114536-0E16-4DF2-8B92-827A2F050146}"/>
  </bookViews>
  <sheets>
    <sheet name="Div. 10 - GC's-GR's" sheetId="7" r:id="rId1"/>
  </sheets>
  <definedNames>
    <definedName name="_1_SCHEDULE_REVIEW">#REF!</definedName>
    <definedName name="_10_MEETINGS">#REF!</definedName>
    <definedName name="_11_STAFFING">#REF!</definedName>
    <definedName name="_12_LABOR">#REF!</definedName>
    <definedName name="_13_SAFETY">#REF!</definedName>
    <definedName name="_14_QUALITY_ASSURANCE_AND_QUALITY_CONTROL">#REF!</definedName>
    <definedName name="_15_TURNOVER_OCCUPANCY">#REF!</definedName>
    <definedName name="_16_PROBLEMS_EXPOSURES_RISKS">#REF!</definedName>
    <definedName name="_17_STATUS_OF_CHANGES">#REF!</definedName>
    <definedName name="_18_CLAIMS">#REF!</definedName>
    <definedName name="_19_TIME_EXTENSION_RECAP">#REF!</definedName>
    <definedName name="_2_GENERAL_CONDITIONS">#REF!</definedName>
    <definedName name="_20_JOB_MILESTONES">#REF!</definedName>
    <definedName name="_3_STILES_DIRECT_LABOR">#REF!</definedName>
    <definedName name="_4_MATERIAL_QUANTITY_ANALYSIS">#REF!</definedName>
    <definedName name="_5_FINANCIAL_STATUS">#REF!</definedName>
    <definedName name="_6_FUNDING">#REF!</definedName>
    <definedName name="_7_BILLINGS">#REF!</definedName>
    <definedName name="_8._PURCHASING">#REF!</definedName>
    <definedName name="_9_INSURANCE_STATUS">#REF!</definedName>
    <definedName name="AttachA">'Div. 10 - GC''s-GR''s'!#REF!</definedName>
    <definedName name="AttachB">#REF!</definedName>
    <definedName name="Billing">#REF!</definedName>
    <definedName name="Claim">#REF!</definedName>
    <definedName name="El_Dorado_Furniture">'Div. 10 - GC''s-GR''s'!#REF!</definedName>
    <definedName name="Financial">#REF!</definedName>
    <definedName name="Funding">#REF!</definedName>
    <definedName name="GCsample">#REF!</definedName>
    <definedName name="General_Instructions">#REF!</definedName>
    <definedName name="GeneralConditions">#REF!</definedName>
    <definedName name="Insurance">#REF!</definedName>
    <definedName name="JobMilestones">#REF!</definedName>
    <definedName name="Labor">#REF!</definedName>
    <definedName name="Materialquantity">#REF!</definedName>
    <definedName name="Meetings">#REF!</definedName>
    <definedName name="Monthly_Project_Status_Report">#REF!</definedName>
    <definedName name="_xlnm.Print_Titles" localSheetId="0">'Div. 10 - GC''s-GR''s'!$4:$10</definedName>
    <definedName name="Problems">#REF!</definedName>
    <definedName name="Purchasing">#REF!</definedName>
    <definedName name="Quality">#REF!</definedName>
    <definedName name="Safety">#REF!</definedName>
    <definedName name="ScheduleReview">#REF!</definedName>
    <definedName name="Staffing">#REF!</definedName>
    <definedName name="StaffSample">#REF!</definedName>
    <definedName name="Status">#REF!</definedName>
    <definedName name="StilesDirectLabor">#REF!</definedName>
    <definedName name="Time">#REF!</definedName>
    <definedName name="Turnover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9" i="7" l="1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T91" i="7"/>
  <c r="U91" i="7"/>
  <c r="V91" i="7"/>
  <c r="W91" i="7"/>
  <c r="X91" i="7"/>
  <c r="F90" i="7"/>
  <c r="F93" i="7"/>
  <c r="E91" i="7"/>
  <c r="G90" i="7"/>
  <c r="H90" i="7"/>
  <c r="I90" i="7"/>
  <c r="J90" i="7"/>
  <c r="J93" i="7"/>
  <c r="K90" i="7"/>
  <c r="K93" i="7"/>
  <c r="L90" i="7"/>
  <c r="M90" i="7"/>
  <c r="M93" i="7"/>
  <c r="N90" i="7"/>
  <c r="O90" i="7"/>
  <c r="P90" i="7"/>
  <c r="Q90" i="7"/>
  <c r="R90" i="7"/>
  <c r="S90" i="7"/>
  <c r="T90" i="7"/>
  <c r="U90" i="7"/>
  <c r="V90" i="7"/>
  <c r="W90" i="7"/>
  <c r="X90" i="7"/>
  <c r="X93" i="7" s="1"/>
  <c r="E90" i="7"/>
  <c r="E93" i="7"/>
  <c r="Y64" i="7"/>
  <c r="Y67" i="7"/>
  <c r="Y73" i="7"/>
  <c r="Y76" i="7"/>
  <c r="Y88" i="7"/>
  <c r="Y70" i="7"/>
  <c r="Y69" i="7"/>
  <c r="Z70" i="7" s="1"/>
  <c r="Y87" i="7"/>
  <c r="Z88" i="7" s="1"/>
  <c r="Y85" i="7"/>
  <c r="Y84" i="7"/>
  <c r="Z85" i="7"/>
  <c r="Y82" i="7"/>
  <c r="Y81" i="7"/>
  <c r="Z82" i="7"/>
  <c r="Y79" i="7"/>
  <c r="Y78" i="7"/>
  <c r="Z79" i="7" s="1"/>
  <c r="Y75" i="7"/>
  <c r="Z76" i="7"/>
  <c r="Y72" i="7"/>
  <c r="Y66" i="7"/>
  <c r="Y63" i="7"/>
  <c r="Y61" i="7"/>
  <c r="Y60" i="7"/>
  <c r="Z61" i="7"/>
  <c r="Y58" i="7"/>
  <c r="Y57" i="7"/>
  <c r="Z58" i="7" s="1"/>
  <c r="Y55" i="7"/>
  <c r="Y54" i="7"/>
  <c r="Y52" i="7"/>
  <c r="Y51" i="7"/>
  <c r="Y49" i="7"/>
  <c r="Y48" i="7"/>
  <c r="Y46" i="7"/>
  <c r="Y45" i="7"/>
  <c r="Z46" i="7"/>
  <c r="Y43" i="7"/>
  <c r="Y42" i="7"/>
  <c r="Z43" i="7" s="1"/>
  <c r="Y40" i="7"/>
  <c r="Y39" i="7"/>
  <c r="Y37" i="7"/>
  <c r="Y36" i="7"/>
  <c r="Z37" i="7" s="1"/>
  <c r="Y34" i="7"/>
  <c r="Y33" i="7"/>
  <c r="Z34" i="7" s="1"/>
  <c r="Y31" i="7"/>
  <c r="Y30" i="7"/>
  <c r="Z31" i="7" s="1"/>
  <c r="Y28" i="7"/>
  <c r="Y27" i="7"/>
  <c r="Z28" i="7"/>
  <c r="Y25" i="7"/>
  <c r="Y24" i="7"/>
  <c r="Z25" i="7"/>
  <c r="Y22" i="7"/>
  <c r="Y21" i="7"/>
  <c r="Z22" i="7" s="1"/>
  <c r="Y19" i="7"/>
  <c r="Y18" i="7"/>
  <c r="Y16" i="7"/>
  <c r="Y15" i="7"/>
  <c r="Z16" i="7" s="1"/>
  <c r="Y13" i="7"/>
  <c r="Y12" i="7"/>
  <c r="Z40" i="7"/>
  <c r="Z13" i="7"/>
  <c r="Z49" i="7"/>
  <c r="Z55" i="7"/>
  <c r="Z19" i="7"/>
  <c r="Z52" i="7"/>
  <c r="S93" i="7"/>
  <c r="Z67" i="7"/>
  <c r="Z64" i="7"/>
  <c r="L93" i="7"/>
  <c r="Z73" i="7"/>
  <c r="G93" i="7"/>
  <c r="R93" i="7"/>
  <c r="Q93" i="7"/>
  <c r="P93" i="7"/>
  <c r="Y90" i="7"/>
  <c r="O93" i="7"/>
  <c r="N93" i="7"/>
  <c r="W93" i="7"/>
  <c r="V93" i="7"/>
  <c r="U93" i="7"/>
  <c r="I93" i="7"/>
  <c r="T93" i="7"/>
  <c r="H93" i="7"/>
  <c r="Y91" i="7"/>
  <c r="Y93" i="7"/>
  <c r="Z93" i="7"/>
  <c r="Z91" i="7" l="1"/>
</calcChain>
</file>

<file path=xl/sharedStrings.xml><?xml version="1.0" encoding="utf-8"?>
<sst xmlns="http://schemas.openxmlformats.org/spreadsheetml/2006/main" count="137" uniqueCount="54">
  <si>
    <t>VIKING SERVICE CENTER</t>
  </si>
  <si>
    <t xml:space="preserve">1500 Broadway, Riviera Beach, FL </t>
  </si>
  <si>
    <t>*This Speadsheet is Based off our GMP Budget Running through Feb. 2025. This does not include any extended GC's/GR's we may bill from 12/2024 - 02/2025</t>
  </si>
  <si>
    <t>GENERAL CONDITIONS/LABOR WORKSHEET</t>
  </si>
  <si>
    <t>We Began Billing GC's/GR's - Aug 2023</t>
  </si>
  <si>
    <t>We reserve our right to bill for an additional $82,766/month for boh GC's &amp; GR's from December through April</t>
  </si>
  <si>
    <t>General Conditions/Labor Worksheet</t>
  </si>
  <si>
    <t>Attachment A</t>
  </si>
  <si>
    <t>Contract Start Date - 12/19/23</t>
  </si>
  <si>
    <t>Project Duration(Months)</t>
  </si>
  <si>
    <t>Months from Date of Commencement (485 Days)</t>
  </si>
  <si>
    <t>Contract End Date - 4/17/25</t>
  </si>
  <si>
    <t>Billed all GR's at end of November</t>
  </si>
  <si>
    <t>Project Beginning Month:</t>
  </si>
  <si>
    <t>8/1/23 but contractually started on 12/19/23</t>
  </si>
  <si>
    <t>We will Bill all GC's/GR's by End of November 2024</t>
  </si>
  <si>
    <t>Early Completion Goal of 2/6/25</t>
  </si>
  <si>
    <t>Contingency</t>
  </si>
  <si>
    <r>
      <t xml:space="preserve">Bold: Actual; </t>
    </r>
    <r>
      <rPr>
        <sz val="10"/>
        <rFont val="Arial"/>
        <family val="2"/>
      </rPr>
      <t>Non Bold: Projected</t>
    </r>
  </si>
  <si>
    <t>5 Week Pay</t>
  </si>
  <si>
    <t>Cost Code</t>
  </si>
  <si>
    <t xml:space="preserve">Budget </t>
  </si>
  <si>
    <t>Total</t>
  </si>
  <si>
    <t>Diff.</t>
  </si>
  <si>
    <t>Plans/Printing</t>
  </si>
  <si>
    <t>Original</t>
  </si>
  <si>
    <t>Proj/Actual</t>
  </si>
  <si>
    <t>Furniture</t>
  </si>
  <si>
    <t>Temp Fence</t>
  </si>
  <si>
    <t xml:space="preserve">Storage Trailers </t>
  </si>
  <si>
    <t>Storage Trailers</t>
  </si>
  <si>
    <t>First Aid</t>
  </si>
  <si>
    <t xml:space="preserve">Site Trailer </t>
  </si>
  <si>
    <t>Site Toilets</t>
  </si>
  <si>
    <t>Addtl Safety Mats</t>
  </si>
  <si>
    <t>Office Supplies</t>
  </si>
  <si>
    <t>Office Equipment</t>
  </si>
  <si>
    <t>Small Tools</t>
  </si>
  <si>
    <t>Project Signs</t>
  </si>
  <si>
    <t>Fire Protection</t>
  </si>
  <si>
    <t>Final Cleaning</t>
  </si>
  <si>
    <t>Gen. Cleaning &amp; Staff</t>
  </si>
  <si>
    <t>Trash Removal Dump.</t>
  </si>
  <si>
    <t>Photographs</t>
  </si>
  <si>
    <t>Project Exec</t>
  </si>
  <si>
    <t xml:space="preserve">Project Manager                </t>
  </si>
  <si>
    <t>Vehicle Expense</t>
  </si>
  <si>
    <t xml:space="preserve">Superintendent                 </t>
  </si>
  <si>
    <t>Project Coordinator</t>
  </si>
  <si>
    <t>Safety Dir.</t>
  </si>
  <si>
    <t>Design/Const. Admin</t>
  </si>
  <si>
    <t>VDC</t>
  </si>
  <si>
    <t>Accounting</t>
  </si>
  <si>
    <t>Delta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</si>
</sst>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mm\-yy"/>
    <numFmt numFmtId="165" formatCode="[$-409]mmmm\ d\,\ yyyy;@"/>
  </numFmts>
  <fonts count="15">
    <font>
      <sz val="10"/>
      <name val="Arial"/>
    </font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u/>
      <sz val="10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sz val="18"/>
      <name val="Arial"/>
      <family val="2"/>
    </font>
    <font>
      <sz val="14"/>
      <name val="Arial"/>
      <family val="2"/>
    </font>
    <font>
      <b/>
      <sz val="11"/>
      <name val="Arial"/>
      <family val="2"/>
    </font>
    <font>
      <sz val="18"/>
      <name val="Arial"/>
      <family val="2"/>
    </font>
    <font>
      <b/>
      <sz val="18"/>
      <color rgb="FFFF000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</cellStyleXfs>
  <cellXfs count="151">
    <xf numFmtId="0" fontId="0" fillId="0" borderId="0" xfId="0"/>
    <xf numFmtId="0" fontId="0" fillId="0" borderId="1" xfId="0" applyBorder="1"/>
    <xf numFmtId="0" fontId="3" fillId="0" borderId="0" xfId="0" applyFont="1"/>
    <xf numFmtId="0" fontId="0" fillId="0" borderId="2" xfId="0" applyBorder="1"/>
    <xf numFmtId="0" fontId="6" fillId="0" borderId="0" xfId="3" applyBorder="1" applyAlignment="1" applyProtection="1"/>
    <xf numFmtId="0" fontId="2" fillId="0" borderId="0" xfId="0" applyFont="1"/>
    <xf numFmtId="0" fontId="0" fillId="0" borderId="3" xfId="0" applyBorder="1"/>
    <xf numFmtId="0" fontId="0" fillId="0" borderId="4" xfId="0" applyBorder="1"/>
    <xf numFmtId="0" fontId="3" fillId="0" borderId="3" xfId="0" applyFont="1" applyBorder="1"/>
    <xf numFmtId="17" fontId="3" fillId="0" borderId="0" xfId="0" applyNumberFormat="1" applyFont="1"/>
    <xf numFmtId="164" fontId="0" fillId="0" borderId="0" xfId="0" applyNumberFormat="1"/>
    <xf numFmtId="0" fontId="3" fillId="0" borderId="1" xfId="0" applyFont="1" applyBorder="1"/>
    <xf numFmtId="0" fontId="0" fillId="0" borderId="5" xfId="0" applyBorder="1"/>
    <xf numFmtId="43" fontId="0" fillId="0" borderId="0" xfId="1" applyFont="1" applyBorder="1"/>
    <xf numFmtId="43" fontId="0" fillId="0" borderId="2" xfId="1" applyFont="1" applyBorder="1"/>
    <xf numFmtId="43" fontId="0" fillId="0" borderId="4" xfId="1" applyFont="1" applyBorder="1"/>
    <xf numFmtId="0" fontId="0" fillId="0" borderId="6" xfId="0" applyBorder="1"/>
    <xf numFmtId="0" fontId="0" fillId="0" borderId="7" xfId="0" applyBorder="1"/>
    <xf numFmtId="44" fontId="0" fillId="0" borderId="2" xfId="2" applyFont="1" applyBorder="1"/>
    <xf numFmtId="2" fontId="0" fillId="0" borderId="8" xfId="0" applyNumberFormat="1" applyBorder="1"/>
    <xf numFmtId="43" fontId="0" fillId="0" borderId="0" xfId="0" applyNumberFormat="1"/>
    <xf numFmtId="1" fontId="0" fillId="0" borderId="4" xfId="2" applyNumberFormat="1" applyFont="1" applyBorder="1" applyAlignment="1">
      <alignment horizontal="right"/>
    </xf>
    <xf numFmtId="0" fontId="2" fillId="0" borderId="1" xfId="0" applyFont="1" applyBorder="1"/>
    <xf numFmtId="0" fontId="0" fillId="0" borderId="9" xfId="0" applyBorder="1"/>
    <xf numFmtId="0" fontId="7" fillId="0" borderId="3" xfId="0" applyFont="1" applyBorder="1"/>
    <xf numFmtId="43" fontId="3" fillId="0" borderId="10" xfId="1" applyFont="1" applyBorder="1"/>
    <xf numFmtId="0" fontId="0" fillId="0" borderId="11" xfId="0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2" fontId="0" fillId="0" borderId="2" xfId="0" applyNumberFormat="1" applyBorder="1"/>
    <xf numFmtId="4" fontId="0" fillId="0" borderId="0" xfId="0" applyNumberFormat="1"/>
    <xf numFmtId="4" fontId="0" fillId="0" borderId="4" xfId="0" applyNumberFormat="1" applyBorder="1"/>
    <xf numFmtId="4" fontId="0" fillId="0" borderId="4" xfId="1" applyNumberFormat="1" applyFont="1" applyBorder="1"/>
    <xf numFmtId="4" fontId="0" fillId="0" borderId="0" xfId="1" applyNumberFormat="1" applyFont="1" applyBorder="1"/>
    <xf numFmtId="17" fontId="0" fillId="0" borderId="14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0" fontId="5" fillId="0" borderId="1" xfId="3" applyFont="1" applyBorder="1" applyAlignment="1" applyProtection="1"/>
    <xf numFmtId="17" fontId="0" fillId="3" borderId="14" xfId="0" applyNumberFormat="1" applyFill="1" applyBorder="1" applyAlignment="1">
      <alignment horizontal="center"/>
    </xf>
    <xf numFmtId="17" fontId="2" fillId="3" borderId="14" xfId="0" applyNumberFormat="1" applyFont="1" applyFill="1" applyBorder="1" applyAlignment="1">
      <alignment horizontal="center"/>
    </xf>
    <xf numFmtId="0" fontId="0" fillId="0" borderId="15" xfId="0" applyBorder="1"/>
    <xf numFmtId="43" fontId="0" fillId="0" borderId="16" xfId="1" applyFont="1" applyBorder="1"/>
    <xf numFmtId="2" fontId="0" fillId="0" borderId="2" xfId="2" applyNumberFormat="1" applyFont="1" applyBorder="1"/>
    <xf numFmtId="0" fontId="6" fillId="0" borderId="0" xfId="3" applyFill="1" applyBorder="1" applyAlignment="1" applyProtection="1"/>
    <xf numFmtId="17" fontId="0" fillId="0" borderId="16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17" xfId="0" applyFill="1" applyBorder="1"/>
    <xf numFmtId="0" fontId="0" fillId="2" borderId="18" xfId="0" applyFill="1" applyBorder="1"/>
    <xf numFmtId="0" fontId="2" fillId="0" borderId="0" xfId="0" applyFont="1" applyAlignment="1">
      <alignment wrapText="1"/>
    </xf>
    <xf numFmtId="2" fontId="0" fillId="0" borderId="2" xfId="2" applyNumberFormat="1" applyFont="1" applyBorder="1" applyAlignment="1">
      <alignment horizontal="right"/>
    </xf>
    <xf numFmtId="2" fontId="0" fillId="0" borderId="20" xfId="2" applyNumberFormat="1" applyFont="1" applyBorder="1" applyAlignment="1">
      <alignment horizontal="right"/>
    </xf>
    <xf numFmtId="2" fontId="0" fillId="0" borderId="2" xfId="1" applyNumberFormat="1" applyFont="1" applyBorder="1" applyAlignment="1">
      <alignment horizontal="right"/>
    </xf>
    <xf numFmtId="43" fontId="2" fillId="2" borderId="21" xfId="1" applyFont="1" applyFill="1" applyBorder="1"/>
    <xf numFmtId="43" fontId="2" fillId="2" borderId="3" xfId="1" applyFont="1" applyFill="1" applyBorder="1"/>
    <xf numFmtId="0" fontId="8" fillId="0" borderId="0" xfId="0" applyFont="1"/>
    <xf numFmtId="0" fontId="11" fillId="0" borderId="0" xfId="0" applyFont="1" applyAlignment="1">
      <alignment horizontal="center"/>
    </xf>
    <xf numFmtId="0" fontId="12" fillId="0" borderId="3" xfId="0" applyFont="1" applyBorder="1"/>
    <xf numFmtId="43" fontId="2" fillId="0" borderId="22" xfId="1" applyFont="1" applyBorder="1"/>
    <xf numFmtId="2" fontId="0" fillId="0" borderId="10" xfId="0" applyNumberFormat="1" applyBorder="1"/>
    <xf numFmtId="0" fontId="3" fillId="0" borderId="16" xfId="0" applyFont="1" applyBorder="1"/>
    <xf numFmtId="0" fontId="0" fillId="0" borderId="20" xfId="0" applyBorder="1"/>
    <xf numFmtId="0" fontId="3" fillId="0" borderId="9" xfId="0" applyFont="1" applyBorder="1"/>
    <xf numFmtId="0" fontId="0" fillId="0" borderId="23" xfId="0" applyBorder="1"/>
    <xf numFmtId="2" fontId="3" fillId="0" borderId="20" xfId="2" applyNumberFormat="1" applyFont="1" applyBorder="1"/>
    <xf numFmtId="2" fontId="3" fillId="0" borderId="20" xfId="2" applyNumberFormat="1" applyFont="1" applyBorder="1" applyAlignment="1">
      <alignment horizontal="right"/>
    </xf>
    <xf numFmtId="2" fontId="0" fillId="0" borderId="20" xfId="2" applyNumberFormat="1" applyFont="1" applyBorder="1"/>
    <xf numFmtId="2" fontId="2" fillId="0" borderId="20" xfId="2" applyNumberFormat="1" applyFont="1" applyBorder="1" applyAlignment="1">
      <alignment horizontal="right"/>
    </xf>
    <xf numFmtId="44" fontId="0" fillId="0" borderId="4" xfId="2" applyFont="1" applyBorder="1"/>
    <xf numFmtId="44" fontId="0" fillId="0" borderId="24" xfId="2" applyFont="1" applyBorder="1"/>
    <xf numFmtId="44" fontId="3" fillId="0" borderId="15" xfId="2" applyFont="1" applyBorder="1"/>
    <xf numFmtId="44" fontId="3" fillId="0" borderId="12" xfId="2" applyFont="1" applyBorder="1"/>
    <xf numFmtId="4" fontId="13" fillId="0" borderId="25" xfId="1" applyNumberFormat="1" applyFont="1" applyBorder="1"/>
    <xf numFmtId="44" fontId="13" fillId="0" borderId="26" xfId="2" applyFont="1" applyFill="1" applyBorder="1"/>
    <xf numFmtId="44" fontId="13" fillId="0" borderId="26" xfId="2" applyFont="1" applyBorder="1"/>
    <xf numFmtId="44" fontId="13" fillId="0" borderId="26" xfId="2" applyFont="1" applyBorder="1" applyAlignment="1">
      <alignment horizontal="right"/>
    </xf>
    <xf numFmtId="4" fontId="13" fillId="0" borderId="27" xfId="0" applyNumberFormat="1" applyFont="1" applyBorder="1"/>
    <xf numFmtId="44" fontId="2" fillId="0" borderId="2" xfId="2" applyFont="1" applyFill="1" applyBorder="1"/>
    <xf numFmtId="44" fontId="2" fillId="0" borderId="20" xfId="2" applyFont="1" applyFill="1" applyBorder="1"/>
    <xf numFmtId="44" fontId="2" fillId="0" borderId="2" xfId="2" applyFont="1" applyBorder="1"/>
    <xf numFmtId="44" fontId="2" fillId="0" borderId="20" xfId="2" applyFont="1" applyBorder="1"/>
    <xf numFmtId="44" fontId="2" fillId="0" borderId="16" xfId="2" applyFont="1" applyBorder="1"/>
    <xf numFmtId="44" fontId="0" fillId="0" borderId="2" xfId="2" applyFont="1" applyBorder="1" applyAlignment="1">
      <alignment horizontal="right"/>
    </xf>
    <xf numFmtId="44" fontId="0" fillId="0" borderId="20" xfId="2" applyFont="1" applyBorder="1" applyAlignment="1">
      <alignment horizontal="right"/>
    </xf>
    <xf numFmtId="44" fontId="2" fillId="0" borderId="0" xfId="2" applyFont="1" applyBorder="1"/>
    <xf numFmtId="44" fontId="2" fillId="0" borderId="28" xfId="2" applyFont="1" applyBorder="1"/>
    <xf numFmtId="43" fontId="13" fillId="0" borderId="22" xfId="1" applyFont="1" applyBorder="1"/>
    <xf numFmtId="43" fontId="14" fillId="0" borderId="22" xfId="1" applyFont="1" applyBorder="1"/>
    <xf numFmtId="2" fontId="3" fillId="0" borderId="2" xfId="2" applyNumberFormat="1" applyFont="1" applyBorder="1" applyAlignment="1">
      <alignment horizontal="right"/>
    </xf>
    <xf numFmtId="2" fontId="2" fillId="0" borderId="2" xfId="2" applyNumberFormat="1" applyFont="1" applyBorder="1" applyAlignment="1">
      <alignment horizontal="right"/>
    </xf>
    <xf numFmtId="44" fontId="13" fillId="0" borderId="4" xfId="2" applyFont="1" applyBorder="1" applyAlignment="1">
      <alignment horizontal="right"/>
    </xf>
    <xf numFmtId="44" fontId="0" fillId="0" borderId="16" xfId="2" applyFont="1" applyBorder="1" applyAlignment="1">
      <alignment horizontal="right"/>
    </xf>
    <xf numFmtId="1" fontId="0" fillId="0" borderId="29" xfId="2" applyNumberFormat="1" applyFont="1" applyBorder="1" applyAlignment="1">
      <alignment horizontal="right"/>
    </xf>
    <xf numFmtId="0" fontId="2" fillId="0" borderId="9" xfId="0" applyFont="1" applyBorder="1"/>
    <xf numFmtId="0" fontId="10" fillId="3" borderId="0" xfId="0" applyFont="1" applyFill="1" applyAlignment="1">
      <alignment horizontal="center" vertical="center" wrapText="1"/>
    </xf>
    <xf numFmtId="2" fontId="3" fillId="0" borderId="20" xfId="0" applyNumberFormat="1" applyFont="1" applyBorder="1"/>
    <xf numFmtId="2" fontId="2" fillId="0" borderId="2" xfId="0" applyNumberFormat="1" applyFont="1" applyBorder="1"/>
    <xf numFmtId="2" fontId="3" fillId="0" borderId="2" xfId="0" applyNumberFormat="1" applyFont="1" applyBorder="1"/>
    <xf numFmtId="2" fontId="3" fillId="0" borderId="20" xfId="0" quotePrefix="1" applyNumberFormat="1" applyFont="1" applyBorder="1"/>
    <xf numFmtId="2" fontId="3" fillId="0" borderId="20" xfId="0" applyNumberFormat="1" applyFont="1" applyBorder="1" applyAlignment="1">
      <alignment horizontal="right"/>
    </xf>
    <xf numFmtId="2" fontId="0" fillId="0" borderId="16" xfId="1" applyNumberFormat="1" applyFont="1" applyBorder="1"/>
    <xf numFmtId="2" fontId="0" fillId="0" borderId="30" xfId="0" applyNumberFormat="1" applyBorder="1"/>
    <xf numFmtId="43" fontId="3" fillId="0" borderId="0" xfId="1" applyFont="1" applyBorder="1"/>
    <xf numFmtId="44" fontId="2" fillId="0" borderId="1" xfId="2" applyFont="1" applyFill="1" applyBorder="1"/>
    <xf numFmtId="44" fontId="2" fillId="0" borderId="1" xfId="2" applyFont="1" applyBorder="1"/>
    <xf numFmtId="44" fontId="2" fillId="0" borderId="12" xfId="2" applyFont="1" applyBorder="1"/>
    <xf numFmtId="44" fontId="2" fillId="0" borderId="9" xfId="2" applyFont="1" applyBorder="1"/>
    <xf numFmtId="44" fontId="2" fillId="0" borderId="15" xfId="2" applyFont="1" applyBorder="1"/>
    <xf numFmtId="44" fontId="3" fillId="0" borderId="0" xfId="2" applyFont="1" applyFill="1" applyBorder="1"/>
    <xf numFmtId="44" fontId="3" fillId="0" borderId="9" xfId="2" applyFont="1" applyBorder="1"/>
    <xf numFmtId="44" fontId="3" fillId="0" borderId="0" xfId="2" applyFont="1" applyBorder="1"/>
    <xf numFmtId="2" fontId="2" fillId="0" borderId="20" xfId="0" applyNumberFormat="1" applyFont="1" applyBorder="1" applyAlignment="1">
      <alignment horizontal="right"/>
    </xf>
    <xf numFmtId="44" fontId="3" fillId="0" borderId="0" xfId="2" quotePrefix="1" applyFont="1" applyFill="1" applyBorder="1"/>
    <xf numFmtId="44" fontId="3" fillId="0" borderId="0" xfId="2" quotePrefix="1" applyFont="1" applyBorder="1"/>
    <xf numFmtId="2" fontId="2" fillId="0" borderId="20" xfId="0" applyNumberFormat="1" applyFont="1" applyBorder="1"/>
    <xf numFmtId="2" fontId="2" fillId="0" borderId="20" xfId="2" applyNumberFormat="1" applyFont="1" applyBorder="1"/>
    <xf numFmtId="2" fontId="0" fillId="0" borderId="16" xfId="0" applyNumberFormat="1" applyBorder="1"/>
    <xf numFmtId="2" fontId="2" fillId="0" borderId="20" xfId="0" quotePrefix="1" applyNumberFormat="1" applyFont="1" applyBorder="1"/>
    <xf numFmtId="2" fontId="0" fillId="0" borderId="20" xfId="0" applyNumberFormat="1" applyBorder="1"/>
    <xf numFmtId="2" fontId="0" fillId="0" borderId="2" xfId="0" quotePrefix="1" applyNumberFormat="1" applyBorder="1"/>
    <xf numFmtId="2" fontId="0" fillId="0" borderId="2" xfId="1" applyNumberFormat="1" applyFont="1" applyBorder="1"/>
    <xf numFmtId="2" fontId="0" fillId="0" borderId="16" xfId="1" applyNumberFormat="1" applyFont="1" applyBorder="1" applyAlignment="1">
      <alignment horizontal="right"/>
    </xf>
    <xf numFmtId="2" fontId="0" fillId="0" borderId="9" xfId="1" applyNumberFormat="1" applyFont="1" applyBorder="1"/>
    <xf numFmtId="2" fontId="3" fillId="0" borderId="9" xfId="1" applyNumberFormat="1" applyFont="1" applyBorder="1"/>
    <xf numFmtId="2" fontId="2" fillId="0" borderId="9" xfId="1" applyNumberFormat="1" applyFont="1" applyBorder="1"/>
    <xf numFmtId="2" fontId="2" fillId="0" borderId="20" xfId="1" applyNumberFormat="1" applyFont="1" applyBorder="1"/>
    <xf numFmtId="0" fontId="5" fillId="0" borderId="5" xfId="0" applyFont="1" applyBorder="1"/>
    <xf numFmtId="0" fontId="2" fillId="4" borderId="0" xfId="0" applyFont="1" applyFill="1" applyAlignment="1">
      <alignment horizontal="center" wrapText="1"/>
    </xf>
    <xf numFmtId="0" fontId="10" fillId="3" borderId="0" xfId="0" applyFont="1" applyFill="1" applyAlignment="1">
      <alignment horizontal="center" vertical="center" wrapText="1"/>
    </xf>
    <xf numFmtId="165" fontId="4" fillId="0" borderId="0" xfId="0" applyNumberFormat="1" applyFont="1" applyAlignment="1">
      <alignment horizontal="left"/>
    </xf>
    <xf numFmtId="0" fontId="9" fillId="0" borderId="4" xfId="0" applyFont="1" applyBorder="1" applyAlignment="1">
      <alignment horizontal="left"/>
    </xf>
    <xf numFmtId="0" fontId="8" fillId="0" borderId="21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31" xfId="0" applyFont="1" applyBorder="1" applyAlignment="1">
      <alignment horizontal="center"/>
    </xf>
    <xf numFmtId="0" fontId="3" fillId="0" borderId="32" xfId="0" applyFont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4" xfId="0" applyFont="1" applyBorder="1" applyAlignment="1">
      <alignment horizontal="center"/>
    </xf>
    <xf numFmtId="0" fontId="0" fillId="4" borderId="0" xfId="0" applyFill="1" applyAlignment="1">
      <alignment horizontal="center" wrapText="1"/>
    </xf>
    <xf numFmtId="0" fontId="0" fillId="4" borderId="1" xfId="0" applyFill="1" applyBorder="1" applyAlignment="1">
      <alignment horizontal="center" wrapText="1"/>
    </xf>
    <xf numFmtId="0" fontId="0" fillId="5" borderId="0" xfId="0" applyFill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43" fontId="2" fillId="2" borderId="0" xfId="1" applyFont="1" applyFill="1" applyBorder="1"/>
    <xf numFmtId="43" fontId="2" fillId="2" borderId="4" xfId="1" applyFont="1" applyFill="1" applyBorder="1"/>
    <xf numFmtId="43" fontId="2" fillId="2" borderId="6" xfId="1" applyFont="1" applyFill="1" applyBorder="1"/>
    <xf numFmtId="43" fontId="2" fillId="2" borderId="7" xfId="1" applyFont="1" applyFill="1" applyBorder="1"/>
    <xf numFmtId="43" fontId="2" fillId="2" borderId="19" xfId="1" applyFont="1" applyFill="1" applyBorder="1"/>
  </cellXfs>
  <cellStyles count="4">
    <cellStyle name="Comma" xfId="1" builtinId="3"/>
    <cellStyle name="Currency" xfId="2" builtinId="4"/>
    <cellStyle name="Hyperlink" xfId="3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B0464-75BB-43FE-A238-F2BE93E83666}">
  <sheetPr>
    <pageSetUpPr fitToPage="1"/>
  </sheetPr>
  <dimension ref="A1:AA98"/>
  <sheetViews>
    <sheetView tabSelected="1" zoomScale="80" zoomScaleNormal="80" workbookViewId="0">
      <pane ySplit="10" topLeftCell="A11" activePane="bottomLeft" state="frozen"/>
      <selection pane="bottomLeft" activeCell="A15" sqref="A15"/>
    </sheetView>
  </sheetViews>
  <sheetFormatPr defaultRowHeight="12.75"/>
  <cols>
    <col min="1" max="1" width="12.7109375" customWidth="1"/>
    <col min="2" max="2" width="19" customWidth="1"/>
    <col min="3" max="3" width="14.5703125" customWidth="1"/>
    <col min="4" max="4" width="10.28515625" customWidth="1"/>
    <col min="5" max="5" width="10.85546875" customWidth="1"/>
    <col min="6" max="6" width="11.7109375" customWidth="1"/>
    <col min="7" max="7" width="12" customWidth="1"/>
    <col min="8" max="8" width="11.28515625" customWidth="1"/>
    <col min="9" max="9" width="11.7109375" customWidth="1"/>
    <col min="10" max="10" width="11.42578125" customWidth="1"/>
    <col min="11" max="11" width="11" customWidth="1"/>
    <col min="12" max="12" width="11.7109375" customWidth="1"/>
    <col min="13" max="13" width="11.85546875" customWidth="1"/>
    <col min="14" max="15" width="12.5703125" customWidth="1"/>
    <col min="16" max="21" width="13.42578125" customWidth="1"/>
    <col min="22" max="22" width="13.140625" customWidth="1"/>
    <col min="23" max="24" width="13" customWidth="1"/>
    <col min="25" max="25" width="16" customWidth="1"/>
    <col min="26" max="26" width="13.42578125" customWidth="1"/>
  </cols>
  <sheetData>
    <row r="1" spans="1:27" ht="23.25">
      <c r="A1" s="131" t="s">
        <v>0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3"/>
    </row>
    <row r="2" spans="1:27" ht="18">
      <c r="A2" s="139" t="s">
        <v>1</v>
      </c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1"/>
    </row>
    <row r="3" spans="1:27" ht="24" thickBot="1">
      <c r="A3" s="57" t="s">
        <v>2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6"/>
      <c r="O3" s="56"/>
      <c r="P3" s="56"/>
      <c r="Q3" s="56"/>
      <c r="R3" s="56"/>
      <c r="S3" s="56"/>
      <c r="T3" s="56"/>
      <c r="U3" s="56"/>
      <c r="V3" s="46"/>
      <c r="W3" s="46"/>
      <c r="X3" s="46"/>
      <c r="Y3" s="46"/>
      <c r="Z3" s="45"/>
    </row>
    <row r="4" spans="1:27" ht="15.75">
      <c r="A4" s="24" t="s">
        <v>3</v>
      </c>
      <c r="I4" s="53" t="s">
        <v>4</v>
      </c>
      <c r="J4" s="47"/>
      <c r="K4" s="47"/>
      <c r="L4" s="48"/>
      <c r="M4" s="134"/>
      <c r="N4" s="135"/>
      <c r="O4" s="135"/>
      <c r="U4" s="128" t="s">
        <v>5</v>
      </c>
      <c r="V4" s="128"/>
      <c r="W4" s="128"/>
      <c r="X4" s="94"/>
      <c r="Z4" s="7"/>
    </row>
    <row r="5" spans="1:27" ht="12.75" customHeight="1">
      <c r="A5" s="8" t="s">
        <v>6</v>
      </c>
      <c r="B5" s="2"/>
      <c r="C5" s="2"/>
      <c r="D5" s="2"/>
      <c r="G5" s="2" t="s">
        <v>7</v>
      </c>
      <c r="I5" s="54" t="s">
        <v>8</v>
      </c>
      <c r="J5" s="146"/>
      <c r="K5" s="146"/>
      <c r="L5" s="147"/>
      <c r="T5" s="49"/>
      <c r="U5" s="128"/>
      <c r="V5" s="128"/>
      <c r="W5" s="128"/>
      <c r="X5" s="94"/>
      <c r="Z5" s="7"/>
    </row>
    <row r="6" spans="1:27" ht="16.5" customHeight="1">
      <c r="A6" s="8" t="s">
        <v>9</v>
      </c>
      <c r="B6" s="2"/>
      <c r="C6" s="2"/>
      <c r="D6" s="2">
        <v>16</v>
      </c>
      <c r="E6" s="5" t="s">
        <v>10</v>
      </c>
      <c r="I6" s="54" t="s">
        <v>11</v>
      </c>
      <c r="J6" s="146"/>
      <c r="K6" s="146"/>
      <c r="L6" s="147"/>
      <c r="T6" s="127" t="s">
        <v>12</v>
      </c>
      <c r="U6" s="128"/>
      <c r="V6" s="128"/>
      <c r="W6" s="128"/>
      <c r="X6" s="94"/>
      <c r="Y6" s="129">
        <v>45447</v>
      </c>
      <c r="Z6" s="130"/>
    </row>
    <row r="7" spans="1:27" ht="13.5" customHeight="1" thickBot="1">
      <c r="A7" s="8" t="s">
        <v>13</v>
      </c>
      <c r="B7" s="2"/>
      <c r="C7" s="2"/>
      <c r="D7" s="9" t="s">
        <v>14</v>
      </c>
      <c r="H7" s="10"/>
      <c r="I7" s="148" t="s">
        <v>15</v>
      </c>
      <c r="J7" s="149"/>
      <c r="K7" s="149"/>
      <c r="L7" s="150"/>
      <c r="T7" s="127"/>
      <c r="W7" s="142" t="s">
        <v>16</v>
      </c>
      <c r="X7" s="144" t="s">
        <v>17</v>
      </c>
      <c r="Z7" s="7"/>
    </row>
    <row r="8" spans="1:27" ht="13.5" customHeight="1" thickBot="1">
      <c r="A8" s="8"/>
      <c r="B8" s="2"/>
      <c r="C8" s="2"/>
      <c r="D8" s="9"/>
      <c r="H8" s="10"/>
      <c r="I8" s="136" t="s">
        <v>18</v>
      </c>
      <c r="J8" s="137"/>
      <c r="K8" s="138"/>
      <c r="T8" s="127"/>
      <c r="W8" s="142"/>
      <c r="X8" s="144"/>
      <c r="Z8" s="7"/>
    </row>
    <row r="9" spans="1:27">
      <c r="A9" s="8"/>
      <c r="B9" s="2"/>
      <c r="C9" s="4"/>
      <c r="D9" s="2"/>
      <c r="F9" s="146" t="s">
        <v>19</v>
      </c>
      <c r="G9" s="13"/>
      <c r="H9" s="13"/>
      <c r="I9" s="146" t="s">
        <v>19</v>
      </c>
      <c r="J9" s="13"/>
      <c r="K9" s="13"/>
      <c r="L9" s="146" t="s">
        <v>19</v>
      </c>
      <c r="M9" s="13"/>
      <c r="N9" s="146" t="s">
        <v>19</v>
      </c>
      <c r="O9" s="13"/>
      <c r="P9" s="13"/>
      <c r="Q9" s="146" t="s">
        <v>19</v>
      </c>
      <c r="R9" s="13"/>
      <c r="S9" s="13"/>
      <c r="T9" s="146" t="s">
        <v>19</v>
      </c>
      <c r="U9" s="13"/>
      <c r="V9" s="146" t="s">
        <v>19</v>
      </c>
      <c r="W9" s="143"/>
      <c r="X9" s="145"/>
      <c r="Z9" s="7"/>
    </row>
    <row r="10" spans="1:27">
      <c r="A10" s="126" t="s">
        <v>20</v>
      </c>
      <c r="B10" s="11"/>
      <c r="C10" s="37" t="s">
        <v>21</v>
      </c>
      <c r="D10" s="11"/>
      <c r="E10" s="38">
        <v>45139</v>
      </c>
      <c r="F10" s="38">
        <v>45170</v>
      </c>
      <c r="G10" s="39">
        <v>45200</v>
      </c>
      <c r="H10" s="38">
        <v>45231</v>
      </c>
      <c r="I10" s="39">
        <v>45261</v>
      </c>
      <c r="J10" s="39">
        <v>45292</v>
      </c>
      <c r="K10" s="39">
        <v>45323</v>
      </c>
      <c r="L10" s="39">
        <v>45352</v>
      </c>
      <c r="M10" s="38">
        <v>45383</v>
      </c>
      <c r="N10" s="38">
        <v>45413</v>
      </c>
      <c r="O10" s="35">
        <v>45444</v>
      </c>
      <c r="P10" s="35">
        <v>45474</v>
      </c>
      <c r="Q10" s="35">
        <v>45505</v>
      </c>
      <c r="R10" s="35">
        <v>45536</v>
      </c>
      <c r="S10" s="35">
        <v>45566</v>
      </c>
      <c r="T10" s="35">
        <v>45597</v>
      </c>
      <c r="U10" s="35">
        <v>45627</v>
      </c>
      <c r="V10" s="35">
        <v>45292</v>
      </c>
      <c r="W10" s="35">
        <v>45689</v>
      </c>
      <c r="X10" s="35">
        <v>45717</v>
      </c>
      <c r="Y10" s="35" t="s">
        <v>22</v>
      </c>
      <c r="Z10" s="36" t="s">
        <v>23</v>
      </c>
    </row>
    <row r="11" spans="1:27" ht="8.25" customHeight="1">
      <c r="A11" s="8"/>
      <c r="B11" s="2"/>
      <c r="C11" s="43"/>
      <c r="D11" s="60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5"/>
    </row>
    <row r="12" spans="1:27">
      <c r="A12" s="6"/>
      <c r="B12" t="s">
        <v>24</v>
      </c>
      <c r="C12" s="108">
        <v>6128.27</v>
      </c>
      <c r="D12" s="3" t="s">
        <v>25</v>
      </c>
      <c r="E12" s="30">
        <v>322.540526</v>
      </c>
      <c r="F12" s="30">
        <v>322.540526</v>
      </c>
      <c r="G12" s="30">
        <v>322.540526</v>
      </c>
      <c r="H12" s="30">
        <v>322.540526</v>
      </c>
      <c r="I12" s="30">
        <v>322.540526</v>
      </c>
      <c r="J12" s="30">
        <v>322.540526</v>
      </c>
      <c r="K12" s="30">
        <v>322.540526</v>
      </c>
      <c r="L12" s="30">
        <v>322.540526</v>
      </c>
      <c r="M12" s="30">
        <v>322.540526</v>
      </c>
      <c r="N12" s="30">
        <v>322.540526</v>
      </c>
      <c r="O12" s="30">
        <v>322.540526</v>
      </c>
      <c r="P12" s="30">
        <v>322.540526</v>
      </c>
      <c r="Q12" s="30">
        <v>322.540526</v>
      </c>
      <c r="R12" s="30">
        <v>322.540526</v>
      </c>
      <c r="S12" s="30">
        <v>322.540526</v>
      </c>
      <c r="T12" s="30">
        <v>322.540526</v>
      </c>
      <c r="U12" s="30">
        <v>322.540526</v>
      </c>
      <c r="V12" s="30">
        <v>322.540526</v>
      </c>
      <c r="W12" s="30">
        <v>322.540526</v>
      </c>
      <c r="X12" s="30"/>
      <c r="Y12" s="77">
        <f>SUM(E12:W12)</f>
        <v>6128.2699939999975</v>
      </c>
      <c r="Z12" s="32"/>
      <c r="AA12" s="31"/>
    </row>
    <row r="13" spans="1:27">
      <c r="A13" s="12"/>
      <c r="B13" s="1" t="s">
        <v>24</v>
      </c>
      <c r="C13" s="103"/>
      <c r="D13" s="61" t="s">
        <v>26</v>
      </c>
      <c r="E13" s="95">
        <v>196.7</v>
      </c>
      <c r="F13" s="95">
        <v>230.82</v>
      </c>
      <c r="G13" s="95">
        <v>92.06</v>
      </c>
      <c r="H13" s="95">
        <v>100.5</v>
      </c>
      <c r="I13" s="95">
        <v>100.5</v>
      </c>
      <c r="J13" s="95">
        <v>77.5</v>
      </c>
      <c r="K13" s="95">
        <v>91.2</v>
      </c>
      <c r="L13" s="95">
        <v>106.64</v>
      </c>
      <c r="M13" s="95">
        <v>127.8</v>
      </c>
      <c r="N13" s="95">
        <v>12.46</v>
      </c>
      <c r="O13" s="114">
        <v>250</v>
      </c>
      <c r="P13" s="114">
        <v>250</v>
      </c>
      <c r="Q13" s="114">
        <v>250</v>
      </c>
      <c r="R13" s="114">
        <v>250</v>
      </c>
      <c r="S13" s="114">
        <v>250</v>
      </c>
      <c r="T13" s="114">
        <v>250</v>
      </c>
      <c r="U13" s="114">
        <v>250</v>
      </c>
      <c r="V13" s="114">
        <v>250</v>
      </c>
      <c r="W13" s="114">
        <v>316</v>
      </c>
      <c r="X13" s="114"/>
      <c r="Y13" s="78">
        <f>SUM(E13:W13)</f>
        <v>3452.1800000000003</v>
      </c>
      <c r="Z13" s="73">
        <f>Y12-Y13</f>
        <v>2676.0899939999972</v>
      </c>
      <c r="AA13" s="31"/>
    </row>
    <row r="14" spans="1:27" ht="8.25" customHeight="1">
      <c r="A14" s="6"/>
      <c r="C14" s="84"/>
      <c r="D14" s="3"/>
      <c r="E14" s="30"/>
      <c r="F14" s="30"/>
      <c r="G14" s="30"/>
      <c r="H14" s="30"/>
      <c r="I14" s="30"/>
      <c r="J14" s="96"/>
      <c r="K14" s="96"/>
      <c r="L14" s="96"/>
      <c r="M14" s="96"/>
      <c r="N14" s="96"/>
      <c r="O14" s="96"/>
      <c r="P14" s="96"/>
      <c r="Q14" s="96"/>
      <c r="R14" s="96"/>
      <c r="S14" s="96"/>
      <c r="T14" s="96"/>
      <c r="U14" s="96"/>
      <c r="V14" s="96"/>
      <c r="W14" s="96"/>
      <c r="X14" s="96"/>
      <c r="Y14" s="79"/>
      <c r="Z14" s="68"/>
      <c r="AA14" s="31"/>
    </row>
    <row r="15" spans="1:27">
      <c r="A15" s="6"/>
      <c r="B15" t="s">
        <v>27</v>
      </c>
      <c r="C15" s="110">
        <v>7500</v>
      </c>
      <c r="D15" s="3" t="s">
        <v>25</v>
      </c>
      <c r="E15" s="30">
        <v>0</v>
      </c>
      <c r="F15" s="30">
        <v>0</v>
      </c>
      <c r="G15" s="30">
        <v>3000</v>
      </c>
      <c r="H15" s="30">
        <v>1000</v>
      </c>
      <c r="I15" s="30">
        <v>233.33332999999999</v>
      </c>
      <c r="J15" s="30">
        <v>233.33332999999999</v>
      </c>
      <c r="K15" s="30">
        <v>233.33332999999999</v>
      </c>
      <c r="L15" s="30">
        <v>233.33332999999999</v>
      </c>
      <c r="M15" s="30">
        <v>233.33332999999999</v>
      </c>
      <c r="N15" s="30">
        <v>233.33332999999999</v>
      </c>
      <c r="O15" s="30">
        <v>233.33332999999999</v>
      </c>
      <c r="P15" s="30">
        <v>233.33332999999999</v>
      </c>
      <c r="Q15" s="30">
        <v>233.33332999999999</v>
      </c>
      <c r="R15" s="30">
        <v>233.33332999999999</v>
      </c>
      <c r="S15" s="30">
        <v>233.33332999999999</v>
      </c>
      <c r="T15" s="30">
        <v>233.33332999999999</v>
      </c>
      <c r="U15" s="30">
        <v>233.33332999999999</v>
      </c>
      <c r="V15" s="30">
        <v>233.33332999999999</v>
      </c>
      <c r="W15" s="30">
        <v>233.33332999999999</v>
      </c>
      <c r="X15" s="30"/>
      <c r="Y15" s="79">
        <f>SUM(E15:W15)</f>
        <v>7499.9999500000058</v>
      </c>
      <c r="Z15" s="68"/>
      <c r="AA15" s="31"/>
    </row>
    <row r="16" spans="1:27">
      <c r="A16" s="12"/>
      <c r="B16" s="22" t="s">
        <v>27</v>
      </c>
      <c r="C16" s="104"/>
      <c r="D16" s="61" t="s">
        <v>26</v>
      </c>
      <c r="E16" s="95">
        <v>0</v>
      </c>
      <c r="F16" s="95">
        <v>16.149999999999999</v>
      </c>
      <c r="G16" s="95">
        <v>1202.26</v>
      </c>
      <c r="H16" s="95">
        <v>0</v>
      </c>
      <c r="I16" s="95">
        <v>0</v>
      </c>
      <c r="J16" s="95">
        <v>0</v>
      </c>
      <c r="K16" s="95">
        <v>0</v>
      </c>
      <c r="L16" s="95">
        <v>0</v>
      </c>
      <c r="M16" s="95">
        <v>0</v>
      </c>
      <c r="N16" s="95">
        <v>0</v>
      </c>
      <c r="O16" s="114">
        <v>200</v>
      </c>
      <c r="P16" s="114">
        <v>200</v>
      </c>
      <c r="Q16" s="114">
        <v>200</v>
      </c>
      <c r="R16" s="114">
        <v>200</v>
      </c>
      <c r="S16" s="114">
        <v>200</v>
      </c>
      <c r="T16" s="114">
        <v>200</v>
      </c>
      <c r="U16" s="114">
        <v>200</v>
      </c>
      <c r="V16" s="114">
        <v>200</v>
      </c>
      <c r="W16" s="114">
        <v>181.59</v>
      </c>
      <c r="X16" s="114"/>
      <c r="Y16" s="80">
        <f>SUM(E16:W16)</f>
        <v>3000</v>
      </c>
      <c r="Z16" s="74">
        <f>Y15-Y16</f>
        <v>4499.9999500000058</v>
      </c>
      <c r="AA16" s="31"/>
    </row>
    <row r="17" spans="1:27" ht="6" customHeight="1">
      <c r="A17" s="6"/>
      <c r="C17" s="84"/>
      <c r="D17" s="3"/>
      <c r="E17" s="30"/>
      <c r="F17" s="30"/>
      <c r="G17" s="30"/>
      <c r="H17" s="30"/>
      <c r="I17" s="30"/>
      <c r="J17" s="96"/>
      <c r="K17" s="96"/>
      <c r="L17" s="96"/>
      <c r="M17" s="96"/>
      <c r="N17" s="96"/>
      <c r="O17" s="96"/>
      <c r="P17" s="96"/>
      <c r="Q17" s="96"/>
      <c r="R17" s="96"/>
      <c r="S17" s="96"/>
      <c r="T17" s="96"/>
      <c r="U17" s="96"/>
      <c r="V17" s="96"/>
      <c r="W17" s="96"/>
      <c r="X17" s="96"/>
      <c r="Y17" s="79"/>
      <c r="Z17" s="68"/>
      <c r="AA17" s="31"/>
    </row>
    <row r="18" spans="1:27">
      <c r="A18" s="6"/>
      <c r="B18" s="5" t="s">
        <v>28</v>
      </c>
      <c r="C18" s="110">
        <v>37100</v>
      </c>
      <c r="D18" s="3" t="s">
        <v>25</v>
      </c>
      <c r="E18" s="30">
        <v>0</v>
      </c>
      <c r="F18" s="30">
        <v>0</v>
      </c>
      <c r="G18" s="30">
        <v>19000</v>
      </c>
      <c r="H18" s="30">
        <v>0</v>
      </c>
      <c r="I18" s="30">
        <v>2000</v>
      </c>
      <c r="J18" s="30">
        <v>2000</v>
      </c>
      <c r="K18" s="30">
        <v>0</v>
      </c>
      <c r="L18" s="30">
        <v>0</v>
      </c>
      <c r="M18" s="30">
        <v>3500</v>
      </c>
      <c r="N18" s="30">
        <v>0</v>
      </c>
      <c r="O18" s="30">
        <v>0</v>
      </c>
      <c r="P18" s="30">
        <v>0</v>
      </c>
      <c r="Q18" s="30">
        <v>0</v>
      </c>
      <c r="R18" s="30">
        <v>0</v>
      </c>
      <c r="S18" s="30">
        <v>0</v>
      </c>
      <c r="T18" s="30">
        <v>0</v>
      </c>
      <c r="U18" s="30">
        <v>10600</v>
      </c>
      <c r="V18" s="30">
        <v>0</v>
      </c>
      <c r="W18" s="30">
        <v>0</v>
      </c>
      <c r="X18" s="30"/>
      <c r="Y18" s="79">
        <f>SUM(E18:W18)</f>
        <v>37100</v>
      </c>
      <c r="Z18" s="68"/>
      <c r="AA18" s="31"/>
    </row>
    <row r="19" spans="1:27">
      <c r="A19" s="12"/>
      <c r="B19" s="22" t="s">
        <v>28</v>
      </c>
      <c r="C19" s="104"/>
      <c r="D19" s="61" t="s">
        <v>26</v>
      </c>
      <c r="E19" s="95">
        <v>0</v>
      </c>
      <c r="F19" s="95">
        <v>1312.67</v>
      </c>
      <c r="G19" s="95">
        <v>18056.75</v>
      </c>
      <c r="H19" s="95">
        <v>0</v>
      </c>
      <c r="I19" s="95">
        <v>0</v>
      </c>
      <c r="J19" s="95">
        <v>452.11</v>
      </c>
      <c r="K19" s="95">
        <v>2969.25</v>
      </c>
      <c r="L19" s="95">
        <v>0</v>
      </c>
      <c r="M19" s="95">
        <v>3938.22</v>
      </c>
      <c r="N19" s="95">
        <v>0</v>
      </c>
      <c r="O19" s="114">
        <v>0</v>
      </c>
      <c r="P19" s="114">
        <v>0</v>
      </c>
      <c r="Q19" s="114">
        <v>0</v>
      </c>
      <c r="R19" s="114">
        <v>0</v>
      </c>
      <c r="S19" s="114">
        <v>0</v>
      </c>
      <c r="T19" s="114">
        <v>0</v>
      </c>
      <c r="U19" s="114">
        <v>10371</v>
      </c>
      <c r="V19" s="114">
        <v>0</v>
      </c>
      <c r="W19" s="114">
        <v>0</v>
      </c>
      <c r="X19" s="114"/>
      <c r="Y19" s="80">
        <f>SUM(E19:W19)</f>
        <v>37100</v>
      </c>
      <c r="Z19" s="74">
        <f>Y18-Y19</f>
        <v>0</v>
      </c>
      <c r="AA19" s="31"/>
    </row>
    <row r="20" spans="1:27" ht="6.75" customHeight="1">
      <c r="A20" s="6"/>
      <c r="C20" s="84"/>
      <c r="D20" s="3"/>
      <c r="E20" s="30"/>
      <c r="F20" s="30"/>
      <c r="G20" s="30"/>
      <c r="H20" s="30"/>
      <c r="I20" s="30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79"/>
      <c r="Z20" s="68"/>
      <c r="AA20" s="31"/>
    </row>
    <row r="21" spans="1:27">
      <c r="A21" s="6"/>
      <c r="B21" s="5" t="s">
        <v>29</v>
      </c>
      <c r="C21" s="110">
        <v>5000</v>
      </c>
      <c r="D21" s="3" t="s">
        <v>25</v>
      </c>
      <c r="E21" s="42">
        <v>0</v>
      </c>
      <c r="F21" s="42">
        <v>0</v>
      </c>
      <c r="G21" s="42">
        <v>294.11764699999998</v>
      </c>
      <c r="H21" s="42">
        <v>294.11764699999998</v>
      </c>
      <c r="I21" s="42">
        <v>294.11764699999998</v>
      </c>
      <c r="J21" s="42">
        <v>294.11764699999998</v>
      </c>
      <c r="K21" s="42">
        <v>294.11764699999998</v>
      </c>
      <c r="L21" s="42">
        <v>294.11764699999998</v>
      </c>
      <c r="M21" s="42">
        <v>294.11764699999998</v>
      </c>
      <c r="N21" s="42">
        <v>294.11764699999998</v>
      </c>
      <c r="O21" s="42">
        <v>294.11764699999998</v>
      </c>
      <c r="P21" s="42">
        <v>294.11764699999998</v>
      </c>
      <c r="Q21" s="42">
        <v>294.11764699999998</v>
      </c>
      <c r="R21" s="42">
        <v>294.11764699999998</v>
      </c>
      <c r="S21" s="42">
        <v>294.11764699999998</v>
      </c>
      <c r="T21" s="42">
        <v>294.11764699999998</v>
      </c>
      <c r="U21" s="42">
        <v>294.11764699999998</v>
      </c>
      <c r="V21" s="42">
        <v>294.11764699999998</v>
      </c>
      <c r="W21" s="42">
        <v>294.11764699999998</v>
      </c>
      <c r="X21" s="42"/>
      <c r="Y21" s="79">
        <f>SUM(E21:W21)</f>
        <v>4999.9999989999997</v>
      </c>
      <c r="Z21" s="68"/>
      <c r="AA21" s="31"/>
    </row>
    <row r="22" spans="1:27">
      <c r="A22" s="12"/>
      <c r="B22" s="22" t="s">
        <v>30</v>
      </c>
      <c r="C22" s="104"/>
      <c r="D22" s="61" t="s">
        <v>26</v>
      </c>
      <c r="E22" s="64">
        <v>0</v>
      </c>
      <c r="F22" s="64">
        <v>265.73</v>
      </c>
      <c r="G22" s="64">
        <v>578.38</v>
      </c>
      <c r="H22" s="64">
        <v>221.3</v>
      </c>
      <c r="I22" s="64">
        <v>443.32</v>
      </c>
      <c r="J22" s="64">
        <v>265.73</v>
      </c>
      <c r="K22" s="64">
        <v>457.74</v>
      </c>
      <c r="L22" s="64">
        <v>265.73</v>
      </c>
      <c r="M22" s="64">
        <v>0</v>
      </c>
      <c r="N22" s="64">
        <v>0</v>
      </c>
      <c r="O22" s="115">
        <v>250</v>
      </c>
      <c r="P22" s="115">
        <v>250</v>
      </c>
      <c r="Q22" s="115">
        <v>250</v>
      </c>
      <c r="R22" s="115">
        <v>250</v>
      </c>
      <c r="S22" s="115">
        <v>550</v>
      </c>
      <c r="T22" s="115">
        <v>500</v>
      </c>
      <c r="U22" s="115">
        <v>150</v>
      </c>
      <c r="V22" s="115">
        <v>150</v>
      </c>
      <c r="W22" s="115">
        <v>152.07</v>
      </c>
      <c r="X22" s="115"/>
      <c r="Y22" s="80">
        <f>SUM(E22:W22)</f>
        <v>5000</v>
      </c>
      <c r="Z22" s="74">
        <f>Y21-Y22</f>
        <v>-1.0000003385357559E-6</v>
      </c>
      <c r="AA22" s="31"/>
    </row>
    <row r="23" spans="1:27" ht="8.25" customHeight="1">
      <c r="A23" s="6"/>
      <c r="C23" s="84"/>
      <c r="D23" s="3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79"/>
      <c r="Z23" s="68"/>
      <c r="AA23" s="31"/>
    </row>
    <row r="24" spans="1:27">
      <c r="A24" s="6"/>
      <c r="B24" s="5" t="s">
        <v>31</v>
      </c>
      <c r="C24" s="110">
        <v>4400</v>
      </c>
      <c r="D24" s="3" t="s">
        <v>25</v>
      </c>
      <c r="E24" s="30">
        <v>0</v>
      </c>
      <c r="F24" s="30">
        <v>0</v>
      </c>
      <c r="G24" s="30">
        <v>258.82352900000001</v>
      </c>
      <c r="H24" s="30">
        <v>258.82352900000001</v>
      </c>
      <c r="I24" s="30">
        <v>258.82352900000001</v>
      </c>
      <c r="J24" s="30">
        <v>258.82352900000001</v>
      </c>
      <c r="K24" s="30">
        <v>258.82352900000001</v>
      </c>
      <c r="L24" s="30">
        <v>258.82352900000001</v>
      </c>
      <c r="M24" s="30">
        <v>258.82352900000001</v>
      </c>
      <c r="N24" s="30">
        <v>258.82352900000001</v>
      </c>
      <c r="O24" s="30">
        <v>258.82352900000001</v>
      </c>
      <c r="P24" s="30">
        <v>258.82352900000001</v>
      </c>
      <c r="Q24" s="30">
        <v>258.82352900000001</v>
      </c>
      <c r="R24" s="30">
        <v>258.82352900000001</v>
      </c>
      <c r="S24" s="30">
        <v>258.82352900000001</v>
      </c>
      <c r="T24" s="30">
        <v>258.82352900000001</v>
      </c>
      <c r="U24" s="30">
        <v>258.82352900000001</v>
      </c>
      <c r="V24" s="30">
        <v>258.82352900000001</v>
      </c>
      <c r="W24" s="30">
        <v>258.82352900000001</v>
      </c>
      <c r="X24" s="30"/>
      <c r="Y24" s="79">
        <f>SUM(E24:W24)</f>
        <v>4399.9999930000022</v>
      </c>
      <c r="Z24" s="68"/>
      <c r="AA24" s="31"/>
    </row>
    <row r="25" spans="1:27">
      <c r="A25" s="12"/>
      <c r="B25" s="22" t="s">
        <v>31</v>
      </c>
      <c r="C25" s="104"/>
      <c r="D25" s="61" t="s">
        <v>26</v>
      </c>
      <c r="E25" s="95">
        <v>0</v>
      </c>
      <c r="F25" s="95">
        <v>0</v>
      </c>
      <c r="G25" s="95">
        <v>0</v>
      </c>
      <c r="H25" s="95">
        <v>0</v>
      </c>
      <c r="I25" s="95">
        <v>0</v>
      </c>
      <c r="J25" s="95">
        <v>0</v>
      </c>
      <c r="K25" s="95">
        <v>0</v>
      </c>
      <c r="L25" s="95">
        <v>0</v>
      </c>
      <c r="M25" s="95">
        <v>0</v>
      </c>
      <c r="N25" s="95">
        <v>0</v>
      </c>
      <c r="O25" s="114">
        <v>100</v>
      </c>
      <c r="P25" s="114">
        <v>100</v>
      </c>
      <c r="Q25" s="114">
        <v>100</v>
      </c>
      <c r="R25" s="114">
        <v>100</v>
      </c>
      <c r="S25" s="114">
        <v>100</v>
      </c>
      <c r="T25" s="114">
        <v>100</v>
      </c>
      <c r="U25" s="114">
        <v>100</v>
      </c>
      <c r="V25" s="114">
        <v>100</v>
      </c>
      <c r="W25" s="114">
        <v>200</v>
      </c>
      <c r="X25" s="114"/>
      <c r="Y25" s="80">
        <f>SUM(E25:W25)</f>
        <v>1000</v>
      </c>
      <c r="Z25" s="74">
        <f>Y24-Y25</f>
        <v>3399.9999930000022</v>
      </c>
      <c r="AA25" s="31"/>
    </row>
    <row r="26" spans="1:27" ht="6" customHeight="1">
      <c r="A26" s="6"/>
      <c r="C26" s="84"/>
      <c r="D26" s="3"/>
      <c r="E26" s="30"/>
      <c r="F26" s="30"/>
      <c r="G26" s="30"/>
      <c r="H26" s="30"/>
      <c r="I26" s="30"/>
      <c r="J26" s="96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96"/>
      <c r="Y26" s="79"/>
      <c r="Z26" s="68"/>
      <c r="AA26" s="31"/>
    </row>
    <row r="27" spans="1:27">
      <c r="A27" s="6"/>
      <c r="B27" s="5" t="s">
        <v>32</v>
      </c>
      <c r="C27" s="108">
        <v>40000</v>
      </c>
      <c r="D27" s="3" t="s">
        <v>25</v>
      </c>
      <c r="E27" s="30">
        <v>0</v>
      </c>
      <c r="F27" s="30">
        <v>0</v>
      </c>
      <c r="G27" s="30">
        <v>7500</v>
      </c>
      <c r="H27" s="30">
        <v>1785.71428571</v>
      </c>
      <c r="I27" s="30">
        <v>1785.71428571</v>
      </c>
      <c r="J27" s="30">
        <v>1785.71428571</v>
      </c>
      <c r="K27" s="30">
        <v>1785.71428571</v>
      </c>
      <c r="L27" s="30">
        <v>1785.71428571</v>
      </c>
      <c r="M27" s="30">
        <v>1785.71428571</v>
      </c>
      <c r="N27" s="30">
        <v>1785.71428571</v>
      </c>
      <c r="O27" s="30">
        <v>1785.71428571</v>
      </c>
      <c r="P27" s="30">
        <v>1785.71428571</v>
      </c>
      <c r="Q27" s="30">
        <v>1785.71428571</v>
      </c>
      <c r="R27" s="30">
        <v>1785.71428571</v>
      </c>
      <c r="S27" s="30">
        <v>1785.71428571</v>
      </c>
      <c r="T27" s="30">
        <v>1785.71428571</v>
      </c>
      <c r="U27" s="30">
        <v>1785.71428571</v>
      </c>
      <c r="V27" s="30">
        <v>7500</v>
      </c>
      <c r="W27" s="30">
        <v>0</v>
      </c>
      <c r="X27" s="30"/>
      <c r="Y27" s="79">
        <f>SUM(E27:W27)</f>
        <v>39999.99999994001</v>
      </c>
      <c r="Z27" s="68"/>
      <c r="AA27" s="31"/>
    </row>
    <row r="28" spans="1:27">
      <c r="A28" s="12"/>
      <c r="B28" s="22" t="s">
        <v>32</v>
      </c>
      <c r="C28" s="104"/>
      <c r="D28" s="61" t="s">
        <v>26</v>
      </c>
      <c r="E28" s="95">
        <v>0</v>
      </c>
      <c r="F28" s="95">
        <v>0</v>
      </c>
      <c r="G28" s="95">
        <v>7142.06</v>
      </c>
      <c r="H28" s="95">
        <v>945.18</v>
      </c>
      <c r="I28" s="95">
        <v>1423.74</v>
      </c>
      <c r="J28" s="95">
        <v>1648.25</v>
      </c>
      <c r="K28" s="95">
        <v>1648.25</v>
      </c>
      <c r="L28" s="95">
        <v>1648.25</v>
      </c>
      <c r="M28" s="95">
        <v>1648.25</v>
      </c>
      <c r="N28" s="95">
        <v>1648.25</v>
      </c>
      <c r="O28" s="114">
        <v>1648.25</v>
      </c>
      <c r="P28" s="114">
        <v>1648.25</v>
      </c>
      <c r="Q28" s="114">
        <v>1648.25</v>
      </c>
      <c r="R28" s="114">
        <v>1648.25</v>
      </c>
      <c r="S28" s="114">
        <v>1648.25</v>
      </c>
      <c r="T28" s="114">
        <v>1648.25</v>
      </c>
      <c r="U28" s="114">
        <v>1648.25</v>
      </c>
      <c r="V28" s="114">
        <v>6500</v>
      </c>
      <c r="W28" s="114">
        <v>0</v>
      </c>
      <c r="X28" s="114"/>
      <c r="Y28" s="80">
        <f>SUM(E28:W28)</f>
        <v>35789.980000000003</v>
      </c>
      <c r="Z28" s="74">
        <f>Y27-Y28</f>
        <v>4210.0199999400065</v>
      </c>
      <c r="AA28" s="31"/>
    </row>
    <row r="29" spans="1:27" ht="8.25" customHeight="1">
      <c r="A29" s="6"/>
      <c r="C29" s="84"/>
      <c r="D29" s="3"/>
      <c r="E29" s="30"/>
      <c r="F29" s="30"/>
      <c r="G29" s="30"/>
      <c r="H29" s="30"/>
      <c r="I29" s="30"/>
      <c r="J29" s="96"/>
      <c r="K29" s="96"/>
      <c r="L29" s="96"/>
      <c r="M29" s="96"/>
      <c r="N29" s="96"/>
      <c r="O29" s="96"/>
      <c r="P29" s="96"/>
      <c r="Q29" s="96"/>
      <c r="R29" s="96"/>
      <c r="S29" s="96"/>
      <c r="T29" s="96"/>
      <c r="U29" s="96"/>
      <c r="V29" s="96"/>
      <c r="W29" s="96"/>
      <c r="X29" s="96"/>
      <c r="Y29" s="79"/>
      <c r="Z29" s="68"/>
      <c r="AA29" s="31"/>
    </row>
    <row r="30" spans="1:27">
      <c r="A30" s="6"/>
      <c r="B30" t="s">
        <v>33</v>
      </c>
      <c r="C30" s="108">
        <v>17600</v>
      </c>
      <c r="D30" s="3" t="s">
        <v>25</v>
      </c>
      <c r="E30" s="30">
        <v>0</v>
      </c>
      <c r="F30" s="30">
        <v>0</v>
      </c>
      <c r="G30" s="30">
        <v>600</v>
      </c>
      <c r="H30" s="30">
        <v>900</v>
      </c>
      <c r="I30" s="30">
        <v>900</v>
      </c>
      <c r="J30" s="30">
        <v>1100</v>
      </c>
      <c r="K30" s="30">
        <v>1100</v>
      </c>
      <c r="L30" s="30">
        <v>1100</v>
      </c>
      <c r="M30" s="30">
        <v>1200</v>
      </c>
      <c r="N30" s="30">
        <v>1200</v>
      </c>
      <c r="O30" s="30">
        <v>1200</v>
      </c>
      <c r="P30" s="30">
        <v>1200</v>
      </c>
      <c r="Q30" s="30">
        <v>1100</v>
      </c>
      <c r="R30" s="30">
        <v>1000</v>
      </c>
      <c r="S30" s="30">
        <v>1000</v>
      </c>
      <c r="T30" s="30">
        <v>1000</v>
      </c>
      <c r="U30" s="30">
        <v>1000</v>
      </c>
      <c r="V30" s="30">
        <v>1000</v>
      </c>
      <c r="W30" s="30">
        <v>1000</v>
      </c>
      <c r="X30" s="30"/>
      <c r="Y30" s="79">
        <f>SUM(E30:W30)</f>
        <v>17600</v>
      </c>
      <c r="Z30" s="69"/>
      <c r="AA30" s="31"/>
    </row>
    <row r="31" spans="1:27">
      <c r="A31" s="12"/>
      <c r="B31" s="1" t="s">
        <v>33</v>
      </c>
      <c r="C31" s="104"/>
      <c r="D31" s="61" t="s">
        <v>26</v>
      </c>
      <c r="E31" s="95">
        <v>0</v>
      </c>
      <c r="F31" s="95">
        <v>21.4</v>
      </c>
      <c r="G31" s="95">
        <v>155.15</v>
      </c>
      <c r="H31" s="95">
        <v>401.25</v>
      </c>
      <c r="I31" s="95">
        <v>267.5</v>
      </c>
      <c r="J31" s="95">
        <v>133.75</v>
      </c>
      <c r="K31" s="95">
        <v>424.96</v>
      </c>
      <c r="L31" s="95">
        <v>535</v>
      </c>
      <c r="M31" s="95">
        <v>945.79</v>
      </c>
      <c r="N31" s="95">
        <v>401.25</v>
      </c>
      <c r="O31" s="114">
        <v>1000</v>
      </c>
      <c r="P31" s="114">
        <v>1000</v>
      </c>
      <c r="Q31" s="114">
        <v>1000</v>
      </c>
      <c r="R31" s="114">
        <v>1000</v>
      </c>
      <c r="S31" s="114">
        <v>1000</v>
      </c>
      <c r="T31" s="114">
        <v>1000</v>
      </c>
      <c r="U31" s="114">
        <v>1000</v>
      </c>
      <c r="V31" s="114">
        <v>1000</v>
      </c>
      <c r="W31" s="114">
        <v>1013.95</v>
      </c>
      <c r="X31" s="114"/>
      <c r="Y31" s="80">
        <f>SUM(E31:W31)</f>
        <v>12300</v>
      </c>
      <c r="Z31" s="74">
        <f>Y30-Y31</f>
        <v>5300</v>
      </c>
      <c r="AA31" s="31"/>
    </row>
    <row r="32" spans="1:27" ht="6.75" customHeight="1">
      <c r="A32" s="6"/>
      <c r="C32" s="84"/>
      <c r="D32" s="3"/>
      <c r="E32" s="116"/>
      <c r="F32" s="30"/>
      <c r="G32" s="30"/>
      <c r="H32" s="30"/>
      <c r="I32" s="30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79"/>
      <c r="Z32" s="68"/>
      <c r="AA32" s="31"/>
    </row>
    <row r="33" spans="1:27">
      <c r="A33" s="6"/>
      <c r="B33" s="5" t="s">
        <v>34</v>
      </c>
      <c r="C33" s="108">
        <v>5000</v>
      </c>
      <c r="D33" s="3" t="s">
        <v>25</v>
      </c>
      <c r="E33" s="30">
        <v>0</v>
      </c>
      <c r="F33" s="30">
        <v>0</v>
      </c>
      <c r="G33" s="30">
        <v>0</v>
      </c>
      <c r="H33" s="30">
        <v>312.5</v>
      </c>
      <c r="I33" s="30">
        <v>312.5</v>
      </c>
      <c r="J33" s="30">
        <v>312.5</v>
      </c>
      <c r="K33" s="30">
        <v>312.5</v>
      </c>
      <c r="L33" s="30">
        <v>312.5</v>
      </c>
      <c r="M33" s="30">
        <v>312.5</v>
      </c>
      <c r="N33" s="30">
        <v>312.5</v>
      </c>
      <c r="O33" s="30">
        <v>312.5</v>
      </c>
      <c r="P33" s="30">
        <v>312.5</v>
      </c>
      <c r="Q33" s="30">
        <v>312.5</v>
      </c>
      <c r="R33" s="30">
        <v>312.5</v>
      </c>
      <c r="S33" s="30">
        <v>312.5</v>
      </c>
      <c r="T33" s="30">
        <v>312.5</v>
      </c>
      <c r="U33" s="30">
        <v>312.5</v>
      </c>
      <c r="V33" s="30">
        <v>312.5</v>
      </c>
      <c r="W33" s="30">
        <v>312.5</v>
      </c>
      <c r="X33" s="30"/>
      <c r="Y33" s="79">
        <f>SUM(E33:W33)</f>
        <v>5000</v>
      </c>
      <c r="Z33" s="68"/>
      <c r="AA33" s="31"/>
    </row>
    <row r="34" spans="1:27">
      <c r="A34" s="12"/>
      <c r="B34" s="22" t="s">
        <v>34</v>
      </c>
      <c r="C34" s="104"/>
      <c r="D34" s="61" t="s">
        <v>26</v>
      </c>
      <c r="E34" s="95">
        <v>0</v>
      </c>
      <c r="F34" s="95">
        <v>0</v>
      </c>
      <c r="G34" s="95">
        <v>0</v>
      </c>
      <c r="H34" s="95">
        <v>0</v>
      </c>
      <c r="I34" s="95">
        <v>0</v>
      </c>
      <c r="J34" s="95">
        <v>0</v>
      </c>
      <c r="K34" s="95">
        <v>0</v>
      </c>
      <c r="L34" s="95">
        <v>448.65</v>
      </c>
      <c r="M34" s="95">
        <v>2763.52</v>
      </c>
      <c r="N34" s="95">
        <v>0</v>
      </c>
      <c r="O34" s="114">
        <v>200</v>
      </c>
      <c r="P34" s="114">
        <v>200</v>
      </c>
      <c r="Q34" s="114">
        <v>200</v>
      </c>
      <c r="R34" s="114">
        <v>187.83</v>
      </c>
      <c r="S34" s="114">
        <v>200</v>
      </c>
      <c r="T34" s="114">
        <v>200</v>
      </c>
      <c r="U34" s="114">
        <v>200</v>
      </c>
      <c r="V34" s="114">
        <v>200</v>
      </c>
      <c r="W34" s="114">
        <v>200</v>
      </c>
      <c r="X34" s="114"/>
      <c r="Y34" s="80">
        <f>SUM(E34:W34)</f>
        <v>5000</v>
      </c>
      <c r="Z34" s="74">
        <f>Y33-Y34</f>
        <v>0</v>
      </c>
      <c r="AA34" s="31"/>
    </row>
    <row r="35" spans="1:27" ht="8.25" customHeight="1">
      <c r="A35" s="6"/>
      <c r="C35" s="84"/>
      <c r="D35" s="3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79"/>
      <c r="Z35" s="68"/>
      <c r="AA35" s="31"/>
    </row>
    <row r="36" spans="1:27">
      <c r="A36" s="6"/>
      <c r="B36" s="5" t="s">
        <v>35</v>
      </c>
      <c r="C36" s="108">
        <v>10000</v>
      </c>
      <c r="D36" s="3" t="s">
        <v>25</v>
      </c>
      <c r="E36" s="30">
        <v>0</v>
      </c>
      <c r="F36" s="30">
        <v>100</v>
      </c>
      <c r="G36" s="30">
        <v>1500</v>
      </c>
      <c r="H36" s="30">
        <v>525</v>
      </c>
      <c r="I36" s="30">
        <v>525</v>
      </c>
      <c r="J36" s="30">
        <v>525</v>
      </c>
      <c r="K36" s="30">
        <v>525</v>
      </c>
      <c r="L36" s="30">
        <v>525</v>
      </c>
      <c r="M36" s="30">
        <v>525</v>
      </c>
      <c r="N36" s="30">
        <v>525</v>
      </c>
      <c r="O36" s="30">
        <v>525</v>
      </c>
      <c r="P36" s="30">
        <v>525</v>
      </c>
      <c r="Q36" s="30">
        <v>525</v>
      </c>
      <c r="R36" s="30">
        <v>525</v>
      </c>
      <c r="S36" s="30">
        <v>525</v>
      </c>
      <c r="T36" s="30">
        <v>525</v>
      </c>
      <c r="U36" s="30">
        <v>525</v>
      </c>
      <c r="V36" s="30">
        <v>525</v>
      </c>
      <c r="W36" s="30">
        <v>525</v>
      </c>
      <c r="X36" s="30"/>
      <c r="Y36" s="79">
        <f>SUM(E36:W36)</f>
        <v>10000</v>
      </c>
      <c r="Z36" s="68"/>
      <c r="AA36" s="31"/>
    </row>
    <row r="37" spans="1:27">
      <c r="A37" s="12"/>
      <c r="B37" s="22" t="s">
        <v>35</v>
      </c>
      <c r="C37" s="104"/>
      <c r="D37" s="61" t="s">
        <v>26</v>
      </c>
      <c r="E37" s="95">
        <v>0</v>
      </c>
      <c r="F37" s="95">
        <v>72.34</v>
      </c>
      <c r="G37" s="95">
        <v>1455.27</v>
      </c>
      <c r="H37" s="95">
        <v>0</v>
      </c>
      <c r="I37" s="95">
        <v>647</v>
      </c>
      <c r="J37" s="95">
        <v>527</v>
      </c>
      <c r="K37" s="95">
        <v>0</v>
      </c>
      <c r="L37" s="95">
        <v>653</v>
      </c>
      <c r="M37" s="95">
        <v>39.090000000000003</v>
      </c>
      <c r="N37" s="95">
        <v>0</v>
      </c>
      <c r="O37" s="114">
        <v>900</v>
      </c>
      <c r="P37" s="114">
        <v>900</v>
      </c>
      <c r="Q37" s="114">
        <v>900</v>
      </c>
      <c r="R37" s="114">
        <v>900</v>
      </c>
      <c r="S37" s="114">
        <v>800</v>
      </c>
      <c r="T37" s="114">
        <v>706.3</v>
      </c>
      <c r="U37" s="114">
        <v>700</v>
      </c>
      <c r="V37" s="114">
        <v>400</v>
      </c>
      <c r="W37" s="114">
        <v>400</v>
      </c>
      <c r="X37" s="114"/>
      <c r="Y37" s="80">
        <f>SUM(E37:W37)</f>
        <v>10000</v>
      </c>
      <c r="Z37" s="74">
        <f>Y36-Y37</f>
        <v>0</v>
      </c>
      <c r="AA37" s="31"/>
    </row>
    <row r="38" spans="1:27" ht="6" customHeight="1">
      <c r="A38" s="6"/>
      <c r="C38" s="84"/>
      <c r="D38" s="3"/>
      <c r="E38" s="30"/>
      <c r="F38" s="30"/>
      <c r="G38" s="30"/>
      <c r="H38" s="30"/>
      <c r="I38" s="30"/>
      <c r="J38" s="30"/>
      <c r="K38" s="30"/>
      <c r="L38" s="30"/>
      <c r="M38" s="96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79"/>
      <c r="Z38" s="68"/>
      <c r="AA38" s="31"/>
    </row>
    <row r="39" spans="1:27">
      <c r="A39" s="6"/>
      <c r="B39" s="5" t="s">
        <v>36</v>
      </c>
      <c r="C39" s="110">
        <v>750</v>
      </c>
      <c r="D39" s="3" t="s">
        <v>25</v>
      </c>
      <c r="E39" s="30">
        <v>0</v>
      </c>
      <c r="F39" s="30">
        <v>0</v>
      </c>
      <c r="G39" s="30">
        <v>200</v>
      </c>
      <c r="H39" s="30">
        <v>200</v>
      </c>
      <c r="I39" s="30">
        <v>100</v>
      </c>
      <c r="J39" s="30">
        <v>0</v>
      </c>
      <c r="K39" s="30">
        <v>0</v>
      </c>
      <c r="L39" s="30">
        <v>0</v>
      </c>
      <c r="M39" s="30">
        <v>0</v>
      </c>
      <c r="N39" s="30">
        <v>0</v>
      </c>
      <c r="O39" s="30">
        <v>0</v>
      </c>
      <c r="P39" s="30">
        <v>0</v>
      </c>
      <c r="Q39" s="30">
        <v>0</v>
      </c>
      <c r="R39" s="30">
        <v>0</v>
      </c>
      <c r="S39" s="30">
        <v>0</v>
      </c>
      <c r="T39" s="30">
        <v>0</v>
      </c>
      <c r="U39" s="30">
        <v>150</v>
      </c>
      <c r="V39" s="30">
        <v>100</v>
      </c>
      <c r="W39" s="30">
        <v>0</v>
      </c>
      <c r="X39" s="30"/>
      <c r="Y39" s="79">
        <f>SUM(E39:W39)</f>
        <v>750</v>
      </c>
      <c r="Z39" s="68"/>
      <c r="AA39" s="31"/>
    </row>
    <row r="40" spans="1:27">
      <c r="A40" s="12"/>
      <c r="B40" s="22" t="s">
        <v>36</v>
      </c>
      <c r="C40" s="104"/>
      <c r="D40" s="61" t="s">
        <v>26</v>
      </c>
      <c r="E40" s="98">
        <v>0</v>
      </c>
      <c r="F40" s="98">
        <v>104.8</v>
      </c>
      <c r="G40" s="98">
        <v>36.03</v>
      </c>
      <c r="H40" s="95">
        <v>0</v>
      </c>
      <c r="I40" s="98">
        <v>0</v>
      </c>
      <c r="J40" s="98">
        <v>0</v>
      </c>
      <c r="K40" s="98">
        <v>18.760000000000002</v>
      </c>
      <c r="L40" s="98">
        <v>106.99</v>
      </c>
      <c r="M40" s="98">
        <v>106.99</v>
      </c>
      <c r="N40" s="98">
        <v>0</v>
      </c>
      <c r="O40" s="117">
        <v>100</v>
      </c>
      <c r="P40" s="117">
        <v>100</v>
      </c>
      <c r="Q40" s="117">
        <v>51.43</v>
      </c>
      <c r="R40" s="117">
        <v>0</v>
      </c>
      <c r="S40" s="117">
        <v>0</v>
      </c>
      <c r="T40" s="117">
        <v>0</v>
      </c>
      <c r="U40" s="117">
        <v>75</v>
      </c>
      <c r="V40" s="117">
        <v>50</v>
      </c>
      <c r="W40" s="117">
        <v>0</v>
      </c>
      <c r="X40" s="117"/>
      <c r="Y40" s="80">
        <f>SUM(E40:W40)</f>
        <v>749.99999999999989</v>
      </c>
      <c r="Z40" s="74">
        <f>Y39-Y40</f>
        <v>0</v>
      </c>
      <c r="AA40" s="31"/>
    </row>
    <row r="41" spans="1:27" ht="6.75" customHeight="1">
      <c r="A41" s="6"/>
      <c r="C41" s="84"/>
      <c r="D41" s="3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81"/>
      <c r="Z41" s="68"/>
      <c r="AA41" s="31"/>
    </row>
    <row r="42" spans="1:27">
      <c r="A42" s="6"/>
      <c r="B42" s="5" t="s">
        <v>37</v>
      </c>
      <c r="C42" s="110">
        <v>32400</v>
      </c>
      <c r="D42" s="3" t="s">
        <v>25</v>
      </c>
      <c r="E42" s="30">
        <v>0</v>
      </c>
      <c r="F42" s="30">
        <v>0</v>
      </c>
      <c r="G42" s="30">
        <v>600</v>
      </c>
      <c r="H42" s="30">
        <v>2500</v>
      </c>
      <c r="I42" s="30">
        <v>2023.5294117599999</v>
      </c>
      <c r="J42" s="30">
        <v>500</v>
      </c>
      <c r="K42" s="30">
        <v>500</v>
      </c>
      <c r="L42" s="30">
        <v>5000</v>
      </c>
      <c r="M42" s="30">
        <v>4200</v>
      </c>
      <c r="N42" s="30">
        <v>1707.6</v>
      </c>
      <c r="O42" s="30">
        <v>1707.6</v>
      </c>
      <c r="P42" s="30">
        <v>1707.6</v>
      </c>
      <c r="Q42" s="30">
        <v>1707.6</v>
      </c>
      <c r="R42" s="30">
        <v>1707.6</v>
      </c>
      <c r="S42" s="30">
        <v>1707.6</v>
      </c>
      <c r="T42" s="30">
        <v>1707.6</v>
      </c>
      <c r="U42" s="30">
        <v>1707.6</v>
      </c>
      <c r="V42" s="30">
        <v>1707.6</v>
      </c>
      <c r="W42" s="30">
        <v>1708.07</v>
      </c>
      <c r="X42" s="30"/>
      <c r="Y42" s="79">
        <f>SUM(E42:W42)</f>
        <v>32399.999411759985</v>
      </c>
      <c r="Z42" s="68"/>
      <c r="AA42" s="31"/>
    </row>
    <row r="43" spans="1:27">
      <c r="A43" s="12"/>
      <c r="B43" s="22" t="s">
        <v>37</v>
      </c>
      <c r="C43" s="104"/>
      <c r="D43" s="61" t="s">
        <v>26</v>
      </c>
      <c r="E43" s="95">
        <v>0</v>
      </c>
      <c r="F43" s="95">
        <v>3968.96</v>
      </c>
      <c r="G43" s="95">
        <v>443.28</v>
      </c>
      <c r="H43" s="95">
        <v>2413.42</v>
      </c>
      <c r="I43" s="95">
        <v>5041.1899999999996</v>
      </c>
      <c r="J43" s="95">
        <v>22.95</v>
      </c>
      <c r="K43" s="95">
        <v>246.39</v>
      </c>
      <c r="L43" s="95">
        <v>4238.71</v>
      </c>
      <c r="M43" s="95">
        <v>4175.8999999999996</v>
      </c>
      <c r="N43" s="95">
        <v>335.49</v>
      </c>
      <c r="O43" s="118">
        <v>1300</v>
      </c>
      <c r="P43" s="118">
        <v>1300</v>
      </c>
      <c r="Q43" s="118">
        <v>1300</v>
      </c>
      <c r="R43" s="118">
        <v>1300</v>
      </c>
      <c r="S43" s="118">
        <v>1300</v>
      </c>
      <c r="T43" s="118">
        <v>1300</v>
      </c>
      <c r="U43" s="118">
        <v>1300</v>
      </c>
      <c r="V43" s="118">
        <v>1300</v>
      </c>
      <c r="W43" s="118">
        <v>1113.71</v>
      </c>
      <c r="X43" s="118"/>
      <c r="Y43" s="80">
        <f>SUM(E43:W43)</f>
        <v>32399.999999999996</v>
      </c>
      <c r="Z43" s="74">
        <f>Y42-Y43</f>
        <v>-5.8824001098400913E-4</v>
      </c>
      <c r="AA43" s="31"/>
    </row>
    <row r="44" spans="1:27" ht="8.25" customHeight="1">
      <c r="A44" s="6"/>
      <c r="C44" s="84"/>
      <c r="D44" s="3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  <c r="S44" s="97"/>
      <c r="T44" s="97"/>
      <c r="U44" s="97"/>
      <c r="V44" s="97"/>
      <c r="W44" s="97"/>
      <c r="X44" s="97"/>
      <c r="Y44" s="79"/>
      <c r="Z44" s="68"/>
      <c r="AA44" s="31"/>
    </row>
    <row r="45" spans="1:27">
      <c r="A45" s="6"/>
      <c r="B45" s="5" t="s">
        <v>38</v>
      </c>
      <c r="C45" s="110">
        <v>2000</v>
      </c>
      <c r="D45" s="3" t="s">
        <v>25</v>
      </c>
      <c r="E45" s="30">
        <v>0</v>
      </c>
      <c r="F45" s="30">
        <v>0</v>
      </c>
      <c r="G45" s="30">
        <v>0</v>
      </c>
      <c r="H45" s="30">
        <v>0</v>
      </c>
      <c r="I45" s="30">
        <v>500</v>
      </c>
      <c r="J45" s="30">
        <v>500</v>
      </c>
      <c r="K45" s="30">
        <v>0</v>
      </c>
      <c r="L45" s="30">
        <v>0</v>
      </c>
      <c r="M45" s="30">
        <v>0</v>
      </c>
      <c r="N45" s="30">
        <v>0</v>
      </c>
      <c r="O45" s="30">
        <v>0</v>
      </c>
      <c r="P45" s="30">
        <v>0</v>
      </c>
      <c r="Q45" s="30">
        <v>0</v>
      </c>
      <c r="R45" s="30">
        <v>500</v>
      </c>
      <c r="S45" s="30">
        <v>500</v>
      </c>
      <c r="T45" s="30">
        <v>0</v>
      </c>
      <c r="U45" s="30">
        <v>0</v>
      </c>
      <c r="V45" s="30">
        <v>0</v>
      </c>
      <c r="W45" s="30">
        <v>0</v>
      </c>
      <c r="X45" s="30"/>
      <c r="Y45" s="79">
        <f>SUM(E45:W45)</f>
        <v>2000</v>
      </c>
      <c r="Z45" s="68"/>
      <c r="AA45" s="31"/>
    </row>
    <row r="46" spans="1:27">
      <c r="A46" s="12"/>
      <c r="B46" s="22" t="s">
        <v>38</v>
      </c>
      <c r="C46" s="104"/>
      <c r="D46" s="61" t="s">
        <v>26</v>
      </c>
      <c r="E46" s="114">
        <v>0</v>
      </c>
      <c r="F46" s="95">
        <v>0</v>
      </c>
      <c r="G46" s="95">
        <v>0</v>
      </c>
      <c r="H46" s="95">
        <v>0</v>
      </c>
      <c r="I46" s="95">
        <v>0</v>
      </c>
      <c r="J46" s="95">
        <v>0</v>
      </c>
      <c r="K46" s="95">
        <v>0</v>
      </c>
      <c r="L46" s="95">
        <v>0</v>
      </c>
      <c r="M46" s="95">
        <v>0</v>
      </c>
      <c r="N46" s="95">
        <v>0</v>
      </c>
      <c r="O46" s="114">
        <v>0</v>
      </c>
      <c r="P46" s="114">
        <v>0</v>
      </c>
      <c r="Q46" s="114">
        <v>0</v>
      </c>
      <c r="R46" s="114">
        <v>250</v>
      </c>
      <c r="S46" s="114">
        <v>250</v>
      </c>
      <c r="T46" s="114">
        <v>0</v>
      </c>
      <c r="U46" s="114">
        <v>0</v>
      </c>
      <c r="V46" s="114">
        <v>0</v>
      </c>
      <c r="W46" s="114">
        <v>0</v>
      </c>
      <c r="X46" s="114"/>
      <c r="Y46" s="80">
        <f>SUM(E46:W46)</f>
        <v>500</v>
      </c>
      <c r="Z46" s="74">
        <f>Y45-Y46</f>
        <v>1500</v>
      </c>
      <c r="AA46" s="31"/>
    </row>
    <row r="47" spans="1:27" ht="6.75" customHeight="1">
      <c r="A47" s="6"/>
      <c r="C47" s="84"/>
      <c r="D47" s="3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79"/>
      <c r="Z47" s="68"/>
      <c r="AA47" s="31"/>
    </row>
    <row r="48" spans="1:27">
      <c r="A48" s="6"/>
      <c r="B48" s="5" t="s">
        <v>39</v>
      </c>
      <c r="C48" s="110">
        <v>0</v>
      </c>
      <c r="D48" s="3" t="s">
        <v>25</v>
      </c>
      <c r="E48" s="119">
        <v>0</v>
      </c>
      <c r="F48" s="119">
        <v>0</v>
      </c>
      <c r="G48" s="119">
        <v>0</v>
      </c>
      <c r="H48" s="119">
        <v>0</v>
      </c>
      <c r="I48" s="119">
        <v>0</v>
      </c>
      <c r="J48" s="119">
        <v>0</v>
      </c>
      <c r="K48" s="119">
        <v>0</v>
      </c>
      <c r="L48" s="119">
        <v>0</v>
      </c>
      <c r="M48" s="119">
        <v>0</v>
      </c>
      <c r="N48" s="119">
        <v>0</v>
      </c>
      <c r="O48" s="119">
        <v>0</v>
      </c>
      <c r="P48" s="119">
        <v>0</v>
      </c>
      <c r="Q48" s="119">
        <v>0</v>
      </c>
      <c r="R48" s="119">
        <v>0</v>
      </c>
      <c r="S48" s="119">
        <v>0</v>
      </c>
      <c r="T48" s="119">
        <v>0</v>
      </c>
      <c r="U48" s="119">
        <v>0</v>
      </c>
      <c r="V48" s="119">
        <v>0</v>
      </c>
      <c r="W48" s="119">
        <v>0</v>
      </c>
      <c r="X48" s="119"/>
      <c r="Y48" s="79">
        <f>SUM(E48:W48)</f>
        <v>0</v>
      </c>
      <c r="Z48" s="68"/>
      <c r="AA48" s="31"/>
    </row>
    <row r="49" spans="1:27">
      <c r="A49" s="12"/>
      <c r="B49" s="22" t="s">
        <v>39</v>
      </c>
      <c r="C49" s="104"/>
      <c r="D49" s="61" t="s">
        <v>26</v>
      </c>
      <c r="E49" s="95">
        <v>0</v>
      </c>
      <c r="F49" s="95">
        <v>0</v>
      </c>
      <c r="G49" s="95">
        <v>0</v>
      </c>
      <c r="H49" s="98">
        <v>0</v>
      </c>
      <c r="I49" s="95">
        <v>0</v>
      </c>
      <c r="J49" s="98">
        <v>0</v>
      </c>
      <c r="K49" s="98">
        <v>0</v>
      </c>
      <c r="L49" s="98">
        <v>0</v>
      </c>
      <c r="M49" s="99">
        <v>0</v>
      </c>
      <c r="N49" s="99">
        <v>0</v>
      </c>
      <c r="O49" s="111">
        <v>0</v>
      </c>
      <c r="P49" s="111">
        <v>0</v>
      </c>
      <c r="Q49" s="111">
        <v>0</v>
      </c>
      <c r="R49" s="111">
        <v>0</v>
      </c>
      <c r="S49" s="111">
        <v>0</v>
      </c>
      <c r="T49" s="111">
        <v>0</v>
      </c>
      <c r="U49" s="111">
        <v>0</v>
      </c>
      <c r="V49" s="111">
        <v>0</v>
      </c>
      <c r="W49" s="111">
        <v>0</v>
      </c>
      <c r="X49" s="114"/>
      <c r="Y49" s="80">
        <f>SUM(E49:W49)</f>
        <v>0</v>
      </c>
      <c r="Z49" s="74">
        <f>Y48-Y49</f>
        <v>0</v>
      </c>
      <c r="AA49" s="31"/>
    </row>
    <row r="50" spans="1:27" ht="8.25" customHeight="1">
      <c r="A50" s="6"/>
      <c r="C50" s="84"/>
      <c r="D50" s="3"/>
      <c r="E50" s="30"/>
      <c r="F50" s="30"/>
      <c r="G50" s="97"/>
      <c r="H50" s="97"/>
      <c r="I50" s="30"/>
      <c r="J50" s="30"/>
      <c r="K50" s="96"/>
      <c r="L50" s="96"/>
      <c r="M50" s="96"/>
      <c r="N50" s="96"/>
      <c r="O50" s="96"/>
      <c r="P50" s="96"/>
      <c r="Q50" s="96"/>
      <c r="R50" s="96"/>
      <c r="S50" s="96"/>
      <c r="T50" s="96"/>
      <c r="U50" s="96"/>
      <c r="V50" s="96"/>
      <c r="W50" s="96"/>
      <c r="X50" s="96"/>
      <c r="Y50" s="81"/>
      <c r="Z50" s="68"/>
      <c r="AA50" s="31"/>
    </row>
    <row r="51" spans="1:27">
      <c r="A51" s="6"/>
      <c r="B51" s="5" t="s">
        <v>40</v>
      </c>
      <c r="C51" s="112">
        <v>22561</v>
      </c>
      <c r="D51" s="3" t="s">
        <v>25</v>
      </c>
      <c r="E51" s="30">
        <v>0</v>
      </c>
      <c r="F51" s="30">
        <v>0</v>
      </c>
      <c r="G51" s="30">
        <v>0</v>
      </c>
      <c r="H51" s="30">
        <v>0</v>
      </c>
      <c r="I51" s="30">
        <v>0</v>
      </c>
      <c r="J51" s="30">
        <v>0</v>
      </c>
      <c r="K51" s="30">
        <v>0</v>
      </c>
      <c r="L51" s="30">
        <v>0</v>
      </c>
      <c r="M51" s="30">
        <v>0</v>
      </c>
      <c r="N51" s="30">
        <v>0</v>
      </c>
      <c r="O51" s="30">
        <v>0</v>
      </c>
      <c r="P51" s="30">
        <v>0</v>
      </c>
      <c r="Q51" s="30">
        <v>0</v>
      </c>
      <c r="R51" s="30">
        <v>0</v>
      </c>
      <c r="S51" s="30">
        <v>0</v>
      </c>
      <c r="T51" s="30">
        <v>2500</v>
      </c>
      <c r="U51" s="30">
        <v>2500</v>
      </c>
      <c r="V51" s="30">
        <v>2561</v>
      </c>
      <c r="W51" s="30">
        <v>15000</v>
      </c>
      <c r="X51" s="30"/>
      <c r="Y51" s="79">
        <f>SUM(E51:W51)</f>
        <v>22561</v>
      </c>
      <c r="Z51" s="68"/>
      <c r="AA51" s="31"/>
    </row>
    <row r="52" spans="1:27">
      <c r="A52" s="12"/>
      <c r="B52" s="22" t="s">
        <v>40</v>
      </c>
      <c r="C52" s="104"/>
      <c r="D52" s="61" t="s">
        <v>26</v>
      </c>
      <c r="E52" s="95">
        <v>0</v>
      </c>
      <c r="F52" s="95">
        <v>0</v>
      </c>
      <c r="G52" s="95">
        <v>0</v>
      </c>
      <c r="H52" s="95">
        <v>0</v>
      </c>
      <c r="I52" s="95">
        <v>0</v>
      </c>
      <c r="J52" s="95">
        <v>0</v>
      </c>
      <c r="K52" s="95">
        <v>0</v>
      </c>
      <c r="L52" s="95">
        <v>0</v>
      </c>
      <c r="M52" s="95">
        <v>0</v>
      </c>
      <c r="N52" s="95">
        <v>0</v>
      </c>
      <c r="O52" s="114">
        <v>0</v>
      </c>
      <c r="P52" s="114">
        <v>0</v>
      </c>
      <c r="Q52" s="114">
        <v>0</v>
      </c>
      <c r="R52" s="114">
        <v>0</v>
      </c>
      <c r="S52" s="114">
        <v>0</v>
      </c>
      <c r="T52" s="114">
        <v>2500</v>
      </c>
      <c r="U52" s="114">
        <v>2500</v>
      </c>
      <c r="V52" s="114">
        <v>2561</v>
      </c>
      <c r="W52" s="114">
        <v>15000</v>
      </c>
      <c r="X52" s="114"/>
      <c r="Y52" s="80">
        <f>SUM(E52:W52)</f>
        <v>22561</v>
      </c>
      <c r="Z52" s="74">
        <f>Y51-Y52</f>
        <v>0</v>
      </c>
      <c r="AA52" s="31"/>
    </row>
    <row r="53" spans="1:27" ht="9" customHeight="1">
      <c r="A53" s="6"/>
      <c r="C53" s="84"/>
      <c r="D53" s="3"/>
      <c r="E53" s="30"/>
      <c r="F53" s="30"/>
      <c r="G53" s="30"/>
      <c r="H53" s="30"/>
      <c r="I53" s="30"/>
      <c r="J53" s="30"/>
      <c r="K53" s="96"/>
      <c r="L53" s="96"/>
      <c r="M53" s="96"/>
      <c r="N53" s="96"/>
      <c r="O53" s="96"/>
      <c r="P53" s="96"/>
      <c r="Q53" s="96"/>
      <c r="R53" s="96"/>
      <c r="S53" s="96"/>
      <c r="T53" s="96"/>
      <c r="U53" s="96"/>
      <c r="V53" s="96"/>
      <c r="W53" s="96"/>
      <c r="X53" s="96"/>
      <c r="Y53" s="81"/>
      <c r="Z53" s="68"/>
      <c r="AA53" s="31"/>
    </row>
    <row r="54" spans="1:27">
      <c r="A54" s="6"/>
      <c r="B54" s="5" t="s">
        <v>41</v>
      </c>
      <c r="C54" s="113">
        <v>36025</v>
      </c>
      <c r="D54" s="3" t="s">
        <v>25</v>
      </c>
      <c r="E54" s="30">
        <v>0</v>
      </c>
      <c r="F54" s="30">
        <v>500</v>
      </c>
      <c r="G54" s="30">
        <v>2089.70588</v>
      </c>
      <c r="H54" s="30">
        <v>2089.70588</v>
      </c>
      <c r="I54" s="30">
        <v>2089.70588</v>
      </c>
      <c r="J54" s="30">
        <v>2089.70588</v>
      </c>
      <c r="K54" s="30">
        <v>2089.70588</v>
      </c>
      <c r="L54" s="30">
        <v>2089.70588</v>
      </c>
      <c r="M54" s="30">
        <v>7000</v>
      </c>
      <c r="N54" s="30">
        <v>1598.7</v>
      </c>
      <c r="O54" s="30">
        <v>1598.7</v>
      </c>
      <c r="P54" s="30">
        <v>1598.7</v>
      </c>
      <c r="Q54" s="30">
        <v>1598.7</v>
      </c>
      <c r="R54" s="30">
        <v>1598.7</v>
      </c>
      <c r="S54" s="30">
        <v>1598.7</v>
      </c>
      <c r="T54" s="30">
        <v>1598.7</v>
      </c>
      <c r="U54" s="30">
        <v>1598.7</v>
      </c>
      <c r="V54" s="30">
        <v>1598.7</v>
      </c>
      <c r="W54" s="30">
        <v>1598.46</v>
      </c>
      <c r="X54" s="30"/>
      <c r="Y54" s="79">
        <f>SUM(E54:W54)</f>
        <v>36024.995280000003</v>
      </c>
      <c r="Z54" s="68"/>
      <c r="AA54" s="31"/>
    </row>
    <row r="55" spans="1:27">
      <c r="A55" s="12"/>
      <c r="B55" s="22" t="s">
        <v>41</v>
      </c>
      <c r="C55" s="104"/>
      <c r="D55" s="61" t="s">
        <v>26</v>
      </c>
      <c r="E55" s="95">
        <v>0</v>
      </c>
      <c r="F55" s="95">
        <v>1174.5999999999999</v>
      </c>
      <c r="G55" s="95">
        <v>1921.44</v>
      </c>
      <c r="H55" s="95">
        <v>891.36</v>
      </c>
      <c r="I55" s="95">
        <v>1224.8900000000001</v>
      </c>
      <c r="J55" s="95">
        <v>4557.25</v>
      </c>
      <c r="K55" s="95">
        <v>2749.96</v>
      </c>
      <c r="L55" s="95">
        <v>3313.5</v>
      </c>
      <c r="M55" s="95">
        <v>6692.48</v>
      </c>
      <c r="N55" s="95">
        <v>550.79999999999995</v>
      </c>
      <c r="O55" s="114">
        <v>1598.7</v>
      </c>
      <c r="P55" s="114">
        <v>1598.7</v>
      </c>
      <c r="Q55" s="114">
        <v>1598.7</v>
      </c>
      <c r="R55" s="114">
        <v>1598.7</v>
      </c>
      <c r="S55" s="114">
        <v>1598.7</v>
      </c>
      <c r="T55" s="114">
        <v>1047.9000000000001</v>
      </c>
      <c r="U55" s="114">
        <v>1323.3</v>
      </c>
      <c r="V55" s="114">
        <v>1584.02</v>
      </c>
      <c r="W55" s="114">
        <v>1000</v>
      </c>
      <c r="X55" s="114"/>
      <c r="Y55" s="80">
        <f>SUM(E55:W55)</f>
        <v>36025</v>
      </c>
      <c r="Z55" s="74">
        <f>Y54-Y55</f>
        <v>-4.7199999971780926E-3</v>
      </c>
      <c r="AA55" s="31"/>
    </row>
    <row r="56" spans="1:27" ht="9" customHeight="1">
      <c r="A56" s="6"/>
      <c r="C56" s="84"/>
      <c r="D56" s="3"/>
      <c r="E56" s="97"/>
      <c r="F56" s="97"/>
      <c r="G56" s="97"/>
      <c r="H56" s="97"/>
      <c r="I56" s="97"/>
      <c r="J56" s="97"/>
      <c r="K56" s="96"/>
      <c r="L56" s="96"/>
      <c r="M56" s="96"/>
      <c r="N56" s="96"/>
      <c r="O56" s="96"/>
      <c r="P56" s="96"/>
      <c r="Q56" s="96"/>
      <c r="R56" s="96"/>
      <c r="S56" s="96"/>
      <c r="T56" s="96"/>
      <c r="U56" s="96"/>
      <c r="V56" s="96"/>
      <c r="W56" s="96"/>
      <c r="X56" s="96"/>
      <c r="Y56" s="79"/>
      <c r="Z56" s="68"/>
      <c r="AA56" s="31"/>
    </row>
    <row r="57" spans="1:27">
      <c r="A57" s="6"/>
      <c r="B57" s="5" t="s">
        <v>42</v>
      </c>
      <c r="C57" s="110">
        <v>62352</v>
      </c>
      <c r="D57" s="3" t="s">
        <v>25</v>
      </c>
      <c r="E57" s="30">
        <v>0</v>
      </c>
      <c r="F57" s="30">
        <v>0</v>
      </c>
      <c r="G57" s="30">
        <v>3667.7647000000002</v>
      </c>
      <c r="H57" s="30">
        <v>3667.7647000000002</v>
      </c>
      <c r="I57" s="30">
        <v>3667.7647000000002</v>
      </c>
      <c r="J57" s="30">
        <v>3667.7647000000002</v>
      </c>
      <c r="K57" s="30">
        <v>3667.7647000000002</v>
      </c>
      <c r="L57" s="30">
        <v>3667.7647000000002</v>
      </c>
      <c r="M57" s="30">
        <v>3667.7647000000002</v>
      </c>
      <c r="N57" s="30">
        <v>3667.7647000000002</v>
      </c>
      <c r="O57" s="30">
        <v>3667.7647000000002</v>
      </c>
      <c r="P57" s="30">
        <v>3667.7647000000002</v>
      </c>
      <c r="Q57" s="30">
        <v>3667.7647000000002</v>
      </c>
      <c r="R57" s="30">
        <v>3667.7647000000002</v>
      </c>
      <c r="S57" s="30">
        <v>3667.7647000000002</v>
      </c>
      <c r="T57" s="30">
        <v>3667.7647000000002</v>
      </c>
      <c r="U57" s="30">
        <v>3667.7647000000002</v>
      </c>
      <c r="V57" s="30">
        <v>3667.7647000000002</v>
      </c>
      <c r="W57" s="30">
        <v>3667.7647000000002</v>
      </c>
      <c r="X57" s="30"/>
      <c r="Y57" s="79">
        <f>SUM(E57:W57)</f>
        <v>62351.999900000003</v>
      </c>
      <c r="Z57" s="68"/>
      <c r="AA57" s="31"/>
    </row>
    <row r="58" spans="1:27">
      <c r="A58" s="12"/>
      <c r="B58" s="22" t="s">
        <v>42</v>
      </c>
      <c r="C58" s="104"/>
      <c r="D58" s="61" t="s">
        <v>26</v>
      </c>
      <c r="E58" s="95">
        <v>0</v>
      </c>
      <c r="F58" s="95">
        <v>0</v>
      </c>
      <c r="G58" s="95">
        <v>699.66</v>
      </c>
      <c r="H58" s="95">
        <v>1427.28</v>
      </c>
      <c r="I58" s="95">
        <v>1675.42</v>
      </c>
      <c r="J58" s="95">
        <v>477.92</v>
      </c>
      <c r="K58" s="95">
        <v>2534.87</v>
      </c>
      <c r="L58" s="95">
        <v>2467.67</v>
      </c>
      <c r="M58" s="95">
        <v>3208.66</v>
      </c>
      <c r="N58" s="95">
        <v>1377.91</v>
      </c>
      <c r="O58" s="118">
        <v>3000</v>
      </c>
      <c r="P58" s="118">
        <v>3000</v>
      </c>
      <c r="Q58" s="118">
        <v>3000</v>
      </c>
      <c r="R58" s="118">
        <v>3000</v>
      </c>
      <c r="S58" s="118">
        <v>3000</v>
      </c>
      <c r="T58" s="118">
        <v>2000</v>
      </c>
      <c r="U58" s="118">
        <v>2000</v>
      </c>
      <c r="V58" s="118">
        <v>2000</v>
      </c>
      <c r="W58" s="118">
        <v>1982.61</v>
      </c>
      <c r="X58" s="118"/>
      <c r="Y58" s="80">
        <f>SUM(E58:W58)</f>
        <v>36852</v>
      </c>
      <c r="Z58" s="74">
        <f>Y57-Y58</f>
        <v>25499.999900000003</v>
      </c>
      <c r="AA58" s="31"/>
    </row>
    <row r="59" spans="1:27" ht="9" customHeight="1">
      <c r="A59" s="6"/>
      <c r="C59" s="84"/>
      <c r="D59" s="3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81"/>
      <c r="Z59" s="68"/>
      <c r="AA59" s="31"/>
    </row>
    <row r="60" spans="1:27">
      <c r="A60" s="6"/>
      <c r="B60" s="5" t="s">
        <v>43</v>
      </c>
      <c r="C60" s="110">
        <v>2500</v>
      </c>
      <c r="D60" s="3" t="s">
        <v>25</v>
      </c>
      <c r="E60" s="30">
        <v>0</v>
      </c>
      <c r="F60" s="30">
        <v>0</v>
      </c>
      <c r="G60" s="30">
        <v>100</v>
      </c>
      <c r="H60" s="30">
        <v>100</v>
      </c>
      <c r="I60" s="30">
        <v>100</v>
      </c>
      <c r="J60" s="30">
        <v>100</v>
      </c>
      <c r="K60" s="30">
        <v>100</v>
      </c>
      <c r="L60" s="30">
        <v>100</v>
      </c>
      <c r="M60" s="30">
        <v>100</v>
      </c>
      <c r="N60" s="30">
        <v>100</v>
      </c>
      <c r="O60" s="30">
        <v>100</v>
      </c>
      <c r="P60" s="30">
        <v>100</v>
      </c>
      <c r="Q60" s="30">
        <v>200</v>
      </c>
      <c r="R60" s="30">
        <v>200</v>
      </c>
      <c r="S60" s="30">
        <v>200</v>
      </c>
      <c r="T60" s="30">
        <v>200</v>
      </c>
      <c r="U60" s="30">
        <v>200</v>
      </c>
      <c r="V60" s="30">
        <v>200</v>
      </c>
      <c r="W60" s="30">
        <v>300</v>
      </c>
      <c r="X60" s="30"/>
      <c r="Y60" s="79">
        <f>SUM(E60:W60)</f>
        <v>2500</v>
      </c>
      <c r="Z60" s="68"/>
      <c r="AA60" s="31"/>
    </row>
    <row r="61" spans="1:27">
      <c r="A61" s="12"/>
      <c r="B61" s="22" t="s">
        <v>43</v>
      </c>
      <c r="C61" s="104"/>
      <c r="D61" s="61" t="s">
        <v>26</v>
      </c>
      <c r="E61" s="95">
        <v>0</v>
      </c>
      <c r="F61" s="95">
        <v>0</v>
      </c>
      <c r="G61" s="95">
        <v>65</v>
      </c>
      <c r="H61" s="95">
        <v>65</v>
      </c>
      <c r="I61" s="95">
        <v>65</v>
      </c>
      <c r="J61" s="95">
        <v>65</v>
      </c>
      <c r="K61" s="95">
        <v>65</v>
      </c>
      <c r="L61" s="95">
        <v>65</v>
      </c>
      <c r="M61" s="95">
        <v>65</v>
      </c>
      <c r="N61" s="95">
        <v>65</v>
      </c>
      <c r="O61" s="114">
        <v>65</v>
      </c>
      <c r="P61" s="114">
        <v>65</v>
      </c>
      <c r="Q61" s="114">
        <v>65</v>
      </c>
      <c r="R61" s="114">
        <v>65</v>
      </c>
      <c r="S61" s="114">
        <v>65</v>
      </c>
      <c r="T61" s="114">
        <v>65</v>
      </c>
      <c r="U61" s="114">
        <v>65</v>
      </c>
      <c r="V61" s="114">
        <v>65</v>
      </c>
      <c r="W61" s="114">
        <v>200</v>
      </c>
      <c r="X61" s="114"/>
      <c r="Y61" s="80">
        <f>SUM(E61:W61)</f>
        <v>1240</v>
      </c>
      <c r="Z61" s="74">
        <f>Y60-Y61</f>
        <v>1260</v>
      </c>
      <c r="AA61" s="31"/>
    </row>
    <row r="62" spans="1:27">
      <c r="A62" s="6"/>
      <c r="C62" s="105"/>
      <c r="D62" s="41"/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/>
      <c r="Q62" s="100"/>
      <c r="R62" s="100"/>
      <c r="S62" s="100"/>
      <c r="T62" s="100"/>
      <c r="U62" s="100"/>
      <c r="V62" s="100"/>
      <c r="W62" s="100"/>
      <c r="X62" s="120"/>
      <c r="Y62" s="18"/>
      <c r="Z62" s="15"/>
      <c r="AA62" s="31"/>
    </row>
    <row r="63" spans="1:27">
      <c r="A63" s="6"/>
      <c r="B63" s="5" t="s">
        <v>44</v>
      </c>
      <c r="C63" s="109">
        <v>155803.26</v>
      </c>
      <c r="D63" s="23" t="s">
        <v>25</v>
      </c>
      <c r="E63" s="42">
        <v>8200.1715789400005</v>
      </c>
      <c r="F63" s="42">
        <v>8200.1715789400005</v>
      </c>
      <c r="G63" s="42">
        <v>8200.1715789400005</v>
      </c>
      <c r="H63" s="42">
        <v>8200.1715789400005</v>
      </c>
      <c r="I63" s="42">
        <v>8200.1715789400005</v>
      </c>
      <c r="J63" s="42">
        <v>8200.1715789400005</v>
      </c>
      <c r="K63" s="42">
        <v>8200.1715789400005</v>
      </c>
      <c r="L63" s="42">
        <v>8200.1715789400005</v>
      </c>
      <c r="M63" s="42">
        <v>8200.1715789400005</v>
      </c>
      <c r="N63" s="42">
        <v>8200.1715789400005</v>
      </c>
      <c r="O63" s="42">
        <v>8200.1715789400005</v>
      </c>
      <c r="P63" s="42">
        <v>8200.1715789400005</v>
      </c>
      <c r="Q63" s="42">
        <v>8200.1715789400005</v>
      </c>
      <c r="R63" s="42">
        <v>8200.1715789400005</v>
      </c>
      <c r="S63" s="42">
        <v>8200.1715789400005</v>
      </c>
      <c r="T63" s="42">
        <v>8200.1715789400005</v>
      </c>
      <c r="U63" s="42">
        <v>8200.1715789400005</v>
      </c>
      <c r="V63" s="42">
        <v>8200.1715789400005</v>
      </c>
      <c r="W63" s="42">
        <v>8200.1715789400005</v>
      </c>
      <c r="X63" s="42"/>
      <c r="Y63" s="82">
        <f>SUM(E63:W63)</f>
        <v>155803.25999986005</v>
      </c>
      <c r="Z63" s="21"/>
      <c r="AA63" s="31"/>
    </row>
    <row r="64" spans="1:27">
      <c r="A64" s="12"/>
      <c r="B64" s="22" t="s">
        <v>44</v>
      </c>
      <c r="C64" s="107"/>
      <c r="D64" s="40" t="s">
        <v>26</v>
      </c>
      <c r="E64" s="64">
        <v>13708.23</v>
      </c>
      <c r="F64" s="64">
        <v>6660.45</v>
      </c>
      <c r="G64" s="64">
        <v>7913.8</v>
      </c>
      <c r="H64" s="64">
        <v>5808.63</v>
      </c>
      <c r="I64" s="64">
        <v>6964.95</v>
      </c>
      <c r="J64" s="64">
        <v>7276.68</v>
      </c>
      <c r="K64" s="64">
        <v>9678.56</v>
      </c>
      <c r="L64" s="64">
        <v>13140.86</v>
      </c>
      <c r="M64" s="64">
        <v>8854.6</v>
      </c>
      <c r="N64" s="64">
        <v>8693.61</v>
      </c>
      <c r="O64" s="66">
        <v>6948.92</v>
      </c>
      <c r="P64" s="66">
        <v>6948.92</v>
      </c>
      <c r="Q64" s="66">
        <v>8469.7900000000009</v>
      </c>
      <c r="R64" s="66">
        <v>6948.92</v>
      </c>
      <c r="S64" s="66">
        <v>6948.92</v>
      </c>
      <c r="T64" s="66">
        <v>8469.7900000000009</v>
      </c>
      <c r="U64" s="66">
        <v>6948.92</v>
      </c>
      <c r="V64" s="66">
        <v>8469.7900000000009</v>
      </c>
      <c r="W64" s="66">
        <v>6948.92</v>
      </c>
      <c r="X64" s="66"/>
      <c r="Y64" s="83">
        <f>SUM(E64:X64)</f>
        <v>155803.26000000004</v>
      </c>
      <c r="Z64" s="75">
        <f>Y63-Y64</f>
        <v>-1.3998942449688911E-7</v>
      </c>
      <c r="AA64" s="31"/>
    </row>
    <row r="65" spans="1:27">
      <c r="A65" s="6"/>
      <c r="C65" s="106"/>
      <c r="D65" s="14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82"/>
      <c r="Z65" s="21"/>
      <c r="AA65" s="31"/>
    </row>
    <row r="66" spans="1:27">
      <c r="A66" s="6"/>
      <c r="B66" t="s">
        <v>45</v>
      </c>
      <c r="C66" s="109">
        <v>240687.24</v>
      </c>
      <c r="D66" s="23" t="s">
        <v>25</v>
      </c>
      <c r="E66" s="50">
        <v>12667.749473600001</v>
      </c>
      <c r="F66" s="50">
        <v>12667.749473600001</v>
      </c>
      <c r="G66" s="50">
        <v>12667.749473600001</v>
      </c>
      <c r="H66" s="50">
        <v>12667.749473600001</v>
      </c>
      <c r="I66" s="50">
        <v>12667.749473600001</v>
      </c>
      <c r="J66" s="50">
        <v>12667.749473600001</v>
      </c>
      <c r="K66" s="50">
        <v>12667.749473600001</v>
      </c>
      <c r="L66" s="50">
        <v>12667.749473600001</v>
      </c>
      <c r="M66" s="50">
        <v>12667.749473600001</v>
      </c>
      <c r="N66" s="50">
        <v>12667.749473600001</v>
      </c>
      <c r="O66" s="50">
        <v>12667.749473600001</v>
      </c>
      <c r="P66" s="50">
        <v>12667.749473600001</v>
      </c>
      <c r="Q66" s="50">
        <v>12667.749473600001</v>
      </c>
      <c r="R66" s="50">
        <v>12667.749473600001</v>
      </c>
      <c r="S66" s="50">
        <v>12667.749473600001</v>
      </c>
      <c r="T66" s="50">
        <v>12667.749473600001</v>
      </c>
      <c r="U66" s="50">
        <v>12667.749473600001</v>
      </c>
      <c r="V66" s="50">
        <v>12667.749473600001</v>
      </c>
      <c r="W66" s="50">
        <v>12667.749473600001</v>
      </c>
      <c r="X66" s="50"/>
      <c r="Y66" s="82">
        <f>SUM(E66:W66)</f>
        <v>240687.23999840009</v>
      </c>
      <c r="Z66" s="21"/>
      <c r="AA66" s="31"/>
    </row>
    <row r="67" spans="1:27">
      <c r="A67" s="12"/>
      <c r="B67" s="1" t="s">
        <v>45</v>
      </c>
      <c r="C67" s="107"/>
      <c r="D67" s="40" t="s">
        <v>26</v>
      </c>
      <c r="E67" s="65">
        <v>8103.12</v>
      </c>
      <c r="F67" s="65">
        <v>9723.2800000000007</v>
      </c>
      <c r="G67" s="65">
        <v>9134.32</v>
      </c>
      <c r="H67" s="65">
        <v>8286.9</v>
      </c>
      <c r="I67" s="65">
        <v>10358.61</v>
      </c>
      <c r="J67" s="65">
        <v>8343.0400000000009</v>
      </c>
      <c r="K67" s="65">
        <v>8287.7900000000009</v>
      </c>
      <c r="L67" s="65">
        <v>10466.299999999999</v>
      </c>
      <c r="M67" s="65">
        <v>8286.2900000000009</v>
      </c>
      <c r="N67" s="65">
        <v>12662.55</v>
      </c>
      <c r="O67" s="67">
        <v>10130.040000000001</v>
      </c>
      <c r="P67" s="67">
        <v>10130.040000000001</v>
      </c>
      <c r="Q67" s="67">
        <v>12662.55</v>
      </c>
      <c r="R67" s="67">
        <v>10130.040000000001</v>
      </c>
      <c r="S67" s="67">
        <v>10130.040000000001</v>
      </c>
      <c r="T67" s="67">
        <v>12662.55</v>
      </c>
      <c r="U67" s="67">
        <v>10130.040000000001</v>
      </c>
      <c r="V67" s="67">
        <v>12662.55</v>
      </c>
      <c r="W67" s="67">
        <v>10130.040000000001</v>
      </c>
      <c r="X67" s="67">
        <v>9267.15</v>
      </c>
      <c r="Y67" s="83">
        <f>SUM(E67:X67)</f>
        <v>201687.24</v>
      </c>
      <c r="Z67" s="75">
        <f>Y66-Y67</f>
        <v>38999.999998400104</v>
      </c>
      <c r="AA67" s="31"/>
    </row>
    <row r="68" spans="1:27">
      <c r="A68" s="6"/>
      <c r="C68" s="106"/>
      <c r="D68" s="23"/>
      <c r="E68" s="88"/>
      <c r="F68" s="88"/>
      <c r="G68" s="88"/>
      <c r="H68" s="88"/>
      <c r="I68" s="88"/>
      <c r="J68" s="88"/>
      <c r="K68" s="88"/>
      <c r="L68" s="89"/>
      <c r="M68" s="89"/>
      <c r="N68" s="89"/>
      <c r="O68" s="89"/>
      <c r="P68" s="89"/>
      <c r="Q68" s="89"/>
      <c r="R68" s="89"/>
      <c r="S68" s="89"/>
      <c r="T68" s="89"/>
      <c r="U68" s="89"/>
      <c r="V68" s="89"/>
      <c r="W68" s="89"/>
      <c r="X68" s="89"/>
      <c r="Y68" s="82"/>
      <c r="Z68" s="90"/>
      <c r="AA68" s="31"/>
    </row>
    <row r="69" spans="1:27">
      <c r="A69" s="6"/>
      <c r="B69" t="s">
        <v>46</v>
      </c>
      <c r="C69" s="109">
        <v>43540</v>
      </c>
      <c r="D69" s="93" t="s">
        <v>25</v>
      </c>
      <c r="E69" s="50">
        <v>2291.578947</v>
      </c>
      <c r="F69" s="50">
        <v>2291.578947</v>
      </c>
      <c r="G69" s="50">
        <v>2291.578947</v>
      </c>
      <c r="H69" s="50">
        <v>2291.578947</v>
      </c>
      <c r="I69" s="50">
        <v>2291.578947</v>
      </c>
      <c r="J69" s="50">
        <v>2291.578947</v>
      </c>
      <c r="K69" s="50">
        <v>2291.578947</v>
      </c>
      <c r="L69" s="50">
        <v>2291.578947</v>
      </c>
      <c r="M69" s="50">
        <v>2291.578947</v>
      </c>
      <c r="N69" s="50">
        <v>2291.578947</v>
      </c>
      <c r="O69" s="50">
        <v>2291.578947</v>
      </c>
      <c r="P69" s="50">
        <v>2291.578947</v>
      </c>
      <c r="Q69" s="50">
        <v>2291.578947</v>
      </c>
      <c r="R69" s="50">
        <v>2291.578947</v>
      </c>
      <c r="S69" s="50">
        <v>2291.578947</v>
      </c>
      <c r="T69" s="50">
        <v>2291.578947</v>
      </c>
      <c r="U69" s="50">
        <v>2291.578947</v>
      </c>
      <c r="V69" s="50">
        <v>2291.578947</v>
      </c>
      <c r="W69" s="50">
        <v>2291.578947</v>
      </c>
      <c r="X69" s="50"/>
      <c r="Y69" s="82">
        <f>SUM(E69:W69)</f>
        <v>43539.999993000019</v>
      </c>
      <c r="Z69" s="90"/>
      <c r="AA69" s="31"/>
    </row>
    <row r="70" spans="1:27">
      <c r="A70" s="6"/>
      <c r="B70" t="s">
        <v>46</v>
      </c>
      <c r="C70" s="106"/>
      <c r="D70" s="93" t="s">
        <v>26</v>
      </c>
      <c r="E70" s="65">
        <v>0</v>
      </c>
      <c r="F70" s="88">
        <v>0</v>
      </c>
      <c r="G70" s="88">
        <v>0</v>
      </c>
      <c r="H70" s="88">
        <v>0</v>
      </c>
      <c r="I70" s="88">
        <v>0</v>
      </c>
      <c r="J70" s="88">
        <v>0</v>
      </c>
      <c r="K70" s="88">
        <v>0</v>
      </c>
      <c r="L70" s="88">
        <v>0</v>
      </c>
      <c r="M70" s="88">
        <v>0</v>
      </c>
      <c r="N70" s="88">
        <v>0</v>
      </c>
      <c r="O70" s="89">
        <v>1400</v>
      </c>
      <c r="P70" s="89">
        <v>1400</v>
      </c>
      <c r="Q70" s="89">
        <v>1400</v>
      </c>
      <c r="R70" s="89">
        <v>1300</v>
      </c>
      <c r="S70" s="89">
        <v>1300</v>
      </c>
      <c r="T70" s="89">
        <v>1300</v>
      </c>
      <c r="U70" s="89">
        <v>1300</v>
      </c>
      <c r="V70" s="89">
        <v>1300</v>
      </c>
      <c r="W70" s="89">
        <v>1300</v>
      </c>
      <c r="X70" s="89"/>
      <c r="Y70" s="82">
        <f>SUM(E70:W70)</f>
        <v>12000</v>
      </c>
      <c r="Z70" s="90">
        <f>Y69-Y70</f>
        <v>31539.999993000019</v>
      </c>
      <c r="AA70" s="31"/>
    </row>
    <row r="71" spans="1:27">
      <c r="A71" s="26"/>
      <c r="B71" s="27"/>
      <c r="C71" s="105"/>
      <c r="D71" s="41"/>
      <c r="E71" s="121"/>
      <c r="F71" s="121"/>
      <c r="G71" s="121"/>
      <c r="H71" s="121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91"/>
      <c r="Z71" s="92"/>
    </row>
    <row r="72" spans="1:27">
      <c r="A72" s="6"/>
      <c r="B72" t="s">
        <v>47</v>
      </c>
      <c r="C72" s="109">
        <v>302817.53000000003</v>
      </c>
      <c r="D72" s="23" t="s">
        <v>25</v>
      </c>
      <c r="E72" s="50">
        <v>15937.7647368</v>
      </c>
      <c r="F72" s="50">
        <v>15937.7647368</v>
      </c>
      <c r="G72" s="50">
        <v>15937.7647368</v>
      </c>
      <c r="H72" s="50">
        <v>15937.7647368</v>
      </c>
      <c r="I72" s="50">
        <v>15937.7647368</v>
      </c>
      <c r="J72" s="50">
        <v>15937.7647368</v>
      </c>
      <c r="K72" s="50">
        <v>15937.7647368</v>
      </c>
      <c r="L72" s="50">
        <v>15937.7647368</v>
      </c>
      <c r="M72" s="50">
        <v>15937.7647368</v>
      </c>
      <c r="N72" s="50">
        <v>15937.7647368</v>
      </c>
      <c r="O72" s="50">
        <v>15937.7647368</v>
      </c>
      <c r="P72" s="50">
        <v>15937.7647368</v>
      </c>
      <c r="Q72" s="50">
        <v>15937.7647368</v>
      </c>
      <c r="R72" s="50">
        <v>15937.7647368</v>
      </c>
      <c r="S72" s="50">
        <v>15937.7647368</v>
      </c>
      <c r="T72" s="50">
        <v>15937.7647368</v>
      </c>
      <c r="U72" s="50">
        <v>15937.7647368</v>
      </c>
      <c r="V72" s="50">
        <v>15937.7647368</v>
      </c>
      <c r="W72" s="50">
        <v>15937.7647368</v>
      </c>
      <c r="X72" s="50"/>
      <c r="Y72" s="82">
        <f>SUM(E72:W72)</f>
        <v>302817.52999919991</v>
      </c>
      <c r="Z72" s="21"/>
    </row>
    <row r="73" spans="1:27">
      <c r="A73" s="12"/>
      <c r="B73" s="1" t="s">
        <v>47</v>
      </c>
      <c r="C73" s="107"/>
      <c r="D73" s="40" t="s">
        <v>26</v>
      </c>
      <c r="E73" s="65">
        <v>6044.78</v>
      </c>
      <c r="F73" s="65">
        <v>2309.06</v>
      </c>
      <c r="G73" s="65">
        <v>16799.62</v>
      </c>
      <c r="H73" s="65">
        <v>16716.72</v>
      </c>
      <c r="I73" s="65">
        <v>18123.63</v>
      </c>
      <c r="J73" s="65">
        <v>15455.5</v>
      </c>
      <c r="K73" s="65">
        <v>14393.54</v>
      </c>
      <c r="L73" s="65">
        <v>19286.349999999999</v>
      </c>
      <c r="M73" s="65">
        <v>14993.54</v>
      </c>
      <c r="N73" s="65">
        <v>18591.919999999998</v>
      </c>
      <c r="O73" s="67">
        <v>15201.64</v>
      </c>
      <c r="P73" s="67">
        <v>15201.64</v>
      </c>
      <c r="Q73" s="67">
        <v>17897.13</v>
      </c>
      <c r="R73" s="67">
        <v>15201.64</v>
      </c>
      <c r="S73" s="67">
        <v>15201.64</v>
      </c>
      <c r="T73" s="67">
        <v>17897.13</v>
      </c>
      <c r="U73" s="67">
        <v>15201.64</v>
      </c>
      <c r="V73" s="67">
        <v>17897.13</v>
      </c>
      <c r="W73" s="67">
        <v>15201.64</v>
      </c>
      <c r="X73" s="67">
        <v>15201.64</v>
      </c>
      <c r="Y73" s="83">
        <f>SUM(E73:X73)</f>
        <v>302817.53000000014</v>
      </c>
      <c r="Z73" s="75">
        <f>Y72-Y73</f>
        <v>-8.0023892223834991E-7</v>
      </c>
    </row>
    <row r="74" spans="1:27">
      <c r="A74" s="6"/>
      <c r="C74" s="106"/>
      <c r="D74" s="14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82"/>
      <c r="Z74" s="21"/>
    </row>
    <row r="75" spans="1:27">
      <c r="A75" s="6"/>
      <c r="B75" s="5" t="s">
        <v>48</v>
      </c>
      <c r="C75" s="109">
        <v>131330.73000000001</v>
      </c>
      <c r="D75" s="23" t="s">
        <v>25</v>
      </c>
      <c r="E75" s="50">
        <v>6912.1436842100002</v>
      </c>
      <c r="F75" s="50">
        <v>6912.1436842100002</v>
      </c>
      <c r="G75" s="50">
        <v>6912.1436842100002</v>
      </c>
      <c r="H75" s="50">
        <v>6912.1436842100002</v>
      </c>
      <c r="I75" s="50">
        <v>6912.1436842100002</v>
      </c>
      <c r="J75" s="50">
        <v>6912.1436842100002</v>
      </c>
      <c r="K75" s="50">
        <v>6912.1436842100002</v>
      </c>
      <c r="L75" s="50">
        <v>6912.1436842100002</v>
      </c>
      <c r="M75" s="50">
        <v>6912.1436842100002</v>
      </c>
      <c r="N75" s="50">
        <v>6912.1436842100002</v>
      </c>
      <c r="O75" s="50">
        <v>6912.1436842100002</v>
      </c>
      <c r="P75" s="50">
        <v>6912.1436842100002</v>
      </c>
      <c r="Q75" s="50">
        <v>6912.1436842100002</v>
      </c>
      <c r="R75" s="50">
        <v>6912.1436842100002</v>
      </c>
      <c r="S75" s="50">
        <v>6912.1436842100002</v>
      </c>
      <c r="T75" s="50">
        <v>6912.1436842100002</v>
      </c>
      <c r="U75" s="50">
        <v>6912.1436842100002</v>
      </c>
      <c r="V75" s="50">
        <v>6912.1436842100002</v>
      </c>
      <c r="W75" s="50">
        <v>6912.1436842100002</v>
      </c>
      <c r="X75" s="50"/>
      <c r="Y75" s="82">
        <f>SUM(E75:W75)</f>
        <v>131330.72999998994</v>
      </c>
      <c r="Z75" s="21"/>
    </row>
    <row r="76" spans="1:27">
      <c r="A76" s="12"/>
      <c r="B76" s="22" t="s">
        <v>48</v>
      </c>
      <c r="C76" s="107"/>
      <c r="D76" s="40" t="s">
        <v>26</v>
      </c>
      <c r="E76" s="65">
        <v>3433.63</v>
      </c>
      <c r="F76" s="65">
        <v>4897.3500000000004</v>
      </c>
      <c r="G76" s="65">
        <v>4050.48</v>
      </c>
      <c r="H76" s="65">
        <v>4843.3500000000004</v>
      </c>
      <c r="I76" s="65">
        <v>5006.0600000000004</v>
      </c>
      <c r="J76" s="65">
        <v>4030.03</v>
      </c>
      <c r="K76" s="65">
        <v>4007.87</v>
      </c>
      <c r="L76" s="65">
        <v>5005.57</v>
      </c>
      <c r="M76" s="65">
        <v>4004.45</v>
      </c>
      <c r="N76" s="65">
        <v>5005.5600000000004</v>
      </c>
      <c r="O76" s="67">
        <v>4004.84</v>
      </c>
      <c r="P76" s="67">
        <v>4004.84</v>
      </c>
      <c r="Q76" s="67">
        <v>5006.05</v>
      </c>
      <c r="R76" s="67">
        <v>4004.84</v>
      </c>
      <c r="S76" s="67">
        <v>4004.84</v>
      </c>
      <c r="T76" s="67">
        <v>5006.05</v>
      </c>
      <c r="U76" s="67">
        <v>4004.84</v>
      </c>
      <c r="V76" s="67">
        <v>5006.05</v>
      </c>
      <c r="W76" s="67">
        <v>4004.84</v>
      </c>
      <c r="X76" s="67">
        <v>5999.19</v>
      </c>
      <c r="Y76" s="83">
        <f>SUM(E76:X76)</f>
        <v>89330.729999999981</v>
      </c>
      <c r="Z76" s="75">
        <f>Y75-Y76</f>
        <v>41999.999999989959</v>
      </c>
    </row>
    <row r="77" spans="1:27">
      <c r="A77" s="6"/>
      <c r="C77" s="106"/>
      <c r="D77" s="18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82"/>
      <c r="Z77" s="21"/>
    </row>
    <row r="78" spans="1:27">
      <c r="A78" s="6"/>
      <c r="B78" t="s">
        <v>49</v>
      </c>
      <c r="C78" s="109">
        <v>41383</v>
      </c>
      <c r="D78" s="23" t="s">
        <v>25</v>
      </c>
      <c r="E78" s="50">
        <v>2178.0526315699999</v>
      </c>
      <c r="F78" s="50">
        <v>2178.0526315699999</v>
      </c>
      <c r="G78" s="50">
        <v>2178.0526315699999</v>
      </c>
      <c r="H78" s="50">
        <v>2178.0526315699999</v>
      </c>
      <c r="I78" s="50">
        <v>2178.0526315699999</v>
      </c>
      <c r="J78" s="50">
        <v>2178.0526315699999</v>
      </c>
      <c r="K78" s="50">
        <v>2178.0526315699999</v>
      </c>
      <c r="L78" s="50">
        <v>2178.0526315699999</v>
      </c>
      <c r="M78" s="50">
        <v>2178.0526315699999</v>
      </c>
      <c r="N78" s="50">
        <v>2178.0526315699999</v>
      </c>
      <c r="O78" s="50">
        <v>2178.0526315699999</v>
      </c>
      <c r="P78" s="50">
        <v>2178.0526315699999</v>
      </c>
      <c r="Q78" s="50">
        <v>2178.0526315699999</v>
      </c>
      <c r="R78" s="50">
        <v>2178.0526315699999</v>
      </c>
      <c r="S78" s="50">
        <v>2178.0526315699999</v>
      </c>
      <c r="T78" s="50">
        <v>2178.0526315699999</v>
      </c>
      <c r="U78" s="50">
        <v>2178.0526315699999</v>
      </c>
      <c r="V78" s="50">
        <v>2178.0526315699999</v>
      </c>
      <c r="W78" s="50">
        <v>2178.0526315699999</v>
      </c>
      <c r="X78" s="50"/>
      <c r="Y78" s="82">
        <f>SUM(E78:W78)</f>
        <v>41382.999999829997</v>
      </c>
      <c r="Z78" s="21"/>
    </row>
    <row r="79" spans="1:27">
      <c r="A79" s="12"/>
      <c r="B79" s="1" t="s">
        <v>49</v>
      </c>
      <c r="C79" s="107"/>
      <c r="D79" s="40" t="s">
        <v>26</v>
      </c>
      <c r="E79" s="65">
        <v>295.88</v>
      </c>
      <c r="F79" s="65">
        <v>76.540000000000006</v>
      </c>
      <c r="G79" s="65">
        <v>127.21</v>
      </c>
      <c r="H79" s="65">
        <v>127.21</v>
      </c>
      <c r="I79" s="65">
        <v>254.43</v>
      </c>
      <c r="J79" s="65">
        <v>255.5</v>
      </c>
      <c r="K79" s="65">
        <v>254.22</v>
      </c>
      <c r="L79" s="65">
        <v>254.22</v>
      </c>
      <c r="M79" s="65">
        <v>127.11</v>
      </c>
      <c r="N79" s="65">
        <v>381.33</v>
      </c>
      <c r="O79" s="51">
        <v>1100</v>
      </c>
      <c r="P79" s="51">
        <v>1100</v>
      </c>
      <c r="Q79" s="51">
        <v>1100</v>
      </c>
      <c r="R79" s="51">
        <v>1100</v>
      </c>
      <c r="S79" s="51">
        <v>1100</v>
      </c>
      <c r="T79" s="51">
        <v>1100</v>
      </c>
      <c r="U79" s="51">
        <v>1200</v>
      </c>
      <c r="V79" s="51">
        <v>1200</v>
      </c>
      <c r="W79" s="51">
        <v>1142.1300000000001</v>
      </c>
      <c r="X79" s="51"/>
      <c r="Y79" s="83">
        <f>SUM(E79:W79)</f>
        <v>12295.779999999999</v>
      </c>
      <c r="Z79" s="75">
        <f>Y78-Y79</f>
        <v>29087.219999829998</v>
      </c>
    </row>
    <row r="80" spans="1:27">
      <c r="A80" s="6"/>
      <c r="C80" s="106"/>
      <c r="D80" s="14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82"/>
      <c r="Z80" s="21"/>
    </row>
    <row r="81" spans="1:26">
      <c r="A81" s="6"/>
      <c r="B81" s="5" t="s">
        <v>50</v>
      </c>
      <c r="C81" s="109">
        <v>35250</v>
      </c>
      <c r="D81" s="23" t="s">
        <v>25</v>
      </c>
      <c r="E81" s="50">
        <v>4609.6000000000004</v>
      </c>
      <c r="F81" s="50">
        <v>1684.2105260000001</v>
      </c>
      <c r="G81" s="50">
        <v>1684.2105260000001</v>
      </c>
      <c r="H81" s="50">
        <v>2008.82</v>
      </c>
      <c r="I81" s="50">
        <v>1684.2105260000001</v>
      </c>
      <c r="J81" s="50">
        <v>1684.2105260000001</v>
      </c>
      <c r="K81" s="50">
        <v>1684.2105260000001</v>
      </c>
      <c r="L81" s="50">
        <v>1684.2105260000001</v>
      </c>
      <c r="M81" s="50">
        <v>1684.2105260000001</v>
      </c>
      <c r="N81" s="50">
        <v>1684.2105260000001</v>
      </c>
      <c r="O81" s="50">
        <v>1684.2105260000001</v>
      </c>
      <c r="P81" s="50">
        <v>1684.2105260000001</v>
      </c>
      <c r="Q81" s="50">
        <v>1684.2105260000001</v>
      </c>
      <c r="R81" s="50">
        <v>1684.2105260000001</v>
      </c>
      <c r="S81" s="50">
        <v>1684.2105260000001</v>
      </c>
      <c r="T81" s="50">
        <v>1684.2105260000001</v>
      </c>
      <c r="U81" s="50">
        <v>1684.2105260000001</v>
      </c>
      <c r="V81" s="50">
        <v>1684.2105260000001</v>
      </c>
      <c r="W81" s="50">
        <v>1684.2105260000001</v>
      </c>
      <c r="X81" s="50"/>
      <c r="Y81" s="82">
        <f>SUM(E81:W81)</f>
        <v>35249.998941999998</v>
      </c>
      <c r="Z81" s="21"/>
    </row>
    <row r="82" spans="1:26">
      <c r="A82" s="12"/>
      <c r="B82" s="22" t="s">
        <v>50</v>
      </c>
      <c r="C82" s="107"/>
      <c r="D82" s="40" t="s">
        <v>26</v>
      </c>
      <c r="E82" s="65">
        <v>8000</v>
      </c>
      <c r="F82" s="65">
        <v>0</v>
      </c>
      <c r="G82" s="65">
        <v>1834</v>
      </c>
      <c r="H82" s="65">
        <v>2832</v>
      </c>
      <c r="I82" s="65">
        <v>1416</v>
      </c>
      <c r="J82" s="65">
        <v>1416</v>
      </c>
      <c r="K82" s="65">
        <v>1510.8</v>
      </c>
      <c r="L82" s="65">
        <v>1573.81</v>
      </c>
      <c r="M82" s="65">
        <v>1416</v>
      </c>
      <c r="N82" s="65">
        <v>1416</v>
      </c>
      <c r="O82" s="51">
        <v>1416</v>
      </c>
      <c r="P82" s="51">
        <v>1416</v>
      </c>
      <c r="Q82" s="51">
        <v>1416</v>
      </c>
      <c r="R82" s="51">
        <v>1416</v>
      </c>
      <c r="S82" s="51">
        <v>1416</v>
      </c>
      <c r="T82" s="51">
        <v>1416</v>
      </c>
      <c r="U82" s="51">
        <v>1416</v>
      </c>
      <c r="V82" s="51">
        <v>1416</v>
      </c>
      <c r="W82" s="51">
        <v>2507.39</v>
      </c>
      <c r="X82" s="51"/>
      <c r="Y82" s="83">
        <f>SUM(E82:W82)</f>
        <v>35250</v>
      </c>
      <c r="Z82" s="75">
        <f>Y81-Y82</f>
        <v>-1.0580000016489066E-3</v>
      </c>
    </row>
    <row r="83" spans="1:26">
      <c r="A83" s="6"/>
      <c r="C83" s="106"/>
      <c r="D83" s="14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82"/>
      <c r="Z83" s="21"/>
    </row>
    <row r="84" spans="1:26">
      <c r="A84" s="6"/>
      <c r="B84" s="5" t="s">
        <v>51</v>
      </c>
      <c r="C84" s="109">
        <v>57087</v>
      </c>
      <c r="D84" s="23" t="s">
        <v>25</v>
      </c>
      <c r="E84" s="50">
        <v>3004.578947</v>
      </c>
      <c r="F84" s="50">
        <v>3004.578947</v>
      </c>
      <c r="G84" s="50">
        <v>3004.578947</v>
      </c>
      <c r="H84" s="50">
        <v>3004.578947</v>
      </c>
      <c r="I84" s="50">
        <v>3004.578947</v>
      </c>
      <c r="J84" s="50">
        <v>3004.578947</v>
      </c>
      <c r="K84" s="50">
        <v>3004.578947</v>
      </c>
      <c r="L84" s="50">
        <v>3004.578947</v>
      </c>
      <c r="M84" s="50">
        <v>3004.578947</v>
      </c>
      <c r="N84" s="50">
        <v>3004.578947</v>
      </c>
      <c r="O84" s="50">
        <v>3004.578947</v>
      </c>
      <c r="P84" s="50">
        <v>3004.578947</v>
      </c>
      <c r="Q84" s="50">
        <v>3004.578947</v>
      </c>
      <c r="R84" s="50">
        <v>3004.578947</v>
      </c>
      <c r="S84" s="50">
        <v>3004.578947</v>
      </c>
      <c r="T84" s="50">
        <v>3004.578947</v>
      </c>
      <c r="U84" s="50">
        <v>3004.578947</v>
      </c>
      <c r="V84" s="50">
        <v>3004.578947</v>
      </c>
      <c r="W84" s="50">
        <v>3004.578947</v>
      </c>
      <c r="X84" s="50"/>
      <c r="Y84" s="82">
        <f>SUM(E84:W84)</f>
        <v>57086.999993000019</v>
      </c>
      <c r="Z84" s="21"/>
    </row>
    <row r="85" spans="1:26">
      <c r="A85" s="12"/>
      <c r="B85" s="22" t="s">
        <v>51</v>
      </c>
      <c r="C85" s="107"/>
      <c r="D85" s="40" t="s">
        <v>26</v>
      </c>
      <c r="E85" s="65">
        <v>2353.21</v>
      </c>
      <c r="F85" s="65">
        <v>0</v>
      </c>
      <c r="G85" s="65">
        <v>880.69</v>
      </c>
      <c r="H85" s="65">
        <v>2658.52</v>
      </c>
      <c r="I85" s="65">
        <v>2658.52</v>
      </c>
      <c r="J85" s="65">
        <v>668.81</v>
      </c>
      <c r="K85" s="65">
        <v>332.33</v>
      </c>
      <c r="L85" s="65">
        <v>332.33</v>
      </c>
      <c r="M85" s="65">
        <v>664.95</v>
      </c>
      <c r="N85" s="65">
        <v>0</v>
      </c>
      <c r="O85" s="51">
        <v>2353.21</v>
      </c>
      <c r="P85" s="51">
        <v>2353.21</v>
      </c>
      <c r="Q85" s="51">
        <v>2941.51</v>
      </c>
      <c r="R85" s="51">
        <v>2353.21</v>
      </c>
      <c r="S85" s="51">
        <v>2353.21</v>
      </c>
      <c r="T85" s="51">
        <v>2941.51</v>
      </c>
      <c r="U85" s="51">
        <v>2353.21</v>
      </c>
      <c r="V85" s="51">
        <v>2941.51</v>
      </c>
      <c r="W85" s="51">
        <v>4630.0600000000004</v>
      </c>
      <c r="X85" s="51"/>
      <c r="Y85" s="83">
        <f>SUM(E85:W85)</f>
        <v>35770</v>
      </c>
      <c r="Z85" s="75">
        <f>Y84-Y85</f>
        <v>21316.999993000019</v>
      </c>
    </row>
    <row r="86" spans="1:26">
      <c r="A86" s="6"/>
      <c r="C86" s="106"/>
      <c r="D86" s="14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82"/>
      <c r="Z86" s="21"/>
    </row>
    <row r="87" spans="1:26">
      <c r="A87" s="6"/>
      <c r="B87" s="5" t="s">
        <v>52</v>
      </c>
      <c r="C87" s="109">
        <v>29685</v>
      </c>
      <c r="D87" s="23" t="s">
        <v>25</v>
      </c>
      <c r="E87" s="50">
        <v>1562.36842</v>
      </c>
      <c r="F87" s="50">
        <v>1562.36842</v>
      </c>
      <c r="G87" s="50">
        <v>1562.36842</v>
      </c>
      <c r="H87" s="50">
        <v>1562.36842</v>
      </c>
      <c r="I87" s="50">
        <v>1562.36842</v>
      </c>
      <c r="J87" s="50">
        <v>1562.36842</v>
      </c>
      <c r="K87" s="50">
        <v>1562.36842</v>
      </c>
      <c r="L87" s="50">
        <v>1562.36842</v>
      </c>
      <c r="M87" s="50">
        <v>1562.36842</v>
      </c>
      <c r="N87" s="50">
        <v>1562.36842</v>
      </c>
      <c r="O87" s="50">
        <v>1562.36842</v>
      </c>
      <c r="P87" s="50">
        <v>1562.36842</v>
      </c>
      <c r="Q87" s="50">
        <v>1562.36842</v>
      </c>
      <c r="R87" s="50">
        <v>1562.36842</v>
      </c>
      <c r="S87" s="50">
        <v>1562.36842</v>
      </c>
      <c r="T87" s="50">
        <v>1562.36842</v>
      </c>
      <c r="U87" s="50">
        <v>1562.36842</v>
      </c>
      <c r="V87" s="50">
        <v>1562.36842</v>
      </c>
      <c r="W87" s="50">
        <v>1562.36842</v>
      </c>
      <c r="X87" s="50"/>
      <c r="Y87" s="82">
        <f>SUM(E87:W87)</f>
        <v>29684.999979999993</v>
      </c>
      <c r="Z87" s="21"/>
    </row>
    <row r="88" spans="1:26">
      <c r="A88" s="12"/>
      <c r="B88" s="22" t="s">
        <v>52</v>
      </c>
      <c r="C88" s="70"/>
      <c r="D88" s="40" t="s">
        <v>26</v>
      </c>
      <c r="E88" s="65">
        <v>752.35</v>
      </c>
      <c r="F88" s="65">
        <v>495.36</v>
      </c>
      <c r="G88" s="65">
        <v>544.55999999999995</v>
      </c>
      <c r="H88" s="65">
        <v>510.59</v>
      </c>
      <c r="I88" s="65">
        <v>532.1</v>
      </c>
      <c r="J88" s="65">
        <v>747.67</v>
      </c>
      <c r="K88" s="65">
        <v>965.3</v>
      </c>
      <c r="L88" s="65">
        <v>1446.07</v>
      </c>
      <c r="M88" s="65">
        <v>1183.4100000000001</v>
      </c>
      <c r="N88" s="65">
        <v>1540.04</v>
      </c>
      <c r="O88" s="51">
        <v>1150</v>
      </c>
      <c r="P88" s="51">
        <v>1150</v>
      </c>
      <c r="Q88" s="51">
        <v>1446.07</v>
      </c>
      <c r="R88" s="51">
        <v>1150</v>
      </c>
      <c r="S88" s="51">
        <v>1150</v>
      </c>
      <c r="T88" s="51">
        <v>1446.07</v>
      </c>
      <c r="U88" s="51">
        <v>1150</v>
      </c>
      <c r="V88" s="51">
        <v>1446.07</v>
      </c>
      <c r="W88" s="51">
        <v>1150</v>
      </c>
      <c r="X88" s="51">
        <v>1091.03</v>
      </c>
      <c r="Y88" s="83">
        <f>SUM(E88:X88)</f>
        <v>21046.69</v>
      </c>
      <c r="Z88" s="75">
        <f>Y87-Y88</f>
        <v>8638.3099799999945</v>
      </c>
    </row>
    <row r="89" spans="1:26">
      <c r="A89" s="26"/>
      <c r="B89" s="27"/>
      <c r="C89" s="71">
        <f>C87+C84+C81+C78+C75+C72+C69+C66+C63+C60+C57+C54+C51+C48+C45+C42+C39+C36+C33+C30+C27+C24+C21+C18+C15+C12</f>
        <v>1328900.03</v>
      </c>
      <c r="D89" s="28"/>
      <c r="E89" s="5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01"/>
      <c r="Y89" s="79"/>
      <c r="Z89" s="32"/>
    </row>
    <row r="90" spans="1:26">
      <c r="A90" s="6"/>
      <c r="C90" s="62"/>
      <c r="D90" s="23" t="s">
        <v>25</v>
      </c>
      <c r="E90" s="122">
        <f>+E12+E18+E21+E27+E30+E33+E36+E39+E42+E48+E51+E54+E60+E45+E57+E24+E15+E63+E66+E72+E75+E78+E81+E84+E87+E69</f>
        <v>57686.548945119997</v>
      </c>
      <c r="F90" s="122">
        <f>+F12+F18+F21+F27+F30+F33+F36+F39+F42+F48+F51+F54+F60+F45+F57+F24+F15+F63+F66+F72+F75+F78+F81+F84+F87+F69</f>
        <v>55361.159471120001</v>
      </c>
      <c r="G90" s="122">
        <f t="shared" ref="G90:X90" si="0">+G12+G18+G21+G27+G30+G33+G36+G39+G42+G48+G51+G54+G60+G45+G57+G24+G15+G63+G66+G72+G75+G78+G81+G84+G87+G69</f>
        <v>93571.571227119988</v>
      </c>
      <c r="H90" s="122">
        <f t="shared" si="0"/>
        <v>68719.394986829997</v>
      </c>
      <c r="I90" s="122">
        <f t="shared" si="0"/>
        <v>69551.648254590007</v>
      </c>
      <c r="J90" s="122">
        <f t="shared" si="0"/>
        <v>68128.118842830008</v>
      </c>
      <c r="K90" s="122">
        <f t="shared" si="0"/>
        <v>65628.118842830008</v>
      </c>
      <c r="L90" s="122">
        <f t="shared" si="0"/>
        <v>70128.118842830008</v>
      </c>
      <c r="M90" s="122">
        <f t="shared" si="0"/>
        <v>77838.41296283</v>
      </c>
      <c r="N90" s="122">
        <f t="shared" si="0"/>
        <v>66444.712962830003</v>
      </c>
      <c r="O90" s="122">
        <f t="shared" si="0"/>
        <v>66444.712962830003</v>
      </c>
      <c r="P90" s="122">
        <f t="shared" si="0"/>
        <v>66444.712962830003</v>
      </c>
      <c r="Q90" s="122">
        <f t="shared" si="0"/>
        <v>66444.712962830003</v>
      </c>
      <c r="R90" s="122">
        <f t="shared" si="0"/>
        <v>66844.712962830003</v>
      </c>
      <c r="S90" s="122">
        <f t="shared" si="0"/>
        <v>66844.712962830003</v>
      </c>
      <c r="T90" s="122">
        <f t="shared" si="0"/>
        <v>68844.712962830003</v>
      </c>
      <c r="U90" s="122">
        <f t="shared" si="0"/>
        <v>79594.712962829988</v>
      </c>
      <c r="V90" s="122">
        <f t="shared" si="0"/>
        <v>74719.998677120006</v>
      </c>
      <c r="W90" s="122">
        <f t="shared" si="0"/>
        <v>79659.228677119987</v>
      </c>
      <c r="X90" s="122">
        <f t="shared" si="0"/>
        <v>0</v>
      </c>
      <c r="Y90" s="79">
        <f>+Y12+Y18+Y21+Y24+Y27+Y30+Y33+Y36+Y39+Y42+Y48+Y51+Y54+Y60+Y57+Y45+Y15+Y63+Y66+Y72+Y75+Y78+Y81+Y84+Y87+Y69</f>
        <v>1328900.0234329801</v>
      </c>
      <c r="Z90" s="33"/>
    </row>
    <row r="91" spans="1:26" ht="13.5" thickBot="1">
      <c r="A91" s="16"/>
      <c r="B91" s="17"/>
      <c r="C91" s="29"/>
      <c r="D91" s="29" t="s">
        <v>26</v>
      </c>
      <c r="E91" s="123">
        <f>+E13+E19+E22+E25+E28+E31+E34+E37+E40+E43+E46+E49+E52+E55+E58+E61+E16+E64+E67+E73+E76+E79+E82+E85+E88+E70</f>
        <v>42887.899999999994</v>
      </c>
      <c r="F91" s="123">
        <f>+F13+F19+F22+F25+F28+F31+F34+F37+F40+F43+F46+F49+F52+F55+F58+F61+F16+F64+F67+F73+F76+F79+F82+F85+F88+F70</f>
        <v>31329.510000000002</v>
      </c>
      <c r="G91" s="123">
        <f t="shared" ref="G91:X91" si="1">+G13+G19+G22+G25+G28+G31+G34+G37+G40+G43+G46+G49+G52+G55+G58+G61+G16+G64+G67+G73+G76+G79+G82+G85+G88+G70</f>
        <v>73132.02</v>
      </c>
      <c r="H91" s="123">
        <f t="shared" si="1"/>
        <v>48249.209999999992</v>
      </c>
      <c r="I91" s="123">
        <f t="shared" si="1"/>
        <v>56202.859999999993</v>
      </c>
      <c r="J91" s="123">
        <f t="shared" si="1"/>
        <v>46420.689999999995</v>
      </c>
      <c r="K91" s="123">
        <f t="shared" si="1"/>
        <v>50636.790000000015</v>
      </c>
      <c r="L91" s="123">
        <f t="shared" si="1"/>
        <v>65354.65</v>
      </c>
      <c r="M91" s="123">
        <f t="shared" si="1"/>
        <v>63242.05</v>
      </c>
      <c r="N91" s="123">
        <f t="shared" si="1"/>
        <v>52682.17</v>
      </c>
      <c r="O91" s="124">
        <f t="shared" si="1"/>
        <v>54316.6</v>
      </c>
      <c r="P91" s="124">
        <f t="shared" si="1"/>
        <v>54316.6</v>
      </c>
      <c r="Q91" s="124">
        <f t="shared" si="1"/>
        <v>62902.48000000001</v>
      </c>
      <c r="R91" s="124">
        <f t="shared" si="1"/>
        <v>54354.43</v>
      </c>
      <c r="S91" s="124">
        <f t="shared" si="1"/>
        <v>54566.6</v>
      </c>
      <c r="T91" s="124">
        <f t="shared" si="1"/>
        <v>63756.55</v>
      </c>
      <c r="U91" s="124">
        <f t="shared" si="1"/>
        <v>65587.200000000012</v>
      </c>
      <c r="V91" s="124">
        <f t="shared" si="1"/>
        <v>68699.12000000001</v>
      </c>
      <c r="W91" s="124">
        <f t="shared" si="1"/>
        <v>68774.95</v>
      </c>
      <c r="X91" s="125">
        <f t="shared" si="1"/>
        <v>31559.01</v>
      </c>
      <c r="Y91" s="80">
        <f>+Y13+Y19+Y22+Y25+Y28+Y31+Y34+Y37+Y40+Y43+Y46+Y49+Y52+Y55+Y58+Y61+Y16+Y64+Y67+Y73+Y76+Y79+Y82+Y85+Y88+Y70</f>
        <v>1108971.3900000001</v>
      </c>
      <c r="Z91" s="76">
        <f>Y90-Y91</f>
        <v>219928.63343297993</v>
      </c>
    </row>
    <row r="92" spans="1:26" ht="13.5" thickBot="1">
      <c r="A92" s="6"/>
      <c r="D92" s="63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102"/>
      <c r="Y92" s="84"/>
      <c r="Z92" s="34"/>
    </row>
    <row r="93" spans="1:26" ht="13.5" thickBot="1">
      <c r="A93" s="16"/>
      <c r="B93" s="17"/>
      <c r="C93" s="17"/>
      <c r="D93" s="17" t="s">
        <v>53</v>
      </c>
      <c r="E93" s="87">
        <f>E90-E91</f>
        <v>14798.648945120003</v>
      </c>
      <c r="F93" s="86">
        <f t="shared" ref="F93:W93" si="2">F90-F91</f>
        <v>24031.649471119999</v>
      </c>
      <c r="G93" s="86">
        <f t="shared" si="2"/>
        <v>20439.551227119984</v>
      </c>
      <c r="H93" s="86">
        <f t="shared" si="2"/>
        <v>20470.184986830005</v>
      </c>
      <c r="I93" s="86">
        <f t="shared" si="2"/>
        <v>13348.788254590014</v>
      </c>
      <c r="J93" s="86">
        <f t="shared" si="2"/>
        <v>21707.428842830013</v>
      </c>
      <c r="K93" s="86">
        <f t="shared" si="2"/>
        <v>14991.328842829993</v>
      </c>
      <c r="L93" s="86">
        <f t="shared" si="2"/>
        <v>4773.4688428300069</v>
      </c>
      <c r="M93" s="86">
        <f t="shared" si="2"/>
        <v>14596.362962829997</v>
      </c>
      <c r="N93" s="86">
        <f t="shared" si="2"/>
        <v>13762.542962830004</v>
      </c>
      <c r="O93" s="58">
        <f t="shared" si="2"/>
        <v>12128.112962830004</v>
      </c>
      <c r="P93" s="58">
        <f t="shared" si="2"/>
        <v>12128.112962830004</v>
      </c>
      <c r="Q93" s="58">
        <f t="shared" si="2"/>
        <v>3542.2329628299922</v>
      </c>
      <c r="R93" s="58">
        <f t="shared" si="2"/>
        <v>12490.282962830002</v>
      </c>
      <c r="S93" s="58">
        <f t="shared" si="2"/>
        <v>12278.112962830004</v>
      </c>
      <c r="T93" s="58">
        <f t="shared" si="2"/>
        <v>5088.1629628299997</v>
      </c>
      <c r="U93" s="58">
        <f t="shared" si="2"/>
        <v>14007.512962829976</v>
      </c>
      <c r="V93" s="58">
        <f t="shared" si="2"/>
        <v>6020.8786771199957</v>
      </c>
      <c r="W93" s="58">
        <f t="shared" si="2"/>
        <v>10884.27867711999</v>
      </c>
      <c r="X93" s="58">
        <f>X90-X91</f>
        <v>-31559.01</v>
      </c>
      <c r="Y93" s="85">
        <f>Y90-Y91</f>
        <v>219928.63343297993</v>
      </c>
      <c r="Z93" s="72">
        <f>Y90-Y91</f>
        <v>219928.63343297993</v>
      </c>
    </row>
    <row r="94" spans="1:26">
      <c r="J94" s="2"/>
      <c r="Z94" s="31"/>
    </row>
    <row r="95" spans="1:26">
      <c r="Y95" s="20"/>
      <c r="Z95" s="31"/>
    </row>
    <row r="96" spans="1:26">
      <c r="Y96" s="20"/>
      <c r="Z96" s="31"/>
    </row>
    <row r="97" spans="25:26">
      <c r="Z97" s="31"/>
    </row>
    <row r="98" spans="25:26">
      <c r="Y98" s="20"/>
      <c r="Z98" s="31"/>
    </row>
  </sheetData>
  <mergeCells count="9">
    <mergeCell ref="T6:T8"/>
    <mergeCell ref="U4:W6"/>
    <mergeCell ref="Y6:Z6"/>
    <mergeCell ref="A1:Z1"/>
    <mergeCell ref="M4:O4"/>
    <mergeCell ref="I8:K8"/>
    <mergeCell ref="A2:Z2"/>
    <mergeCell ref="W7:W9"/>
    <mergeCell ref="X7:X9"/>
  </mergeCells>
  <phoneticPr fontId="0" type="noConversion"/>
  <pageMargins left="0.75" right="0.75" top="1" bottom="1" header="0.5" footer="0.5"/>
  <pageSetup paperSize="17" scale="65" fitToHeight="5" orientation="landscape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7C989982C95E14EBE57AF46ABC927D6" ma:contentTypeVersion="8" ma:contentTypeDescription="Create a new document." ma:contentTypeScope="" ma:versionID="5a212993e1504d4a037434e8e6b4bb0d">
  <xsd:schema xmlns:xsd="http://www.w3.org/2001/XMLSchema" xmlns:xs="http://www.w3.org/2001/XMLSchema" xmlns:p="http://schemas.microsoft.com/office/2006/metadata/properties" xmlns:ns2="81b9044c-fec7-4192-b635-7032ff2b68cb" targetNamespace="http://schemas.microsoft.com/office/2006/metadata/properties" ma:root="true" ma:fieldsID="88057fcaea8c0ee07aadf3e3012980a9" ns2:_="">
    <xsd:import namespace="81b9044c-fec7-4192-b635-7032ff2b68c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b9044c-fec7-4192-b635-7032ff2b68c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C1B3A27-DA45-4D3E-B42D-8CB14A1E0030}"/>
</file>

<file path=customXml/itemProps2.xml><?xml version="1.0" encoding="utf-8"?>
<ds:datastoreItem xmlns:ds="http://schemas.openxmlformats.org/officeDocument/2006/customXml" ds:itemID="{B304CA82-D111-4AD0-8B8F-F94E8446F1D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Stiles Corporation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Bob Wagner</dc:creator>
  <cp:keywords/>
  <dc:description/>
  <cp:lastModifiedBy>X</cp:lastModifiedBy>
  <cp:revision/>
  <dcterms:created xsi:type="dcterms:W3CDTF">1999-12-02T16:03:19Z</dcterms:created>
  <dcterms:modified xsi:type="dcterms:W3CDTF">2026-03-07T15:22:58Z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0x010100C990AF8F43C8064C9FB48F54AF9E85F9</vt:lpwstr>
  </property>
</Properties>
</file>