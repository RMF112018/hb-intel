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bobbyfetting/Downloads/"/>
    </mc:Choice>
  </mc:AlternateContent>
  <xr:revisionPtr revIDLastSave="0" documentId="8_{A618BCA1-9435-C443-BD51-4690782EA71C}" xr6:coauthVersionLast="47" xr6:coauthVersionMax="47" xr10:uidLastSave="{00000000-0000-0000-0000-000000000000}"/>
  <bookViews>
    <workbookView xWindow="1200" yWindow="660" windowWidth="29040" windowHeight="18980" tabRatio="500" xr2:uid="{00000000-000D-0000-FFFF-FFFF00000000}"/>
  </bookViews>
  <sheets>
    <sheet name="Scorecard" sheetId="1" r:id="rId1"/>
    <sheet name="Aggregation Dashboard" sheetId="2" r:id="rId2"/>
  </sheets>
  <definedNames>
    <definedName name="_xlnm.Print_Area" localSheetId="0">Scorecard!$A$1:$H$92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8" i="2" l="1"/>
  <c r="E67" i="2"/>
  <c r="E66" i="2"/>
  <c r="E64" i="2"/>
  <c r="M60" i="2"/>
  <c r="N60" i="2" s="1"/>
  <c r="M59" i="2"/>
  <c r="N59" i="2" s="1"/>
  <c r="M58" i="2"/>
  <c r="N58" i="2" s="1"/>
  <c r="M57" i="2"/>
  <c r="N57" i="2" s="1"/>
  <c r="N56" i="2"/>
  <c r="M56" i="2"/>
  <c r="M55" i="2"/>
  <c r="N55" i="2" s="1"/>
  <c r="M54" i="2"/>
  <c r="N54" i="2" s="1"/>
  <c r="M53" i="2"/>
  <c r="N53" i="2" s="1"/>
  <c r="M52" i="2"/>
  <c r="N52" i="2" s="1"/>
  <c r="M51" i="2"/>
  <c r="N51" i="2" s="1"/>
  <c r="M50" i="2"/>
  <c r="N50" i="2" s="1"/>
  <c r="N49" i="2"/>
  <c r="M49" i="2"/>
  <c r="M48" i="2"/>
  <c r="N48" i="2" s="1"/>
  <c r="M47" i="2"/>
  <c r="N47" i="2" s="1"/>
  <c r="M46" i="2"/>
  <c r="N46" i="2" s="1"/>
  <c r="M45" i="2"/>
  <c r="N45" i="2" s="1"/>
  <c r="M44" i="2"/>
  <c r="N44" i="2" s="1"/>
  <c r="M43" i="2"/>
  <c r="N43" i="2" s="1"/>
  <c r="N42" i="2"/>
  <c r="M42" i="2"/>
  <c r="M41" i="2"/>
  <c r="N41" i="2" s="1"/>
  <c r="M40" i="2"/>
  <c r="N40" i="2" s="1"/>
  <c r="M39" i="2"/>
  <c r="N39" i="2" s="1"/>
  <c r="M38" i="2"/>
  <c r="N38" i="2" s="1"/>
  <c r="M37" i="2"/>
  <c r="N37" i="2" s="1"/>
  <c r="M36" i="2"/>
  <c r="N36" i="2" s="1"/>
  <c r="N35" i="2"/>
  <c r="M35" i="2"/>
  <c r="M34" i="2"/>
  <c r="N34" i="2" s="1"/>
  <c r="M33" i="2"/>
  <c r="N33" i="2" s="1"/>
  <c r="M32" i="2"/>
  <c r="N32" i="2" s="1"/>
  <c r="M31" i="2"/>
  <c r="N31" i="2" s="1"/>
  <c r="M30" i="2"/>
  <c r="N30" i="2" s="1"/>
  <c r="M29" i="2"/>
  <c r="N29" i="2" s="1"/>
  <c r="N28" i="2"/>
  <c r="M28" i="2"/>
  <c r="M27" i="2"/>
  <c r="N27" i="2" s="1"/>
  <c r="M26" i="2"/>
  <c r="N26" i="2" s="1"/>
  <c r="M25" i="2"/>
  <c r="N25" i="2" s="1"/>
  <c r="M24" i="2"/>
  <c r="N24" i="2" s="1"/>
  <c r="M23" i="2"/>
  <c r="N23" i="2" s="1"/>
  <c r="M22" i="2"/>
  <c r="N22" i="2" s="1"/>
  <c r="N21" i="2"/>
  <c r="M21" i="2"/>
  <c r="M20" i="2"/>
  <c r="N20" i="2" s="1"/>
  <c r="M19" i="2"/>
  <c r="N19" i="2" s="1"/>
  <c r="M18" i="2"/>
  <c r="N18" i="2" s="1"/>
  <c r="M17" i="2"/>
  <c r="N17" i="2" s="1"/>
  <c r="M16" i="2"/>
  <c r="N16" i="2" s="1"/>
  <c r="M15" i="2"/>
  <c r="N15" i="2" s="1"/>
  <c r="N14" i="2"/>
  <c r="M14" i="2"/>
  <c r="M13" i="2"/>
  <c r="N13" i="2" s="1"/>
  <c r="M12" i="2"/>
  <c r="N12" i="2" s="1"/>
  <c r="M11" i="2"/>
  <c r="N11" i="2" s="1"/>
  <c r="M8" i="2"/>
  <c r="N8" i="2" s="1"/>
  <c r="M7" i="2"/>
  <c r="N7" i="2" s="1"/>
  <c r="M6" i="2"/>
  <c r="N6" i="2" s="1"/>
  <c r="G72" i="1"/>
  <c r="H72" i="1" s="1"/>
  <c r="G71" i="1"/>
  <c r="F71" i="1"/>
  <c r="G70" i="1"/>
  <c r="F70" i="1"/>
  <c r="G69" i="1"/>
  <c r="F69" i="1"/>
  <c r="G68" i="1"/>
  <c r="F68" i="1"/>
  <c r="G64" i="1"/>
  <c r="H64" i="1" s="1"/>
  <c r="G63" i="1"/>
  <c r="F63" i="1"/>
  <c r="G62" i="1"/>
  <c r="F62" i="1"/>
  <c r="G61" i="1"/>
  <c r="F61" i="1"/>
  <c r="G60" i="1"/>
  <c r="F60" i="1"/>
  <c r="G59" i="1"/>
  <c r="F59" i="1"/>
  <c r="H55" i="1"/>
  <c r="G55" i="1"/>
  <c r="G54" i="1"/>
  <c r="F54" i="1"/>
  <c r="G53" i="1"/>
  <c r="F53" i="1"/>
  <c r="G52" i="1"/>
  <c r="F52" i="1"/>
  <c r="G51" i="1"/>
  <c r="F51" i="1"/>
  <c r="G50" i="1"/>
  <c r="F50" i="1"/>
  <c r="H46" i="1"/>
  <c r="G46" i="1"/>
  <c r="G45" i="1"/>
  <c r="F45" i="1"/>
  <c r="G44" i="1"/>
  <c r="F44" i="1"/>
  <c r="G43" i="1"/>
  <c r="F43" i="1"/>
  <c r="G42" i="1"/>
  <c r="F42" i="1"/>
  <c r="G41" i="1"/>
  <c r="F41" i="1"/>
  <c r="H37" i="1"/>
  <c r="G37" i="1"/>
  <c r="G36" i="1"/>
  <c r="F36" i="1"/>
  <c r="G35" i="1"/>
  <c r="F35" i="1"/>
  <c r="G34" i="1"/>
  <c r="F34" i="1"/>
  <c r="G33" i="1"/>
  <c r="F33" i="1"/>
  <c r="G32" i="1"/>
  <c r="F32" i="1"/>
  <c r="G28" i="1"/>
  <c r="H28" i="1" s="1"/>
  <c r="G74" i="1" s="1"/>
  <c r="G75" i="1" s="1"/>
  <c r="G27" i="1"/>
  <c r="F27" i="1"/>
  <c r="G26" i="1"/>
  <c r="F26" i="1"/>
  <c r="G25" i="1"/>
  <c r="F25" i="1"/>
  <c r="G24" i="1"/>
  <c r="F24" i="1"/>
  <c r="G23" i="1"/>
  <c r="F23" i="1"/>
  <c r="E73" i="2" l="1"/>
  <c r="E72" i="2"/>
  <c r="E71" i="2"/>
  <c r="E70" i="2"/>
  <c r="E69" i="2"/>
  <c r="E65" i="2"/>
</calcChain>
</file>

<file path=xl/sharedStrings.xml><?xml version="1.0" encoding="utf-8"?>
<sst xmlns="http://schemas.openxmlformats.org/spreadsheetml/2006/main" count="235" uniqueCount="176">
  <si>
    <t>SUBCONTRACTOR PERFORMANCE SCORECARD</t>
  </si>
  <si>
    <t>Hedrick Brothers Construction  ·  Project Closeout Evaluation</t>
  </si>
  <si>
    <t>PROJECT &amp; SUBCONTRACTOR INFORMATION</t>
  </si>
  <si>
    <t>Project Name</t>
  </si>
  <si>
    <t>Project Number</t>
  </si>
  <si>
    <t>Project Location</t>
  </si>
  <si>
    <t>Project Type</t>
  </si>
  <si>
    <t>Subcontractor Name</t>
  </si>
  <si>
    <t>Trade / Scope</t>
  </si>
  <si>
    <t>Contract Value ($)</t>
  </si>
  <si>
    <t>Final Cost ($)</t>
  </si>
  <si>
    <t>Scheduled Completion</t>
  </si>
  <si>
    <t>Actual Completion</t>
  </si>
  <si>
    <t>Evaluator Name</t>
  </si>
  <si>
    <t>Evaluator Title</t>
  </si>
  <si>
    <t>Evaluation Date</t>
  </si>
  <si>
    <t>SCORING GUIDE  —  Rate each item 1 to 5</t>
  </si>
  <si>
    <t>5 – Exceptional</t>
  </si>
  <si>
    <t>Significantly exceeded expectations; set a standard for excellence</t>
  </si>
  <si>
    <t>4 – Above Average</t>
  </si>
  <si>
    <t>Exceeded expectations in most areas; minor issues resolved quickly</t>
  </si>
  <si>
    <t>3 – Satisfactory</t>
  </si>
  <si>
    <t>Met expectations; performance was acceptable and within contract scope</t>
  </si>
  <si>
    <t>2 – Below Average</t>
  </si>
  <si>
    <t>Partially met expectations; recurring issues required GC intervention</t>
  </si>
  <si>
    <t>1 – Unsatisfactory</t>
  </si>
  <si>
    <t>Failed to meet expectations; serious deficiencies; may not re-bid</t>
  </si>
  <si>
    <t xml:space="preserve">  SAFETY &amp; COMPLIANCE</t>
  </si>
  <si>
    <t>Weight: 20%</t>
  </si>
  <si>
    <t>Section Avg</t>
  </si>
  <si>
    <t>#</t>
  </si>
  <si>
    <t>Evaluation Criterion</t>
  </si>
  <si>
    <t>Scoring Notes / Evidence</t>
  </si>
  <si>
    <t>Score
(1–5)</t>
  </si>
  <si>
    <t>N/A?</t>
  </si>
  <si>
    <t>Weight</t>
  </si>
  <si>
    <t>Wtd Score</t>
  </si>
  <si>
    <t>Comments</t>
  </si>
  <si>
    <t>Adherence to site safety plan and OSHA standards</t>
  </si>
  <si>
    <t>Incidents, near-misses, safety observations</t>
  </si>
  <si>
    <t>PPE compliance and toolbox-talk participation</t>
  </si>
  <si>
    <t>Attendance records, field observations</t>
  </si>
  <si>
    <t>Housekeeping and site cleanliness</t>
  </si>
  <si>
    <t>Daily clean, lay-down areas, debris removal</t>
  </si>
  <si>
    <t>Incident/injury rate on this project</t>
  </si>
  <si>
    <t>TRIR, recordables, first-aid events</t>
  </si>
  <si>
    <t>Corrective action response to safety issues</t>
  </si>
  <si>
    <t>Time to close NCRs / safety violations</t>
  </si>
  <si>
    <t>SAFETY &amp; COMPLIANCE  —  SECTION AVERAGE</t>
  </si>
  <si>
    <t xml:space="preserve">  QUALITY OF WORK</t>
  </si>
  <si>
    <t>Workmanship quality and craftsmanship</t>
  </si>
  <si>
    <t>Punch list density, rework required</t>
  </si>
  <si>
    <t>Compliance with plans, specs &amp; submittals</t>
  </si>
  <si>
    <t>RFI clarity, revision compliance</t>
  </si>
  <si>
    <t>First-time inspection pass rate</t>
  </si>
  <si>
    <t>AHJ / third-party inspection results</t>
  </si>
  <si>
    <t>Materials and equipment quality</t>
  </si>
  <si>
    <t>Substitutions, as-specified compliance</t>
  </si>
  <si>
    <t>Closeout documentation completeness</t>
  </si>
  <si>
    <t>O&amp;Ms, warranties, as-builts, attic stock</t>
  </si>
  <si>
    <t>QUALITY OF WORK  —  SECTION AVERAGE</t>
  </si>
  <si>
    <t xml:space="preserve">  SCHEDULE PERFORMANCE</t>
  </si>
  <si>
    <t>On-time mobilization</t>
  </si>
  <si>
    <t>Actual vs. planned start date</t>
  </si>
  <si>
    <t>3-week look-ahead participation &amp; reliability</t>
  </si>
  <si>
    <t>% commitments kept on Last Planner / pull plan</t>
  </si>
  <si>
    <t>Progress relative to baseline schedule</t>
  </si>
  <si>
    <t>Float consumption, milestone compliance</t>
  </si>
  <si>
    <t>Recovery effort when behind schedule</t>
  </si>
  <si>
    <t>Added crew, extended hours, phasing coordination</t>
  </si>
  <si>
    <t>Coordination with other trades</t>
  </si>
  <si>
    <t>BIM / pre-construction coordination, conflicts</t>
  </si>
  <si>
    <t>SCHEDULE PERFORMANCE  —  SECTION AVERAGE</t>
  </si>
  <si>
    <t xml:space="preserve">  COST MANAGEMENT</t>
  </si>
  <si>
    <t>Weight: 15%</t>
  </si>
  <si>
    <t>Budget adherence (no unwarranted overruns)</t>
  </si>
  <si>
    <t>Change order volume vs. scope growth</t>
  </si>
  <si>
    <t>Change order pricing accuracy &amp; timeliness</t>
  </si>
  <si>
    <t>Days to submit COs, fair pricing</t>
  </si>
  <si>
    <t>Back-charge exposure created</t>
  </si>
  <si>
    <t>Back-charges assessed by GC</t>
  </si>
  <si>
    <t>Material procurement &amp; financial stability</t>
  </si>
  <si>
    <t>No stoppages due to unpaid suppliers</t>
  </si>
  <si>
    <t>Billing accuracy and schedule of values quality</t>
  </si>
  <si>
    <t>Overbilling, retainage disputes</t>
  </si>
  <si>
    <t>COST MANAGEMENT  —  SECTION AVERAGE</t>
  </si>
  <si>
    <t xml:space="preserve">  COMMUNICATION &amp; MANAGEMENT</t>
  </si>
  <si>
    <t>Responsiveness to RFIs, emails, and calls</t>
  </si>
  <si>
    <t>Avg response time, dropped items</t>
  </si>
  <si>
    <t>Quality of superintendent / foreman leadership</t>
  </si>
  <si>
    <t>Decision authority, problem ownership</t>
  </si>
  <si>
    <t>Submittals: accuracy, completeness, timeliness</t>
  </si>
  <si>
    <t>Resubmittal rate, lead times met</t>
  </si>
  <si>
    <t>Participation in OAC and coordination meetings</t>
  </si>
  <si>
    <t>Attendance, action item closure</t>
  </si>
  <si>
    <t>Issue escalation and conflict resolution</t>
  </si>
  <si>
    <t>Transparent communication vs. avoidance</t>
  </si>
  <si>
    <t>COMMUNICATION &amp; MANAGEMENT  —  SECTION AVERAGE</t>
  </si>
  <si>
    <t xml:space="preserve">  WORKFORCE &amp; LABOR</t>
  </si>
  <si>
    <t>Weight: 10%</t>
  </si>
  <si>
    <t>Adequate and consistent crew staffing</t>
  </si>
  <si>
    <t>Planned vs. actual headcount</t>
  </si>
  <si>
    <t>Workforce skill level and supervision ratio</t>
  </si>
  <si>
    <t>Journeyman/apprentice mix, field leadership</t>
  </si>
  <si>
    <t>Compliance with labor requirements (certified payroll, etc.)</t>
  </si>
  <si>
    <t>MBE/DBE, prevailing wage, union rules if applicable</t>
  </si>
  <si>
    <t>Subcontractor to sub-tier management</t>
  </si>
  <si>
    <t>Sub-tier oversight, insurance, payments</t>
  </si>
  <si>
    <t>WORKFORCE &amp; LABOR  —  SECTION AVERAGE</t>
  </si>
  <si>
    <t>OVERALL WEIGHTED SCORE</t>
  </si>
  <si>
    <t>Max = 5.00</t>
  </si>
  <si>
    <t>PERFORMANCE RATING</t>
  </si>
  <si>
    <t>KEY STRENGTHS — What did this subcontractor do exceptionally well?</t>
  </si>
  <si>
    <t>AREAS FOR IMPROVEMENT — What must improve before future engagement?</t>
  </si>
  <si>
    <t>NOTABLE INCIDENTS OR ISSUES (safety, quality, financial, personnel)</t>
  </si>
  <si>
    <t>WOULD YOU RECOMMEND RE-BIDDING THIS SUBCONTRACTOR?  (Yes / Yes with conditions / No)</t>
  </si>
  <si>
    <t>OVERALL NARRATIVE SUMMARY</t>
  </si>
  <si>
    <t>SIGNATURES &amp; APPROVAL</t>
  </si>
  <si>
    <t>Project Manager Signature:</t>
  </si>
  <si>
    <t>Date:</t>
  </si>
  <si>
    <t>Superintendent Signature:</t>
  </si>
  <si>
    <t>Project Executive Approval:</t>
  </si>
  <si>
    <t>SUBCONTRACTOR PERFORMANCE DATABASE  —  AGGREGATION DASHBOARD</t>
  </si>
  <si>
    <t>Instructions: After each scorecard is completed, copy the data fields below to build the subcontractor performance database.</t>
  </si>
  <si>
    <t>Eval Date</t>
  </si>
  <si>
    <t>Contract ($)</t>
  </si>
  <si>
    <t>Safety
(20%)</t>
  </si>
  <si>
    <t>Quality
(20%)</t>
  </si>
  <si>
    <t>Schedule
(20%)</t>
  </si>
  <si>
    <t>Cost Mgmt
(15%)</t>
  </si>
  <si>
    <t>Communication
(15%)</t>
  </si>
  <si>
    <t>Workforce
(10%)</t>
  </si>
  <si>
    <t>OVERALL
WTD SCORE</t>
  </si>
  <si>
    <t>Rating Band</t>
  </si>
  <si>
    <t>1</t>
  </si>
  <si>
    <t>Example Mechanical LLC</t>
  </si>
  <si>
    <t>HVAC</t>
  </si>
  <si>
    <t>Riverside Office Pk</t>
  </si>
  <si>
    <t>2024-11-15</t>
  </si>
  <si>
    <t>$284,500</t>
  </si>
  <si>
    <t>4.8</t>
  </si>
  <si>
    <t>4.6</t>
  </si>
  <si>
    <t>4.2</t>
  </si>
  <si>
    <t>4.4</t>
  </si>
  <si>
    <t>4.5</t>
  </si>
  <si>
    <t>4.7</t>
  </si>
  <si>
    <t>2</t>
  </si>
  <si>
    <t>Premier Electrical</t>
  </si>
  <si>
    <t>Electrical</t>
  </si>
  <si>
    <t>2024-11-20</t>
  </si>
  <si>
    <t>$412,000</t>
  </si>
  <si>
    <t>3.6</t>
  </si>
  <si>
    <t>4.0</t>
  </si>
  <si>
    <t>3.2</t>
  </si>
  <si>
    <t>3.8</t>
  </si>
  <si>
    <t>3.5</t>
  </si>
  <si>
    <t>3.9</t>
  </si>
  <si>
    <t>3</t>
  </si>
  <si>
    <t>Superior Drywall Co.</t>
  </si>
  <si>
    <t>Drywall / FRP</t>
  </si>
  <si>
    <t>Oakwood Medical</t>
  </si>
  <si>
    <t>2024-09-30</t>
  </si>
  <si>
    <t>$198,750</t>
  </si>
  <si>
    <t>4.1</t>
  </si>
  <si>
    <t>3.7</t>
  </si>
  <si>
    <t>DATABASE SUMMARY STATISTICS  (auto-calculated)</t>
  </si>
  <si>
    <t>Total Evaluations</t>
  </si>
  <si>
    <t>Average Overall Score</t>
  </si>
  <si>
    <t>Average Safety Score</t>
  </si>
  <si>
    <t>Average Quality Score</t>
  </si>
  <si>
    <t>Average Schedule Score</t>
  </si>
  <si>
    <t>Count — Exceptional</t>
  </si>
  <si>
    <t>Count — Above Average</t>
  </si>
  <si>
    <t>Count — Satisfactory</t>
  </si>
  <si>
    <t>Count — Below Average</t>
  </si>
  <si>
    <t>Count — Unsatisfactory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</si>
</sst>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%"/>
  </numFmts>
  <fonts count="26" x14ac:knownFonts="1">
    <font>
      <sz val="11"/>
      <color theme="1"/>
      <name val="Calibri"/>
      <family val="2"/>
      <charset val="1"/>
    </font>
    <font>
      <i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B2A4A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color rgb="FF2E4172"/>
      <name val="Arial"/>
      <charset val="1"/>
    </font>
    <font>
      <sz val="10"/>
      <color rgb="FFFFFFFF"/>
      <name val="Arial"/>
      <charset val="1"/>
    </font>
    <font>
      <b/>
      <sz val="9"/>
      <color rgb="FFFFFFFF"/>
      <name val="Arial"/>
      <charset val="1"/>
    </font>
    <font>
      <i/>
      <sz val="9"/>
      <color rgb="FF808080"/>
      <name val="Arial"/>
      <charset val="1"/>
    </font>
    <font>
      <b/>
      <sz val="11"/>
      <color rgb="FF000000"/>
      <name val="Arial"/>
      <charset val="1"/>
    </font>
    <font>
      <sz val="10"/>
      <name val="Arial"/>
      <charset val="1"/>
    </font>
    <font>
      <sz val="10"/>
      <color rgb="FF595959"/>
      <name val="Arial"/>
      <charset val="1"/>
    </font>
    <font>
      <sz val="10"/>
      <color rgb="FF1B5E20"/>
      <name val="Arial"/>
      <charset val="1"/>
    </font>
    <font>
      <i/>
      <sz val="9"/>
      <name val="Arial"/>
      <charset val="1"/>
    </font>
    <font>
      <b/>
      <sz val="11"/>
      <color rgb="FF2E4172"/>
      <name val="Arial"/>
      <charset val="1"/>
    </font>
    <font>
      <b/>
      <sz val="13"/>
      <color rgb="FFFFFFFF"/>
      <name val="Arial"/>
      <charset val="1"/>
    </font>
    <font>
      <b/>
      <sz val="14"/>
      <color rgb="FFC9A84C"/>
      <name val="Arial"/>
      <charset val="1"/>
    </font>
    <font>
      <i/>
      <sz val="10"/>
      <color rgb="FFD6DCE4"/>
      <name val="Arial"/>
      <charset val="1"/>
    </font>
    <font>
      <b/>
      <sz val="10"/>
      <color rgb="FFC9A84C"/>
      <name val="Arial"/>
      <charset val="1"/>
    </font>
    <font>
      <i/>
      <sz val="9"/>
      <color rgb="FFFFFFFF"/>
      <name val="Arial"/>
      <charset val="1"/>
    </font>
    <font>
      <b/>
      <sz val="10"/>
      <color rgb="FF1B5E20"/>
      <name val="Arial"/>
      <charset val="1"/>
    </font>
    <font>
      <sz val="9"/>
      <color rgb="FF1B5E20"/>
      <name val="Arial"/>
      <charset val="1"/>
    </font>
    <font>
      <sz val="10"/>
      <color rgb="FF2E4172"/>
      <name val="Arial"/>
      <charset val="1"/>
    </font>
    <font>
      <b/>
      <sz val="11"/>
      <color rgb="FF1B5E20"/>
      <name val="Arial"/>
      <charset val="1"/>
    </font>
    <font>
      <b/>
      <sz val="18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E4172"/>
        <bgColor rgb="FF1B2A4A"/>
      </patternFill>
    </fill>
    <fill>
      <patternFill patternType="solid">
        <fgColor rgb="FFC9A84C"/>
        <bgColor rgb="FFFF9900"/>
      </patternFill>
    </fill>
    <fill>
      <patternFill patternType="solid">
        <fgColor rgb="FFD9E2F3"/>
        <bgColor rgb="FFD6DCE4"/>
      </patternFill>
    </fill>
    <fill>
      <patternFill patternType="solid">
        <fgColor rgb="FFFFFFFF"/>
        <bgColor rgb="FFF2F2F2"/>
      </patternFill>
    </fill>
    <fill>
      <patternFill patternType="solid">
        <fgColor rgb="FF4472C4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E5E1A"/>
        <bgColor rgb="FFFF99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9" fillId="3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horizontal="center" vertical="center"/>
    </xf>
    <xf numFmtId="2" fontId="13" fillId="10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/>
    </xf>
    <xf numFmtId="164" fontId="12" fillId="8" borderId="1" xfId="0" applyNumberFormat="1" applyFont="1" applyFill="1" applyBorder="1" applyAlignment="1">
      <alignment horizontal="center" vertical="center"/>
    </xf>
    <xf numFmtId="2" fontId="15" fillId="5" borderId="1" xfId="0" applyNumberFormat="1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2" fontId="21" fillId="10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0" fillId="8" borderId="1" xfId="0" applyFill="1" applyBorder="1"/>
    <xf numFmtId="2" fontId="22" fillId="10" borderId="1" xfId="0" applyNumberFormat="1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5" borderId="1" xfId="0" applyFill="1" applyBorder="1"/>
    <xf numFmtId="0" fontId="5" fillId="7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/>
    </xf>
    <xf numFmtId="2" fontId="24" fillId="10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11" fillId="9" borderId="3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right" vertical="center"/>
    </xf>
    <xf numFmtId="0" fontId="10" fillId="9" borderId="1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/>
    </xf>
    <xf numFmtId="2" fontId="17" fillId="2" borderId="0" xfId="0" applyNumberFormat="1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 wrapText="1"/>
    </xf>
    <xf numFmtId="0" fontId="25" fillId="7" borderId="6" xfId="0" applyFont="1" applyFill="1" applyBorder="1" applyAlignment="1">
      <alignment horizontal="center" vertical="center" wrapText="1"/>
    </xf>
    <xf numFmtId="0" fontId="25" fillId="7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C9A84C"/>
      <rgbColor rgb="FF003366"/>
      <rgbColor rgb="FF339966"/>
      <rgbColor rgb="FF003300"/>
      <rgbColor rgb="FF333300"/>
      <rgbColor rgb="FF993300"/>
      <rgbColor rgb="FF993366"/>
      <rgbColor rgb="FF2E4172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37B5"/>
      <color rgb="FFFE5E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1"/>
  <sheetViews>
    <sheetView showGridLines="0" tabSelected="1" topLeftCell="A73" zoomScaleNormal="100" workbookViewId="0">
      <selection activeCell="A80" sqref="A80:H80"/>
    </sheetView>
  </sheetViews>
  <sheetFormatPr baseColWidth="10" defaultColWidth="8.6640625" defaultRowHeight="15" x14ac:dyDescent="0.2"/>
  <cols>
    <col min="1" max="1" width="5" customWidth="1"/>
    <col min="2" max="2" width="36" customWidth="1"/>
    <col min="3" max="3" width="12" customWidth="1"/>
    <col min="4" max="6" width="10" customWidth="1"/>
    <col min="7" max="7" width="18" customWidth="1"/>
    <col min="8" max="8" width="34" customWidth="1"/>
  </cols>
  <sheetData>
    <row r="1" spans="1:8" ht="6" customHeight="1" x14ac:dyDescent="0.2"/>
    <row r="2" spans="1:8" ht="51.75" customHeight="1" x14ac:dyDescent="0.2">
      <c r="A2" s="63" t="s">
        <v>0</v>
      </c>
      <c r="B2" s="64"/>
      <c r="C2" s="64"/>
      <c r="D2" s="64"/>
      <c r="E2" s="64"/>
      <c r="F2" s="64"/>
      <c r="G2" s="64"/>
      <c r="H2" s="65"/>
    </row>
    <row r="3" spans="1:8" ht="18" customHeight="1" x14ac:dyDescent="0.2">
      <c r="A3" s="13" t="s">
        <v>1</v>
      </c>
      <c r="B3" s="13"/>
      <c r="C3" s="13"/>
      <c r="D3" s="13"/>
      <c r="E3" s="13"/>
      <c r="F3" s="13"/>
      <c r="G3" s="13"/>
      <c r="H3" s="13"/>
    </row>
    <row r="4" spans="1:8" ht="6" customHeight="1" x14ac:dyDescent="0.2">
      <c r="A4" s="51"/>
      <c r="B4" s="51"/>
      <c r="C4" s="51"/>
      <c r="D4" s="51"/>
      <c r="E4" s="51"/>
      <c r="F4" s="51"/>
      <c r="G4" s="51"/>
      <c r="H4" s="51"/>
    </row>
    <row r="5" spans="1:8" ht="19.5" customHeight="1" x14ac:dyDescent="0.2">
      <c r="A5" s="11" t="s">
        <v>2</v>
      </c>
      <c r="B5" s="11"/>
      <c r="C5" s="11"/>
      <c r="D5" s="11"/>
      <c r="E5" s="11"/>
      <c r="F5" s="11"/>
      <c r="G5" s="11"/>
      <c r="H5" s="11"/>
    </row>
    <row r="6" spans="1:8" ht="21.75" customHeight="1" x14ac:dyDescent="0.2">
      <c r="A6" s="10" t="s">
        <v>3</v>
      </c>
      <c r="B6" s="10"/>
      <c r="C6" s="9"/>
      <c r="D6" s="9"/>
      <c r="E6" s="10" t="s">
        <v>4</v>
      </c>
      <c r="F6" s="10"/>
      <c r="G6" s="9"/>
      <c r="H6" s="9"/>
    </row>
    <row r="7" spans="1:8" ht="21.75" customHeight="1" x14ac:dyDescent="0.2">
      <c r="A7" s="10" t="s">
        <v>5</v>
      </c>
      <c r="B7" s="10"/>
      <c r="C7" s="9"/>
      <c r="D7" s="9"/>
      <c r="E7" s="10" t="s">
        <v>6</v>
      </c>
      <c r="F7" s="10"/>
      <c r="G7" s="9"/>
      <c r="H7" s="9"/>
    </row>
    <row r="8" spans="1:8" ht="21.75" customHeight="1" x14ac:dyDescent="0.2">
      <c r="A8" s="10" t="s">
        <v>7</v>
      </c>
      <c r="B8" s="10"/>
      <c r="C8" s="9"/>
      <c r="D8" s="9"/>
      <c r="E8" s="10" t="s">
        <v>8</v>
      </c>
      <c r="F8" s="10"/>
      <c r="G8" s="9"/>
      <c r="H8" s="9"/>
    </row>
    <row r="9" spans="1:8" ht="21.75" customHeight="1" x14ac:dyDescent="0.2">
      <c r="A9" s="10" t="s">
        <v>9</v>
      </c>
      <c r="B9" s="10"/>
      <c r="C9" s="9"/>
      <c r="D9" s="9"/>
      <c r="E9" s="10" t="s">
        <v>10</v>
      </c>
      <c r="F9" s="10"/>
      <c r="G9" s="9"/>
      <c r="H9" s="9"/>
    </row>
    <row r="10" spans="1:8" ht="21.75" customHeight="1" x14ac:dyDescent="0.2">
      <c r="A10" s="10" t="s">
        <v>11</v>
      </c>
      <c r="B10" s="10"/>
      <c r="C10" s="9"/>
      <c r="D10" s="9"/>
      <c r="E10" s="10" t="s">
        <v>12</v>
      </c>
      <c r="F10" s="10"/>
      <c r="G10" s="9"/>
      <c r="H10" s="9"/>
    </row>
    <row r="11" spans="1:8" ht="21.75" customHeight="1" x14ac:dyDescent="0.2">
      <c r="A11" s="10" t="s">
        <v>13</v>
      </c>
      <c r="B11" s="10"/>
      <c r="C11" s="9"/>
      <c r="D11" s="9"/>
      <c r="E11" s="10" t="s">
        <v>14</v>
      </c>
      <c r="F11" s="10"/>
      <c r="G11" s="9"/>
      <c r="H11" s="9"/>
    </row>
    <row r="12" spans="1:8" ht="21.75" customHeight="1" x14ac:dyDescent="0.2">
      <c r="A12" s="10" t="s">
        <v>15</v>
      </c>
      <c r="B12" s="10"/>
      <c r="C12" s="9"/>
      <c r="D12" s="9"/>
      <c r="E12" s="9"/>
      <c r="F12" s="9"/>
      <c r="G12" s="9"/>
      <c r="H12" s="9"/>
    </row>
    <row r="13" spans="1:8" ht="6" customHeight="1" x14ac:dyDescent="0.2">
      <c r="A13" s="51"/>
      <c r="B13" s="51"/>
      <c r="C13" s="51"/>
      <c r="D13" s="51"/>
      <c r="E13" s="51"/>
      <c r="F13" s="51"/>
      <c r="G13" s="51"/>
      <c r="H13" s="51"/>
    </row>
    <row r="14" spans="1:8" ht="19.5" customHeight="1" x14ac:dyDescent="0.2">
      <c r="A14" s="8" t="s">
        <v>16</v>
      </c>
      <c r="B14" s="8"/>
      <c r="C14" s="8"/>
      <c r="D14" s="8"/>
      <c r="E14" s="8"/>
      <c r="F14" s="8"/>
      <c r="G14" s="8"/>
      <c r="H14" s="8"/>
    </row>
    <row r="15" spans="1:8" ht="15.75" customHeight="1" x14ac:dyDescent="0.2">
      <c r="A15" s="7" t="s">
        <v>17</v>
      </c>
      <c r="B15" s="7"/>
      <c r="C15" s="9" t="s">
        <v>18</v>
      </c>
      <c r="D15" s="9"/>
      <c r="E15" s="9"/>
      <c r="F15" s="9"/>
      <c r="G15" s="9"/>
      <c r="H15" s="9"/>
    </row>
    <row r="16" spans="1:8" ht="15.75" customHeight="1" x14ac:dyDescent="0.2">
      <c r="A16" s="6" t="s">
        <v>19</v>
      </c>
      <c r="B16" s="6"/>
      <c r="C16" s="5" t="s">
        <v>20</v>
      </c>
      <c r="D16" s="5"/>
      <c r="E16" s="5"/>
      <c r="F16" s="5"/>
      <c r="G16" s="5"/>
      <c r="H16" s="5"/>
    </row>
    <row r="17" spans="1:8" ht="15.75" customHeight="1" x14ac:dyDescent="0.2">
      <c r="A17" s="7" t="s">
        <v>21</v>
      </c>
      <c r="B17" s="7"/>
      <c r="C17" s="9" t="s">
        <v>22</v>
      </c>
      <c r="D17" s="9"/>
      <c r="E17" s="9"/>
      <c r="F17" s="9"/>
      <c r="G17" s="9"/>
      <c r="H17" s="9"/>
    </row>
    <row r="18" spans="1:8" ht="15.75" customHeight="1" x14ac:dyDescent="0.2">
      <c r="A18" s="6" t="s">
        <v>23</v>
      </c>
      <c r="B18" s="6"/>
      <c r="C18" s="5" t="s">
        <v>24</v>
      </c>
      <c r="D18" s="5"/>
      <c r="E18" s="5"/>
      <c r="F18" s="5"/>
      <c r="G18" s="5"/>
      <c r="H18" s="5"/>
    </row>
    <row r="19" spans="1:8" ht="15.75" customHeight="1" x14ac:dyDescent="0.2">
      <c r="A19" s="7" t="s">
        <v>25</v>
      </c>
      <c r="B19" s="7"/>
      <c r="C19" s="9" t="s">
        <v>26</v>
      </c>
      <c r="D19" s="9"/>
      <c r="E19" s="9"/>
      <c r="F19" s="9"/>
      <c r="G19" s="9"/>
      <c r="H19" s="9"/>
    </row>
    <row r="20" spans="1:8" ht="6" customHeight="1" x14ac:dyDescent="0.2">
      <c r="A20" s="51"/>
      <c r="B20" s="51"/>
      <c r="C20" s="51"/>
      <c r="D20" s="51"/>
      <c r="E20" s="51"/>
      <c r="F20" s="51"/>
      <c r="G20" s="51"/>
      <c r="H20" s="51"/>
    </row>
    <row r="21" spans="1:8" ht="21.75" customHeight="1" x14ac:dyDescent="0.2">
      <c r="A21" s="4" t="s">
        <v>27</v>
      </c>
      <c r="B21" s="4"/>
      <c r="C21" s="4"/>
      <c r="D21" s="4"/>
      <c r="E21" s="4"/>
      <c r="F21" s="4"/>
      <c r="G21" s="17" t="s">
        <v>28</v>
      </c>
      <c r="H21" s="18" t="s">
        <v>29</v>
      </c>
    </row>
    <row r="22" spans="1:8" ht="26" x14ac:dyDescent="0.2">
      <c r="A22" s="19" t="s">
        <v>30</v>
      </c>
      <c r="B22" s="20" t="s">
        <v>31</v>
      </c>
      <c r="C22" s="20" t="s">
        <v>32</v>
      </c>
      <c r="D22" s="55" t="s">
        <v>33</v>
      </c>
      <c r="E22" s="19" t="s">
        <v>34</v>
      </c>
      <c r="F22" s="19" t="s">
        <v>35</v>
      </c>
      <c r="G22" s="19" t="s">
        <v>36</v>
      </c>
      <c r="H22" s="20" t="s">
        <v>37</v>
      </c>
    </row>
    <row r="23" spans="1:8" ht="39" x14ac:dyDescent="0.2">
      <c r="A23" s="21">
        <v>1</v>
      </c>
      <c r="B23" s="15" t="s">
        <v>38</v>
      </c>
      <c r="C23" s="52" t="s">
        <v>39</v>
      </c>
      <c r="D23" s="57"/>
      <c r="E23" s="54"/>
      <c r="F23" s="22">
        <f>20</f>
        <v>20</v>
      </c>
      <c r="G23" s="23" t="str">
        <f>IF(UPPER(E23)="NA","",IF(D23="","",D23*0.2))</f>
        <v/>
      </c>
      <c r="H23" s="24"/>
    </row>
    <row r="24" spans="1:8" ht="39" x14ac:dyDescent="0.2">
      <c r="A24" s="25">
        <v>2</v>
      </c>
      <c r="B24" s="16" t="s">
        <v>40</v>
      </c>
      <c r="C24" s="53" t="s">
        <v>41</v>
      </c>
      <c r="D24" s="57"/>
      <c r="E24" s="54"/>
      <c r="F24" s="26">
        <f>20</f>
        <v>20</v>
      </c>
      <c r="G24" s="23" t="str">
        <f>IF(UPPER(E24)="NA","",IF(D24="","",D24*0.2))</f>
        <v/>
      </c>
      <c r="H24" s="24"/>
    </row>
    <row r="25" spans="1:8" ht="39" x14ac:dyDescent="0.2">
      <c r="A25" s="21">
        <v>3</v>
      </c>
      <c r="B25" s="15" t="s">
        <v>42</v>
      </c>
      <c r="C25" s="52" t="s">
        <v>43</v>
      </c>
      <c r="D25" s="57"/>
      <c r="E25" s="54"/>
      <c r="F25" s="22">
        <f>20</f>
        <v>20</v>
      </c>
      <c r="G25" s="23" t="str">
        <f>IF(UPPER(E25)="NA","",IF(D25="","",D25*0.2))</f>
        <v/>
      </c>
      <c r="H25" s="24"/>
    </row>
    <row r="26" spans="1:8" ht="39" x14ac:dyDescent="0.2">
      <c r="A26" s="25">
        <v>4</v>
      </c>
      <c r="B26" s="16" t="s">
        <v>44</v>
      </c>
      <c r="C26" s="53" t="s">
        <v>45</v>
      </c>
      <c r="D26" s="57"/>
      <c r="E26" s="54"/>
      <c r="F26" s="26">
        <f>20</f>
        <v>20</v>
      </c>
      <c r="G26" s="23" t="str">
        <f>IF(UPPER(E26)="NA","",IF(D26="","",D26*0.2))</f>
        <v/>
      </c>
      <c r="H26" s="24"/>
    </row>
    <row r="27" spans="1:8" ht="39" x14ac:dyDescent="0.2">
      <c r="A27" s="21">
        <v>5</v>
      </c>
      <c r="B27" s="15" t="s">
        <v>46</v>
      </c>
      <c r="C27" s="52" t="s">
        <v>47</v>
      </c>
      <c r="D27" s="57"/>
      <c r="E27" s="54"/>
      <c r="F27" s="22">
        <f>20</f>
        <v>20</v>
      </c>
      <c r="G27" s="23" t="str">
        <f>IF(UPPER(E27)="NA","",IF(D27="","",D27*0.2))</f>
        <v/>
      </c>
      <c r="H27" s="24"/>
    </row>
    <row r="28" spans="1:8" ht="19.5" customHeight="1" x14ac:dyDescent="0.2">
      <c r="A28" s="3" t="s">
        <v>48</v>
      </c>
      <c r="B28" s="3"/>
      <c r="C28" s="3"/>
      <c r="D28" s="56"/>
      <c r="E28" s="3"/>
      <c r="F28" s="3"/>
      <c r="G28" s="27" t="str">
        <f>IFERROR(AVERAGEIF(E23:E27,"&lt;&gt;NA",D23:D27),"")</f>
        <v/>
      </c>
      <c r="H28" s="28" t="str">
        <f>IF(G28="","",G28*0.2)</f>
        <v/>
      </c>
    </row>
    <row r="29" spans="1:8" ht="6" customHeight="1" x14ac:dyDescent="0.2">
      <c r="A29" s="51"/>
      <c r="B29" s="51"/>
      <c r="C29" s="51"/>
      <c r="D29" s="51"/>
      <c r="E29" s="51"/>
      <c r="F29" s="51"/>
      <c r="G29" s="51"/>
      <c r="H29" s="51"/>
    </row>
    <row r="30" spans="1:8" ht="21.75" customHeight="1" x14ac:dyDescent="0.2">
      <c r="A30" s="4" t="s">
        <v>49</v>
      </c>
      <c r="B30" s="4"/>
      <c r="C30" s="4"/>
      <c r="D30" s="4"/>
      <c r="E30" s="4"/>
      <c r="F30" s="4"/>
      <c r="G30" s="17" t="s">
        <v>28</v>
      </c>
      <c r="H30" s="18" t="s">
        <v>29</v>
      </c>
    </row>
    <row r="31" spans="1:8" ht="26" x14ac:dyDescent="0.2">
      <c r="A31" s="19" t="s">
        <v>30</v>
      </c>
      <c r="B31" s="20" t="s">
        <v>31</v>
      </c>
      <c r="C31" s="20" t="s">
        <v>32</v>
      </c>
      <c r="D31" s="55" t="s">
        <v>33</v>
      </c>
      <c r="E31" s="19" t="s">
        <v>34</v>
      </c>
      <c r="F31" s="19" t="s">
        <v>35</v>
      </c>
      <c r="G31" s="19" t="s">
        <v>36</v>
      </c>
      <c r="H31" s="20" t="s">
        <v>37</v>
      </c>
    </row>
    <row r="32" spans="1:8" ht="39" x14ac:dyDescent="0.2">
      <c r="A32" s="21">
        <v>1</v>
      </c>
      <c r="B32" s="15" t="s">
        <v>50</v>
      </c>
      <c r="C32" s="52" t="s">
        <v>51</v>
      </c>
      <c r="D32" s="57"/>
      <c r="E32" s="54"/>
      <c r="F32" s="22">
        <f>20</f>
        <v>20</v>
      </c>
      <c r="G32" s="23" t="str">
        <f>IF(UPPER(E32)="NA","",IF(D32="","",D32*0.2))</f>
        <v/>
      </c>
      <c r="H32" s="24"/>
    </row>
    <row r="33" spans="1:8" ht="39" x14ac:dyDescent="0.2">
      <c r="A33" s="25">
        <v>2</v>
      </c>
      <c r="B33" s="16" t="s">
        <v>52</v>
      </c>
      <c r="C33" s="53" t="s">
        <v>53</v>
      </c>
      <c r="D33" s="57"/>
      <c r="E33" s="54"/>
      <c r="F33" s="26">
        <f>20</f>
        <v>20</v>
      </c>
      <c r="G33" s="23" t="str">
        <f>IF(UPPER(E33)="NA","",IF(D33="","",D33*0.2))</f>
        <v/>
      </c>
      <c r="H33" s="24"/>
    </row>
    <row r="34" spans="1:8" ht="52" x14ac:dyDescent="0.2">
      <c r="A34" s="21">
        <v>3</v>
      </c>
      <c r="B34" s="15" t="s">
        <v>54</v>
      </c>
      <c r="C34" s="52" t="s">
        <v>55</v>
      </c>
      <c r="D34" s="57"/>
      <c r="E34" s="54"/>
      <c r="F34" s="22">
        <f>20</f>
        <v>20</v>
      </c>
      <c r="G34" s="23" t="str">
        <f>IF(UPPER(E34)="NA","",IF(D34="","",D34*0.2))</f>
        <v/>
      </c>
      <c r="H34" s="24"/>
    </row>
    <row r="35" spans="1:8" ht="39" x14ac:dyDescent="0.2">
      <c r="A35" s="25">
        <v>4</v>
      </c>
      <c r="B35" s="16" t="s">
        <v>56</v>
      </c>
      <c r="C35" s="53" t="s">
        <v>57</v>
      </c>
      <c r="D35" s="57"/>
      <c r="E35" s="54"/>
      <c r="F35" s="26">
        <f>20</f>
        <v>20</v>
      </c>
      <c r="G35" s="23" t="str">
        <f>IF(UPPER(E35)="NA","",IF(D35="","",D35*0.2))</f>
        <v/>
      </c>
      <c r="H35" s="24"/>
    </row>
    <row r="36" spans="1:8" ht="52" x14ac:dyDescent="0.2">
      <c r="A36" s="21">
        <v>5</v>
      </c>
      <c r="B36" s="15" t="s">
        <v>58</v>
      </c>
      <c r="C36" s="52" t="s">
        <v>59</v>
      </c>
      <c r="D36" s="57"/>
      <c r="E36" s="54"/>
      <c r="F36" s="22">
        <f>20</f>
        <v>20</v>
      </c>
      <c r="G36" s="23" t="str">
        <f>IF(UPPER(E36)="NA","",IF(D36="","",D36*0.2))</f>
        <v/>
      </c>
      <c r="H36" s="24"/>
    </row>
    <row r="37" spans="1:8" ht="19.5" customHeight="1" x14ac:dyDescent="0.2">
      <c r="A37" s="3" t="s">
        <v>60</v>
      </c>
      <c r="B37" s="3"/>
      <c r="C37" s="3"/>
      <c r="D37" s="56"/>
      <c r="E37" s="3"/>
      <c r="F37" s="3"/>
      <c r="G37" s="27" t="str">
        <f>IFERROR(AVERAGEIF(E32:E36,"&lt;&gt;NA",D32:D36),"")</f>
        <v/>
      </c>
      <c r="H37" s="28" t="str">
        <f>IF(G37="","",G37*0.2)</f>
        <v/>
      </c>
    </row>
    <row r="38" spans="1:8" ht="6" customHeight="1" x14ac:dyDescent="0.2">
      <c r="A38" s="51"/>
      <c r="B38" s="51"/>
      <c r="C38" s="51"/>
      <c r="D38" s="51"/>
      <c r="E38" s="51"/>
      <c r="F38" s="51"/>
      <c r="G38" s="51"/>
      <c r="H38" s="51"/>
    </row>
    <row r="39" spans="1:8" ht="21.75" customHeight="1" x14ac:dyDescent="0.2">
      <c r="A39" s="4" t="s">
        <v>61</v>
      </c>
      <c r="B39" s="4"/>
      <c r="C39" s="4"/>
      <c r="D39" s="4"/>
      <c r="E39" s="4"/>
      <c r="F39" s="4"/>
      <c r="G39" s="17" t="s">
        <v>28</v>
      </c>
      <c r="H39" s="18" t="s">
        <v>29</v>
      </c>
    </row>
    <row r="40" spans="1:8" ht="26" x14ac:dyDescent="0.2">
      <c r="A40" s="19" t="s">
        <v>30</v>
      </c>
      <c r="B40" s="20" t="s">
        <v>31</v>
      </c>
      <c r="C40" s="20" t="s">
        <v>32</v>
      </c>
      <c r="D40" s="55" t="s">
        <v>33</v>
      </c>
      <c r="E40" s="19" t="s">
        <v>34</v>
      </c>
      <c r="F40" s="19" t="s">
        <v>35</v>
      </c>
      <c r="G40" s="19" t="s">
        <v>36</v>
      </c>
      <c r="H40" s="20" t="s">
        <v>37</v>
      </c>
    </row>
    <row r="41" spans="1:8" ht="39" x14ac:dyDescent="0.2">
      <c r="A41" s="21">
        <v>1</v>
      </c>
      <c r="B41" s="15" t="s">
        <v>62</v>
      </c>
      <c r="C41" s="52" t="s">
        <v>63</v>
      </c>
      <c r="D41" s="57"/>
      <c r="E41" s="54"/>
      <c r="F41" s="22">
        <f>20</f>
        <v>20</v>
      </c>
      <c r="G41" s="23" t="str">
        <f>IF(UPPER(E41)="NA","",IF(D41="","",D41*0.2))</f>
        <v/>
      </c>
      <c r="H41" s="24"/>
    </row>
    <row r="42" spans="1:8" ht="65" x14ac:dyDescent="0.2">
      <c r="A42" s="25">
        <v>2</v>
      </c>
      <c r="B42" s="16" t="s">
        <v>64</v>
      </c>
      <c r="C42" s="53" t="s">
        <v>65</v>
      </c>
      <c r="D42" s="57"/>
      <c r="E42" s="54"/>
      <c r="F42" s="26">
        <f>20</f>
        <v>20</v>
      </c>
      <c r="G42" s="23" t="str">
        <f>IF(UPPER(E42)="NA","",IF(D42="","",D42*0.2))</f>
        <v/>
      </c>
      <c r="H42" s="24"/>
    </row>
    <row r="43" spans="1:8" ht="52" x14ac:dyDescent="0.2">
      <c r="A43" s="21">
        <v>3</v>
      </c>
      <c r="B43" s="15" t="s">
        <v>66</v>
      </c>
      <c r="C43" s="52" t="s">
        <v>67</v>
      </c>
      <c r="D43" s="57"/>
      <c r="E43" s="54"/>
      <c r="F43" s="22">
        <f>20</f>
        <v>20</v>
      </c>
      <c r="G43" s="23" t="str">
        <f>IF(UPPER(E43)="NA","",IF(D43="","",D43*0.2))</f>
        <v/>
      </c>
      <c r="H43" s="24"/>
    </row>
    <row r="44" spans="1:8" ht="52" x14ac:dyDescent="0.2">
      <c r="A44" s="25">
        <v>4</v>
      </c>
      <c r="B44" s="16" t="s">
        <v>68</v>
      </c>
      <c r="C44" s="53" t="s">
        <v>69</v>
      </c>
      <c r="D44" s="57"/>
      <c r="E44" s="54"/>
      <c r="F44" s="26">
        <f>20</f>
        <v>20</v>
      </c>
      <c r="G44" s="23" t="str">
        <f>IF(UPPER(E44)="NA","",IF(D44="","",D44*0.2))</f>
        <v/>
      </c>
      <c r="H44" s="24"/>
    </row>
    <row r="45" spans="1:8" ht="52" x14ac:dyDescent="0.2">
      <c r="A45" s="21">
        <v>5</v>
      </c>
      <c r="B45" s="15" t="s">
        <v>70</v>
      </c>
      <c r="C45" s="52" t="s">
        <v>71</v>
      </c>
      <c r="D45" s="57"/>
      <c r="E45" s="54"/>
      <c r="F45" s="22">
        <f>20</f>
        <v>20</v>
      </c>
      <c r="G45" s="23" t="str">
        <f>IF(UPPER(E45)="NA","",IF(D45="","",D45*0.2))</f>
        <v/>
      </c>
      <c r="H45" s="24"/>
    </row>
    <row r="46" spans="1:8" ht="19.5" customHeight="1" x14ac:dyDescent="0.2">
      <c r="A46" s="3" t="s">
        <v>72</v>
      </c>
      <c r="B46" s="3"/>
      <c r="C46" s="3"/>
      <c r="D46" s="56"/>
      <c r="E46" s="3"/>
      <c r="F46" s="3"/>
      <c r="G46" s="27" t="str">
        <f>IFERROR(AVERAGEIF(E41:E45,"&lt;&gt;NA",D41:D45),"")</f>
        <v/>
      </c>
      <c r="H46" s="28" t="str">
        <f>IF(G46="","",G46*0.2)</f>
        <v/>
      </c>
    </row>
    <row r="47" spans="1:8" ht="6" customHeight="1" x14ac:dyDescent="0.2">
      <c r="A47" s="51"/>
      <c r="B47" s="51"/>
      <c r="C47" s="51"/>
      <c r="D47" s="51"/>
      <c r="E47" s="51"/>
      <c r="F47" s="51"/>
      <c r="G47" s="51"/>
      <c r="H47" s="51"/>
    </row>
    <row r="48" spans="1:8" ht="21.75" customHeight="1" x14ac:dyDescent="0.2">
      <c r="A48" s="4" t="s">
        <v>73</v>
      </c>
      <c r="B48" s="4"/>
      <c r="C48" s="4"/>
      <c r="D48" s="4"/>
      <c r="E48" s="4"/>
      <c r="F48" s="4"/>
      <c r="G48" s="17" t="s">
        <v>74</v>
      </c>
      <c r="H48" s="18" t="s">
        <v>29</v>
      </c>
    </row>
    <row r="49" spans="1:8" ht="26" x14ac:dyDescent="0.2">
      <c r="A49" s="19" t="s">
        <v>30</v>
      </c>
      <c r="B49" s="20" t="s">
        <v>31</v>
      </c>
      <c r="C49" s="20" t="s">
        <v>32</v>
      </c>
      <c r="D49" s="55" t="s">
        <v>33</v>
      </c>
      <c r="E49" s="19" t="s">
        <v>34</v>
      </c>
      <c r="F49" s="19" t="s">
        <v>35</v>
      </c>
      <c r="G49" s="19" t="s">
        <v>36</v>
      </c>
      <c r="H49" s="20" t="s">
        <v>37</v>
      </c>
    </row>
    <row r="50" spans="1:8" ht="39" x14ac:dyDescent="0.2">
      <c r="A50" s="21">
        <v>1</v>
      </c>
      <c r="B50" s="15" t="s">
        <v>75</v>
      </c>
      <c r="C50" s="52" t="s">
        <v>76</v>
      </c>
      <c r="D50" s="57"/>
      <c r="E50" s="54"/>
      <c r="F50" s="22">
        <f>20</f>
        <v>20</v>
      </c>
      <c r="G50" s="23" t="str">
        <f>IF(UPPER(E50)="NA","",IF(D50="","",D50*0.2))</f>
        <v/>
      </c>
      <c r="H50" s="24"/>
    </row>
    <row r="51" spans="1:8" ht="39" x14ac:dyDescent="0.2">
      <c r="A51" s="25">
        <v>2</v>
      </c>
      <c r="B51" s="16" t="s">
        <v>77</v>
      </c>
      <c r="C51" s="53" t="s">
        <v>78</v>
      </c>
      <c r="D51" s="57"/>
      <c r="E51" s="54"/>
      <c r="F51" s="26">
        <f>20</f>
        <v>20</v>
      </c>
      <c r="G51" s="23" t="str">
        <f>IF(UPPER(E51)="NA","",IF(D51="","",D51*0.2))</f>
        <v/>
      </c>
      <c r="H51" s="24"/>
    </row>
    <row r="52" spans="1:8" ht="39" x14ac:dyDescent="0.2">
      <c r="A52" s="21">
        <v>3</v>
      </c>
      <c r="B52" s="15" t="s">
        <v>79</v>
      </c>
      <c r="C52" s="52" t="s">
        <v>80</v>
      </c>
      <c r="D52" s="57"/>
      <c r="E52" s="54"/>
      <c r="F52" s="22">
        <f>20</f>
        <v>20</v>
      </c>
      <c r="G52" s="23" t="str">
        <f>IF(UPPER(E52)="NA","",IF(D52="","",D52*0.2))</f>
        <v/>
      </c>
      <c r="H52" s="24"/>
    </row>
    <row r="53" spans="1:8" ht="39" x14ac:dyDescent="0.2">
      <c r="A53" s="25">
        <v>4</v>
      </c>
      <c r="B53" s="16" t="s">
        <v>81</v>
      </c>
      <c r="C53" s="53" t="s">
        <v>82</v>
      </c>
      <c r="D53" s="57"/>
      <c r="E53" s="54"/>
      <c r="F53" s="26">
        <f>20</f>
        <v>20</v>
      </c>
      <c r="G53" s="23" t="str">
        <f>IF(UPPER(E53)="NA","",IF(D53="","",D53*0.2))</f>
        <v/>
      </c>
      <c r="H53" s="24"/>
    </row>
    <row r="54" spans="1:8" ht="39" x14ac:dyDescent="0.2">
      <c r="A54" s="21">
        <v>5</v>
      </c>
      <c r="B54" s="15" t="s">
        <v>83</v>
      </c>
      <c r="C54" s="52" t="s">
        <v>84</v>
      </c>
      <c r="D54" s="57"/>
      <c r="E54" s="54"/>
      <c r="F54" s="22">
        <f>20</f>
        <v>20</v>
      </c>
      <c r="G54" s="23" t="str">
        <f>IF(UPPER(E54)="NA","",IF(D54="","",D54*0.2))</f>
        <v/>
      </c>
      <c r="H54" s="24"/>
    </row>
    <row r="55" spans="1:8" ht="19.5" customHeight="1" x14ac:dyDescent="0.2">
      <c r="A55" s="3" t="s">
        <v>85</v>
      </c>
      <c r="B55" s="3"/>
      <c r="C55" s="3"/>
      <c r="D55" s="56"/>
      <c r="E55" s="3"/>
      <c r="F55" s="3"/>
      <c r="G55" s="27" t="str">
        <f>IFERROR(AVERAGEIF(E50:E54,"&lt;&gt;NA",D50:D54),"")</f>
        <v/>
      </c>
      <c r="H55" s="28" t="str">
        <f>IF(G55="","",G55*0.15)</f>
        <v/>
      </c>
    </row>
    <row r="56" spans="1:8" ht="6" customHeight="1" x14ac:dyDescent="0.2">
      <c r="A56" s="51"/>
      <c r="B56" s="51"/>
      <c r="C56" s="51"/>
      <c r="D56" s="51"/>
      <c r="E56" s="51"/>
      <c r="F56" s="51"/>
      <c r="G56" s="51"/>
      <c r="H56" s="51"/>
    </row>
    <row r="57" spans="1:8" ht="21.75" customHeight="1" x14ac:dyDescent="0.2">
      <c r="A57" s="4" t="s">
        <v>86</v>
      </c>
      <c r="B57" s="4"/>
      <c r="C57" s="4"/>
      <c r="D57" s="4"/>
      <c r="E57" s="4"/>
      <c r="F57" s="4"/>
      <c r="G57" s="17" t="s">
        <v>74</v>
      </c>
      <c r="H57" s="18" t="s">
        <v>29</v>
      </c>
    </row>
    <row r="58" spans="1:8" ht="26" x14ac:dyDescent="0.2">
      <c r="A58" s="19" t="s">
        <v>30</v>
      </c>
      <c r="B58" s="20" t="s">
        <v>31</v>
      </c>
      <c r="C58" s="20" t="s">
        <v>32</v>
      </c>
      <c r="D58" s="55" t="s">
        <v>33</v>
      </c>
      <c r="E58" s="19" t="s">
        <v>34</v>
      </c>
      <c r="F58" s="19" t="s">
        <v>35</v>
      </c>
      <c r="G58" s="19" t="s">
        <v>36</v>
      </c>
      <c r="H58" s="20" t="s">
        <v>37</v>
      </c>
    </row>
    <row r="59" spans="1:8" ht="39" x14ac:dyDescent="0.2">
      <c r="A59" s="21">
        <v>1</v>
      </c>
      <c r="B59" s="15" t="s">
        <v>87</v>
      </c>
      <c r="C59" s="52" t="s">
        <v>88</v>
      </c>
      <c r="D59" s="57"/>
      <c r="E59" s="54"/>
      <c r="F59" s="22">
        <f>20</f>
        <v>20</v>
      </c>
      <c r="G59" s="23" t="str">
        <f>IF(UPPER(E59)="NA","",IF(D59="","",D59*0.2))</f>
        <v/>
      </c>
      <c r="H59" s="24"/>
    </row>
    <row r="60" spans="1:8" ht="52" x14ac:dyDescent="0.2">
      <c r="A60" s="25">
        <v>2</v>
      </c>
      <c r="B60" s="16" t="s">
        <v>89</v>
      </c>
      <c r="C60" s="53" t="s">
        <v>90</v>
      </c>
      <c r="D60" s="57"/>
      <c r="E60" s="54"/>
      <c r="F60" s="26">
        <f>20</f>
        <v>20</v>
      </c>
      <c r="G60" s="23" t="str">
        <f>IF(UPPER(E60)="NA","",IF(D60="","",D60*0.2))</f>
        <v/>
      </c>
      <c r="H60" s="24"/>
    </row>
    <row r="61" spans="1:8" ht="39" x14ac:dyDescent="0.2">
      <c r="A61" s="21">
        <v>3</v>
      </c>
      <c r="B61" s="15" t="s">
        <v>91</v>
      </c>
      <c r="C61" s="52" t="s">
        <v>92</v>
      </c>
      <c r="D61" s="57"/>
      <c r="E61" s="54"/>
      <c r="F61" s="22">
        <f>20</f>
        <v>20</v>
      </c>
      <c r="G61" s="23" t="str">
        <f>IF(UPPER(E61)="NA","",IF(D61="","",D61*0.2))</f>
        <v/>
      </c>
      <c r="H61" s="24"/>
    </row>
    <row r="62" spans="1:8" ht="39" x14ac:dyDescent="0.2">
      <c r="A62" s="25">
        <v>4</v>
      </c>
      <c r="B62" s="16" t="s">
        <v>93</v>
      </c>
      <c r="C62" s="53" t="s">
        <v>94</v>
      </c>
      <c r="D62" s="57"/>
      <c r="E62" s="54"/>
      <c r="F62" s="26">
        <f>20</f>
        <v>20</v>
      </c>
      <c r="G62" s="23" t="str">
        <f>IF(UPPER(E62)="NA","",IF(D62="","",D62*0.2))</f>
        <v/>
      </c>
      <c r="H62" s="24"/>
    </row>
    <row r="63" spans="1:8" ht="39" x14ac:dyDescent="0.2">
      <c r="A63" s="21">
        <v>5</v>
      </c>
      <c r="B63" s="15" t="s">
        <v>95</v>
      </c>
      <c r="C63" s="52" t="s">
        <v>96</v>
      </c>
      <c r="D63" s="57"/>
      <c r="E63" s="54"/>
      <c r="F63" s="22">
        <f>20</f>
        <v>20</v>
      </c>
      <c r="G63" s="23" t="str">
        <f>IF(UPPER(E63)="NA","",IF(D63="","",D63*0.2))</f>
        <v/>
      </c>
      <c r="H63" s="24"/>
    </row>
    <row r="64" spans="1:8" ht="19.5" customHeight="1" x14ac:dyDescent="0.2">
      <c r="A64" s="3" t="s">
        <v>97</v>
      </c>
      <c r="B64" s="3"/>
      <c r="C64" s="3"/>
      <c r="D64" s="56"/>
      <c r="E64" s="3"/>
      <c r="F64" s="3"/>
      <c r="G64" s="27" t="str">
        <f>IFERROR(AVERAGEIF(E59:E63,"&lt;&gt;NA",D59:D63),"")</f>
        <v/>
      </c>
      <c r="H64" s="28" t="str">
        <f>IF(G64="","",G64*0.15)</f>
        <v/>
      </c>
    </row>
    <row r="65" spans="1:8" ht="6" customHeight="1" x14ac:dyDescent="0.2">
      <c r="A65" s="51"/>
      <c r="B65" s="51"/>
      <c r="C65" s="51"/>
      <c r="D65" s="51"/>
      <c r="E65" s="51"/>
      <c r="F65" s="51"/>
      <c r="G65" s="51"/>
      <c r="H65" s="51"/>
    </row>
    <row r="66" spans="1:8" ht="21.75" customHeight="1" x14ac:dyDescent="0.2">
      <c r="A66" s="4" t="s">
        <v>98</v>
      </c>
      <c r="B66" s="4"/>
      <c r="C66" s="4"/>
      <c r="D66" s="4"/>
      <c r="E66" s="4"/>
      <c r="F66" s="4"/>
      <c r="G66" s="17" t="s">
        <v>99</v>
      </c>
      <c r="H66" s="18" t="s">
        <v>29</v>
      </c>
    </row>
    <row r="67" spans="1:8" ht="26" x14ac:dyDescent="0.2">
      <c r="A67" s="19" t="s">
        <v>30</v>
      </c>
      <c r="B67" s="20" t="s">
        <v>31</v>
      </c>
      <c r="C67" s="20" t="s">
        <v>32</v>
      </c>
      <c r="D67" s="55" t="s">
        <v>33</v>
      </c>
      <c r="E67" s="19" t="s">
        <v>34</v>
      </c>
      <c r="F67" s="19" t="s">
        <v>35</v>
      </c>
      <c r="G67" s="19" t="s">
        <v>36</v>
      </c>
      <c r="H67" s="20" t="s">
        <v>37</v>
      </c>
    </row>
    <row r="68" spans="1:8" ht="39" x14ac:dyDescent="0.2">
      <c r="A68" s="21">
        <v>1</v>
      </c>
      <c r="B68" s="15" t="s">
        <v>100</v>
      </c>
      <c r="C68" s="52" t="s">
        <v>101</v>
      </c>
      <c r="D68" s="57"/>
      <c r="E68" s="54"/>
      <c r="F68" s="22">
        <f>25</f>
        <v>25</v>
      </c>
      <c r="G68" s="23" t="str">
        <f>IF(UPPER(E68)="NA","",IF(D68="","",D68*0.25))</f>
        <v/>
      </c>
      <c r="H68" s="24"/>
    </row>
    <row r="69" spans="1:8" ht="39" x14ac:dyDescent="0.2">
      <c r="A69" s="25">
        <v>2</v>
      </c>
      <c r="B69" s="16" t="s">
        <v>102</v>
      </c>
      <c r="C69" s="53" t="s">
        <v>103</v>
      </c>
      <c r="D69" s="57"/>
      <c r="E69" s="54"/>
      <c r="F69" s="26">
        <f>25</f>
        <v>25</v>
      </c>
      <c r="G69" s="23" t="str">
        <f>IF(UPPER(E69)="NA","",IF(D69="","",D69*0.25))</f>
        <v/>
      </c>
      <c r="H69" s="24"/>
    </row>
    <row r="70" spans="1:8" ht="65" x14ac:dyDescent="0.2">
      <c r="A70" s="21">
        <v>3</v>
      </c>
      <c r="B70" s="15" t="s">
        <v>104</v>
      </c>
      <c r="C70" s="52" t="s">
        <v>105</v>
      </c>
      <c r="D70" s="57"/>
      <c r="E70" s="54"/>
      <c r="F70" s="22">
        <f>25</f>
        <v>25</v>
      </c>
      <c r="G70" s="23" t="str">
        <f>IF(UPPER(E70)="NA","",IF(D70="","",D70*0.25))</f>
        <v/>
      </c>
      <c r="H70" s="24"/>
    </row>
    <row r="71" spans="1:8" ht="52" x14ac:dyDescent="0.2">
      <c r="A71" s="25">
        <v>4</v>
      </c>
      <c r="B71" s="16" t="s">
        <v>106</v>
      </c>
      <c r="C71" s="53" t="s">
        <v>107</v>
      </c>
      <c r="D71" s="57"/>
      <c r="E71" s="54"/>
      <c r="F71" s="26">
        <f>25</f>
        <v>25</v>
      </c>
      <c r="G71" s="23" t="str">
        <f>IF(UPPER(E71)="NA","",IF(D71="","",D71*0.25))</f>
        <v/>
      </c>
      <c r="H71" s="24"/>
    </row>
    <row r="72" spans="1:8" ht="19.5" customHeight="1" x14ac:dyDescent="0.2">
      <c r="A72" s="3" t="s">
        <v>108</v>
      </c>
      <c r="B72" s="3"/>
      <c r="C72" s="3"/>
      <c r="D72" s="56"/>
      <c r="E72" s="3"/>
      <c r="F72" s="3"/>
      <c r="G72" s="27" t="str">
        <f>IFERROR(AVERAGEIF(E68:E71,"&lt;&gt;NA",D68:D71),"")</f>
        <v/>
      </c>
      <c r="H72" s="28" t="str">
        <f>IF(G72="","",G72*0.1)</f>
        <v/>
      </c>
    </row>
    <row r="73" spans="1:8" ht="6" customHeight="1" x14ac:dyDescent="0.2">
      <c r="A73" s="51"/>
      <c r="B73" s="51"/>
      <c r="C73" s="51"/>
      <c r="D73" s="51"/>
      <c r="E73" s="51"/>
      <c r="F73" s="51"/>
      <c r="G73" s="60"/>
      <c r="H73" s="51"/>
    </row>
    <row r="74" spans="1:8" ht="30" customHeight="1" x14ac:dyDescent="0.2">
      <c r="A74" s="2" t="s">
        <v>109</v>
      </c>
      <c r="B74" s="2"/>
      <c r="C74" s="2"/>
      <c r="D74" s="2"/>
      <c r="E74" s="2"/>
      <c r="F74" s="58"/>
      <c r="G74" s="62" t="str">
        <f>IFERROR(H28+H37+H46+H55+H64+H72,"")</f>
        <v/>
      </c>
      <c r="H74" s="59" t="s">
        <v>110</v>
      </c>
    </row>
    <row r="75" spans="1:8" ht="21.75" customHeight="1" x14ac:dyDescent="0.2">
      <c r="A75" s="11" t="s">
        <v>111</v>
      </c>
      <c r="B75" s="11"/>
      <c r="C75" s="11"/>
      <c r="D75" s="11"/>
      <c r="E75" s="11"/>
      <c r="F75" s="11"/>
      <c r="G75" s="61" t="str">
        <f>IF(G74="","Incomplete",IF(G74&gt;=4.5,"★★★★★  EXCEPTIONAL  (4.50–5.00)",IF(G74&gt;=3.5,"★★★★☆  ABOVE AVERAGE  (3.50–4.49)",IF(G74&gt;=2.5,"★★★☆☆  SATISFACTORY  (2.50–3.49)",IF(G74&gt;=1.5,"★★☆☆☆  BELOW AVERAGE  (1.50–2.49)","★☆☆☆☆  UNSATISFACTORY  (&lt;1.50)")))))</f>
        <v>Incomplete</v>
      </c>
      <c r="H75" s="1"/>
    </row>
    <row r="76" spans="1:8" ht="6" customHeight="1" x14ac:dyDescent="0.2">
      <c r="A76" s="51"/>
      <c r="B76" s="51"/>
      <c r="C76" s="51"/>
      <c r="D76" s="51"/>
      <c r="E76" s="51"/>
      <c r="F76" s="51"/>
      <c r="G76" s="51"/>
      <c r="H76" s="51"/>
    </row>
    <row r="77" spans="1:8" ht="19.5" customHeight="1" x14ac:dyDescent="0.2">
      <c r="A77" s="43" t="s">
        <v>112</v>
      </c>
      <c r="B77" s="43"/>
      <c r="C77" s="43"/>
      <c r="D77" s="43"/>
      <c r="E77" s="43"/>
      <c r="F77" s="43"/>
      <c r="G77" s="43"/>
      <c r="H77" s="43"/>
    </row>
    <row r="78" spans="1:8" ht="60" customHeight="1" x14ac:dyDescent="0.2">
      <c r="A78" s="44"/>
      <c r="B78" s="44"/>
      <c r="C78" s="44"/>
      <c r="D78" s="44"/>
      <c r="E78" s="44"/>
      <c r="F78" s="44"/>
      <c r="G78" s="44"/>
      <c r="H78" s="44"/>
    </row>
    <row r="79" spans="1:8" ht="19.5" customHeight="1" x14ac:dyDescent="0.2">
      <c r="A79" s="43" t="s">
        <v>113</v>
      </c>
      <c r="B79" s="43"/>
      <c r="C79" s="43"/>
      <c r="D79" s="43"/>
      <c r="E79" s="43"/>
      <c r="F79" s="43"/>
      <c r="G79" s="43"/>
      <c r="H79" s="43"/>
    </row>
    <row r="80" spans="1:8" ht="60" customHeight="1" x14ac:dyDescent="0.2">
      <c r="A80" s="44"/>
      <c r="B80" s="44"/>
      <c r="C80" s="44"/>
      <c r="D80" s="44"/>
      <c r="E80" s="44"/>
      <c r="F80" s="44"/>
      <c r="G80" s="44"/>
      <c r="H80" s="44"/>
    </row>
    <row r="81" spans="1:8" ht="19.5" customHeight="1" x14ac:dyDescent="0.2">
      <c r="A81" s="43" t="s">
        <v>114</v>
      </c>
      <c r="B81" s="43"/>
      <c r="C81" s="43"/>
      <c r="D81" s="43"/>
      <c r="E81" s="43"/>
      <c r="F81" s="43"/>
      <c r="G81" s="43"/>
      <c r="H81" s="43"/>
    </row>
    <row r="82" spans="1:8" ht="60" customHeight="1" x14ac:dyDescent="0.2">
      <c r="A82" s="44"/>
      <c r="B82" s="44"/>
      <c r="C82" s="44"/>
      <c r="D82" s="44"/>
      <c r="E82" s="44"/>
      <c r="F82" s="44"/>
      <c r="G82" s="44"/>
      <c r="H82" s="44"/>
    </row>
    <row r="83" spans="1:8" ht="19.5" customHeight="1" x14ac:dyDescent="0.2">
      <c r="A83" s="43" t="s">
        <v>115</v>
      </c>
      <c r="B83" s="43"/>
      <c r="C83" s="43"/>
      <c r="D83" s="43"/>
      <c r="E83" s="43"/>
      <c r="F83" s="43"/>
      <c r="G83" s="43"/>
      <c r="H83" s="43"/>
    </row>
    <row r="84" spans="1:8" ht="21.75" customHeight="1" x14ac:dyDescent="0.2">
      <c r="A84" s="44"/>
      <c r="B84" s="44"/>
      <c r="C84" s="44"/>
      <c r="D84" s="44"/>
      <c r="E84" s="44"/>
      <c r="F84" s="44"/>
      <c r="G84" s="44"/>
      <c r="H84" s="44"/>
    </row>
    <row r="85" spans="1:8" ht="19.5" customHeight="1" x14ac:dyDescent="0.2">
      <c r="A85" s="43" t="s">
        <v>116</v>
      </c>
      <c r="B85" s="43"/>
      <c r="C85" s="43"/>
      <c r="D85" s="43"/>
      <c r="E85" s="43"/>
      <c r="F85" s="43"/>
      <c r="G85" s="43"/>
      <c r="H85" s="43"/>
    </row>
    <row r="86" spans="1:8" ht="79.5" customHeight="1" x14ac:dyDescent="0.2">
      <c r="A86" s="44"/>
      <c r="B86" s="44"/>
      <c r="C86" s="44"/>
      <c r="D86" s="44"/>
      <c r="E86" s="44"/>
      <c r="F86" s="44"/>
      <c r="G86" s="44"/>
      <c r="H86" s="44"/>
    </row>
    <row r="87" spans="1:8" ht="6" customHeight="1" x14ac:dyDescent="0.2">
      <c r="A87" s="51"/>
      <c r="B87" s="51"/>
      <c r="C87" s="51"/>
      <c r="D87" s="51"/>
      <c r="E87" s="51"/>
      <c r="F87" s="51"/>
      <c r="G87" s="51"/>
      <c r="H87" s="51"/>
    </row>
    <row r="88" spans="1:8" ht="19.5" customHeight="1" x14ac:dyDescent="0.2">
      <c r="A88" s="45" t="s">
        <v>117</v>
      </c>
      <c r="B88" s="45"/>
      <c r="C88" s="45"/>
      <c r="D88" s="45"/>
      <c r="E88" s="45"/>
      <c r="F88" s="45"/>
      <c r="G88" s="45"/>
      <c r="H88" s="45"/>
    </row>
    <row r="89" spans="1:8" ht="27.75" customHeight="1" x14ac:dyDescent="0.2">
      <c r="A89" s="10" t="s">
        <v>118</v>
      </c>
      <c r="B89" s="10"/>
      <c r="C89" s="9"/>
      <c r="D89" s="9"/>
      <c r="E89" s="9"/>
      <c r="F89" s="14" t="s">
        <v>119</v>
      </c>
      <c r="G89" s="9"/>
      <c r="H89" s="9"/>
    </row>
    <row r="90" spans="1:8" ht="27.75" customHeight="1" x14ac:dyDescent="0.2">
      <c r="A90" s="10" t="s">
        <v>120</v>
      </c>
      <c r="B90" s="10"/>
      <c r="C90" s="9"/>
      <c r="D90" s="9"/>
      <c r="E90" s="9"/>
      <c r="F90" s="14" t="s">
        <v>119</v>
      </c>
      <c r="G90" s="9"/>
      <c r="H90" s="9"/>
    </row>
    <row r="91" spans="1:8" ht="27.75" customHeight="1" x14ac:dyDescent="0.2">
      <c r="A91" s="10" t="s">
        <v>121</v>
      </c>
      <c r="B91" s="10"/>
      <c r="C91" s="9"/>
      <c r="D91" s="9"/>
      <c r="E91" s="9"/>
      <c r="F91" s="14" t="s">
        <v>119</v>
      </c>
      <c r="G91" s="9"/>
      <c r="H91" s="9"/>
    </row>
  </sheetData>
  <mergeCells count="87">
    <mergeCell ref="A38:H38"/>
    <mergeCell ref="A47:H47"/>
    <mergeCell ref="A56:H56"/>
    <mergeCell ref="A65:H65"/>
    <mergeCell ref="A73:H73"/>
    <mergeCell ref="A90:B90"/>
    <mergeCell ref="C90:E90"/>
    <mergeCell ref="G90:H90"/>
    <mergeCell ref="A91:B91"/>
    <mergeCell ref="C91:E91"/>
    <mergeCell ref="G91:H91"/>
    <mergeCell ref="A86:H86"/>
    <mergeCell ref="A88:H88"/>
    <mergeCell ref="A89:B89"/>
    <mergeCell ref="C89:E89"/>
    <mergeCell ref="G89:H89"/>
    <mergeCell ref="A87:H87"/>
    <mergeCell ref="A81:H81"/>
    <mergeCell ref="A82:H82"/>
    <mergeCell ref="A83:H83"/>
    <mergeCell ref="A84:H84"/>
    <mergeCell ref="A85:H85"/>
    <mergeCell ref="G75:H75"/>
    <mergeCell ref="A77:H77"/>
    <mergeCell ref="A78:H78"/>
    <mergeCell ref="A79:H79"/>
    <mergeCell ref="A80:H80"/>
    <mergeCell ref="A76:H76"/>
    <mergeCell ref="A64:F64"/>
    <mergeCell ref="A66:F66"/>
    <mergeCell ref="A72:F72"/>
    <mergeCell ref="A74:F74"/>
    <mergeCell ref="A75:F75"/>
    <mergeCell ref="A39:F39"/>
    <mergeCell ref="A46:F46"/>
    <mergeCell ref="A48:F48"/>
    <mergeCell ref="A55:F55"/>
    <mergeCell ref="A57:F57"/>
    <mergeCell ref="A20:H20"/>
    <mergeCell ref="A21:F21"/>
    <mergeCell ref="A28:F28"/>
    <mergeCell ref="A30:F30"/>
    <mergeCell ref="A37:F37"/>
    <mergeCell ref="A29:H29"/>
    <mergeCell ref="A17:B17"/>
    <mergeCell ref="C17:H17"/>
    <mergeCell ref="A18:B18"/>
    <mergeCell ref="C18:H18"/>
    <mergeCell ref="A19:B19"/>
    <mergeCell ref="C19:H19"/>
    <mergeCell ref="A13:H13"/>
    <mergeCell ref="A14:H14"/>
    <mergeCell ref="A15:B15"/>
    <mergeCell ref="C15:H15"/>
    <mergeCell ref="A16:B16"/>
    <mergeCell ref="C16:H16"/>
    <mergeCell ref="A11:B11"/>
    <mergeCell ref="C11:D11"/>
    <mergeCell ref="E11:F11"/>
    <mergeCell ref="G11:H11"/>
    <mergeCell ref="A12:B12"/>
    <mergeCell ref="C12:D12"/>
    <mergeCell ref="E12:H12"/>
    <mergeCell ref="A9:B9"/>
    <mergeCell ref="C9:D9"/>
    <mergeCell ref="E9:F9"/>
    <mergeCell ref="G9:H9"/>
    <mergeCell ref="A10:B10"/>
    <mergeCell ref="C10:D10"/>
    <mergeCell ref="E10:F10"/>
    <mergeCell ref="G10:H10"/>
    <mergeCell ref="A7:B7"/>
    <mergeCell ref="C7:D7"/>
    <mergeCell ref="E7:F7"/>
    <mergeCell ref="G7:H7"/>
    <mergeCell ref="A8:B8"/>
    <mergeCell ref="C8:D8"/>
    <mergeCell ref="E8:F8"/>
    <mergeCell ref="G8:H8"/>
    <mergeCell ref="A2:H2"/>
    <mergeCell ref="A3:H3"/>
    <mergeCell ref="A4:H4"/>
    <mergeCell ref="A5:H5"/>
    <mergeCell ref="A6:B6"/>
    <mergeCell ref="C6:D6"/>
    <mergeCell ref="E6:F6"/>
    <mergeCell ref="G6:H6"/>
  </mergeCells>
  <dataValidations count="2">
    <dataValidation type="whole" showErrorMessage="1" errorTitle="Invalid Score" error="Enter a whole number between 1 and 5, or leave blank." sqref="D1 D3:D500" xr:uid="{00000000-0002-0000-0000-000000000000}">
      <formula1>1</formula1>
      <formula2>5</formula2>
    </dataValidation>
    <dataValidation type="list" sqref="E1 E3:E500" xr:uid="{00000000-0002-0000-0000-000001000000}">
      <formula1>"NA,na,Na"</formula1>
      <formula2>0</formula2>
    </dataValidation>
  </dataValidations>
  <pageMargins left="0.75" right="0.75" top="1" bottom="1" header="0.5" footer="0.5"/>
  <pageSetup paperSize="9" fitToHeight="0" orientation="portrait" horizontalDpi="300" verticalDpi="300"/>
  <headerFooter>
    <oddHeader>&amp;C&amp;"Calibri,Bold"&amp;14Subcontractor Performance Scorecard</oddHeader>
    <oddFooter>&amp;LHedrick Brothers Construction — CONFIDENTIAL&amp;RPage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73"/>
  <sheetViews>
    <sheetView showGridLines="0" zoomScaleNormal="100" workbookViewId="0"/>
  </sheetViews>
  <sheetFormatPr baseColWidth="10" defaultColWidth="8.6640625" defaultRowHeight="15" x14ac:dyDescent="0.2"/>
  <cols>
    <col min="1" max="1" width="6" customWidth="1"/>
    <col min="2" max="2" width="24" customWidth="1"/>
    <col min="3" max="3" width="18" customWidth="1"/>
    <col min="4" max="4" width="14" customWidth="1"/>
    <col min="5" max="6" width="12" customWidth="1"/>
    <col min="7" max="14" width="14" customWidth="1"/>
  </cols>
  <sheetData>
    <row r="1" spans="1:14" ht="6" customHeight="1" x14ac:dyDescent="0.2"/>
    <row r="2" spans="1:14" ht="48" customHeight="1" x14ac:dyDescent="0.2">
      <c r="A2" s="46" t="s">
        <v>122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</row>
    <row r="3" spans="1:14" ht="6" customHeight="1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ht="19.5" customHeight="1" x14ac:dyDescent="0.2">
      <c r="A4" s="47" t="s">
        <v>123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39.75" customHeight="1" x14ac:dyDescent="0.2">
      <c r="A5" s="30" t="s">
        <v>30</v>
      </c>
      <c r="B5" s="30" t="s">
        <v>7</v>
      </c>
      <c r="C5" s="30" t="s">
        <v>8</v>
      </c>
      <c r="D5" s="30" t="s">
        <v>3</v>
      </c>
      <c r="E5" s="30" t="s">
        <v>124</v>
      </c>
      <c r="F5" s="30" t="s">
        <v>125</v>
      </c>
      <c r="G5" s="31" t="s">
        <v>126</v>
      </c>
      <c r="H5" s="31" t="s">
        <v>127</v>
      </c>
      <c r="I5" s="31" t="s">
        <v>128</v>
      </c>
      <c r="J5" s="31" t="s">
        <v>129</v>
      </c>
      <c r="K5" s="31" t="s">
        <v>130</v>
      </c>
      <c r="L5" s="31" t="s">
        <v>131</v>
      </c>
      <c r="M5" s="31" t="s">
        <v>132</v>
      </c>
      <c r="N5" s="31" t="s">
        <v>133</v>
      </c>
    </row>
    <row r="6" spans="1:14" ht="21.75" customHeight="1" x14ac:dyDescent="0.2">
      <c r="A6" s="32" t="s">
        <v>134</v>
      </c>
      <c r="B6" s="33" t="s">
        <v>135</v>
      </c>
      <c r="C6" s="33" t="s">
        <v>136</v>
      </c>
      <c r="D6" s="33" t="s">
        <v>137</v>
      </c>
      <c r="E6" s="32" t="s">
        <v>138</v>
      </c>
      <c r="F6" s="32" t="s">
        <v>139</v>
      </c>
      <c r="G6" s="32" t="s">
        <v>140</v>
      </c>
      <c r="H6" s="32" t="s">
        <v>141</v>
      </c>
      <c r="I6" s="32" t="s">
        <v>142</v>
      </c>
      <c r="J6" s="32" t="s">
        <v>143</v>
      </c>
      <c r="K6" s="32" t="s">
        <v>144</v>
      </c>
      <c r="L6" s="32" t="s">
        <v>145</v>
      </c>
      <c r="M6" s="34">
        <f>IFERROR((G6*0.2)+(H6*0.2)+(I6*0.2)+(J6*0.15)+(K6*0.15)+(L6*0.1),"")</f>
        <v>4.5249999999999995</v>
      </c>
      <c r="N6" s="35" t="str">
        <f>IF(M6="","",IF(M6&gt;=4.5,"Exceptional",IF(M6&gt;=3.5,"Above Average",IF(M6&gt;=2.5,"Satisfactory",IF(M6&gt;=1.5,"Below Average","Unsatisfactory")))))</f>
        <v>Exceptional</v>
      </c>
    </row>
    <row r="7" spans="1:14" ht="21.75" customHeight="1" x14ac:dyDescent="0.2">
      <c r="A7" s="36" t="s">
        <v>146</v>
      </c>
      <c r="B7" s="37" t="s">
        <v>147</v>
      </c>
      <c r="C7" s="37" t="s">
        <v>148</v>
      </c>
      <c r="D7" s="37" t="s">
        <v>137</v>
      </c>
      <c r="E7" s="36" t="s">
        <v>149</v>
      </c>
      <c r="F7" s="36" t="s">
        <v>150</v>
      </c>
      <c r="G7" s="36" t="s">
        <v>151</v>
      </c>
      <c r="H7" s="36" t="s">
        <v>152</v>
      </c>
      <c r="I7" s="36" t="s">
        <v>153</v>
      </c>
      <c r="J7" s="36" t="s">
        <v>154</v>
      </c>
      <c r="K7" s="36" t="s">
        <v>155</v>
      </c>
      <c r="L7" s="36" t="s">
        <v>156</v>
      </c>
      <c r="M7" s="34">
        <f>IFERROR((G7*0.2)+(H7*0.2)+(I7*0.2)+(J7*0.15)+(K7*0.15)+(L7*0.1),"")</f>
        <v>3.645</v>
      </c>
      <c r="N7" s="35" t="str">
        <f>IF(M7="","",IF(M7&gt;=4.5,"Exceptional",IF(M7&gt;=3.5,"Above Average",IF(M7&gt;=2.5,"Satisfactory",IF(M7&gt;=1.5,"Below Average","Unsatisfactory")))))</f>
        <v>Above Average</v>
      </c>
    </row>
    <row r="8" spans="1:14" ht="21.75" customHeight="1" x14ac:dyDescent="0.2">
      <c r="A8" s="32" t="s">
        <v>157</v>
      </c>
      <c r="B8" s="33" t="s">
        <v>158</v>
      </c>
      <c r="C8" s="33" t="s">
        <v>159</v>
      </c>
      <c r="D8" s="33" t="s">
        <v>160</v>
      </c>
      <c r="E8" s="32" t="s">
        <v>161</v>
      </c>
      <c r="F8" s="32" t="s">
        <v>162</v>
      </c>
      <c r="G8" s="32" t="s">
        <v>152</v>
      </c>
      <c r="H8" s="32" t="s">
        <v>154</v>
      </c>
      <c r="I8" s="32" t="s">
        <v>144</v>
      </c>
      <c r="J8" s="32" t="s">
        <v>163</v>
      </c>
      <c r="K8" s="32" t="s">
        <v>164</v>
      </c>
      <c r="L8" s="32" t="s">
        <v>142</v>
      </c>
      <c r="M8" s="34">
        <f>IFERROR((G8*0.2)+(H8*0.2)+(I8*0.2)+(J8*0.15)+(K8*0.15)+(L8*0.1),"")</f>
        <v>4.05</v>
      </c>
      <c r="N8" s="35" t="str">
        <f>IF(M8="","",IF(M8&gt;=4.5,"Exceptional",IF(M8&gt;=3.5,"Above Average",IF(M8&gt;=2.5,"Satisfactory",IF(M8&gt;=1.5,"Below Average","Unsatisfactory")))))</f>
        <v>Above Average</v>
      </c>
    </row>
    <row r="11" spans="1:14" ht="21.75" customHeight="1" x14ac:dyDescent="0.2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9" t="str">
        <f t="shared" ref="M11:M42" si="0">IFERROR(IF(G11+H11+I11+J11+K11+L11=0,"",(G11*0.2)+(H11*0.2)+(I11*0.2)+(J11*0.15)+(K11*0.15)+(L11*0.1)),"")</f>
        <v/>
      </c>
      <c r="N11" s="40" t="str">
        <f t="shared" ref="N11:N42" si="1">IF(M11="","",IF(M11&gt;=4.5,"Exceptional",IF(M11&gt;=3.5,"Above Average",IF(M11&gt;=2.5,"Satisfactory",IF(M11&gt;=1.5,"Below Average","Unsatisfactory")))))</f>
        <v/>
      </c>
    </row>
    <row r="12" spans="1:14" ht="21.75" customHeight="1" x14ac:dyDescent="0.2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39" t="str">
        <f t="shared" si="0"/>
        <v/>
      </c>
      <c r="N12" s="40" t="str">
        <f t="shared" si="1"/>
        <v/>
      </c>
    </row>
    <row r="13" spans="1:14" ht="21.75" customHeight="1" x14ac:dyDescent="0.2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9" t="str">
        <f t="shared" si="0"/>
        <v/>
      </c>
      <c r="N13" s="40" t="str">
        <f t="shared" si="1"/>
        <v/>
      </c>
    </row>
    <row r="14" spans="1:14" ht="21.75" customHeight="1" x14ac:dyDescent="0.2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39" t="str">
        <f t="shared" si="0"/>
        <v/>
      </c>
      <c r="N14" s="40" t="str">
        <f t="shared" si="1"/>
        <v/>
      </c>
    </row>
    <row r="15" spans="1:14" ht="21.75" customHeight="1" x14ac:dyDescent="0.2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9" t="str">
        <f t="shared" si="0"/>
        <v/>
      </c>
      <c r="N15" s="40" t="str">
        <f t="shared" si="1"/>
        <v/>
      </c>
    </row>
    <row r="16" spans="1:14" ht="21.75" customHeight="1" x14ac:dyDescent="0.2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39" t="str">
        <f t="shared" si="0"/>
        <v/>
      </c>
      <c r="N16" s="40" t="str">
        <f t="shared" si="1"/>
        <v/>
      </c>
    </row>
    <row r="17" spans="1:14" ht="21.75" customHeight="1" x14ac:dyDescent="0.2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9" t="str">
        <f t="shared" si="0"/>
        <v/>
      </c>
      <c r="N17" s="40" t="str">
        <f t="shared" si="1"/>
        <v/>
      </c>
    </row>
    <row r="18" spans="1:14" ht="21.75" customHeight="1" x14ac:dyDescent="0.2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39" t="str">
        <f t="shared" si="0"/>
        <v/>
      </c>
      <c r="N18" s="40" t="str">
        <f t="shared" si="1"/>
        <v/>
      </c>
    </row>
    <row r="19" spans="1:14" ht="21.75" customHeight="1" x14ac:dyDescent="0.2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9" t="str">
        <f t="shared" si="0"/>
        <v/>
      </c>
      <c r="N19" s="40" t="str">
        <f t="shared" si="1"/>
        <v/>
      </c>
    </row>
    <row r="20" spans="1:14" ht="21.75" customHeight="1" x14ac:dyDescent="0.2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39" t="str">
        <f t="shared" si="0"/>
        <v/>
      </c>
      <c r="N20" s="40" t="str">
        <f t="shared" si="1"/>
        <v/>
      </c>
    </row>
    <row r="21" spans="1:14" ht="21.75" customHeight="1" x14ac:dyDescent="0.2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9" t="str">
        <f t="shared" si="0"/>
        <v/>
      </c>
      <c r="N21" s="40" t="str">
        <f t="shared" si="1"/>
        <v/>
      </c>
    </row>
    <row r="22" spans="1:14" ht="21.75" customHeight="1" x14ac:dyDescent="0.2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39" t="str">
        <f t="shared" si="0"/>
        <v/>
      </c>
      <c r="N22" s="40" t="str">
        <f t="shared" si="1"/>
        <v/>
      </c>
    </row>
    <row r="23" spans="1:14" ht="21.75" customHeight="1" x14ac:dyDescent="0.2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9" t="str">
        <f t="shared" si="0"/>
        <v/>
      </c>
      <c r="N23" s="40" t="str">
        <f t="shared" si="1"/>
        <v/>
      </c>
    </row>
    <row r="24" spans="1:14" ht="21.75" customHeight="1" x14ac:dyDescent="0.2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39" t="str">
        <f t="shared" si="0"/>
        <v/>
      </c>
      <c r="N24" s="40" t="str">
        <f t="shared" si="1"/>
        <v/>
      </c>
    </row>
    <row r="25" spans="1:14" ht="21.75" customHeight="1" x14ac:dyDescent="0.2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9" t="str">
        <f t="shared" si="0"/>
        <v/>
      </c>
      <c r="N25" s="40" t="str">
        <f t="shared" si="1"/>
        <v/>
      </c>
    </row>
    <row r="26" spans="1:14" ht="21.75" customHeight="1" x14ac:dyDescent="0.2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39" t="str">
        <f t="shared" si="0"/>
        <v/>
      </c>
      <c r="N26" s="40" t="str">
        <f t="shared" si="1"/>
        <v/>
      </c>
    </row>
    <row r="27" spans="1:14" ht="21.75" customHeight="1" x14ac:dyDescent="0.2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9" t="str">
        <f t="shared" si="0"/>
        <v/>
      </c>
      <c r="N27" s="40" t="str">
        <f t="shared" si="1"/>
        <v/>
      </c>
    </row>
    <row r="28" spans="1:14" ht="21.75" customHeight="1" x14ac:dyDescent="0.2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39" t="str">
        <f t="shared" si="0"/>
        <v/>
      </c>
      <c r="N28" s="40" t="str">
        <f t="shared" si="1"/>
        <v/>
      </c>
    </row>
    <row r="29" spans="1:14" ht="21.75" customHeight="1" x14ac:dyDescent="0.2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9" t="str">
        <f t="shared" si="0"/>
        <v/>
      </c>
      <c r="N29" s="40" t="str">
        <f t="shared" si="1"/>
        <v/>
      </c>
    </row>
    <row r="30" spans="1:14" ht="21.75" customHeight="1" x14ac:dyDescent="0.2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39" t="str">
        <f t="shared" si="0"/>
        <v/>
      </c>
      <c r="N30" s="40" t="str">
        <f t="shared" si="1"/>
        <v/>
      </c>
    </row>
    <row r="31" spans="1:14" ht="21.75" customHeight="1" x14ac:dyDescent="0.2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9" t="str">
        <f t="shared" si="0"/>
        <v/>
      </c>
      <c r="N31" s="40" t="str">
        <f t="shared" si="1"/>
        <v/>
      </c>
    </row>
    <row r="32" spans="1:14" ht="21.75" customHeight="1" x14ac:dyDescent="0.2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39" t="str">
        <f t="shared" si="0"/>
        <v/>
      </c>
      <c r="N32" s="40" t="str">
        <f t="shared" si="1"/>
        <v/>
      </c>
    </row>
    <row r="33" spans="1:14" ht="21.75" customHeight="1" x14ac:dyDescent="0.2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9" t="str">
        <f t="shared" si="0"/>
        <v/>
      </c>
      <c r="N33" s="40" t="str">
        <f t="shared" si="1"/>
        <v/>
      </c>
    </row>
    <row r="34" spans="1:14" ht="21.75" customHeight="1" x14ac:dyDescent="0.2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39" t="str">
        <f t="shared" si="0"/>
        <v/>
      </c>
      <c r="N34" s="40" t="str">
        <f t="shared" si="1"/>
        <v/>
      </c>
    </row>
    <row r="35" spans="1:14" ht="21.75" customHeight="1" x14ac:dyDescent="0.2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9" t="str">
        <f t="shared" si="0"/>
        <v/>
      </c>
      <c r="N35" s="40" t="str">
        <f t="shared" si="1"/>
        <v/>
      </c>
    </row>
    <row r="36" spans="1:14" ht="21.75" customHeight="1" x14ac:dyDescent="0.2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39" t="str">
        <f t="shared" si="0"/>
        <v/>
      </c>
      <c r="N36" s="40" t="str">
        <f t="shared" si="1"/>
        <v/>
      </c>
    </row>
    <row r="37" spans="1:14" ht="21.75" customHeight="1" x14ac:dyDescent="0.2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9" t="str">
        <f t="shared" si="0"/>
        <v/>
      </c>
      <c r="N37" s="40" t="str">
        <f t="shared" si="1"/>
        <v/>
      </c>
    </row>
    <row r="38" spans="1:14" ht="21.75" customHeight="1" x14ac:dyDescent="0.2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39" t="str">
        <f t="shared" si="0"/>
        <v/>
      </c>
      <c r="N38" s="40" t="str">
        <f t="shared" si="1"/>
        <v/>
      </c>
    </row>
    <row r="39" spans="1:14" ht="21.75" customHeight="1" x14ac:dyDescent="0.2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9" t="str">
        <f t="shared" si="0"/>
        <v/>
      </c>
      <c r="N39" s="40" t="str">
        <f t="shared" si="1"/>
        <v/>
      </c>
    </row>
    <row r="40" spans="1:14" ht="21.75" customHeight="1" x14ac:dyDescent="0.2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39" t="str">
        <f t="shared" si="0"/>
        <v/>
      </c>
      <c r="N40" s="40" t="str">
        <f t="shared" si="1"/>
        <v/>
      </c>
    </row>
    <row r="41" spans="1:14" ht="21.75" customHeight="1" x14ac:dyDescent="0.2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9" t="str">
        <f t="shared" si="0"/>
        <v/>
      </c>
      <c r="N41" s="40" t="str">
        <f t="shared" si="1"/>
        <v/>
      </c>
    </row>
    <row r="42" spans="1:14" ht="21.75" customHeight="1" x14ac:dyDescent="0.2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39" t="str">
        <f t="shared" si="0"/>
        <v/>
      </c>
      <c r="N42" s="40" t="str">
        <f t="shared" si="1"/>
        <v/>
      </c>
    </row>
    <row r="43" spans="1:14" ht="21.75" customHeight="1" x14ac:dyDescent="0.2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9" t="str">
        <f t="shared" ref="M43:M74" si="2">IFERROR(IF(G43+H43+I43+J43+K43+L43=0,"",(G43*0.2)+(H43*0.2)+(I43*0.2)+(J43*0.15)+(K43*0.15)+(L43*0.1)),"")</f>
        <v/>
      </c>
      <c r="N43" s="40" t="str">
        <f t="shared" ref="N43:N74" si="3">IF(M43="","",IF(M43&gt;=4.5,"Exceptional",IF(M43&gt;=3.5,"Above Average",IF(M43&gt;=2.5,"Satisfactory",IF(M43&gt;=1.5,"Below Average","Unsatisfactory")))))</f>
        <v/>
      </c>
    </row>
    <row r="44" spans="1:14" ht="21.75" customHeight="1" x14ac:dyDescent="0.2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39" t="str">
        <f t="shared" si="2"/>
        <v/>
      </c>
      <c r="N44" s="40" t="str">
        <f t="shared" si="3"/>
        <v/>
      </c>
    </row>
    <row r="45" spans="1:14" ht="21.75" customHeight="1" x14ac:dyDescent="0.2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9" t="str">
        <f t="shared" si="2"/>
        <v/>
      </c>
      <c r="N45" s="40" t="str">
        <f t="shared" si="3"/>
        <v/>
      </c>
    </row>
    <row r="46" spans="1:14" ht="21.75" customHeight="1" x14ac:dyDescent="0.2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39" t="str">
        <f t="shared" si="2"/>
        <v/>
      </c>
      <c r="N46" s="40" t="str">
        <f t="shared" si="3"/>
        <v/>
      </c>
    </row>
    <row r="47" spans="1:14" ht="21.75" customHeight="1" x14ac:dyDescent="0.2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9" t="str">
        <f t="shared" si="2"/>
        <v/>
      </c>
      <c r="N47" s="40" t="str">
        <f t="shared" si="3"/>
        <v/>
      </c>
    </row>
    <row r="48" spans="1:14" ht="21.75" customHeight="1" x14ac:dyDescent="0.2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39" t="str">
        <f t="shared" si="2"/>
        <v/>
      </c>
      <c r="N48" s="40" t="str">
        <f t="shared" si="3"/>
        <v/>
      </c>
    </row>
    <row r="49" spans="1:14" ht="21.75" customHeight="1" x14ac:dyDescent="0.2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9" t="str">
        <f t="shared" si="2"/>
        <v/>
      </c>
      <c r="N49" s="40" t="str">
        <f t="shared" si="3"/>
        <v/>
      </c>
    </row>
    <row r="50" spans="1:14" ht="21.75" customHeight="1" x14ac:dyDescent="0.2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39" t="str">
        <f t="shared" si="2"/>
        <v/>
      </c>
      <c r="N50" s="40" t="str">
        <f t="shared" si="3"/>
        <v/>
      </c>
    </row>
    <row r="51" spans="1:14" ht="21.75" customHeight="1" x14ac:dyDescent="0.2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9" t="str">
        <f t="shared" si="2"/>
        <v/>
      </c>
      <c r="N51" s="40" t="str">
        <f t="shared" si="3"/>
        <v/>
      </c>
    </row>
    <row r="52" spans="1:14" ht="21.75" customHeight="1" x14ac:dyDescent="0.2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39" t="str">
        <f t="shared" si="2"/>
        <v/>
      </c>
      <c r="N52" s="40" t="str">
        <f t="shared" si="3"/>
        <v/>
      </c>
    </row>
    <row r="53" spans="1:14" ht="21.75" customHeight="1" x14ac:dyDescent="0.2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9" t="str">
        <f t="shared" si="2"/>
        <v/>
      </c>
      <c r="N53" s="40" t="str">
        <f t="shared" si="3"/>
        <v/>
      </c>
    </row>
    <row r="54" spans="1:14" ht="21.75" customHeight="1" x14ac:dyDescent="0.2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39" t="str">
        <f t="shared" si="2"/>
        <v/>
      </c>
      <c r="N54" s="40" t="str">
        <f t="shared" si="3"/>
        <v/>
      </c>
    </row>
    <row r="55" spans="1:14" ht="21.75" customHeight="1" x14ac:dyDescent="0.2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9" t="str">
        <f t="shared" si="2"/>
        <v/>
      </c>
      <c r="N55" s="40" t="str">
        <f t="shared" si="3"/>
        <v/>
      </c>
    </row>
    <row r="56" spans="1:14" ht="21.75" customHeight="1" x14ac:dyDescent="0.2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39" t="str">
        <f t="shared" si="2"/>
        <v/>
      </c>
      <c r="N56" s="40" t="str">
        <f t="shared" si="3"/>
        <v/>
      </c>
    </row>
    <row r="57" spans="1:14" ht="21.75" customHeight="1" x14ac:dyDescent="0.2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9" t="str">
        <f t="shared" si="2"/>
        <v/>
      </c>
      <c r="N57" s="40" t="str">
        <f t="shared" si="3"/>
        <v/>
      </c>
    </row>
    <row r="58" spans="1:14" ht="21.75" customHeight="1" x14ac:dyDescent="0.2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39" t="str">
        <f t="shared" si="2"/>
        <v/>
      </c>
      <c r="N58" s="40" t="str">
        <f t="shared" si="3"/>
        <v/>
      </c>
    </row>
    <row r="59" spans="1:14" ht="21.75" customHeight="1" x14ac:dyDescent="0.2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9" t="str">
        <f t="shared" si="2"/>
        <v/>
      </c>
      <c r="N59" s="40" t="str">
        <f t="shared" si="3"/>
        <v/>
      </c>
    </row>
    <row r="60" spans="1:14" ht="21.75" customHeight="1" x14ac:dyDescent="0.2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39" t="str">
        <f t="shared" si="2"/>
        <v/>
      </c>
      <c r="N60" s="40" t="str">
        <f t="shared" si="3"/>
        <v/>
      </c>
    </row>
    <row r="62" spans="1:14" ht="6" customHeight="1" x14ac:dyDescent="0.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</row>
    <row r="63" spans="1:14" ht="21.75" customHeight="1" x14ac:dyDescent="0.2">
      <c r="A63" s="45" t="s">
        <v>165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</row>
    <row r="64" spans="1:14" ht="21.75" customHeight="1" x14ac:dyDescent="0.2">
      <c r="A64" s="48" t="s">
        <v>166</v>
      </c>
      <c r="B64" s="48"/>
      <c r="C64" s="48"/>
      <c r="D64" s="48"/>
      <c r="E64" s="49">
        <f>COUNTA(B6:B62)</f>
        <v>3</v>
      </c>
      <c r="F64" s="49"/>
      <c r="G64" s="42"/>
      <c r="H64" s="42"/>
      <c r="I64" s="42"/>
      <c r="J64" s="42"/>
      <c r="K64" s="42"/>
      <c r="L64" s="42"/>
      <c r="M64" s="42"/>
      <c r="N64" s="42"/>
    </row>
    <row r="65" spans="1:14" ht="21.75" customHeight="1" x14ac:dyDescent="0.2">
      <c r="A65" s="50" t="s">
        <v>167</v>
      </c>
      <c r="B65" s="50"/>
      <c r="C65" s="50"/>
      <c r="D65" s="50"/>
      <c r="E65" s="49">
        <f>IFERROR(AVERAGEIF(M6:M62,"&gt;0"),"")</f>
        <v>4.0733333333333333</v>
      </c>
      <c r="F65" s="49"/>
      <c r="G65" s="41"/>
      <c r="H65" s="41"/>
      <c r="I65" s="41"/>
      <c r="J65" s="41"/>
      <c r="K65" s="41"/>
      <c r="L65" s="41"/>
      <c r="M65" s="41"/>
      <c r="N65" s="41"/>
    </row>
    <row r="66" spans="1:14" ht="21.75" customHeight="1" x14ac:dyDescent="0.2">
      <c r="A66" s="48" t="s">
        <v>168</v>
      </c>
      <c r="B66" s="48"/>
      <c r="C66" s="48"/>
      <c r="D66" s="48"/>
      <c r="E66" s="49" t="str">
        <f>IFERROR(AVERAGEIF(G6:G62,"&gt;0"),"")</f>
        <v/>
      </c>
      <c r="F66" s="49"/>
      <c r="G66" s="42"/>
      <c r="H66" s="42"/>
      <c r="I66" s="42"/>
      <c r="J66" s="42"/>
      <c r="K66" s="42"/>
      <c r="L66" s="42"/>
      <c r="M66" s="42"/>
      <c r="N66" s="42"/>
    </row>
    <row r="67" spans="1:14" ht="21.75" customHeight="1" x14ac:dyDescent="0.2">
      <c r="A67" s="50" t="s">
        <v>169</v>
      </c>
      <c r="B67" s="50"/>
      <c r="C67" s="50"/>
      <c r="D67" s="50"/>
      <c r="E67" s="49" t="str">
        <f>IFERROR(AVERAGEIF(H6:H62,"&gt;0"),"")</f>
        <v/>
      </c>
      <c r="F67" s="49"/>
      <c r="G67" s="41"/>
      <c r="H67" s="41"/>
      <c r="I67" s="41"/>
      <c r="J67" s="41"/>
      <c r="K67" s="41"/>
      <c r="L67" s="41"/>
      <c r="M67" s="41"/>
      <c r="N67" s="41"/>
    </row>
    <row r="68" spans="1:14" ht="21.75" customHeight="1" x14ac:dyDescent="0.2">
      <c r="A68" s="48" t="s">
        <v>170</v>
      </c>
      <c r="B68" s="48"/>
      <c r="C68" s="48"/>
      <c r="D68" s="48"/>
      <c r="E68" s="49" t="str">
        <f>IFERROR(AVERAGEIF(I6:I62,"&gt;0"),"")</f>
        <v/>
      </c>
      <c r="F68" s="49"/>
      <c r="G68" s="42"/>
      <c r="H68" s="42"/>
      <c r="I68" s="42"/>
      <c r="J68" s="42"/>
      <c r="K68" s="42"/>
      <c r="L68" s="42"/>
      <c r="M68" s="42"/>
      <c r="N68" s="42"/>
    </row>
    <row r="69" spans="1:14" ht="21.75" customHeight="1" x14ac:dyDescent="0.2">
      <c r="A69" s="50" t="s">
        <v>171</v>
      </c>
      <c r="B69" s="50"/>
      <c r="C69" s="50"/>
      <c r="D69" s="50"/>
      <c r="E69" s="49">
        <f>COUNTIF(N6:N62,"Exceptional")</f>
        <v>1</v>
      </c>
      <c r="F69" s="49"/>
      <c r="G69" s="41"/>
      <c r="H69" s="41"/>
      <c r="I69" s="41"/>
      <c r="J69" s="41"/>
      <c r="K69" s="41"/>
      <c r="L69" s="41"/>
      <c r="M69" s="41"/>
      <c r="N69" s="41"/>
    </row>
    <row r="70" spans="1:14" ht="21.75" customHeight="1" x14ac:dyDescent="0.2">
      <c r="A70" s="48" t="s">
        <v>172</v>
      </c>
      <c r="B70" s="48"/>
      <c r="C70" s="48"/>
      <c r="D70" s="48"/>
      <c r="E70" s="49">
        <f>COUNTIF(N6:N62,"Above Average")</f>
        <v>2</v>
      </c>
      <c r="F70" s="49"/>
      <c r="G70" s="42"/>
      <c r="H70" s="42"/>
      <c r="I70" s="42"/>
      <c r="J70" s="42"/>
      <c r="K70" s="42"/>
      <c r="L70" s="42"/>
      <c r="M70" s="42"/>
      <c r="N70" s="42"/>
    </row>
    <row r="71" spans="1:14" ht="21.75" customHeight="1" x14ac:dyDescent="0.2">
      <c r="A71" s="50" t="s">
        <v>173</v>
      </c>
      <c r="B71" s="50"/>
      <c r="C71" s="50"/>
      <c r="D71" s="50"/>
      <c r="E71" s="49">
        <f>COUNTIF(N6:N62,"Satisfactory")</f>
        <v>0</v>
      </c>
      <c r="F71" s="49"/>
      <c r="G71" s="41"/>
      <c r="H71" s="41"/>
      <c r="I71" s="41"/>
      <c r="J71" s="41"/>
      <c r="K71" s="41"/>
      <c r="L71" s="41"/>
      <c r="M71" s="41"/>
      <c r="N71" s="41"/>
    </row>
    <row r="72" spans="1:14" ht="21.75" customHeight="1" x14ac:dyDescent="0.2">
      <c r="A72" s="48" t="s">
        <v>174</v>
      </c>
      <c r="B72" s="48"/>
      <c r="C72" s="48"/>
      <c r="D72" s="48"/>
      <c r="E72" s="49">
        <f>COUNTIF(N6:N62,"Below Average")</f>
        <v>0</v>
      </c>
      <c r="F72" s="49"/>
      <c r="G72" s="42"/>
      <c r="H72" s="42"/>
      <c r="I72" s="42"/>
      <c r="J72" s="42"/>
      <c r="K72" s="42"/>
      <c r="L72" s="42"/>
      <c r="M72" s="42"/>
      <c r="N72" s="42"/>
    </row>
    <row r="73" spans="1:14" ht="21.75" customHeight="1" x14ac:dyDescent="0.2">
      <c r="A73" s="50" t="s">
        <v>175</v>
      </c>
      <c r="B73" s="50"/>
      <c r="C73" s="50"/>
      <c r="D73" s="50"/>
      <c r="E73" s="49">
        <f>COUNTIF(N6:N62,"Unsatisfactory")</f>
        <v>0</v>
      </c>
      <c r="F73" s="49"/>
      <c r="G73" s="41"/>
      <c r="H73" s="41"/>
      <c r="I73" s="41"/>
      <c r="J73" s="41"/>
      <c r="K73" s="41"/>
      <c r="L73" s="41"/>
      <c r="M73" s="41"/>
      <c r="N73" s="41"/>
    </row>
  </sheetData>
  <mergeCells count="24">
    <mergeCell ref="A71:D71"/>
    <mergeCell ref="E71:F71"/>
    <mergeCell ref="A72:D72"/>
    <mergeCell ref="E72:F72"/>
    <mergeCell ref="A73:D73"/>
    <mergeCell ref="E73:F73"/>
    <mergeCell ref="A68:D68"/>
    <mergeCell ref="E68:F68"/>
    <mergeCell ref="A69:D69"/>
    <mergeCell ref="E69:F69"/>
    <mergeCell ref="A70:D70"/>
    <mergeCell ref="E70:F70"/>
    <mergeCell ref="A65:D65"/>
    <mergeCell ref="E65:F65"/>
    <mergeCell ref="A66:D66"/>
    <mergeCell ref="E66:F66"/>
    <mergeCell ref="A67:D67"/>
    <mergeCell ref="E67:F67"/>
    <mergeCell ref="A2:N2"/>
    <mergeCell ref="A3:N3"/>
    <mergeCell ref="A4:N4"/>
    <mergeCell ref="A63:N63"/>
    <mergeCell ref="A64:D64"/>
    <mergeCell ref="E64:F64"/>
  </mergeCells>
  <pageMargins left="0.75" right="0.75" top="1" bottom="1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Scorecard</vt:lpstr>
      <vt:lpstr>Aggregation Dashboard</vt:lpstr>
      <vt:lpstr>Scorecard!Print_Area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Bobby Fetting</cp:lastModifiedBy>
  <cp:revision>0</cp:revision>
  <dcterms:created xsi:type="dcterms:W3CDTF">2026-03-07T14:20:25Z</dcterms:created>
  <dcterms:modified xsi:type="dcterms:W3CDTF">2026-03-07T14:33:26Z</dcterms:modified>
  <dc:language>en-US</dc:language>
</cp:coreProperties>
</file>