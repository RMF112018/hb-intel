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4D3\EXCELCNV\3339e256-91b8-4508-89f3-f673e36ddefd\"/>
    </mc:Choice>
  </mc:AlternateContent>
  <xr:revisionPtr revIDLastSave="0" documentId="8_{1D93F659-70AA-4250-91D6-DA38079D7F28}" xr6:coauthVersionLast="47" xr6:coauthVersionMax="47" xr10:uidLastSave="{00000000-0000-0000-0000-000000000000}"/>
  <bookViews>
    <workbookView xWindow="-60" yWindow="-60" windowWidth="15480" windowHeight="11640" xr2:uid="{EF444AD3-1A03-4F4B-8CF8-B6B8D8670493}"/>
  </bookViews>
  <sheets>
    <sheet name="G702 Request for Payment" sheetId="3" r:id="rId1"/>
    <sheet name="G703 Schedule of Values" sheetId="1" r:id="rId2"/>
  </sheets>
  <definedNames>
    <definedName name="_Regression_Int" localSheetId="0" hidden="1">1</definedName>
    <definedName name="_Regression_Int" localSheetId="1" hidden="1">1</definedName>
    <definedName name="GRAND">'G703 Schedule of Values'!$A$35</definedName>
    <definedName name="_xlnm.Print_Area" localSheetId="0">'G702 Request for Payment'!$A$1:$N$56</definedName>
    <definedName name="_xlnm.Print_Area" localSheetId="1">'G703 Schedule of Values'!$A$1:$J$38</definedName>
    <definedName name="Print_Area_MI" localSheetId="0">'G702 Request for Payment'!$A$1:$N$55</definedName>
    <definedName name="Print_Area_MI">'G703 Schedule of Values'!$A$13:$J$38</definedName>
    <definedName name="_xlnm.Print_Titles" localSheetId="1">'G703 Schedule of Values'!$1:$12</definedName>
    <definedName name="Print_Titles_MI" localSheetId="0">'G702 Request for Payment'!$68:$375,'G702 Request for Payment'!$B$1:$DE$16384</definedName>
    <definedName name="Print_Titles_MI">'G703 Schedule of Values'!$1:$12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  <c r="D51" i="3"/>
  <c r="E51" i="3"/>
  <c r="D53" i="3"/>
  <c r="G16" i="1"/>
  <c r="I16" i="1"/>
  <c r="H16" i="1"/>
  <c r="G17" i="1"/>
  <c r="H17" i="1"/>
  <c r="G18" i="1"/>
  <c r="H18" i="1"/>
  <c r="G19" i="1"/>
  <c r="H19" i="1"/>
  <c r="G20" i="1"/>
  <c r="H20" i="1"/>
  <c r="I20" i="1"/>
  <c r="G21" i="1"/>
  <c r="H21" i="1"/>
  <c r="I21" i="1"/>
  <c r="G22" i="1"/>
  <c r="I22" i="1"/>
  <c r="H22" i="1"/>
  <c r="G23" i="1"/>
  <c r="H23" i="1"/>
  <c r="I23" i="1"/>
  <c r="G24" i="1"/>
  <c r="H24" i="1"/>
  <c r="I24" i="1"/>
  <c r="G25" i="1"/>
  <c r="H25" i="1"/>
  <c r="G26" i="1"/>
  <c r="H26" i="1"/>
  <c r="G27" i="1"/>
  <c r="H27" i="1"/>
  <c r="G28" i="1"/>
  <c r="H28" i="1"/>
  <c r="I28" i="1"/>
  <c r="G29" i="1"/>
  <c r="H29" i="1"/>
  <c r="I29" i="1"/>
  <c r="G30" i="1"/>
  <c r="I30" i="1"/>
  <c r="H30" i="1"/>
  <c r="G31" i="1"/>
  <c r="H31" i="1"/>
  <c r="I31" i="1"/>
  <c r="G32" i="1"/>
  <c r="H32" i="1"/>
  <c r="I32" i="1"/>
  <c r="G33" i="1"/>
  <c r="H33" i="1"/>
  <c r="G34" i="1"/>
  <c r="H34" i="1"/>
  <c r="G35" i="1"/>
  <c r="H35" i="1"/>
  <c r="C36" i="1"/>
  <c r="E25" i="3"/>
  <c r="E27" i="3"/>
  <c r="D36" i="1"/>
  <c r="E36" i="1"/>
  <c r="F36" i="1"/>
  <c r="G36" i="1"/>
  <c r="E28" i="3"/>
  <c r="H36" i="1"/>
  <c r="J36" i="1"/>
  <c r="D31" i="3"/>
  <c r="E36" i="3"/>
  <c r="E37" i="3"/>
  <c r="E41" i="3"/>
  <c r="J43" i="3"/>
  <c r="E42" i="3"/>
  <c r="I27" i="1"/>
  <c r="I19" i="1"/>
  <c r="I35" i="1"/>
  <c r="I34" i="1"/>
  <c r="I26" i="1"/>
  <c r="I18" i="1"/>
  <c r="I33" i="1"/>
  <c r="I25" i="1"/>
  <c r="I17" i="1"/>
  <c r="I36" i="1"/>
</calcChain>
</file>

<file path=xl/sharedStrings.xml><?xml version="1.0" encoding="utf-8"?>
<sst xmlns="http://schemas.openxmlformats.org/spreadsheetml/2006/main" count="180" uniqueCount="145">
  <si>
    <t>APPLICATION AND CERTIFICATION FOR PAYMENT</t>
  </si>
  <si>
    <t>AIA DOCUMENT G702</t>
  </si>
  <si>
    <t>PAGE ONE OF</t>
  </si>
  <si>
    <t>PAGES</t>
  </si>
  <si>
    <t>TO OWNER: James Sennello</t>
  </si>
  <si>
    <t xml:space="preserve"> </t>
  </si>
  <si>
    <t xml:space="preserve">PROJECT NAME: </t>
  </si>
  <si>
    <t>APPLICATION NO:</t>
  </si>
  <si>
    <t>1</t>
  </si>
  <si>
    <t>Distribution to:</t>
  </si>
  <si>
    <t>OWNER</t>
  </si>
  <si>
    <t>ARCHITECT</t>
  </si>
  <si>
    <t>PERIOD TO:</t>
  </si>
  <si>
    <t>CONTRACTOR</t>
  </si>
  <si>
    <t xml:space="preserve">FROM CONTRACTOR: </t>
  </si>
  <si>
    <t xml:space="preserve"> ARCHITECT:</t>
  </si>
  <si>
    <t>Hedrick Brothers Construction</t>
  </si>
  <si>
    <t>2200 Centrepark West Drive  Suite 100</t>
  </si>
  <si>
    <t>PROJECT NO:</t>
  </si>
  <si>
    <t>20-155-01</t>
  </si>
  <si>
    <t>West Palm Beach Fl. 33409</t>
  </si>
  <si>
    <t xml:space="preserve">CONTRACT DATE: 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</si>
  <si>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</si>
  <si>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</si>
  <si>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</si>
  <si>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</si>
  <si>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>Continuation Sheet, AIA Document G703, is attached.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</si>
  <si>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</si>
  <si>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</si>
  <si>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</si>
  <si>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</si>
  <si>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 $</t>
  </si>
  <si>
    <t xml:space="preserve">2.  Net change by Change Orders </t>
  </si>
  <si>
    <t>CONTRACTOR:  HEDRICK BROS. CONSTRUCTION CO., INC.</t>
  </si>
  <si>
    <t>3.  CONTRACT SUM TO DATE (Line 1 ± 2)                                        $</t>
  </si>
  <si>
    <t>$</t>
  </si>
  <si>
    <t>4.  TOTAL COMPLETED &amp; STORED TO</t>
  </si>
  <si>
    <t xml:space="preserve">         DATE       (Column G on G703)</t>
  </si>
  <si>
    <t>By:</t>
  </si>
  <si>
    <t xml:space="preserve"> Date:</t>
  </si>
  <si>
    <t>5.  RETAINAGE:</t>
  </si>
  <si>
    <t>a.</t>
  </si>
  <si>
    <t>% of Completed Work                 $</t>
  </si>
  <si>
    <t>State of:</t>
  </si>
  <si>
    <t>Florida</t>
  </si>
  <si>
    <t>County of:</t>
  </si>
  <si>
    <t>Palm</t>
  </si>
  <si>
    <t>Beach</t>
  </si>
  <si>
    <t>(Column D + E on G703)</t>
  </si>
  <si>
    <t>Subscribed and sworn to before me this</t>
  </si>
  <si>
    <t>20th day of</t>
  </si>
  <si>
    <t>December</t>
  </si>
  <si>
    <t xml:space="preserve">  </t>
  </si>
  <si>
    <t>b.</t>
  </si>
  <si>
    <t>% of Stored Material                   $</t>
  </si>
  <si>
    <t>Notary Public:</t>
  </si>
  <si>
    <t>(Column F on G703)</t>
  </si>
  <si>
    <t>My Commission expires:</t>
  </si>
  <si>
    <t xml:space="preserve">           Total Retainage (Lines 5a + 5b or</t>
  </si>
  <si>
    <t xml:space="preserve">Total in Column I of G703) </t>
  </si>
  <si>
    <t>ARCHITECT'S CERTIFICATE FOR PAYMENT</t>
  </si>
  <si>
    <t xml:space="preserve">6.  TOTAL EARNED LESS RETAINAGE </t>
  </si>
  <si>
    <t>In accordance with the Contract Documents, based on on-site observations and the data</t>
  </si>
  <si>
    <t>(Line 4 Less Line 5 Total)</t>
  </si>
  <si>
    <t>comprising the application, the Architect certifies to the Owner that to the best of  the</t>
  </si>
  <si>
    <t>7.  LESS PREVIOUS CERTIFICATES FOR</t>
  </si>
  <si>
    <t xml:space="preserve"> Architect's knowledge, information and belief the Work has progressed as indicated,</t>
  </si>
  <si>
    <t xml:space="preserve">     PAYMENT (Line 6 from prior Certificate) 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</si>
  <si>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</si>
  <si>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</si>
  <si>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</si>
  <si>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9.  BALANCE TO FINISH, INCLUDING RETAINAGE                     $</t>
  </si>
  <si>
    <t>(Line 3 less Line 6)</t>
  </si>
  <si>
    <t>AMOUNT CERTIFIED . . . . . . . . . . . $</t>
  </si>
  <si>
    <t>CHANGE ORDER SUMMARY</t>
  </si>
  <si>
    <t>ADDITIONS</t>
  </si>
  <si>
    <t>DEDUCTIONS</t>
  </si>
  <si>
    <t>(Attach explanation if amount certified differs from the amount applied. Initial all figures on this</t>
  </si>
  <si>
    <t xml:space="preserve">     Total changes approved</t>
  </si>
  <si>
    <t>Application and onthe Continuation Sheet that are changed to conform with the amount certified.)</t>
  </si>
  <si>
    <t xml:space="preserve">     in previous months by Owner</t>
  </si>
  <si>
    <t>OWNER'S REPRESENTATIVE:</t>
  </si>
  <si>
    <t xml:space="preserve">     Total approved this Month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</si>
  <si>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</si>
  <si>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</si>
  <si>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</si>
  <si>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</si>
  <si>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</si>
  <si>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AIA DOCUMENT G702 · APPLICATION AND CERTIFICATION FOR PAYMENT · 1992 EDITION · AIA  · ©1992</t>
  </si>
  <si>
    <t>THE AMERICAN INSTITUTE OF ARCHITECTS, 1735 NEW YORK AVE., N.W., WASHINGTON, DC 20006-5292</t>
  </si>
  <si>
    <t>Users may obtain validation of this document by requesting a completed AIA Document D401 - Certification of Document's Authenticity from the Licensee.</t>
  </si>
  <si>
    <t>CONTINUATION SHEET</t>
  </si>
  <si>
    <t>AIA DOCUMENT G703</t>
  </si>
  <si>
    <t xml:space="preserve">  PAGE  2 OF 2  PAGES</t>
  </si>
  <si>
    <t>/WGPD</t>
  </si>
  <si>
    <t>AIA Document G702, APPLICATION AND CERTIFICATION FOR PAYMENT, containing</t>
  </si>
  <si>
    <t>/wir.{d 25}~{r 6}/cf~~{L 6}~</t>
  </si>
  <si>
    <t>Contractor's signed certification is attached.</t>
  </si>
  <si>
    <t xml:space="preserve">APPLICATION DATE: </t>
  </si>
  <si>
    <t>/wgpe</t>
  </si>
  <si>
    <t>In tabulations below, amounts are stated to the nearest dollar.</t>
  </si>
  <si>
    <t>PEDIOD TO:</t>
  </si>
  <si>
    <t>/ru.{d 26}</t>
  </si>
  <si>
    <t>Use Column I on Contracts where variable retainage for line items may apply.</t>
  </si>
  <si>
    <t xml:space="preserve"> PROJECT NO:</t>
  </si>
  <si>
    <t>{L 5}</t>
  </si>
  <si>
    <t>{L 9}</t>
  </si>
  <si>
    <t>A</t>
  </si>
  <si>
    <t>B</t>
  </si>
  <si>
    <t>C</t>
  </si>
  <si>
    <t>D</t>
  </si>
  <si>
    <t>E</t>
  </si>
  <si>
    <t>F</t>
  </si>
  <si>
    <t>G</t>
  </si>
  <si>
    <t>H</t>
  </si>
  <si>
    <t>I</t>
  </si>
  <si>
    <t>/ru.{d 26}~</t>
  </si>
  <si>
    <t>ITEM</t>
  </si>
  <si>
    <t>DESCRIPTION OF WORK</t>
  </si>
  <si>
    <t>SCHEDULED</t>
  </si>
  <si>
    <t>WORK COMPLETED</t>
  </si>
  <si>
    <t>MATERIALS</t>
  </si>
  <si>
    <t>TOTAL</t>
  </si>
  <si>
    <t>%</t>
  </si>
  <si>
    <t>BALANCE</t>
  </si>
  <si>
    <t>RETAINAGE</t>
  </si>
  <si>
    <t>NO.</t>
  </si>
  <si>
    <t>VALUE</t>
  </si>
  <si>
    <t>FROM PREVIOUS</t>
  </si>
  <si>
    <t>THIS PERIOD</t>
  </si>
  <si>
    <t>PRESENTLY</t>
  </si>
  <si>
    <t>COMPLETED</t>
  </si>
  <si>
    <t>(G ÷ C)</t>
  </si>
  <si>
    <t>TO FINISH</t>
  </si>
  <si>
    <t>APPLICATION</t>
  </si>
  <si>
    <t>STORED</t>
  </si>
  <si>
    <t>AND STORED</t>
  </si>
  <si>
    <t>(C - G)</t>
  </si>
  <si>
    <t>(D + E)</t>
  </si>
  <si>
    <t>(NOT IN</t>
  </si>
  <si>
    <t>TO DATE</t>
  </si>
  <si>
    <t>D OR E)</t>
  </si>
  <si>
    <t>(D+E+F)</t>
  </si>
  <si>
    <t>GRAND TOTALS</t>
  </si>
  <si>
    <t>Users may obtain validation of this document by requesting of the license a completed AIA Document D401 - Certification of Document's Authenticity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</si>
</sst>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General_)"/>
    <numFmt numFmtId="165" formatCode="mmmm\ d\,\ yyyy"/>
    <numFmt numFmtId="166" formatCode="00000"/>
    <numFmt numFmtId="167" formatCode="m/d/yy;@"/>
  </numFmts>
  <fonts count="28">
    <font>
      <sz val="10"/>
      <name val="Tms Rmn"/>
    </font>
    <font>
      <sz val="10"/>
      <name val="MS Sans Serif"/>
    </font>
    <font>
      <sz val="9"/>
      <color indexed="8"/>
      <name val="Times New Roman"/>
    </font>
    <font>
      <sz val="10"/>
      <color indexed="8"/>
      <name val="Tms Rmn"/>
    </font>
    <font>
      <b/>
      <sz val="18"/>
      <color indexed="8"/>
      <name val="Helv"/>
    </font>
    <font>
      <i/>
      <sz val="12"/>
      <color indexed="8"/>
      <name val="Times New Roman"/>
    </font>
    <font>
      <sz val="8"/>
      <color indexed="8"/>
      <name val="Arial"/>
    </font>
    <font>
      <sz val="6"/>
      <color indexed="8"/>
      <name val="Arial"/>
    </font>
    <font>
      <sz val="6"/>
      <color indexed="8"/>
      <name val="Helv"/>
    </font>
    <font>
      <sz val="10"/>
      <color indexed="8"/>
      <name val="Times New Roman"/>
    </font>
    <font>
      <sz val="10"/>
      <color indexed="8"/>
      <name val="Courier"/>
    </font>
    <font>
      <sz val="8"/>
      <color indexed="8"/>
      <name val="Times New Roman"/>
    </font>
    <font>
      <b/>
      <sz val="10"/>
      <color indexed="8"/>
      <name val="Arial"/>
    </font>
    <font>
      <b/>
      <sz val="9"/>
      <color indexed="8"/>
      <name val="Arial"/>
    </font>
    <font>
      <sz val="9"/>
      <name val="Times New Roman"/>
    </font>
    <font>
      <b/>
      <sz val="14"/>
      <color indexed="8"/>
      <name val="Arial"/>
    </font>
    <font>
      <sz val="7"/>
      <color indexed="8"/>
      <name val="Arial"/>
    </font>
    <font>
      <sz val="8"/>
      <color indexed="8"/>
      <name val="Helv"/>
    </font>
    <font>
      <sz val="9"/>
      <color indexed="8"/>
      <name val="Tms Rmn"/>
    </font>
    <font>
      <i/>
      <sz val="9"/>
      <color indexed="8"/>
      <name val="Times New Roman"/>
    </font>
    <font>
      <sz val="12"/>
      <name val="Arial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Times New Roman"/>
      <family val="1"/>
    </font>
    <font>
      <b/>
      <sz val="10"/>
      <color indexed="8"/>
      <name val="Tms Rmn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8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37" fontId="0" fillId="0" borderId="0"/>
    <xf numFmtId="40" fontId="1" fillId="0" borderId="0" applyFont="0" applyFill="0" applyBorder="0" applyAlignment="0" applyProtection="0"/>
    <xf numFmtId="0" fontId="20" fillId="0" borderId="0"/>
    <xf numFmtId="164" fontId="14" fillId="0" borderId="0"/>
  </cellStyleXfs>
  <cellXfs count="123">
    <xf numFmtId="37" fontId="0" fillId="0" borderId="0" xfId="0"/>
    <xf numFmtId="37" fontId="3" fillId="0" borderId="1" xfId="0" applyFont="1" applyBorder="1"/>
    <xf numFmtId="7" fontId="2" fillId="0" borderId="2" xfId="0" applyNumberFormat="1" applyFont="1" applyBorder="1" applyProtection="1">
      <protection locked="0"/>
    </xf>
    <xf numFmtId="7" fontId="2" fillId="0" borderId="3" xfId="0" applyNumberFormat="1" applyFont="1" applyBorder="1" applyProtection="1">
      <protection locked="0"/>
    </xf>
    <xf numFmtId="37" fontId="4" fillId="0" borderId="4" xfId="0" applyFont="1" applyBorder="1" applyAlignment="1">
      <alignment horizontal="left"/>
    </xf>
    <xf numFmtId="37" fontId="3" fillId="0" borderId="4" xfId="0" applyFont="1" applyBorder="1"/>
    <xf numFmtId="37" fontId="5" fillId="0" borderId="4" xfId="0" applyFont="1" applyBorder="1" applyAlignment="1">
      <alignment horizontal="left"/>
    </xf>
    <xf numFmtId="37" fontId="6" fillId="0" borderId="4" xfId="0" applyFont="1" applyBorder="1" applyAlignment="1">
      <alignment horizontal="left"/>
    </xf>
    <xf numFmtId="37" fontId="7" fillId="0" borderId="4" xfId="0" applyFont="1" applyBorder="1" applyAlignment="1" applyProtection="1">
      <alignment horizontal="left"/>
      <protection locked="0"/>
    </xf>
    <xf numFmtId="37" fontId="8" fillId="0" borderId="4" xfId="0" applyFont="1" applyBorder="1"/>
    <xf numFmtId="37" fontId="3" fillId="0" borderId="0" xfId="0" applyFont="1"/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37" fontId="9" fillId="0" borderId="0" xfId="0" applyFont="1" applyAlignment="1">
      <alignment horizontal="right"/>
    </xf>
    <xf numFmtId="37" fontId="10" fillId="0" borderId="0" xfId="0" applyFont="1" applyProtection="1">
      <protection locked="0"/>
    </xf>
    <xf numFmtId="37" fontId="11" fillId="0" borderId="5" xfId="0" applyFont="1" applyBorder="1" applyAlignment="1">
      <alignment horizontal="center"/>
    </xf>
    <xf numFmtId="37" fontId="11" fillId="0" borderId="5" xfId="0" applyFont="1" applyBorder="1" applyAlignment="1">
      <alignment horizontal="centerContinuous"/>
    </xf>
    <xf numFmtId="37" fontId="11" fillId="0" borderId="6" xfId="0" applyFont="1" applyBorder="1" applyAlignment="1">
      <alignment horizontal="centerContinuous"/>
    </xf>
    <xf numFmtId="37" fontId="11" fillId="0" borderId="7" xfId="0" applyFont="1" applyBorder="1" applyAlignment="1">
      <alignment horizontal="center"/>
    </xf>
    <xf numFmtId="37" fontId="11" fillId="0" borderId="8" xfId="0" applyFont="1" applyBorder="1" applyAlignment="1">
      <alignment horizontal="center"/>
    </xf>
    <xf numFmtId="37" fontId="11" fillId="0" borderId="9" xfId="0" applyFont="1" applyBorder="1" applyAlignment="1">
      <alignment horizontal="centerContinuous"/>
    </xf>
    <xf numFmtId="37" fontId="11" fillId="0" borderId="10" xfId="0" applyFont="1" applyBorder="1" applyAlignment="1">
      <alignment horizontal="centerContinuous"/>
    </xf>
    <xf numFmtId="37" fontId="11" fillId="0" borderId="8" xfId="0" applyFont="1" applyBorder="1" applyAlignment="1">
      <alignment horizontal="centerContinuous"/>
    </xf>
    <xf numFmtId="37" fontId="11" fillId="0" borderId="2" xfId="0" applyFont="1" applyBorder="1" applyAlignment="1">
      <alignment horizontal="center"/>
    </xf>
    <xf numFmtId="37" fontId="11" fillId="0" borderId="8" xfId="0" quotePrefix="1" applyFont="1" applyBorder="1" applyAlignment="1">
      <alignment horizontal="center"/>
    </xf>
    <xf numFmtId="37" fontId="11" fillId="0" borderId="8" xfId="0" applyFont="1" applyBorder="1"/>
    <xf numFmtId="37" fontId="11" fillId="0" borderId="2" xfId="0" quotePrefix="1" applyFont="1" applyBorder="1" applyAlignment="1">
      <alignment horizontal="center"/>
    </xf>
    <xf numFmtId="37" fontId="11" fillId="0" borderId="2" xfId="0" applyFont="1" applyBorder="1"/>
    <xf numFmtId="37" fontId="11" fillId="0" borderId="9" xfId="0" applyFont="1" applyBorder="1"/>
    <xf numFmtId="37" fontId="11" fillId="0" borderId="9" xfId="0" applyFont="1" applyBorder="1" applyAlignment="1">
      <alignment horizontal="center"/>
    </xf>
    <xf numFmtId="37" fontId="11" fillId="0" borderId="3" xfId="0" applyFont="1" applyBorder="1"/>
    <xf numFmtId="7" fontId="2" fillId="0" borderId="8" xfId="0" applyNumberFormat="1" applyFont="1" applyBorder="1" applyAlignment="1" applyProtection="1">
      <alignment horizontal="right"/>
      <protection locked="0"/>
    </xf>
    <xf numFmtId="7" fontId="2" fillId="0" borderId="8" xfId="0" applyNumberFormat="1" applyFont="1" applyBorder="1"/>
    <xf numFmtId="10" fontId="2" fillId="0" borderId="8" xfId="0" applyNumberFormat="1" applyFont="1" applyBorder="1"/>
    <xf numFmtId="37" fontId="2" fillId="0" borderId="9" xfId="0" applyFont="1" applyBorder="1" applyProtection="1">
      <protection locked="0"/>
    </xf>
    <xf numFmtId="7" fontId="2" fillId="0" borderId="9" xfId="0" applyNumberFormat="1" applyFont="1" applyBorder="1" applyProtection="1">
      <protection locked="0"/>
    </xf>
    <xf numFmtId="7" fontId="2" fillId="0" borderId="9" xfId="0" applyNumberFormat="1" applyFont="1" applyBorder="1"/>
    <xf numFmtId="37" fontId="12" fillId="0" borderId="8" xfId="0" applyFont="1" applyBorder="1" applyAlignment="1">
      <alignment horizontal="center"/>
    </xf>
    <xf numFmtId="37" fontId="3" fillId="0" borderId="11" xfId="0" applyFont="1" applyBorder="1"/>
    <xf numFmtId="39" fontId="2" fillId="0" borderId="11" xfId="0" applyNumberFormat="1" applyFont="1" applyBorder="1"/>
    <xf numFmtId="37" fontId="8" fillId="0" borderId="0" xfId="0" applyFont="1"/>
    <xf numFmtId="10" fontId="3" fillId="0" borderId="0" xfId="0" applyNumberFormat="1" applyFont="1"/>
    <xf numFmtId="9" fontId="11" fillId="0" borderId="2" xfId="0" applyNumberFormat="1" applyFont="1" applyBorder="1" applyAlignment="1">
      <alignment horizontal="center"/>
    </xf>
    <xf numFmtId="7" fontId="2" fillId="0" borderId="12" xfId="0" applyNumberFormat="1" applyFont="1" applyBorder="1"/>
    <xf numFmtId="164" fontId="15" fillId="0" borderId="0" xfId="3" applyFont="1" applyAlignment="1">
      <alignment horizontal="left"/>
    </xf>
    <xf numFmtId="164" fontId="2" fillId="0" borderId="0" xfId="3" applyFont="1"/>
    <xf numFmtId="164" fontId="5" fillId="0" borderId="0" xfId="3" applyFont="1"/>
    <xf numFmtId="164" fontId="16" fillId="0" borderId="0" xfId="3" applyFont="1"/>
    <xf numFmtId="164" fontId="16" fillId="0" borderId="0" xfId="3" applyFont="1" applyAlignment="1">
      <alignment horizontal="right"/>
    </xf>
    <xf numFmtId="164" fontId="16" fillId="0" borderId="0" xfId="3" applyFont="1" applyProtection="1">
      <protection locked="0"/>
    </xf>
    <xf numFmtId="164" fontId="16" fillId="0" borderId="0" xfId="3" applyFont="1" applyAlignment="1">
      <alignment horizontal="left"/>
    </xf>
    <xf numFmtId="164" fontId="17" fillId="0" borderId="0" xfId="3" applyFont="1"/>
    <xf numFmtId="164" fontId="2" fillId="0" borderId="13" xfId="3" applyFont="1" applyBorder="1"/>
    <xf numFmtId="164" fontId="9" fillId="0" borderId="0" xfId="3" applyFont="1" applyAlignment="1">
      <alignment horizontal="left"/>
    </xf>
    <xf numFmtId="164" fontId="9" fillId="0" borderId="0" xfId="3" applyFont="1"/>
    <xf numFmtId="164" fontId="9" fillId="0" borderId="0" xfId="3" applyFont="1" applyAlignment="1">
      <alignment horizontal="right"/>
    </xf>
    <xf numFmtId="164" fontId="9" fillId="0" borderId="0" xfId="3" applyFont="1" applyAlignment="1" applyProtection="1">
      <alignment horizontal="left"/>
      <protection locked="0"/>
    </xf>
    <xf numFmtId="164" fontId="9" fillId="0" borderId="0" xfId="3" applyFont="1" applyProtection="1">
      <protection locked="0"/>
    </xf>
    <xf numFmtId="164" fontId="9" fillId="0" borderId="0" xfId="3" quotePrefix="1" applyFont="1" applyProtection="1">
      <protection locked="0"/>
    </xf>
    <xf numFmtId="164" fontId="9" fillId="0" borderId="7" xfId="3" applyFont="1" applyBorder="1" applyAlignment="1" applyProtection="1">
      <alignment horizontal="center"/>
      <protection locked="0"/>
    </xf>
    <xf numFmtId="164" fontId="9" fillId="0" borderId="0" xfId="3" applyFont="1" applyAlignment="1">
      <alignment horizontal="center"/>
    </xf>
    <xf numFmtId="164" fontId="14" fillId="0" borderId="0" xfId="3"/>
    <xf numFmtId="164" fontId="2" fillId="0" borderId="0" xfId="3" applyFont="1" applyProtection="1">
      <protection locked="0"/>
    </xf>
    <xf numFmtId="164" fontId="2" fillId="0" borderId="0" xfId="3" applyFont="1" applyAlignment="1">
      <alignment horizontal="left"/>
    </xf>
    <xf numFmtId="164" fontId="2" fillId="0" borderId="0" xfId="3" quotePrefix="1" applyFont="1" applyAlignment="1">
      <alignment horizontal="left"/>
    </xf>
    <xf numFmtId="164" fontId="18" fillId="0" borderId="0" xfId="3" applyFont="1"/>
    <xf numFmtId="164" fontId="2" fillId="0" borderId="0" xfId="3" applyFont="1" applyAlignment="1">
      <alignment horizontal="right"/>
    </xf>
    <xf numFmtId="39" fontId="2" fillId="0" borderId="10" xfId="3" applyNumberFormat="1" applyFont="1" applyBorder="1" applyProtection="1">
      <protection locked="0"/>
    </xf>
    <xf numFmtId="39" fontId="2" fillId="0" borderId="10" xfId="3" applyNumberFormat="1" applyFont="1" applyBorder="1"/>
    <xf numFmtId="164" fontId="2" fillId="0" borderId="10" xfId="3" applyFont="1" applyBorder="1"/>
    <xf numFmtId="164" fontId="2" fillId="0" borderId="10" xfId="3" applyFont="1" applyBorder="1" applyProtection="1">
      <protection locked="0"/>
    </xf>
    <xf numFmtId="37" fontId="2" fillId="0" borderId="10" xfId="3" applyNumberFormat="1" applyFont="1" applyBorder="1" applyProtection="1">
      <protection locked="0"/>
    </xf>
    <xf numFmtId="164" fontId="18" fillId="0" borderId="4" xfId="3" applyFont="1" applyBorder="1"/>
    <xf numFmtId="40" fontId="2" fillId="0" borderId="10" xfId="3" applyNumberFormat="1" applyFont="1" applyBorder="1" applyProtection="1">
      <protection locked="0"/>
    </xf>
    <xf numFmtId="39" fontId="2" fillId="2" borderId="10" xfId="3" applyNumberFormat="1" applyFont="1" applyFill="1" applyBorder="1" applyProtection="1">
      <protection locked="0"/>
    </xf>
    <xf numFmtId="164" fontId="2" fillId="0" borderId="14" xfId="3" applyFont="1" applyBorder="1" applyAlignment="1">
      <alignment horizontal="centerContinuous"/>
    </xf>
    <xf numFmtId="164" fontId="2" fillId="0" borderId="15" xfId="3" applyFont="1" applyBorder="1" applyAlignment="1">
      <alignment horizontal="centerContinuous"/>
    </xf>
    <xf numFmtId="164" fontId="2" fillId="0" borderId="16" xfId="3" applyFont="1" applyBorder="1" applyAlignment="1">
      <alignment horizontal="center"/>
    </xf>
    <xf numFmtId="164" fontId="2" fillId="0" borderId="17" xfId="3" applyFont="1" applyBorder="1" applyAlignment="1" applyProtection="1">
      <alignment horizontal="center"/>
      <protection locked="0"/>
    </xf>
    <xf numFmtId="164" fontId="19" fillId="0" borderId="0" xfId="3" quotePrefix="1" applyFont="1" applyAlignment="1">
      <alignment horizontal="left"/>
    </xf>
    <xf numFmtId="164" fontId="2" fillId="0" borderId="18" xfId="3" applyFont="1" applyBorder="1" applyAlignment="1">
      <alignment horizontal="left"/>
    </xf>
    <xf numFmtId="7" fontId="2" fillId="0" borderId="8" xfId="3" applyNumberFormat="1" applyFont="1" applyBorder="1"/>
    <xf numFmtId="7" fontId="2" fillId="0" borderId="19" xfId="3" applyNumberFormat="1" applyFont="1" applyBorder="1"/>
    <xf numFmtId="164" fontId="19" fillId="0" borderId="0" xfId="3" applyFont="1" applyAlignment="1">
      <alignment horizontal="left"/>
    </xf>
    <xf numFmtId="164" fontId="2" fillId="0" borderId="20" xfId="3" applyFont="1" applyBorder="1" applyAlignment="1">
      <alignment horizontal="left"/>
    </xf>
    <xf numFmtId="7" fontId="2" fillId="0" borderId="9" xfId="3" applyNumberFormat="1" applyFont="1" applyBorder="1" applyProtection="1">
      <protection locked="0"/>
    </xf>
    <xf numFmtId="7" fontId="2" fillId="0" borderId="21" xfId="3" applyNumberFormat="1" applyFont="1" applyBorder="1" applyProtection="1">
      <protection locked="0"/>
    </xf>
    <xf numFmtId="164" fontId="2" fillId="0" borderId="18" xfId="3" applyFont="1" applyBorder="1"/>
    <xf numFmtId="7" fontId="2" fillId="0" borderId="9" xfId="3" applyNumberFormat="1" applyFont="1" applyBorder="1"/>
    <xf numFmtId="7" fontId="2" fillId="0" borderId="21" xfId="3" applyNumberFormat="1" applyFont="1" applyBorder="1"/>
    <xf numFmtId="7" fontId="2" fillId="0" borderId="22" xfId="3" applyNumberFormat="1" applyFont="1" applyBorder="1"/>
    <xf numFmtId="164" fontId="2" fillId="0" borderId="23" xfId="3" applyFont="1" applyBorder="1" applyAlignment="1">
      <alignment horizontal="left"/>
    </xf>
    <xf numFmtId="164" fontId="2" fillId="0" borderId="4" xfId="3" applyFont="1" applyBorder="1"/>
    <xf numFmtId="7" fontId="2" fillId="0" borderId="11" xfId="3" applyNumberFormat="1" applyFont="1" applyBorder="1" applyAlignment="1" applyProtection="1">
      <alignment horizontal="centerContinuous"/>
      <protection locked="0"/>
    </xf>
    <xf numFmtId="7" fontId="2" fillId="0" borderId="24" xfId="3" applyNumberFormat="1" applyFont="1" applyBorder="1" applyAlignment="1" applyProtection="1">
      <alignment horizontal="centerContinuous"/>
      <protection locked="0"/>
    </xf>
    <xf numFmtId="164" fontId="8" fillId="0" borderId="13" xfId="3" applyFont="1" applyBorder="1" applyAlignment="1">
      <alignment horizontal="left"/>
    </xf>
    <xf numFmtId="164" fontId="8" fillId="0" borderId="13" xfId="3" applyFont="1" applyBorder="1"/>
    <xf numFmtId="164" fontId="13" fillId="0" borderId="0" xfId="3" applyFont="1"/>
    <xf numFmtId="164" fontId="8" fillId="0" borderId="0" xfId="3" applyFont="1"/>
    <xf numFmtId="37" fontId="21" fillId="0" borderId="8" xfId="0" applyFont="1" applyBorder="1" applyProtection="1">
      <protection locked="0"/>
    </xf>
    <xf numFmtId="0" fontId="22" fillId="0" borderId="2" xfId="2" applyFont="1" applyBorder="1"/>
    <xf numFmtId="0" fontId="22" fillId="0" borderId="8" xfId="2" applyFont="1" applyBorder="1"/>
    <xf numFmtId="164" fontId="23" fillId="0" borderId="0" xfId="3" applyFont="1" applyAlignment="1">
      <alignment horizontal="left"/>
    </xf>
    <xf numFmtId="40" fontId="2" fillId="0" borderId="10" xfId="1" applyFont="1" applyBorder="1" applyProtection="1">
      <protection locked="0"/>
    </xf>
    <xf numFmtId="37" fontId="24" fillId="0" borderId="0" xfId="0" applyFont="1"/>
    <xf numFmtId="166" fontId="2" fillId="0" borderId="8" xfId="0" applyNumberFormat="1" applyFont="1" applyBorder="1" applyProtection="1">
      <protection locked="0"/>
    </xf>
    <xf numFmtId="166" fontId="2" fillId="0" borderId="9" xfId="0" applyNumberFormat="1" applyFont="1" applyBorder="1" applyProtection="1">
      <protection locked="0"/>
    </xf>
    <xf numFmtId="166" fontId="2" fillId="0" borderId="8" xfId="0" applyNumberFormat="1" applyFont="1" applyBorder="1"/>
    <xf numFmtId="166" fontId="3" fillId="0" borderId="11" xfId="0" applyNumberFormat="1" applyFont="1" applyBorder="1"/>
    <xf numFmtId="166" fontId="13" fillId="0" borderId="0" xfId="0" applyNumberFormat="1" applyFont="1"/>
    <xf numFmtId="166" fontId="0" fillId="0" borderId="0" xfId="0" applyNumberFormat="1"/>
    <xf numFmtId="166" fontId="3" fillId="0" borderId="0" xfId="0" applyNumberFormat="1" applyFont="1"/>
    <xf numFmtId="164" fontId="2" fillId="0" borderId="9" xfId="3" applyFont="1" applyBorder="1"/>
    <xf numFmtId="164" fontId="25" fillId="0" borderId="0" xfId="3" applyFont="1" applyProtection="1">
      <protection locked="0"/>
    </xf>
    <xf numFmtId="14" fontId="9" fillId="0" borderId="0" xfId="3" applyNumberFormat="1" applyFont="1" applyProtection="1">
      <protection locked="0"/>
    </xf>
    <xf numFmtId="164" fontId="26" fillId="0" borderId="0" xfId="3" applyFont="1" applyAlignment="1">
      <alignment horizontal="left"/>
    </xf>
    <xf numFmtId="164" fontId="26" fillId="0" borderId="0" xfId="3" applyFont="1"/>
    <xf numFmtId="164" fontId="2" fillId="3" borderId="0" xfId="3" applyFont="1" applyFill="1" applyAlignment="1">
      <alignment horizontal="center"/>
    </xf>
    <xf numFmtId="37" fontId="10" fillId="0" borderId="0" xfId="0" applyFont="1" applyAlignment="1" applyProtection="1">
      <alignment horizontal="right"/>
      <protection locked="0"/>
    </xf>
    <xf numFmtId="167" fontId="27" fillId="0" borderId="0" xfId="0" applyNumberFormat="1" applyFont="1" applyAlignment="1" applyProtection="1">
      <alignment horizontal="right"/>
      <protection locked="0"/>
    </xf>
    <xf numFmtId="37" fontId="10" fillId="0" borderId="0" xfId="0" applyFont="1" applyAlignment="1" applyProtection="1">
      <alignment horizontal="center"/>
      <protection locked="0"/>
    </xf>
    <xf numFmtId="165" fontId="2" fillId="0" borderId="10" xfId="3" applyNumberFormat="1" applyFont="1" applyBorder="1" applyAlignment="1">
      <alignment horizontal="left"/>
    </xf>
    <xf numFmtId="165" fontId="0" fillId="0" borderId="10" xfId="0" applyNumberFormat="1" applyBorder="1" applyAlignment="1">
      <alignment horizontal="left"/>
    </xf>
  </cellXfs>
  <cellStyles count="4">
    <cellStyle name="Comma" xfId="1" builtinId="3"/>
    <cellStyle name="Normal" xfId="0" builtinId="0"/>
    <cellStyle name="Normal_Brown Brothers" xfId="2" xr:uid="{B6C0171C-15C4-4B65-AFBD-71F4CE511166}"/>
    <cellStyle name="Normal_G702 Request for Payment" xfId="3" xr:uid="{2CC8ADD1-807F-4D73-BD33-97D46E359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6887-4AC0-4877-AA0C-A4D95DEDAEE6}">
  <sheetPr syncVertical="1" syncRef="B1" transitionEvaluation="1">
    <pageSetUpPr fitToPage="1"/>
  </sheetPr>
  <dimension ref="A1:P56"/>
  <sheetViews>
    <sheetView showGridLines="0" tabSelected="1" topLeftCell="B1" workbookViewId="0">
      <selection activeCell="I17" sqref="I17"/>
    </sheetView>
  </sheetViews>
  <sheetFormatPr defaultColWidth="9.83203125" defaultRowHeight="12"/>
  <cols>
    <col min="1" max="1" width="5.83203125" style="45" customWidth="1"/>
    <col min="2" max="2" width="6.33203125" style="45" customWidth="1"/>
    <col min="3" max="3" width="28.6640625" style="45" customWidth="1"/>
    <col min="4" max="4" width="21" style="45" customWidth="1"/>
    <col min="5" max="5" width="16.83203125" style="45" customWidth="1"/>
    <col min="6" max="6" width="6.5" style="45" customWidth="1"/>
    <col min="7" max="7" width="3.6640625" style="45" customWidth="1"/>
    <col min="8" max="8" width="19" style="45" customWidth="1"/>
    <col min="9" max="9" width="12.33203125" style="45" customWidth="1"/>
    <col min="10" max="10" width="14" style="45" customWidth="1"/>
    <col min="11" max="11" width="5.6640625" style="45" customWidth="1"/>
    <col min="12" max="12" width="2.83203125" style="45" customWidth="1"/>
    <col min="13" max="13" width="3.83203125" style="45" customWidth="1"/>
    <col min="14" max="14" width="22.5" style="45" customWidth="1"/>
    <col min="15" max="15" width="6.33203125" style="45" customWidth="1"/>
    <col min="16" max="16384" width="9.83203125" style="45"/>
  </cols>
  <sheetData>
    <row r="1" spans="1:16" ht="18.75" thickBot="1">
      <c r="A1" s="44" t="s">
        <v>0</v>
      </c>
      <c r="G1" s="46" t="s">
        <v>1</v>
      </c>
      <c r="I1" s="47"/>
      <c r="J1" s="48" t="s">
        <v>2</v>
      </c>
      <c r="K1" s="45">
        <v>2</v>
      </c>
      <c r="L1" s="47"/>
      <c r="M1" s="49"/>
      <c r="N1" s="50" t="s">
        <v>3</v>
      </c>
      <c r="O1" s="51"/>
      <c r="P1" s="51"/>
    </row>
    <row r="2" spans="1:16" ht="6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6" ht="12.75">
      <c r="A3" s="53" t="s">
        <v>4</v>
      </c>
      <c r="B3" s="54"/>
      <c r="C3" s="54" t="s">
        <v>5</v>
      </c>
      <c r="D3" s="55" t="s">
        <v>6</v>
      </c>
      <c r="E3" s="56" t="s">
        <v>5</v>
      </c>
      <c r="F3" s="57"/>
      <c r="G3" s="57"/>
      <c r="H3" s="53" t="s">
        <v>7</v>
      </c>
      <c r="I3" s="58" t="s">
        <v>8</v>
      </c>
      <c r="J3" s="57"/>
      <c r="K3" s="53" t="s">
        <v>9</v>
      </c>
      <c r="L3" s="54"/>
      <c r="M3" s="54"/>
      <c r="N3" s="54"/>
      <c r="O3" s="54"/>
      <c r="P3" s="54"/>
    </row>
    <row r="4" spans="1:16" ht="3" customHeight="1">
      <c r="A4" s="53"/>
      <c r="B4" s="54"/>
      <c r="C4" s="54"/>
      <c r="D4" s="55"/>
      <c r="E4" s="56"/>
      <c r="F4" s="57"/>
      <c r="G4" s="57"/>
      <c r="H4" s="53"/>
      <c r="I4" s="58"/>
      <c r="J4" s="57"/>
      <c r="K4" s="53"/>
      <c r="L4" s="54"/>
      <c r="M4" s="54"/>
      <c r="N4" s="54"/>
      <c r="O4" s="54"/>
      <c r="P4" s="54"/>
    </row>
    <row r="5" spans="1:16" ht="12.75">
      <c r="A5" s="53"/>
      <c r="B5" s="54"/>
      <c r="C5" s="54"/>
      <c r="D5" s="55"/>
      <c r="E5" s="56"/>
      <c r="F5" s="57"/>
      <c r="G5" s="57"/>
      <c r="H5" s="53"/>
      <c r="I5" s="58"/>
      <c r="J5" s="57"/>
      <c r="K5" s="59">
        <v>3</v>
      </c>
      <c r="L5" s="53" t="s">
        <v>10</v>
      </c>
      <c r="M5" s="54"/>
      <c r="N5" s="54"/>
      <c r="O5" s="54"/>
      <c r="P5" s="54"/>
    </row>
    <row r="6" spans="1:16" ht="2.1" customHeight="1">
      <c r="A6" s="54"/>
      <c r="B6" s="54"/>
      <c r="C6" s="54"/>
      <c r="D6" s="55"/>
      <c r="E6" s="54"/>
      <c r="F6" s="54"/>
      <c r="G6" s="54"/>
      <c r="H6" s="54"/>
      <c r="I6" s="54"/>
      <c r="J6" s="54"/>
      <c r="K6" s="60"/>
      <c r="L6" s="54"/>
      <c r="M6" s="54"/>
      <c r="N6" s="54"/>
      <c r="O6" s="54"/>
      <c r="P6" s="54"/>
    </row>
    <row r="7" spans="1:16" ht="12.75">
      <c r="A7" s="54"/>
      <c r="B7" s="57"/>
      <c r="C7" s="57"/>
      <c r="D7" s="55"/>
      <c r="E7" s="57"/>
      <c r="F7" s="57"/>
      <c r="G7" s="57"/>
      <c r="H7" s="54"/>
      <c r="I7" s="54"/>
      <c r="J7" s="54"/>
      <c r="K7" s="59" t="s">
        <v>5</v>
      </c>
      <c r="L7" s="53" t="s">
        <v>11</v>
      </c>
      <c r="M7" s="54"/>
      <c r="N7" s="54"/>
      <c r="O7" s="54"/>
      <c r="P7" s="54"/>
    </row>
    <row r="8" spans="1:16" ht="2.1" customHeight="1">
      <c r="A8" s="54"/>
      <c r="B8" s="54"/>
      <c r="C8" s="54"/>
      <c r="D8" s="55"/>
      <c r="E8" s="54"/>
      <c r="F8" s="54"/>
      <c r="G8" s="54"/>
      <c r="H8" s="54"/>
      <c r="I8" s="54"/>
      <c r="J8" s="54"/>
      <c r="K8" s="60">
        <v>1</v>
      </c>
      <c r="L8" s="54"/>
      <c r="M8" s="54"/>
      <c r="N8" s="54"/>
      <c r="O8" s="54"/>
      <c r="P8" s="54"/>
    </row>
    <row r="9" spans="1:16" ht="12.75">
      <c r="A9" s="54"/>
      <c r="B9" s="57"/>
      <c r="C9" s="57"/>
      <c r="D9" s="55"/>
      <c r="E9" s="54"/>
      <c r="F9" s="54"/>
      <c r="G9" s="54"/>
      <c r="H9" s="53" t="s">
        <v>12</v>
      </c>
      <c r="I9" s="114">
        <v>44185</v>
      </c>
      <c r="J9" s="57"/>
      <c r="K9" s="59">
        <v>1</v>
      </c>
      <c r="L9" s="53" t="s">
        <v>13</v>
      </c>
      <c r="M9" s="54"/>
      <c r="N9" s="54"/>
      <c r="O9" s="54"/>
      <c r="P9" s="54"/>
    </row>
    <row r="10" spans="1:16" ht="2.1" customHeight="1">
      <c r="A10" s="54"/>
      <c r="B10" s="54"/>
      <c r="C10" s="54"/>
      <c r="D10" s="55"/>
      <c r="E10" s="54"/>
      <c r="F10" s="54"/>
      <c r="G10" s="54"/>
      <c r="H10" s="54"/>
      <c r="I10" s="54"/>
      <c r="J10" s="54"/>
      <c r="K10" s="60"/>
      <c r="L10" s="54"/>
      <c r="M10" s="54"/>
      <c r="N10" s="54"/>
      <c r="O10" s="54"/>
      <c r="P10" s="54"/>
    </row>
    <row r="11" spans="1:16" ht="12.75">
      <c r="A11" s="53" t="s">
        <v>14</v>
      </c>
      <c r="B11" s="54"/>
      <c r="C11" s="54"/>
      <c r="D11" s="53" t="s">
        <v>15</v>
      </c>
      <c r="E11" s="57" t="s">
        <v>5</v>
      </c>
      <c r="F11" s="57"/>
      <c r="G11" s="57"/>
      <c r="H11" s="54"/>
      <c r="I11" s="54"/>
      <c r="J11" s="54"/>
      <c r="K11" s="59"/>
      <c r="L11" s="57"/>
      <c r="M11" s="57"/>
      <c r="N11" s="54"/>
      <c r="O11" s="54"/>
      <c r="P11" s="54"/>
    </row>
    <row r="12" spans="1:16" ht="2.1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60"/>
      <c r="L12" s="54"/>
      <c r="M12" s="54"/>
      <c r="N12" s="54"/>
      <c r="O12" s="54"/>
      <c r="P12" s="54"/>
    </row>
    <row r="13" spans="1:16" ht="12.75">
      <c r="A13" s="54" t="s">
        <v>16</v>
      </c>
      <c r="B13" s="57"/>
      <c r="C13" s="57"/>
      <c r="D13" s="54" t="s">
        <v>5</v>
      </c>
      <c r="E13" s="57" t="s">
        <v>5</v>
      </c>
      <c r="F13" s="57"/>
      <c r="G13" s="57"/>
      <c r="H13" s="53" t="s">
        <v>5</v>
      </c>
      <c r="I13" s="54"/>
      <c r="J13" s="54"/>
      <c r="K13" s="59"/>
      <c r="L13" s="57"/>
      <c r="M13" s="57"/>
      <c r="N13" s="57"/>
      <c r="O13" s="54"/>
      <c r="P13" s="54"/>
    </row>
    <row r="14" spans="1:16" ht="2.1" customHeight="1">
      <c r="A14" s="54"/>
      <c r="B14" s="54"/>
      <c r="C14" s="54"/>
      <c r="D14" s="54" t="s">
        <v>5</v>
      </c>
      <c r="E14" s="54"/>
      <c r="F14" s="54"/>
      <c r="G14" s="54"/>
      <c r="H14" s="54"/>
      <c r="I14" s="54"/>
      <c r="J14" s="54"/>
      <c r="K14" s="61"/>
      <c r="L14" s="61"/>
      <c r="M14" s="61"/>
      <c r="N14" s="54"/>
      <c r="O14" s="54"/>
      <c r="P14" s="54"/>
    </row>
    <row r="15" spans="1:16" ht="12.75">
      <c r="A15" s="54" t="s">
        <v>17</v>
      </c>
      <c r="B15" s="57"/>
      <c r="C15" s="57"/>
      <c r="D15" s="54" t="s">
        <v>5</v>
      </c>
      <c r="E15" s="54" t="s">
        <v>5</v>
      </c>
      <c r="F15" s="54"/>
      <c r="G15" s="54"/>
      <c r="H15" s="53" t="s">
        <v>18</v>
      </c>
      <c r="I15" s="113" t="s">
        <v>19</v>
      </c>
      <c r="J15" s="57"/>
      <c r="K15" s="61"/>
      <c r="L15" s="61"/>
      <c r="M15" s="61"/>
      <c r="N15" s="57"/>
      <c r="O15" s="54"/>
      <c r="P15" s="54"/>
    </row>
    <row r="16" spans="1:16" ht="12.75">
      <c r="A16" s="54" t="s">
        <v>20</v>
      </c>
      <c r="B16" s="57"/>
      <c r="C16" s="57"/>
      <c r="D16" s="54" t="s">
        <v>5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</row>
    <row r="17" spans="1:14" ht="13.5" thickBot="1">
      <c r="A17" s="53"/>
      <c r="B17" s="54"/>
      <c r="C17" s="54"/>
      <c r="D17" s="62" t="s">
        <v>5</v>
      </c>
      <c r="E17" s="57"/>
      <c r="F17" s="57"/>
      <c r="G17" s="54"/>
      <c r="H17" s="53" t="s">
        <v>21</v>
      </c>
      <c r="I17" s="57" t="s">
        <v>5</v>
      </c>
      <c r="J17" s="57"/>
      <c r="K17" s="54"/>
      <c r="L17" s="54"/>
      <c r="M17" s="54"/>
      <c r="N17" s="54"/>
    </row>
    <row r="18" spans="1:14" ht="3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 ht="18">
      <c r="A19" s="44" t="s">
        <v>22</v>
      </c>
      <c r="G19" s="63" t="s">
        <v>23</v>
      </c>
      <c r="H19" s="54"/>
      <c r="I19" s="54"/>
      <c r="J19" s="54"/>
      <c r="K19" s="54"/>
      <c r="L19" s="54"/>
      <c r="M19" s="54"/>
      <c r="N19" s="54"/>
    </row>
    <row r="20" spans="1:14" ht="11.1" customHeight="1">
      <c r="A20" s="64" t="s">
        <v>24</v>
      </c>
      <c r="F20" s="65"/>
      <c r="G20" s="63" t="s">
        <v>25</v>
      </c>
    </row>
    <row r="21" spans="1:14" ht="11.1" customHeight="1">
      <c r="A21" s="63" t="s">
        <v>26</v>
      </c>
      <c r="F21" s="65"/>
      <c r="G21" s="63" t="s">
        <v>27</v>
      </c>
    </row>
    <row r="22" spans="1:14" ht="11.1" customHeight="1">
      <c r="A22" s="63" t="s">
        <v>5</v>
      </c>
      <c r="F22" s="65"/>
      <c r="G22" s="63" t="s">
        <v>28</v>
      </c>
    </row>
    <row r="23" spans="1:14" ht="11.1" customHeight="1">
      <c r="A23" s="63" t="s">
        <v>5</v>
      </c>
      <c r="F23" s="65"/>
      <c r="G23" s="63" t="s">
        <v>29</v>
      </c>
    </row>
    <row r="24" spans="1:14" ht="11.1" customHeight="1">
      <c r="F24" s="65"/>
    </row>
    <row r="25" spans="1:14" ht="11.1" customHeight="1">
      <c r="A25" s="63" t="s">
        <v>30</v>
      </c>
      <c r="D25" s="66" t="s">
        <v>31</v>
      </c>
      <c r="E25" s="67">
        <f>'G703 Schedule of Values'!C36</f>
        <v>0</v>
      </c>
      <c r="F25" s="65"/>
    </row>
    <row r="26" spans="1:14" ht="11.1" customHeight="1">
      <c r="A26" s="63" t="s">
        <v>32</v>
      </c>
      <c r="D26" s="66" t="s">
        <v>31</v>
      </c>
      <c r="E26" s="112" t="s">
        <v>5</v>
      </c>
      <c r="F26" s="65"/>
      <c r="G26" s="102" t="s">
        <v>33</v>
      </c>
    </row>
    <row r="27" spans="1:14" ht="11.1" customHeight="1">
      <c r="A27" s="63" t="s">
        <v>34</v>
      </c>
      <c r="D27" s="66" t="s">
        <v>35</v>
      </c>
      <c r="E27" s="68">
        <f>SUM(E25+E26)</f>
        <v>0</v>
      </c>
      <c r="F27" s="65"/>
    </row>
    <row r="28" spans="1:14" ht="11.1" customHeight="1">
      <c r="A28" s="63" t="s">
        <v>36</v>
      </c>
      <c r="D28" s="66" t="s">
        <v>35</v>
      </c>
      <c r="E28" s="67">
        <f>'G703 Schedule of Values'!G36</f>
        <v>0</v>
      </c>
      <c r="F28" s="65"/>
    </row>
    <row r="29" spans="1:14" ht="11.1" customHeight="1">
      <c r="A29" s="63" t="s">
        <v>37</v>
      </c>
      <c r="F29" s="65"/>
      <c r="G29" s="63" t="s">
        <v>38</v>
      </c>
      <c r="H29" s="69"/>
      <c r="I29" s="69"/>
      <c r="J29" s="69"/>
      <c r="K29" s="63" t="s">
        <v>39</v>
      </c>
      <c r="L29" s="121">
        <v>44185</v>
      </c>
      <c r="M29" s="121"/>
      <c r="N29" s="122"/>
    </row>
    <row r="30" spans="1:14" ht="11.1" customHeight="1">
      <c r="A30" s="63" t="s">
        <v>40</v>
      </c>
      <c r="F30" s="65"/>
      <c r="H30" s="117"/>
      <c r="I30" s="117"/>
      <c r="J30" s="117"/>
    </row>
    <row r="31" spans="1:14" ht="11.1" customHeight="1">
      <c r="A31" s="66" t="s">
        <v>41</v>
      </c>
      <c r="B31" s="70">
        <v>0</v>
      </c>
      <c r="C31" s="63" t="s">
        <v>42</v>
      </c>
      <c r="D31" s="67">
        <f>'G703 Schedule of Values'!J36</f>
        <v>0</v>
      </c>
      <c r="F31" s="65"/>
      <c r="G31" s="63" t="s">
        <v>43</v>
      </c>
      <c r="I31" s="45" t="s">
        <v>44</v>
      </c>
      <c r="J31" s="66" t="s">
        <v>45</v>
      </c>
      <c r="K31" s="45" t="s">
        <v>46</v>
      </c>
      <c r="L31" s="45" t="s">
        <v>47</v>
      </c>
    </row>
    <row r="32" spans="1:14" ht="11.1" customHeight="1">
      <c r="B32" s="63" t="s">
        <v>48</v>
      </c>
      <c r="F32" s="65"/>
      <c r="G32" s="63" t="s">
        <v>49</v>
      </c>
      <c r="J32" s="115" t="s">
        <v>50</v>
      </c>
      <c r="K32" s="116" t="s">
        <v>51</v>
      </c>
      <c r="M32" s="45" t="s">
        <v>52</v>
      </c>
      <c r="N32" s="64">
        <v>2020</v>
      </c>
    </row>
    <row r="33" spans="1:14" ht="11.1" customHeight="1">
      <c r="A33" s="66" t="s">
        <v>53</v>
      </c>
      <c r="B33" s="70">
        <v>0</v>
      </c>
      <c r="C33" s="45" t="s">
        <v>54</v>
      </c>
      <c r="D33" s="71">
        <v>0</v>
      </c>
      <c r="F33" s="65"/>
      <c r="G33" s="63" t="s">
        <v>55</v>
      </c>
    </row>
    <row r="34" spans="1:14" ht="11.1" customHeight="1">
      <c r="B34" s="63" t="s">
        <v>56</v>
      </c>
      <c r="F34" s="65"/>
      <c r="G34" s="63" t="s">
        <v>57</v>
      </c>
    </row>
    <row r="35" spans="1:14" ht="11.1" customHeight="1" thickBot="1">
      <c r="A35" s="63" t="s">
        <v>58</v>
      </c>
      <c r="F35" s="65"/>
      <c r="G35" s="72"/>
      <c r="H35" s="72"/>
      <c r="I35" s="72"/>
      <c r="J35" s="72"/>
      <c r="K35" s="72"/>
      <c r="L35" s="72"/>
      <c r="M35" s="72"/>
      <c r="N35" s="72"/>
    </row>
    <row r="36" spans="1:14" ht="15.75" customHeight="1">
      <c r="B36" s="63" t="s">
        <v>59</v>
      </c>
      <c r="D36" s="66" t="s">
        <v>35</v>
      </c>
      <c r="E36" s="73">
        <f>D31+D33</f>
        <v>0</v>
      </c>
      <c r="F36" s="65"/>
      <c r="G36" s="44" t="s">
        <v>60</v>
      </c>
      <c r="H36" s="51"/>
      <c r="I36" s="51"/>
      <c r="J36" s="51"/>
      <c r="K36" s="51"/>
      <c r="L36" s="51"/>
      <c r="M36" s="51"/>
      <c r="N36" s="51"/>
    </row>
    <row r="37" spans="1:14" ht="11.1" customHeight="1">
      <c r="A37" s="63" t="s">
        <v>61</v>
      </c>
      <c r="D37" s="66" t="s">
        <v>35</v>
      </c>
      <c r="E37" s="68">
        <f>SUM(E28-D31)</f>
        <v>0</v>
      </c>
      <c r="F37" s="65"/>
      <c r="G37" s="63" t="s">
        <v>62</v>
      </c>
    </row>
    <row r="38" spans="1:14" ht="11.1" customHeight="1">
      <c r="B38" s="63" t="s">
        <v>63</v>
      </c>
      <c r="F38" s="65"/>
      <c r="G38" s="63" t="s">
        <v>64</v>
      </c>
    </row>
    <row r="39" spans="1:14" ht="11.1" customHeight="1">
      <c r="A39" s="63" t="s">
        <v>65</v>
      </c>
      <c r="F39" s="65"/>
      <c r="G39" s="63" t="s">
        <v>66</v>
      </c>
    </row>
    <row r="40" spans="1:14" ht="11.1" customHeight="1">
      <c r="A40" s="63" t="s">
        <v>67</v>
      </c>
      <c r="D40" s="66" t="s">
        <v>35</v>
      </c>
      <c r="E40" s="67">
        <v>0</v>
      </c>
      <c r="F40" s="65"/>
      <c r="G40" s="63" t="s">
        <v>68</v>
      </c>
    </row>
    <row r="41" spans="1:14" ht="11.1" customHeight="1">
      <c r="A41" s="63" t="s">
        <v>69</v>
      </c>
      <c r="D41" s="66" t="s">
        <v>35</v>
      </c>
      <c r="E41" s="74">
        <f>E37-E40</f>
        <v>0</v>
      </c>
      <c r="F41" s="65"/>
      <c r="G41" s="63" t="s">
        <v>70</v>
      </c>
    </row>
    <row r="42" spans="1:14" ht="11.1" customHeight="1">
      <c r="A42" s="63" t="s">
        <v>71</v>
      </c>
      <c r="E42" s="68">
        <f>SUM(E28-E37)</f>
        <v>0</v>
      </c>
      <c r="F42" s="65"/>
    </row>
    <row r="43" spans="1:14" ht="11.1" customHeight="1">
      <c r="B43" s="63" t="s">
        <v>72</v>
      </c>
      <c r="F43" s="65"/>
      <c r="G43" s="63" t="s">
        <v>73</v>
      </c>
      <c r="J43" s="103">
        <f>E41</f>
        <v>0</v>
      </c>
    </row>
    <row r="44" spans="1:14" ht="11.1" customHeight="1" thickBot="1">
      <c r="F44" s="65"/>
    </row>
    <row r="45" spans="1:14" ht="11.1" customHeight="1">
      <c r="A45" s="75" t="s">
        <v>74</v>
      </c>
      <c r="B45" s="76"/>
      <c r="C45" s="76"/>
      <c r="D45" s="77" t="s">
        <v>75</v>
      </c>
      <c r="E45" s="78" t="s">
        <v>76</v>
      </c>
      <c r="F45" s="65"/>
      <c r="G45" s="79" t="s">
        <v>77</v>
      </c>
    </row>
    <row r="46" spans="1:14" ht="11.1" customHeight="1">
      <c r="A46" s="80" t="s">
        <v>78</v>
      </c>
      <c r="D46" s="81"/>
      <c r="E46" s="82"/>
      <c r="F46" s="65"/>
      <c r="G46" s="83" t="s">
        <v>79</v>
      </c>
    </row>
    <row r="47" spans="1:14" ht="11.1" customHeight="1">
      <c r="A47" s="84" t="s">
        <v>80</v>
      </c>
      <c r="B47" s="69"/>
      <c r="C47" s="69"/>
      <c r="D47" s="85">
        <v>0</v>
      </c>
      <c r="E47" s="86">
        <v>0</v>
      </c>
      <c r="F47" s="65"/>
      <c r="G47" s="102" t="s">
        <v>81</v>
      </c>
    </row>
    <row r="48" spans="1:14" ht="6.75" customHeight="1">
      <c r="A48" s="87"/>
      <c r="D48" s="81"/>
      <c r="E48" s="82"/>
      <c r="F48" s="65"/>
    </row>
    <row r="49" spans="1:14" ht="12.75" customHeight="1">
      <c r="A49" s="84" t="s">
        <v>82</v>
      </c>
      <c r="B49" s="69"/>
      <c r="C49" s="69"/>
      <c r="D49" s="85" t="s">
        <v>5</v>
      </c>
      <c r="E49" s="86"/>
      <c r="F49" s="65"/>
      <c r="G49" s="63" t="s">
        <v>38</v>
      </c>
      <c r="H49" s="69"/>
      <c r="I49" s="69"/>
      <c r="J49" s="69"/>
      <c r="K49" s="63" t="s">
        <v>39</v>
      </c>
      <c r="L49" s="69"/>
      <c r="M49" s="69"/>
      <c r="N49" s="69"/>
    </row>
    <row r="50" spans="1:14" ht="3.75" customHeight="1">
      <c r="A50" s="87"/>
      <c r="D50" s="81"/>
      <c r="E50" s="82"/>
      <c r="F50" s="65"/>
    </row>
    <row r="51" spans="1:14" ht="12.75" customHeight="1">
      <c r="A51" s="84" t="s">
        <v>83</v>
      </c>
      <c r="B51" s="69"/>
      <c r="C51" s="69"/>
      <c r="D51" s="88">
        <f>D47+D49</f>
        <v>0</v>
      </c>
      <c r="E51" s="89">
        <f>E47+E49</f>
        <v>0</v>
      </c>
      <c r="F51" s="65"/>
      <c r="G51" s="63" t="s">
        <v>84</v>
      </c>
    </row>
    <row r="52" spans="1:14" ht="9" customHeight="1">
      <c r="A52" s="87"/>
      <c r="D52" s="81"/>
      <c r="E52" s="90"/>
      <c r="F52" s="65"/>
      <c r="G52" s="63" t="s">
        <v>85</v>
      </c>
    </row>
    <row r="53" spans="1:14" ht="12.75" customHeight="1" thickBot="1">
      <c r="A53" s="91" t="s">
        <v>86</v>
      </c>
      <c r="B53" s="92"/>
      <c r="C53" s="92"/>
      <c r="D53" s="93">
        <f>D51-E51</f>
        <v>0</v>
      </c>
      <c r="E53" s="94"/>
      <c r="F53" s="65"/>
      <c r="G53" s="63" t="s">
        <v>87</v>
      </c>
    </row>
    <row r="54" spans="1:14" ht="6" customHeight="1" thickBot="1">
      <c r="F54" s="65"/>
      <c r="G54" s="54"/>
      <c r="H54" s="54"/>
      <c r="I54" s="54"/>
      <c r="J54" s="54"/>
      <c r="K54" s="54"/>
      <c r="L54" s="54"/>
      <c r="M54" s="54"/>
      <c r="N54" s="54"/>
    </row>
    <row r="55" spans="1:14">
      <c r="A55" s="95" t="s">
        <v>88</v>
      </c>
      <c r="B55" s="96"/>
      <c r="C55" s="96"/>
      <c r="D55" s="96"/>
      <c r="E55" s="96"/>
      <c r="F55" s="96"/>
      <c r="G55" s="95" t="s">
        <v>89</v>
      </c>
      <c r="H55" s="96"/>
      <c r="I55" s="96"/>
      <c r="J55" s="96"/>
      <c r="K55" s="96"/>
      <c r="L55" s="96"/>
      <c r="M55" s="96"/>
      <c r="N55" s="96"/>
    </row>
    <row r="56" spans="1:14">
      <c r="A56" s="97" t="s">
        <v>90</v>
      </c>
      <c r="N56" s="98"/>
    </row>
  </sheetData>
  <sheetProtection password="D5F3"/>
  <mergeCells count="1">
    <mergeCell ref="L29:N29"/>
  </mergeCells>
  <phoneticPr fontId="14" type="noConversion"/>
  <printOptions gridLinesSet="0"/>
  <pageMargins left="4.5999999999999999E-2" right="0.51300000000000001" top="6.0000000000000001E-3" bottom="1.9E-2" header="0.5" footer="0.5"/>
  <pageSetup scale="87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D6F1-9468-4148-AC5C-71BE7C9F84E4}">
  <sheetPr syncVertical="1" syncRef="A12" transitionEvaluation="1"/>
  <dimension ref="A1:IJ363"/>
  <sheetViews>
    <sheetView showGridLines="0" workbookViewId="0">
      <pane ySplit="11" topLeftCell="A12" activePane="bottomLeft" state="frozen"/>
      <selection pane="bottomLeft" activeCell="J5" sqref="J5"/>
    </sheetView>
  </sheetViews>
  <sheetFormatPr defaultColWidth="9.83203125" defaultRowHeight="12.75"/>
  <cols>
    <col min="1" max="1" width="8.1640625" style="10" customWidth="1"/>
    <col min="2" max="2" width="36.1640625" style="10" customWidth="1"/>
    <col min="3" max="3" width="14.33203125" style="10" customWidth="1"/>
    <col min="4" max="4" width="16.33203125" style="10" customWidth="1"/>
    <col min="5" max="5" width="13.83203125" style="10" customWidth="1"/>
    <col min="6" max="6" width="16.33203125" style="10" customWidth="1"/>
    <col min="7" max="7" width="14.33203125" style="10" customWidth="1"/>
    <col min="8" max="8" width="8.83203125" style="10" customWidth="1"/>
    <col min="9" max="9" width="13.83203125" style="10" customWidth="1"/>
    <col min="10" max="10" width="12.6640625" style="10" customWidth="1"/>
    <col min="11" max="255" width="9.83203125" style="10" customWidth="1"/>
    <col min="256" max="16384" width="9.83203125" style="10"/>
  </cols>
  <sheetData>
    <row r="1" spans="1:244" ht="24" thickBot="1">
      <c r="A1" s="4" t="s">
        <v>91</v>
      </c>
      <c r="B1" s="5"/>
      <c r="C1" s="5"/>
      <c r="D1" s="5"/>
      <c r="E1" s="6" t="s">
        <v>92</v>
      </c>
      <c r="F1" s="5"/>
      <c r="G1" s="7"/>
      <c r="H1" s="5"/>
      <c r="I1" s="8" t="s">
        <v>93</v>
      </c>
      <c r="J1" s="9"/>
      <c r="IH1" s="11" t="s">
        <v>94</v>
      </c>
    </row>
    <row r="2" spans="1:244">
      <c r="A2" s="12" t="s">
        <v>95</v>
      </c>
      <c r="F2" s="10" t="s">
        <v>5</v>
      </c>
      <c r="H2" s="13" t="s">
        <v>7</v>
      </c>
      <c r="I2" s="120" t="str">
        <f>+'G702 Request for Payment'!I3</f>
        <v>1</v>
      </c>
      <c r="J2" s="14"/>
      <c r="IH2" s="11" t="s">
        <v>96</v>
      </c>
    </row>
    <row r="3" spans="1:244" ht="11.1" customHeight="1">
      <c r="A3" s="12" t="s">
        <v>97</v>
      </c>
      <c r="H3" s="13" t="s">
        <v>98</v>
      </c>
      <c r="I3" s="119">
        <f>+'G702 Request for Payment'!L29</f>
        <v>44185</v>
      </c>
      <c r="J3" s="14"/>
      <c r="IH3" s="11" t="s">
        <v>99</v>
      </c>
    </row>
    <row r="4" spans="1:244" ht="14.1" customHeight="1">
      <c r="A4" s="12" t="s">
        <v>100</v>
      </c>
      <c r="E4" s="104" t="s">
        <v>5</v>
      </c>
      <c r="H4" s="13" t="s">
        <v>101</v>
      </c>
      <c r="I4" s="119">
        <f>+'G702 Request for Payment'!I9</f>
        <v>44185</v>
      </c>
      <c r="J4" s="14"/>
      <c r="IH4" s="11" t="s">
        <v>102</v>
      </c>
      <c r="II4" s="14"/>
      <c r="IJ4" s="14"/>
    </row>
    <row r="5" spans="1:244">
      <c r="A5" s="12" t="s">
        <v>103</v>
      </c>
      <c r="E5" s="104" t="s">
        <v>5</v>
      </c>
      <c r="H5" s="13" t="s">
        <v>104</v>
      </c>
      <c r="I5" s="118" t="str">
        <f>+'G702 Request for Payment'!I15</f>
        <v>20-155-01</v>
      </c>
      <c r="J5" s="14"/>
      <c r="IH5" s="11" t="s">
        <v>105</v>
      </c>
      <c r="II5" s="14"/>
      <c r="IJ5" s="14"/>
    </row>
    <row r="6" spans="1:244">
      <c r="IH6" s="11" t="s">
        <v>106</v>
      </c>
      <c r="II6" s="14"/>
      <c r="IJ6" s="14"/>
    </row>
    <row r="7" spans="1:244">
      <c r="A7" s="15" t="s">
        <v>107</v>
      </c>
      <c r="B7" s="15" t="s">
        <v>108</v>
      </c>
      <c r="C7" s="15" t="s">
        <v>109</v>
      </c>
      <c r="D7" s="15" t="s">
        <v>110</v>
      </c>
      <c r="E7" s="15" t="s">
        <v>111</v>
      </c>
      <c r="F7" s="15" t="s">
        <v>112</v>
      </c>
      <c r="G7" s="16" t="s">
        <v>113</v>
      </c>
      <c r="H7" s="17"/>
      <c r="I7" s="16" t="s">
        <v>114</v>
      </c>
      <c r="J7" s="18" t="s">
        <v>115</v>
      </c>
      <c r="IH7" s="11" t="s">
        <v>116</v>
      </c>
    </row>
    <row r="8" spans="1:244" ht="9.75" customHeight="1">
      <c r="A8" s="19" t="s">
        <v>117</v>
      </c>
      <c r="B8" s="19" t="s">
        <v>118</v>
      </c>
      <c r="C8" s="19" t="s">
        <v>119</v>
      </c>
      <c r="D8" s="20" t="s">
        <v>120</v>
      </c>
      <c r="E8" s="21"/>
      <c r="F8" s="19" t="s">
        <v>121</v>
      </c>
      <c r="G8" s="19" t="s">
        <v>122</v>
      </c>
      <c r="H8" s="19" t="s">
        <v>123</v>
      </c>
      <c r="I8" s="22" t="s">
        <v>124</v>
      </c>
      <c r="J8" s="23" t="s">
        <v>125</v>
      </c>
    </row>
    <row r="9" spans="1:244" ht="9.75" customHeight="1">
      <c r="A9" s="24" t="s">
        <v>126</v>
      </c>
      <c r="B9" s="25"/>
      <c r="C9" s="19" t="s">
        <v>127</v>
      </c>
      <c r="D9" s="19" t="s">
        <v>128</v>
      </c>
      <c r="E9" s="19" t="s">
        <v>129</v>
      </c>
      <c r="F9" s="19" t="s">
        <v>130</v>
      </c>
      <c r="G9" s="19" t="s">
        <v>131</v>
      </c>
      <c r="H9" s="19" t="s">
        <v>132</v>
      </c>
      <c r="I9" s="22" t="s">
        <v>133</v>
      </c>
      <c r="J9" s="26"/>
    </row>
    <row r="10" spans="1:244" ht="9.75" customHeight="1">
      <c r="A10" s="25"/>
      <c r="B10" s="25"/>
      <c r="C10" s="25"/>
      <c r="D10" s="19" t="s">
        <v>134</v>
      </c>
      <c r="E10" s="25"/>
      <c r="F10" s="19" t="s">
        <v>135</v>
      </c>
      <c r="G10" s="19" t="s">
        <v>136</v>
      </c>
      <c r="H10" s="25"/>
      <c r="I10" s="22" t="s">
        <v>137</v>
      </c>
      <c r="J10" s="42">
        <v>0</v>
      </c>
    </row>
    <row r="11" spans="1:244" ht="9.75" customHeight="1">
      <c r="A11" s="25"/>
      <c r="B11" s="25"/>
      <c r="C11" s="25"/>
      <c r="D11" s="19" t="s">
        <v>138</v>
      </c>
      <c r="E11" s="25"/>
      <c r="F11" s="19" t="s">
        <v>139</v>
      </c>
      <c r="G11" s="19" t="s">
        <v>140</v>
      </c>
      <c r="H11" s="25"/>
      <c r="I11" s="25"/>
      <c r="J11" s="27"/>
    </row>
    <row r="12" spans="1:244" ht="9.75" customHeight="1">
      <c r="A12" s="28"/>
      <c r="B12" s="28"/>
      <c r="C12" s="28"/>
      <c r="D12" s="28"/>
      <c r="E12" s="28"/>
      <c r="F12" s="29" t="s">
        <v>141</v>
      </c>
      <c r="G12" s="29" t="s">
        <v>142</v>
      </c>
      <c r="H12" s="28"/>
      <c r="I12" s="28"/>
      <c r="J12" s="30"/>
    </row>
    <row r="13" spans="1:244">
      <c r="A13" s="105"/>
      <c r="B13" s="99"/>
      <c r="C13" s="31"/>
      <c r="D13" s="31"/>
      <c r="E13" s="31"/>
      <c r="F13" s="31"/>
      <c r="G13" s="32"/>
      <c r="H13" s="33"/>
      <c r="I13" s="32"/>
      <c r="J13" s="2"/>
    </row>
    <row r="14" spans="1:244">
      <c r="A14" s="105"/>
      <c r="B14" s="99"/>
      <c r="C14" s="31"/>
      <c r="D14" s="31"/>
      <c r="E14" s="31"/>
      <c r="F14" s="31"/>
      <c r="G14" s="32"/>
      <c r="H14" s="33"/>
      <c r="I14" s="32"/>
      <c r="J14" s="2"/>
    </row>
    <row r="15" spans="1:244">
      <c r="A15" s="105"/>
      <c r="B15" s="99"/>
      <c r="C15" s="31"/>
      <c r="D15" s="31"/>
      <c r="E15" s="31"/>
      <c r="F15" s="31"/>
      <c r="G15" s="32"/>
      <c r="H15" s="33"/>
      <c r="I15" s="32"/>
      <c r="J15" s="2"/>
    </row>
    <row r="16" spans="1:244">
      <c r="A16" s="105"/>
      <c r="B16" s="99"/>
      <c r="C16" s="31"/>
      <c r="D16" s="31"/>
      <c r="E16" s="31"/>
      <c r="F16" s="31"/>
      <c r="G16" s="32" t="str">
        <f t="shared" ref="G16:G33" si="0">IF(D16+E16+F16=0,"",D16+E16+F16)</f>
        <v/>
      </c>
      <c r="H16" s="33" t="str">
        <f t="shared" ref="H16:H33" si="1">IF(G16=0,"",IF(ISERR(G16/C16),"",G16/C16))</f>
        <v/>
      </c>
      <c r="I16" s="32" t="str">
        <f t="shared" ref="I16:I33" si="2">IF(C16-G16=0,"",C16-G16)</f>
        <v/>
      </c>
      <c r="J16" s="2"/>
    </row>
    <row r="17" spans="1:10">
      <c r="A17" s="105"/>
      <c r="B17" s="99"/>
      <c r="C17" s="31"/>
      <c r="D17" s="31"/>
      <c r="E17" s="31"/>
      <c r="F17" s="31"/>
      <c r="G17" s="32" t="str">
        <f t="shared" si="0"/>
        <v/>
      </c>
      <c r="H17" s="33" t="str">
        <f t="shared" si="1"/>
        <v/>
      </c>
      <c r="I17" s="32" t="str">
        <f t="shared" si="2"/>
        <v/>
      </c>
      <c r="J17" s="2"/>
    </row>
    <row r="18" spans="1:10">
      <c r="A18" s="105"/>
      <c r="B18" s="99"/>
      <c r="C18" s="31"/>
      <c r="D18" s="31"/>
      <c r="E18" s="31"/>
      <c r="F18" s="31"/>
      <c r="G18" s="32" t="str">
        <f t="shared" si="0"/>
        <v/>
      </c>
      <c r="H18" s="33" t="str">
        <f t="shared" si="1"/>
        <v/>
      </c>
      <c r="I18" s="32" t="str">
        <f t="shared" si="2"/>
        <v/>
      </c>
      <c r="J18" s="2"/>
    </row>
    <row r="19" spans="1:10">
      <c r="A19" s="105"/>
      <c r="B19" s="99"/>
      <c r="C19" s="31"/>
      <c r="D19" s="31"/>
      <c r="E19" s="31"/>
      <c r="F19" s="31"/>
      <c r="G19" s="32" t="str">
        <f t="shared" si="0"/>
        <v/>
      </c>
      <c r="H19" s="33" t="str">
        <f t="shared" si="1"/>
        <v/>
      </c>
      <c r="I19" s="32" t="str">
        <f t="shared" si="2"/>
        <v/>
      </c>
      <c r="J19" s="2"/>
    </row>
    <row r="20" spans="1:10">
      <c r="A20" s="105"/>
      <c r="B20" s="100"/>
      <c r="C20" s="31"/>
      <c r="D20" s="31"/>
      <c r="E20" s="31"/>
      <c r="F20" s="31"/>
      <c r="G20" s="32" t="str">
        <f t="shared" si="0"/>
        <v/>
      </c>
      <c r="H20" s="33" t="str">
        <f t="shared" si="1"/>
        <v/>
      </c>
      <c r="I20" s="32" t="str">
        <f t="shared" si="2"/>
        <v/>
      </c>
      <c r="J20" s="2"/>
    </row>
    <row r="21" spans="1:10">
      <c r="A21" s="105"/>
      <c r="B21" s="100"/>
      <c r="C21" s="31"/>
      <c r="D21" s="31"/>
      <c r="E21" s="31"/>
      <c r="F21" s="31"/>
      <c r="G21" s="32" t="str">
        <f t="shared" si="0"/>
        <v/>
      </c>
      <c r="H21" s="33" t="str">
        <f t="shared" si="1"/>
        <v/>
      </c>
      <c r="I21" s="32" t="str">
        <f t="shared" si="2"/>
        <v/>
      </c>
      <c r="J21" s="2"/>
    </row>
    <row r="22" spans="1:10">
      <c r="A22" s="105"/>
      <c r="B22" s="100"/>
      <c r="C22" s="31"/>
      <c r="D22" s="31"/>
      <c r="E22" s="31"/>
      <c r="F22" s="31"/>
      <c r="G22" s="32" t="str">
        <f t="shared" si="0"/>
        <v/>
      </c>
      <c r="H22" s="33" t="str">
        <f t="shared" si="1"/>
        <v/>
      </c>
      <c r="I22" s="32" t="str">
        <f t="shared" si="2"/>
        <v/>
      </c>
      <c r="J22" s="2"/>
    </row>
    <row r="23" spans="1:10">
      <c r="A23" s="105"/>
      <c r="B23" s="100"/>
      <c r="C23" s="31"/>
      <c r="D23" s="31"/>
      <c r="E23" s="31"/>
      <c r="F23" s="31"/>
      <c r="G23" s="32" t="str">
        <f t="shared" si="0"/>
        <v/>
      </c>
      <c r="H23" s="33" t="str">
        <f t="shared" si="1"/>
        <v/>
      </c>
      <c r="I23" s="32" t="str">
        <f t="shared" si="2"/>
        <v/>
      </c>
      <c r="J23" s="2"/>
    </row>
    <row r="24" spans="1:10">
      <c r="A24" s="105"/>
      <c r="B24" s="100"/>
      <c r="C24" s="31"/>
      <c r="D24" s="31"/>
      <c r="E24" s="31"/>
      <c r="F24" s="31"/>
      <c r="G24" s="32" t="str">
        <f t="shared" si="0"/>
        <v/>
      </c>
      <c r="H24" s="33" t="str">
        <f t="shared" si="1"/>
        <v/>
      </c>
      <c r="I24" s="32" t="str">
        <f t="shared" si="2"/>
        <v/>
      </c>
      <c r="J24" s="2"/>
    </row>
    <row r="25" spans="1:10">
      <c r="A25" s="105"/>
      <c r="B25" s="100"/>
      <c r="C25" s="31"/>
      <c r="D25" s="31"/>
      <c r="E25" s="31" t="s">
        <v>5</v>
      </c>
      <c r="F25" s="31"/>
      <c r="G25" s="32" t="str">
        <f t="shared" si="0"/>
        <v/>
      </c>
      <c r="H25" s="33" t="str">
        <f t="shared" si="1"/>
        <v/>
      </c>
      <c r="I25" s="32" t="str">
        <f t="shared" si="2"/>
        <v/>
      </c>
      <c r="J25" s="2"/>
    </row>
    <row r="26" spans="1:10">
      <c r="A26" s="105"/>
      <c r="B26" s="100"/>
      <c r="C26" s="31"/>
      <c r="D26" s="31"/>
      <c r="E26" s="31" t="s">
        <v>5</v>
      </c>
      <c r="F26" s="31"/>
      <c r="G26" s="32" t="str">
        <f t="shared" si="0"/>
        <v/>
      </c>
      <c r="H26" s="33" t="str">
        <f t="shared" si="1"/>
        <v/>
      </c>
      <c r="I26" s="32" t="str">
        <f t="shared" si="2"/>
        <v/>
      </c>
      <c r="J26" s="2"/>
    </row>
    <row r="27" spans="1:10">
      <c r="A27" s="105"/>
      <c r="B27" s="100"/>
      <c r="C27" s="31"/>
      <c r="D27" s="31"/>
      <c r="E27" s="31" t="s">
        <v>5</v>
      </c>
      <c r="F27" s="31"/>
      <c r="G27" s="32" t="str">
        <f t="shared" si="0"/>
        <v/>
      </c>
      <c r="H27" s="33" t="str">
        <f t="shared" si="1"/>
        <v/>
      </c>
      <c r="I27" s="32" t="str">
        <f t="shared" si="2"/>
        <v/>
      </c>
      <c r="J27" s="2"/>
    </row>
    <row r="28" spans="1:10">
      <c r="A28" s="105"/>
      <c r="B28" s="99"/>
      <c r="C28" s="31"/>
      <c r="D28" s="31"/>
      <c r="E28" s="31" t="s">
        <v>5</v>
      </c>
      <c r="F28" s="31"/>
      <c r="G28" s="32" t="str">
        <f t="shared" si="0"/>
        <v/>
      </c>
      <c r="H28" s="33" t="str">
        <f t="shared" si="1"/>
        <v/>
      </c>
      <c r="I28" s="32" t="str">
        <f t="shared" si="2"/>
        <v/>
      </c>
      <c r="J28" s="2"/>
    </row>
    <row r="29" spans="1:10">
      <c r="A29" s="105"/>
      <c r="B29" s="99"/>
      <c r="C29" s="31"/>
      <c r="D29" s="31"/>
      <c r="E29" s="31"/>
      <c r="F29" s="31"/>
      <c r="G29" s="32" t="str">
        <f t="shared" si="0"/>
        <v/>
      </c>
      <c r="H29" s="33" t="str">
        <f t="shared" si="1"/>
        <v/>
      </c>
      <c r="I29" s="32" t="str">
        <f t="shared" si="2"/>
        <v/>
      </c>
      <c r="J29" s="2"/>
    </row>
    <row r="30" spans="1:10">
      <c r="A30" s="105"/>
      <c r="B30" s="99"/>
      <c r="C30" s="31"/>
      <c r="D30" s="31"/>
      <c r="E30" s="31"/>
      <c r="F30" s="31"/>
      <c r="G30" s="32" t="str">
        <f t="shared" si="0"/>
        <v/>
      </c>
      <c r="H30" s="33" t="str">
        <f t="shared" si="1"/>
        <v/>
      </c>
      <c r="I30" s="32" t="str">
        <f t="shared" si="2"/>
        <v/>
      </c>
      <c r="J30" s="2"/>
    </row>
    <row r="31" spans="1:10">
      <c r="A31" s="105"/>
      <c r="B31" s="99"/>
      <c r="C31" s="31"/>
      <c r="D31" s="31"/>
      <c r="E31" s="31" t="s">
        <v>5</v>
      </c>
      <c r="F31" s="31"/>
      <c r="G31" s="32" t="str">
        <f t="shared" si="0"/>
        <v/>
      </c>
      <c r="H31" s="33" t="str">
        <f t="shared" si="1"/>
        <v/>
      </c>
      <c r="I31" s="32" t="str">
        <f t="shared" si="2"/>
        <v/>
      </c>
      <c r="J31" s="2"/>
    </row>
    <row r="32" spans="1:10">
      <c r="A32" s="105"/>
      <c r="B32" s="100"/>
      <c r="C32" s="31"/>
      <c r="D32" s="31"/>
      <c r="E32" s="31"/>
      <c r="F32" s="31"/>
      <c r="G32" s="32" t="str">
        <f t="shared" si="0"/>
        <v/>
      </c>
      <c r="H32" s="33" t="str">
        <f t="shared" si="1"/>
        <v/>
      </c>
      <c r="I32" s="32" t="str">
        <f t="shared" si="2"/>
        <v/>
      </c>
      <c r="J32" s="2"/>
    </row>
    <row r="33" spans="1:10">
      <c r="A33" s="105"/>
      <c r="B33" s="101"/>
      <c r="C33" s="31"/>
      <c r="D33" s="31"/>
      <c r="E33" s="31" t="s">
        <v>5</v>
      </c>
      <c r="F33" s="31"/>
      <c r="G33" s="32" t="str">
        <f t="shared" si="0"/>
        <v/>
      </c>
      <c r="H33" s="33" t="str">
        <f t="shared" si="1"/>
        <v/>
      </c>
      <c r="I33" s="32" t="str">
        <f t="shared" si="2"/>
        <v/>
      </c>
      <c r="J33" s="2"/>
    </row>
    <row r="34" spans="1:10">
      <c r="A34" s="105"/>
      <c r="B34" s="101"/>
      <c r="C34" s="31"/>
      <c r="D34" s="31"/>
      <c r="E34" s="31" t="s">
        <v>5</v>
      </c>
      <c r="F34" s="31"/>
      <c r="G34" s="32" t="str">
        <f>IF(D34+E34+F34=0,"",D34+E34+F34)</f>
        <v/>
      </c>
      <c r="H34" s="33" t="str">
        <f>IF(G34=0,"",IF(ISERR(G34/C34),"",G34/C34))</f>
        <v/>
      </c>
      <c r="I34" s="32" t="str">
        <f>IF(C34-G34=0,"",C34-G34)</f>
        <v/>
      </c>
      <c r="J34" s="2"/>
    </row>
    <row r="35" spans="1:10" ht="0.75" customHeight="1">
      <c r="A35" s="106"/>
      <c r="B35" s="34"/>
      <c r="C35" s="35"/>
      <c r="D35" s="35"/>
      <c r="E35" s="35"/>
      <c r="F35" s="35"/>
      <c r="G35" s="36">
        <f>D35+E35+F35</f>
        <v>0</v>
      </c>
      <c r="H35" s="36">
        <f>E35+F35+G35</f>
        <v>0</v>
      </c>
      <c r="I35" s="36">
        <f>C35-G35</f>
        <v>0</v>
      </c>
      <c r="J35" s="3"/>
    </row>
    <row r="36" spans="1:10">
      <c r="A36" s="107"/>
      <c r="B36" s="37" t="s">
        <v>143</v>
      </c>
      <c r="C36" s="32">
        <f>SUM(C13:C34)</f>
        <v>0</v>
      </c>
      <c r="D36" s="32">
        <f>SUM(D13:D34)</f>
        <v>0</v>
      </c>
      <c r="E36" s="32">
        <f>SUM(E16+E17)</f>
        <v>0</v>
      </c>
      <c r="F36" s="32">
        <f>SUM(F13:F34)</f>
        <v>0</v>
      </c>
      <c r="G36" s="32">
        <f>SUM(G16+G17)</f>
        <v>0</v>
      </c>
      <c r="H36" s="33" t="str">
        <f>IF(G36=0,"",IF(ISERR(G36/C36),"",G36/C36))</f>
        <v/>
      </c>
      <c r="I36" s="32">
        <f>SUM(I13:I34)</f>
        <v>0</v>
      </c>
      <c r="J36" s="43">
        <f>SUM(J13:J34)</f>
        <v>0</v>
      </c>
    </row>
    <row r="37" spans="1:10" ht="12.75" customHeight="1" thickBot="1">
      <c r="A37" s="108"/>
      <c r="B37" s="38"/>
      <c r="C37" s="38"/>
      <c r="D37" s="38"/>
      <c r="E37" s="38"/>
      <c r="F37" s="38"/>
      <c r="G37" s="38"/>
      <c r="H37" s="39"/>
      <c r="I37" s="38"/>
      <c r="J37" s="1"/>
    </row>
    <row r="38" spans="1:10" ht="12.75" customHeight="1">
      <c r="A38" s="109" t="s">
        <v>144</v>
      </c>
      <c r="B38" s="40"/>
      <c r="C38" s="40"/>
      <c r="D38" s="40"/>
      <c r="E38" s="40"/>
      <c r="F38" s="40"/>
      <c r="H38" s="41"/>
    </row>
    <row r="39" spans="1:10">
      <c r="A39" s="110"/>
      <c r="H39" s="41"/>
    </row>
    <row r="40" spans="1:10">
      <c r="A40" s="111"/>
    </row>
    <row r="41" spans="1:10">
      <c r="A41" s="111"/>
    </row>
    <row r="42" spans="1:10">
      <c r="A42" s="111"/>
    </row>
    <row r="43" spans="1:10">
      <c r="A43" s="111"/>
    </row>
    <row r="44" spans="1:10">
      <c r="A44" s="111"/>
    </row>
    <row r="45" spans="1:10">
      <c r="A45" s="111"/>
    </row>
    <row r="46" spans="1:10">
      <c r="A46" s="111"/>
    </row>
    <row r="47" spans="1:10">
      <c r="A47" s="111"/>
    </row>
    <row r="48" spans="1:10">
      <c r="A48" s="111"/>
    </row>
    <row r="49" spans="1:1">
      <c r="A49" s="111"/>
    </row>
    <row r="50" spans="1:1">
      <c r="A50" s="111"/>
    </row>
    <row r="51" spans="1:1">
      <c r="A51" s="111"/>
    </row>
    <row r="52" spans="1:1">
      <c r="A52" s="111"/>
    </row>
    <row r="53" spans="1:1">
      <c r="A53" s="111"/>
    </row>
    <row r="54" spans="1:1">
      <c r="A54" s="111"/>
    </row>
    <row r="55" spans="1:1">
      <c r="A55" s="111"/>
    </row>
    <row r="56" spans="1:1">
      <c r="A56" s="111"/>
    </row>
    <row r="57" spans="1:1">
      <c r="A57" s="111"/>
    </row>
    <row r="58" spans="1:1">
      <c r="A58" s="111"/>
    </row>
    <row r="59" spans="1:1">
      <c r="A59" s="111"/>
    </row>
    <row r="60" spans="1:1">
      <c r="A60" s="111"/>
    </row>
    <row r="61" spans="1:1">
      <c r="A61" s="111"/>
    </row>
    <row r="62" spans="1:1">
      <c r="A62" s="111"/>
    </row>
    <row r="63" spans="1:1">
      <c r="A63" s="111"/>
    </row>
    <row r="64" spans="1:1">
      <c r="A64" s="111"/>
    </row>
    <row r="65" spans="1:1">
      <c r="A65" s="111"/>
    </row>
    <row r="66" spans="1:1">
      <c r="A66" s="111"/>
    </row>
    <row r="67" spans="1:1">
      <c r="A67" s="111"/>
    </row>
    <row r="68" spans="1:1">
      <c r="A68" s="111"/>
    </row>
    <row r="69" spans="1:1">
      <c r="A69" s="111"/>
    </row>
    <row r="70" spans="1:1">
      <c r="A70" s="111"/>
    </row>
    <row r="71" spans="1:1">
      <c r="A71" s="111"/>
    </row>
    <row r="72" spans="1:1">
      <c r="A72" s="111"/>
    </row>
    <row r="73" spans="1:1">
      <c r="A73" s="111"/>
    </row>
    <row r="74" spans="1:1">
      <c r="A74" s="111"/>
    </row>
    <row r="75" spans="1:1">
      <c r="A75" s="111"/>
    </row>
    <row r="76" spans="1:1">
      <c r="A76" s="111"/>
    </row>
    <row r="77" spans="1:1">
      <c r="A77" s="111"/>
    </row>
    <row r="78" spans="1:1">
      <c r="A78" s="111"/>
    </row>
    <row r="79" spans="1:1">
      <c r="A79" s="111"/>
    </row>
    <row r="80" spans="1:1">
      <c r="A80" s="111"/>
    </row>
    <row r="81" spans="1:1">
      <c r="A81" s="111"/>
    </row>
    <row r="82" spans="1:1">
      <c r="A82" s="111"/>
    </row>
    <row r="83" spans="1:1">
      <c r="A83" s="111"/>
    </row>
    <row r="84" spans="1:1">
      <c r="A84" s="111"/>
    </row>
    <row r="85" spans="1:1">
      <c r="A85" s="111"/>
    </row>
    <row r="86" spans="1:1">
      <c r="A86" s="111"/>
    </row>
    <row r="87" spans="1:1">
      <c r="A87" s="111"/>
    </row>
    <row r="88" spans="1:1">
      <c r="A88" s="111"/>
    </row>
    <row r="89" spans="1:1">
      <c r="A89" s="111"/>
    </row>
    <row r="90" spans="1:1">
      <c r="A90" s="111"/>
    </row>
    <row r="91" spans="1:1">
      <c r="A91" s="111"/>
    </row>
    <row r="92" spans="1:1">
      <c r="A92" s="111"/>
    </row>
    <row r="93" spans="1:1">
      <c r="A93" s="111"/>
    </row>
    <row r="94" spans="1:1">
      <c r="A94" s="111"/>
    </row>
    <row r="95" spans="1:1">
      <c r="A95" s="111"/>
    </row>
    <row r="96" spans="1:1">
      <c r="A96" s="111"/>
    </row>
    <row r="97" spans="1:1">
      <c r="A97" s="111"/>
    </row>
    <row r="98" spans="1:1">
      <c r="A98" s="111"/>
    </row>
    <row r="99" spans="1:1">
      <c r="A99" s="111"/>
    </row>
    <row r="100" spans="1:1">
      <c r="A100" s="111"/>
    </row>
    <row r="101" spans="1:1">
      <c r="A101" s="111"/>
    </row>
    <row r="102" spans="1:1">
      <c r="A102" s="111"/>
    </row>
    <row r="103" spans="1:1">
      <c r="A103" s="111"/>
    </row>
    <row r="104" spans="1:1">
      <c r="A104" s="111"/>
    </row>
    <row r="105" spans="1:1">
      <c r="A105" s="111"/>
    </row>
    <row r="106" spans="1:1">
      <c r="A106" s="111"/>
    </row>
    <row r="107" spans="1:1">
      <c r="A107" s="111"/>
    </row>
    <row r="108" spans="1:1">
      <c r="A108" s="111"/>
    </row>
    <row r="109" spans="1:1">
      <c r="A109" s="111"/>
    </row>
    <row r="110" spans="1:1">
      <c r="A110" s="111"/>
    </row>
    <row r="111" spans="1:1">
      <c r="A111" s="111"/>
    </row>
    <row r="112" spans="1:1">
      <c r="A112" s="111"/>
    </row>
    <row r="113" spans="1:1">
      <c r="A113" s="111"/>
    </row>
    <row r="114" spans="1:1">
      <c r="A114" s="111"/>
    </row>
    <row r="115" spans="1:1">
      <c r="A115" s="111"/>
    </row>
    <row r="116" spans="1:1">
      <c r="A116" s="111"/>
    </row>
    <row r="117" spans="1:1">
      <c r="A117" s="111"/>
    </row>
    <row r="118" spans="1:1">
      <c r="A118" s="111"/>
    </row>
    <row r="119" spans="1:1">
      <c r="A119" s="111"/>
    </row>
    <row r="120" spans="1:1">
      <c r="A120" s="111"/>
    </row>
    <row r="121" spans="1:1">
      <c r="A121" s="111"/>
    </row>
    <row r="122" spans="1:1">
      <c r="A122" s="111"/>
    </row>
    <row r="123" spans="1:1">
      <c r="A123" s="111"/>
    </row>
    <row r="124" spans="1:1">
      <c r="A124" s="111"/>
    </row>
    <row r="125" spans="1:1">
      <c r="A125" s="111"/>
    </row>
    <row r="126" spans="1:1">
      <c r="A126" s="111"/>
    </row>
    <row r="127" spans="1:1">
      <c r="A127" s="111"/>
    </row>
    <row r="128" spans="1:1">
      <c r="A128" s="111"/>
    </row>
    <row r="129" spans="1:1">
      <c r="A129" s="111"/>
    </row>
    <row r="130" spans="1:1">
      <c r="A130" s="111"/>
    </row>
    <row r="131" spans="1:1">
      <c r="A131" s="111"/>
    </row>
    <row r="132" spans="1:1">
      <c r="A132" s="111"/>
    </row>
    <row r="133" spans="1:1">
      <c r="A133" s="111"/>
    </row>
    <row r="134" spans="1:1">
      <c r="A134" s="111"/>
    </row>
    <row r="135" spans="1:1">
      <c r="A135" s="111"/>
    </row>
    <row r="136" spans="1:1">
      <c r="A136" s="111"/>
    </row>
    <row r="137" spans="1:1">
      <c r="A137" s="111"/>
    </row>
    <row r="138" spans="1:1">
      <c r="A138" s="111"/>
    </row>
    <row r="139" spans="1:1">
      <c r="A139" s="111"/>
    </row>
    <row r="140" spans="1:1">
      <c r="A140" s="111"/>
    </row>
    <row r="141" spans="1:1">
      <c r="A141" s="111"/>
    </row>
    <row r="142" spans="1:1">
      <c r="A142" s="111"/>
    </row>
    <row r="143" spans="1:1">
      <c r="A143" s="111"/>
    </row>
    <row r="144" spans="1:1">
      <c r="A144" s="111"/>
    </row>
    <row r="145" spans="1:1">
      <c r="A145" s="111"/>
    </row>
    <row r="146" spans="1:1">
      <c r="A146" s="111"/>
    </row>
    <row r="147" spans="1:1">
      <c r="A147" s="111"/>
    </row>
    <row r="148" spans="1:1">
      <c r="A148" s="111"/>
    </row>
    <row r="149" spans="1:1">
      <c r="A149" s="111"/>
    </row>
    <row r="150" spans="1:1">
      <c r="A150" s="111"/>
    </row>
    <row r="151" spans="1:1">
      <c r="A151" s="111"/>
    </row>
    <row r="152" spans="1:1">
      <c r="A152" s="111"/>
    </row>
    <row r="153" spans="1:1">
      <c r="A153" s="111"/>
    </row>
    <row r="154" spans="1:1">
      <c r="A154" s="111"/>
    </row>
    <row r="155" spans="1:1">
      <c r="A155" s="111"/>
    </row>
    <row r="156" spans="1:1">
      <c r="A156" s="111"/>
    </row>
    <row r="157" spans="1:1">
      <c r="A157" s="111"/>
    </row>
    <row r="158" spans="1:1">
      <c r="A158" s="111"/>
    </row>
    <row r="159" spans="1:1">
      <c r="A159" s="111"/>
    </row>
    <row r="160" spans="1:1">
      <c r="A160" s="111"/>
    </row>
    <row r="161" spans="1:1">
      <c r="A161" s="111"/>
    </row>
    <row r="162" spans="1:1">
      <c r="A162" s="111"/>
    </row>
    <row r="163" spans="1:1">
      <c r="A163" s="111"/>
    </row>
    <row r="164" spans="1:1">
      <c r="A164" s="111"/>
    </row>
    <row r="165" spans="1:1">
      <c r="A165" s="111"/>
    </row>
    <row r="166" spans="1:1">
      <c r="A166" s="111"/>
    </row>
    <row r="167" spans="1:1">
      <c r="A167" s="111"/>
    </row>
    <row r="168" spans="1:1">
      <c r="A168" s="111"/>
    </row>
    <row r="169" spans="1:1">
      <c r="A169" s="111"/>
    </row>
    <row r="170" spans="1:1">
      <c r="A170" s="111"/>
    </row>
    <row r="171" spans="1:1">
      <c r="A171" s="111"/>
    </row>
    <row r="172" spans="1:1">
      <c r="A172" s="111"/>
    </row>
    <row r="173" spans="1:1">
      <c r="A173" s="111"/>
    </row>
    <row r="174" spans="1:1">
      <c r="A174" s="111"/>
    </row>
    <row r="175" spans="1:1">
      <c r="A175" s="111"/>
    </row>
    <row r="176" spans="1:1">
      <c r="A176" s="111"/>
    </row>
    <row r="177" spans="1:1">
      <c r="A177" s="111"/>
    </row>
    <row r="178" spans="1:1">
      <c r="A178" s="111"/>
    </row>
    <row r="179" spans="1:1">
      <c r="A179" s="111"/>
    </row>
    <row r="180" spans="1:1">
      <c r="A180" s="111"/>
    </row>
    <row r="181" spans="1:1">
      <c r="A181" s="111"/>
    </row>
    <row r="182" spans="1:1">
      <c r="A182" s="111"/>
    </row>
    <row r="183" spans="1:1">
      <c r="A183" s="111"/>
    </row>
    <row r="184" spans="1:1">
      <c r="A184" s="111"/>
    </row>
    <row r="185" spans="1:1">
      <c r="A185" s="111"/>
    </row>
    <row r="186" spans="1:1">
      <c r="A186" s="111"/>
    </row>
    <row r="187" spans="1:1">
      <c r="A187" s="111"/>
    </row>
    <row r="188" spans="1:1">
      <c r="A188" s="111"/>
    </row>
    <row r="189" spans="1:1">
      <c r="A189" s="111"/>
    </row>
    <row r="190" spans="1:1">
      <c r="A190" s="111"/>
    </row>
    <row r="191" spans="1:1">
      <c r="A191" s="111"/>
    </row>
    <row r="192" spans="1:1">
      <c r="A192" s="111"/>
    </row>
    <row r="193" spans="1:1">
      <c r="A193" s="111"/>
    </row>
    <row r="194" spans="1:1">
      <c r="A194" s="111"/>
    </row>
    <row r="195" spans="1:1">
      <c r="A195" s="111"/>
    </row>
    <row r="196" spans="1:1">
      <c r="A196" s="111"/>
    </row>
    <row r="197" spans="1:1">
      <c r="A197" s="111"/>
    </row>
    <row r="198" spans="1:1">
      <c r="A198" s="111"/>
    </row>
    <row r="199" spans="1:1">
      <c r="A199" s="111"/>
    </row>
    <row r="200" spans="1:1">
      <c r="A200" s="111"/>
    </row>
    <row r="201" spans="1:1">
      <c r="A201" s="111"/>
    </row>
    <row r="202" spans="1:1">
      <c r="A202" s="111"/>
    </row>
    <row r="203" spans="1:1">
      <c r="A203" s="111"/>
    </row>
    <row r="204" spans="1:1">
      <c r="A204" s="111"/>
    </row>
    <row r="205" spans="1:1">
      <c r="A205" s="111"/>
    </row>
    <row r="206" spans="1:1">
      <c r="A206" s="111"/>
    </row>
    <row r="207" spans="1:1">
      <c r="A207" s="111"/>
    </row>
    <row r="208" spans="1:1">
      <c r="A208" s="111"/>
    </row>
    <row r="209" spans="1:1">
      <c r="A209" s="111"/>
    </row>
    <row r="210" spans="1:1">
      <c r="A210" s="111"/>
    </row>
    <row r="211" spans="1:1">
      <c r="A211" s="111"/>
    </row>
    <row r="212" spans="1:1">
      <c r="A212" s="111"/>
    </row>
    <row r="213" spans="1:1">
      <c r="A213" s="111"/>
    </row>
    <row r="214" spans="1:1">
      <c r="A214" s="111"/>
    </row>
    <row r="215" spans="1:1">
      <c r="A215" s="111"/>
    </row>
    <row r="216" spans="1:1">
      <c r="A216" s="111"/>
    </row>
    <row r="217" spans="1:1">
      <c r="A217" s="111"/>
    </row>
    <row r="218" spans="1:1">
      <c r="A218" s="111"/>
    </row>
    <row r="219" spans="1:1">
      <c r="A219" s="111"/>
    </row>
    <row r="220" spans="1:1">
      <c r="A220" s="111"/>
    </row>
    <row r="221" spans="1:1">
      <c r="A221" s="111"/>
    </row>
    <row r="222" spans="1:1">
      <c r="A222" s="111"/>
    </row>
    <row r="223" spans="1:1">
      <c r="A223" s="111"/>
    </row>
    <row r="224" spans="1:1">
      <c r="A224" s="111"/>
    </row>
    <row r="225" spans="1:1">
      <c r="A225" s="111"/>
    </row>
    <row r="226" spans="1:1">
      <c r="A226" s="111"/>
    </row>
    <row r="227" spans="1:1">
      <c r="A227" s="111"/>
    </row>
    <row r="228" spans="1:1">
      <c r="A228" s="111"/>
    </row>
    <row r="229" spans="1:1">
      <c r="A229" s="111"/>
    </row>
    <row r="230" spans="1:1">
      <c r="A230" s="111"/>
    </row>
    <row r="231" spans="1:1">
      <c r="A231" s="111"/>
    </row>
    <row r="232" spans="1:1">
      <c r="A232" s="111"/>
    </row>
    <row r="233" spans="1:1">
      <c r="A233" s="111"/>
    </row>
    <row r="234" spans="1:1">
      <c r="A234" s="111"/>
    </row>
    <row r="235" spans="1:1">
      <c r="A235" s="111"/>
    </row>
    <row r="236" spans="1:1">
      <c r="A236" s="111"/>
    </row>
    <row r="237" spans="1:1">
      <c r="A237" s="111"/>
    </row>
    <row r="238" spans="1:1">
      <c r="A238" s="111"/>
    </row>
    <row r="239" spans="1:1">
      <c r="A239" s="111"/>
    </row>
    <row r="240" spans="1:1">
      <c r="A240" s="111"/>
    </row>
    <row r="241" spans="1:1">
      <c r="A241" s="111"/>
    </row>
    <row r="242" spans="1:1">
      <c r="A242" s="111"/>
    </row>
    <row r="243" spans="1:1">
      <c r="A243" s="111"/>
    </row>
    <row r="244" spans="1:1">
      <c r="A244" s="111"/>
    </row>
    <row r="245" spans="1:1">
      <c r="A245" s="111"/>
    </row>
    <row r="246" spans="1:1">
      <c r="A246" s="111"/>
    </row>
    <row r="247" spans="1:1">
      <c r="A247" s="111"/>
    </row>
    <row r="248" spans="1:1">
      <c r="A248" s="111"/>
    </row>
    <row r="249" spans="1:1">
      <c r="A249" s="111"/>
    </row>
    <row r="250" spans="1:1">
      <c r="A250" s="111"/>
    </row>
    <row r="251" spans="1:1">
      <c r="A251" s="111"/>
    </row>
    <row r="252" spans="1:1">
      <c r="A252" s="111"/>
    </row>
    <row r="253" spans="1:1">
      <c r="A253" s="111"/>
    </row>
    <row r="254" spans="1:1">
      <c r="A254" s="111"/>
    </row>
    <row r="255" spans="1:1">
      <c r="A255" s="111"/>
    </row>
    <row r="256" spans="1:1">
      <c r="A256" s="111"/>
    </row>
    <row r="257" spans="1:1">
      <c r="A257" s="111"/>
    </row>
    <row r="258" spans="1:1">
      <c r="A258" s="111"/>
    </row>
    <row r="259" spans="1:1">
      <c r="A259" s="111"/>
    </row>
    <row r="260" spans="1:1">
      <c r="A260" s="111"/>
    </row>
    <row r="261" spans="1:1">
      <c r="A261" s="111"/>
    </row>
    <row r="262" spans="1:1">
      <c r="A262" s="111"/>
    </row>
    <row r="263" spans="1:1">
      <c r="A263" s="111"/>
    </row>
    <row r="264" spans="1:1">
      <c r="A264" s="111"/>
    </row>
    <row r="265" spans="1:1">
      <c r="A265" s="111"/>
    </row>
    <row r="266" spans="1:1">
      <c r="A266" s="111"/>
    </row>
    <row r="267" spans="1:1">
      <c r="A267" s="111"/>
    </row>
    <row r="268" spans="1:1">
      <c r="A268" s="111"/>
    </row>
    <row r="269" spans="1:1">
      <c r="A269" s="111"/>
    </row>
    <row r="270" spans="1:1">
      <c r="A270" s="111"/>
    </row>
    <row r="271" spans="1:1">
      <c r="A271" s="111"/>
    </row>
    <row r="272" spans="1:1">
      <c r="A272" s="111"/>
    </row>
    <row r="273" spans="1:1">
      <c r="A273" s="111"/>
    </row>
    <row r="274" spans="1:1">
      <c r="A274" s="111"/>
    </row>
    <row r="275" spans="1:1">
      <c r="A275" s="111"/>
    </row>
    <row r="276" spans="1:1">
      <c r="A276" s="111"/>
    </row>
    <row r="277" spans="1:1">
      <c r="A277" s="111"/>
    </row>
    <row r="278" spans="1:1">
      <c r="A278" s="111"/>
    </row>
    <row r="279" spans="1:1">
      <c r="A279" s="111"/>
    </row>
    <row r="280" spans="1:1">
      <c r="A280" s="111"/>
    </row>
    <row r="281" spans="1:1">
      <c r="A281" s="111"/>
    </row>
    <row r="282" spans="1:1">
      <c r="A282" s="111"/>
    </row>
    <row r="283" spans="1:1">
      <c r="A283" s="111"/>
    </row>
    <row r="284" spans="1:1">
      <c r="A284" s="111"/>
    </row>
    <row r="285" spans="1:1">
      <c r="A285" s="111"/>
    </row>
    <row r="286" spans="1:1">
      <c r="A286" s="111"/>
    </row>
    <row r="287" spans="1:1">
      <c r="A287" s="111"/>
    </row>
    <row r="288" spans="1:1">
      <c r="A288" s="111"/>
    </row>
    <row r="289" spans="1:1">
      <c r="A289" s="111"/>
    </row>
    <row r="290" spans="1:1">
      <c r="A290" s="111"/>
    </row>
    <row r="291" spans="1:1">
      <c r="A291" s="111"/>
    </row>
    <row r="292" spans="1:1">
      <c r="A292" s="111"/>
    </row>
    <row r="293" spans="1:1">
      <c r="A293" s="111"/>
    </row>
    <row r="294" spans="1:1">
      <c r="A294" s="111"/>
    </row>
    <row r="295" spans="1:1">
      <c r="A295" s="111"/>
    </row>
    <row r="296" spans="1:1">
      <c r="A296" s="111"/>
    </row>
    <row r="297" spans="1:1">
      <c r="A297" s="111"/>
    </row>
    <row r="298" spans="1:1">
      <c r="A298" s="111"/>
    </row>
    <row r="299" spans="1:1">
      <c r="A299" s="111"/>
    </row>
    <row r="300" spans="1:1">
      <c r="A300" s="111"/>
    </row>
    <row r="301" spans="1:1">
      <c r="A301" s="111"/>
    </row>
    <row r="302" spans="1:1">
      <c r="A302" s="111"/>
    </row>
    <row r="303" spans="1:1">
      <c r="A303" s="111"/>
    </row>
    <row r="304" spans="1:1">
      <c r="A304" s="111"/>
    </row>
    <row r="305" spans="1:1">
      <c r="A305" s="111"/>
    </row>
    <row r="306" spans="1:1">
      <c r="A306" s="111"/>
    </row>
    <row r="307" spans="1:1">
      <c r="A307" s="111"/>
    </row>
    <row r="308" spans="1:1">
      <c r="A308" s="111"/>
    </row>
    <row r="309" spans="1:1">
      <c r="A309" s="111"/>
    </row>
    <row r="310" spans="1:1">
      <c r="A310" s="111"/>
    </row>
    <row r="311" spans="1:1">
      <c r="A311" s="111"/>
    </row>
    <row r="312" spans="1:1">
      <c r="A312" s="111"/>
    </row>
    <row r="313" spans="1:1">
      <c r="A313" s="111"/>
    </row>
    <row r="314" spans="1:1">
      <c r="A314" s="111"/>
    </row>
    <row r="315" spans="1:1">
      <c r="A315" s="111"/>
    </row>
    <row r="316" spans="1:1">
      <c r="A316" s="111"/>
    </row>
    <row r="317" spans="1:1">
      <c r="A317" s="111"/>
    </row>
    <row r="318" spans="1:1">
      <c r="A318" s="111"/>
    </row>
    <row r="319" spans="1:1">
      <c r="A319" s="111"/>
    </row>
    <row r="320" spans="1:1">
      <c r="A320" s="111"/>
    </row>
    <row r="321" spans="1:1">
      <c r="A321" s="111"/>
    </row>
    <row r="322" spans="1:1">
      <c r="A322" s="111"/>
    </row>
    <row r="323" spans="1:1">
      <c r="A323" s="111"/>
    </row>
    <row r="324" spans="1:1">
      <c r="A324" s="111"/>
    </row>
    <row r="325" spans="1:1">
      <c r="A325" s="111"/>
    </row>
    <row r="326" spans="1:1">
      <c r="A326" s="111"/>
    </row>
    <row r="327" spans="1:1">
      <c r="A327" s="111"/>
    </row>
    <row r="328" spans="1:1">
      <c r="A328" s="111"/>
    </row>
    <row r="329" spans="1:1">
      <c r="A329" s="111"/>
    </row>
    <row r="330" spans="1:1">
      <c r="A330" s="111"/>
    </row>
    <row r="331" spans="1:1">
      <c r="A331" s="111"/>
    </row>
    <row r="332" spans="1:1">
      <c r="A332" s="111"/>
    </row>
    <row r="333" spans="1:1">
      <c r="A333" s="111"/>
    </row>
    <row r="334" spans="1:1">
      <c r="A334" s="111"/>
    </row>
    <row r="335" spans="1:1">
      <c r="A335" s="111"/>
    </row>
    <row r="336" spans="1:1">
      <c r="A336" s="111"/>
    </row>
    <row r="337" spans="1:1">
      <c r="A337" s="111"/>
    </row>
    <row r="338" spans="1:1">
      <c r="A338" s="111"/>
    </row>
    <row r="339" spans="1:1">
      <c r="A339" s="111"/>
    </row>
    <row r="340" spans="1:1">
      <c r="A340" s="111"/>
    </row>
    <row r="341" spans="1:1">
      <c r="A341" s="111"/>
    </row>
    <row r="342" spans="1:1">
      <c r="A342" s="111"/>
    </row>
    <row r="343" spans="1:1">
      <c r="A343" s="111"/>
    </row>
    <row r="344" spans="1:1">
      <c r="A344" s="111"/>
    </row>
    <row r="345" spans="1:1">
      <c r="A345" s="111"/>
    </row>
    <row r="346" spans="1:1">
      <c r="A346" s="111"/>
    </row>
    <row r="347" spans="1:1">
      <c r="A347" s="111"/>
    </row>
    <row r="348" spans="1:1">
      <c r="A348" s="111"/>
    </row>
    <row r="349" spans="1:1">
      <c r="A349" s="111"/>
    </row>
    <row r="350" spans="1:1">
      <c r="A350" s="111"/>
    </row>
    <row r="351" spans="1:1">
      <c r="A351" s="111"/>
    </row>
    <row r="352" spans="1:1">
      <c r="A352" s="111"/>
    </row>
    <row r="353" spans="1:1">
      <c r="A353" s="111"/>
    </row>
    <row r="354" spans="1:1">
      <c r="A354" s="111"/>
    </row>
    <row r="355" spans="1:1">
      <c r="A355" s="111"/>
    </row>
    <row r="356" spans="1:1">
      <c r="A356" s="111"/>
    </row>
    <row r="357" spans="1:1">
      <c r="A357" s="111"/>
    </row>
    <row r="358" spans="1:1">
      <c r="A358" s="111"/>
    </row>
    <row r="359" spans="1:1">
      <c r="A359" s="111"/>
    </row>
    <row r="360" spans="1:1">
      <c r="A360" s="111"/>
    </row>
    <row r="361" spans="1:1">
      <c r="A361" s="111"/>
    </row>
    <row r="362" spans="1:1">
      <c r="A362" s="111"/>
    </row>
    <row r="363" spans="1:1">
      <c r="A363" s="111"/>
    </row>
  </sheetData>
  <sheetProtection password="D5F3"/>
  <phoneticPr fontId="0" type="noConversion"/>
  <printOptions gridLinesSet="0"/>
  <pageMargins left="0.1" right="0.1" top="0.6" bottom="0.69" header="0.5" footer="0.5"/>
  <pageSetup scale="96" orientation="landscape" horizontalDpi="4294967292" verticalDpi="4294967292" r:id="rId1"/>
  <headerFooter alignWithMargins="0">
    <oddFooter>&amp;L&amp;"Arial"&amp;6AIA DOCUMENT G703 · CONTINUATION SHEET FOR G702 · 1992 EDITION · AIA · ©1992
THE AMERICAN INSTITUTE OF ARCHITECTS, 1735 NEW YORK AVENUE, N.W. WASHINGTON, D.C.  20006-5232&amp;R&amp;"Arial"&amp;8&amp;BG703-1992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461FDA19230D49AFE0D9F7CD5BE389" ma:contentTypeVersion="13" ma:contentTypeDescription="Create a new document." ma:contentTypeScope="" ma:versionID="4bece4ce54732f2a1758f14d2dd08aed">
  <xsd:schema xmlns:xsd="http://www.w3.org/2001/XMLSchema" xmlns:xs="http://www.w3.org/2001/XMLSchema" xmlns:p="http://schemas.microsoft.com/office/2006/metadata/properties" xmlns:ns2="35239723-8b89-4d04-bb37-92d34832bd01" xmlns:ns3="0972043d-28fa-426f-ad35-d03bb7b1f7ec" targetNamespace="http://schemas.microsoft.com/office/2006/metadata/properties" ma:root="true" ma:fieldsID="4719f317e399fbd2c28ef8d7f963aa00" ns2:_="" ns3:_="">
    <xsd:import namespace="35239723-8b89-4d04-bb37-92d34832bd01"/>
    <xsd:import namespace="0972043d-28fa-426f-ad35-d03bb7b1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9723-8b89-4d04-bb37-92d34832b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2043d-28fa-426f-ad35-d03bb7b1f7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a69587-0bfe-4773-83fa-c59140ff2548}" ma:internalName="TaxCatchAll" ma:showField="CatchAllData" ma:web="0972043d-28fa-426f-ad35-d03bb7b1f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D6142AA-88F1-4F67-A390-1208124D98F9}"/>
</file>

<file path=customXml/itemProps2.xml><?xml version="1.0" encoding="utf-8"?>
<ds:datastoreItem xmlns:ds="http://schemas.openxmlformats.org/officeDocument/2006/customXml" ds:itemID="{A2F97E42-7EB4-47D5-A593-7830FBBBED81}"/>
</file>

<file path=customXml/itemProps3.xml><?xml version="1.0" encoding="utf-8"?>
<ds:datastoreItem xmlns:ds="http://schemas.openxmlformats.org/officeDocument/2006/customXml" ds:itemID="{B74C6A21-69AE-4939-8523-39F958708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Hedrick Brothers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jalvarez</dc:creator>
  <cp:keywords/>
  <dc:description/>
  <cp:lastModifiedBy>X</cp:lastModifiedBy>
  <cp:revision/>
  <dcterms:created xsi:type="dcterms:W3CDTF">1999-02-15T21:30:32Z</dcterms:created>
  <dcterms:modified xsi:type="dcterms:W3CDTF">2026-03-27T08:35:32Z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HB\Domain Admins</vt:lpwstr>
  </property>
  <property fmtid="{D5CDD505-2E9C-101B-9397-08002B2CF9AE}" pid="3" name="Order">
    <vt:lpwstr>1213200.00000000</vt:lpwstr>
  </property>
  <property fmtid="{D5CDD505-2E9C-101B-9397-08002B2CF9AE}" pid="4" name="display_urn:schemas-microsoft-com:office:office#Author">
    <vt:lpwstr>HB\Domain Admins</vt:lpwstr>
  </property>
</Properties>
</file>