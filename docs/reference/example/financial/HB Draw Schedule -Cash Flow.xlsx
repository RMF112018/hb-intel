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S:\OPERATIONS\Operational Excellence\Trainings\HB University\Live Trainings\PM\Forecasting_8.2025\"/>
    </mc:Choice>
  </mc:AlternateContent>
  <xr:revisionPtr revIDLastSave="0" documentId="8_{5D9B0701-5486-4233-9BE3-65A7144343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82" i="1" l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U83" i="1"/>
  <c r="V83" i="1"/>
  <c r="W83" i="1"/>
  <c r="X83" i="1"/>
  <c r="Y83" i="1"/>
  <c r="Z83" i="1"/>
  <c r="AA83" i="1"/>
  <c r="AB83" i="1"/>
  <c r="AC83" i="1"/>
  <c r="T83" i="1"/>
  <c r="F80" i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 s="1"/>
  <c r="X80" i="1" s="1"/>
  <c r="Y80" i="1" s="1"/>
  <c r="Z80" i="1" s="1"/>
  <c r="AA80" i="1" s="1"/>
  <c r="AB80" i="1" s="1"/>
  <c r="AC80" i="1" s="1"/>
  <c r="E80" i="1"/>
  <c r="AE76" i="1"/>
  <c r="AD65" i="1" l="1"/>
  <c r="F78" i="1"/>
  <c r="D78" i="1"/>
  <c r="AE77" i="1"/>
  <c r="AD77" i="1"/>
  <c r="AC77" i="1"/>
  <c r="AB77" i="1"/>
  <c r="AB78" i="1" s="1"/>
  <c r="AA77" i="1"/>
  <c r="Z77" i="1"/>
  <c r="Y77" i="1"/>
  <c r="X77" i="1"/>
  <c r="W77" i="1"/>
  <c r="V77" i="1"/>
  <c r="U77" i="1"/>
  <c r="U78" i="1" s="1"/>
  <c r="T77" i="1"/>
  <c r="S77" i="1"/>
  <c r="S78" i="1" s="1"/>
  <c r="R77" i="1"/>
  <c r="R78" i="1" s="1"/>
  <c r="Q77" i="1"/>
  <c r="P77" i="1"/>
  <c r="O77" i="1"/>
  <c r="N77" i="1"/>
  <c r="M77" i="1"/>
  <c r="L77" i="1"/>
  <c r="K77" i="1"/>
  <c r="J77" i="1"/>
  <c r="J78" i="1" s="1"/>
  <c r="I77" i="1"/>
  <c r="I78" i="1" s="1"/>
  <c r="H77" i="1"/>
  <c r="G77" i="1"/>
  <c r="F77" i="1"/>
  <c r="E77" i="1"/>
  <c r="D77" i="1"/>
  <c r="C77" i="1"/>
  <c r="D75" i="1"/>
  <c r="E75" i="1"/>
  <c r="F75" i="1"/>
  <c r="G75" i="1"/>
  <c r="H75" i="1"/>
  <c r="I75" i="1"/>
  <c r="J75" i="1"/>
  <c r="K75" i="1"/>
  <c r="L75" i="1"/>
  <c r="M75" i="1"/>
  <c r="N75" i="1"/>
  <c r="N78" i="1" s="1"/>
  <c r="O75" i="1"/>
  <c r="O78" i="1" s="1"/>
  <c r="P75" i="1"/>
  <c r="P78" i="1" s="1"/>
  <c r="Q75" i="1"/>
  <c r="Q78" i="1" s="1"/>
  <c r="R75" i="1"/>
  <c r="S75" i="1"/>
  <c r="T75" i="1"/>
  <c r="T78" i="1" s="1"/>
  <c r="U75" i="1"/>
  <c r="V75" i="1"/>
  <c r="W75" i="1"/>
  <c r="X75" i="1"/>
  <c r="Y75" i="1"/>
  <c r="Z75" i="1"/>
  <c r="AA75" i="1"/>
  <c r="AA78" i="1" s="1"/>
  <c r="AB75" i="1"/>
  <c r="AC75" i="1"/>
  <c r="AC78" i="1" s="1"/>
  <c r="C75" i="1"/>
  <c r="AC62" i="1"/>
  <c r="AB62" i="1"/>
  <c r="AA62" i="1"/>
  <c r="Z62" i="1"/>
  <c r="Z78" i="1" s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H78" i="1" s="1"/>
  <c r="G62" i="1"/>
  <c r="G78" i="1" s="1"/>
  <c r="F62" i="1"/>
  <c r="E62" i="1"/>
  <c r="E78" i="1" s="1"/>
  <c r="D62" i="1"/>
  <c r="M78" i="1" l="1"/>
  <c r="L78" i="1"/>
  <c r="W78" i="1"/>
  <c r="V78" i="1"/>
  <c r="K78" i="1"/>
  <c r="Y78" i="1"/>
  <c r="X78" i="1"/>
  <c r="AD55" i="1"/>
  <c r="AD6" i="1"/>
  <c r="AE6" i="1" s="1"/>
  <c r="AD7" i="1"/>
  <c r="AD8" i="1"/>
  <c r="AE8" i="1" s="1"/>
  <c r="AD9" i="1"/>
  <c r="AE9" i="1" s="1"/>
  <c r="AD10" i="1"/>
  <c r="AE10" i="1" s="1"/>
  <c r="AD11" i="1"/>
  <c r="AE11" i="1" s="1"/>
  <c r="AD12" i="1"/>
  <c r="AE12" i="1" s="1"/>
  <c r="AD13" i="1"/>
  <c r="AE13" i="1" s="1"/>
  <c r="AD14" i="1"/>
  <c r="AE14" i="1" s="1"/>
  <c r="AD15" i="1"/>
  <c r="AE15" i="1" s="1"/>
  <c r="AD16" i="1"/>
  <c r="AE16" i="1" s="1"/>
  <c r="AD17" i="1"/>
  <c r="AE17" i="1" s="1"/>
  <c r="AD18" i="1"/>
  <c r="AE18" i="1" s="1"/>
  <c r="AD19" i="1"/>
  <c r="AE19" i="1" s="1"/>
  <c r="AD20" i="1"/>
  <c r="AE20" i="1" s="1"/>
  <c r="AD21" i="1"/>
  <c r="AE21" i="1" s="1"/>
  <c r="AD22" i="1"/>
  <c r="AE22" i="1" s="1"/>
  <c r="AD23" i="1"/>
  <c r="AE23" i="1" s="1"/>
  <c r="AD24" i="1"/>
  <c r="AE24" i="1" s="1"/>
  <c r="AD25" i="1"/>
  <c r="AE25" i="1" s="1"/>
  <c r="AD26" i="1"/>
  <c r="AE26" i="1" s="1"/>
  <c r="AD27" i="1"/>
  <c r="AE27" i="1" s="1"/>
  <c r="AD28" i="1"/>
  <c r="AE28" i="1" s="1"/>
  <c r="AD29" i="1"/>
  <c r="AE29" i="1" s="1"/>
  <c r="AD30" i="1"/>
  <c r="AE30" i="1" s="1"/>
  <c r="AD31" i="1"/>
  <c r="AE31" i="1" s="1"/>
  <c r="AD32" i="1"/>
  <c r="AE32" i="1" s="1"/>
  <c r="AD33" i="1"/>
  <c r="AE33" i="1" s="1"/>
  <c r="AD34" i="1"/>
  <c r="AE34" i="1" s="1"/>
  <c r="AD35" i="1"/>
  <c r="AD36" i="1"/>
  <c r="AD37" i="1"/>
  <c r="AD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AD73" i="1"/>
  <c r="AE73" i="1" s="1"/>
  <c r="AD64" i="1"/>
  <c r="AE64" i="1" s="1"/>
  <c r="AD74" i="1"/>
  <c r="AE74" i="1" s="1"/>
  <c r="AE5" i="1" l="1"/>
  <c r="AE55" i="1"/>
  <c r="AE65" i="1"/>
  <c r="AE36" i="1"/>
  <c r="AE37" i="1"/>
  <c r="AD56" i="1"/>
  <c r="AE56" i="1" s="1"/>
  <c r="AD52" i="1"/>
  <c r="AE52" i="1" s="1"/>
  <c r="AD38" i="1"/>
  <c r="AE38" i="1" s="1"/>
  <c r="AD39" i="1"/>
  <c r="AE39" i="1" s="1"/>
  <c r="AD40" i="1"/>
  <c r="AE40" i="1" s="1"/>
  <c r="AD47" i="1"/>
  <c r="AE47" i="1" s="1"/>
  <c r="AD49" i="1"/>
  <c r="AE49" i="1" s="1"/>
  <c r="AD50" i="1"/>
  <c r="AE50" i="1" s="1"/>
  <c r="AD53" i="1"/>
  <c r="AE53" i="1" s="1"/>
  <c r="AD54" i="1"/>
  <c r="AE54" i="1" s="1"/>
  <c r="AD57" i="1"/>
  <c r="AE57" i="1" s="1"/>
  <c r="AD59" i="1"/>
  <c r="AE59" i="1" s="1"/>
  <c r="AD61" i="1"/>
  <c r="AE61" i="1" s="1"/>
  <c r="AD48" i="1"/>
  <c r="AE48" i="1" s="1"/>
  <c r="AD41" i="1"/>
  <c r="AE41" i="1" s="1"/>
  <c r="AD42" i="1"/>
  <c r="AE42" i="1" s="1"/>
  <c r="C35" i="1"/>
  <c r="AD58" i="1"/>
  <c r="AE58" i="1" s="1"/>
  <c r="AD51" i="1"/>
  <c r="AE51" i="1" s="1"/>
  <c r="AD43" i="1"/>
  <c r="AE43" i="1" s="1"/>
  <c r="AD44" i="1"/>
  <c r="AE44" i="1" s="1"/>
  <c r="AD45" i="1"/>
  <c r="AE45" i="1" s="1"/>
  <c r="AE7" i="1"/>
  <c r="AD60" i="1"/>
  <c r="AE60" i="1" s="1"/>
  <c r="AD63" i="1"/>
  <c r="AD69" i="1"/>
  <c r="AE69" i="1" s="1"/>
  <c r="AD70" i="1"/>
  <c r="AE70" i="1" s="1"/>
  <c r="AD71" i="1"/>
  <c r="AE71" i="1" s="1"/>
  <c r="AD72" i="1"/>
  <c r="AE72" i="1" s="1"/>
  <c r="AD75" i="1" l="1"/>
  <c r="AE35" i="1"/>
  <c r="C62" i="1"/>
  <c r="AE63" i="1"/>
  <c r="AD46" i="1"/>
  <c r="AE46" i="1" s="1"/>
  <c r="C78" i="1" l="1"/>
  <c r="AD62" i="1"/>
  <c r="AE62" i="1" s="1"/>
  <c r="AD78" i="1"/>
  <c r="AE75" i="1"/>
  <c r="AE78" i="1"/>
  <c r="D80" i="1"/>
</calcChain>
</file>

<file path=xl/sharedStrings.xml><?xml version="1.0" encoding="utf-8"?>
<sst xmlns="http://schemas.openxmlformats.org/spreadsheetml/2006/main" count="142" uniqueCount="117">
  <si>
    <t>Project:</t>
  </si>
  <si>
    <t>CASH FLOW PROJECTION</t>
  </si>
  <si>
    <t>DATE:</t>
  </si>
  <si>
    <t xml:space="preserve">Contract/Budget </t>
  </si>
  <si>
    <t>Pay App</t>
  </si>
  <si>
    <t>Retainage PA</t>
  </si>
  <si>
    <t>Total Completed</t>
  </si>
  <si>
    <t xml:space="preserve">Balance </t>
  </si>
  <si>
    <t>Cost Code</t>
  </si>
  <si>
    <t>DESCRIPTION</t>
  </si>
  <si>
    <t>TOTAL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</si>
  <si>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</si>
  <si>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</si>
  <si>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</si>
  <si>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</si>
  <si>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</si>
  <si>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</si>
  <si>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</si>
  <si>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</si>
  <si>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</si>
  <si>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</si>
  <si>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</si>
  <si>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</si>
  <si>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</si>
  <si>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</si>
  <si>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</si>
  <si>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</si>
  <si>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</si>
  <si>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</si>
  <si>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</si>
  <si>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</si>
  <si>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</si>
  <si>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</si>
  <si>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</si>
  <si>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</si>
  <si>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</si>
  <si>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</si>
  <si>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And Stored</t>
  </si>
  <si>
    <t>to Complete</t>
  </si>
  <si>
    <t>Preconstruction Services</t>
  </si>
  <si>
    <t xml:space="preserve">Material Hoisting </t>
  </si>
  <si>
    <t xml:space="preserve">Survey </t>
  </si>
  <si>
    <t xml:space="preserve">Concrete </t>
  </si>
  <si>
    <t>Concrete Masonry Unit</t>
  </si>
  <si>
    <t>Stair Railing / Misc. Metals</t>
  </si>
  <si>
    <t>Decorative Metals (Glass Railing)</t>
  </si>
  <si>
    <t xml:space="preserve">Rough Carpentry </t>
  </si>
  <si>
    <t>Wood Trim at Units</t>
  </si>
  <si>
    <t xml:space="preserve">Millwork </t>
  </si>
  <si>
    <t>Waterproofing</t>
  </si>
  <si>
    <t>Waterproofing Consultant</t>
  </si>
  <si>
    <t>Thermal Insulation</t>
  </si>
  <si>
    <t>Roofing</t>
  </si>
  <si>
    <t>Roofing - Lightweight Concrete</t>
  </si>
  <si>
    <t>Doors, Frames, &amp; Hardware</t>
  </si>
  <si>
    <t>OH Doors</t>
  </si>
  <si>
    <t>Glass Windows &amp; Doors</t>
  </si>
  <si>
    <t>Stucco</t>
  </si>
  <si>
    <t>Drywall</t>
  </si>
  <si>
    <t>Tile - ALLOWANCE</t>
  </si>
  <si>
    <t xml:space="preserve">Carpet &amp; LVT </t>
  </si>
  <si>
    <t>Wood Flooring</t>
  </si>
  <si>
    <t xml:space="preserve">Painting </t>
  </si>
  <si>
    <t>Panel Signage - ALLOWANCE</t>
  </si>
  <si>
    <t>Toilet Accessories (Common Areas only) - ALLOWANCE</t>
  </si>
  <si>
    <t>Mirrors</t>
  </si>
  <si>
    <t xml:space="preserve">Tub &amp; Shower Doors </t>
  </si>
  <si>
    <t>Fire Extinguishers &amp; Cabinets - ALLOWANCE</t>
  </si>
  <si>
    <t>Metal Lockers</t>
  </si>
  <si>
    <t>Pergolas / Trellis / Awnings</t>
  </si>
  <si>
    <t xml:space="preserve">Appliances </t>
  </si>
  <si>
    <t>Residential Cabinets - ALLOWANCE</t>
  </si>
  <si>
    <t>Residential Countertops - ALLOWANCE</t>
  </si>
  <si>
    <t>Pools - ALLOWANCE</t>
  </si>
  <si>
    <t>Saunas</t>
  </si>
  <si>
    <t>Elevators</t>
  </si>
  <si>
    <t>Wheelchari Lift</t>
  </si>
  <si>
    <t>Trash Chutes</t>
  </si>
  <si>
    <t>Fire Protection</t>
  </si>
  <si>
    <t>Plumbing</t>
  </si>
  <si>
    <t>HVAC</t>
  </si>
  <si>
    <t>HVAC - Material</t>
  </si>
  <si>
    <t>Electrical / Fire Alarm / Low Voltage</t>
  </si>
  <si>
    <t>Amenity Low Voltage - ALLOWANCE</t>
  </si>
  <si>
    <t xml:space="preserve">Dewatering - ALLOWANCE </t>
  </si>
  <si>
    <t>Site Work</t>
  </si>
  <si>
    <t>Site Work - Well Abondonment</t>
  </si>
  <si>
    <t xml:space="preserve">Sheet Piling </t>
  </si>
  <si>
    <t>Sheet Piling - Reduction of Piles and Rebar in Hydrostatic slab - Allowance</t>
  </si>
  <si>
    <t>Crane Pad Engineering - Allowance</t>
  </si>
  <si>
    <t>Vibration Monitoring</t>
  </si>
  <si>
    <t>Vibrocompaction</t>
  </si>
  <si>
    <t>Auger Cast Piles</t>
  </si>
  <si>
    <t>Hardscape</t>
  </si>
  <si>
    <t>Irrigation &amp; Landscaping</t>
  </si>
  <si>
    <t>Buyout Savings Goal for Remaining Trades - Allowance</t>
  </si>
  <si>
    <t>SUBTOTAL - CONSTRUCTION</t>
  </si>
  <si>
    <t>Construction Contingency - 2%</t>
  </si>
  <si>
    <t xml:space="preserve">General Conditions </t>
  </si>
  <si>
    <t>General Requirements</t>
  </si>
  <si>
    <t>Inspections, Testing</t>
  </si>
  <si>
    <t>Permits</t>
  </si>
  <si>
    <t>Builder's Risk Insurance</t>
  </si>
  <si>
    <t xml:space="preserve">Subcontractor Default Insurance - 1.2% </t>
  </si>
  <si>
    <t>Insurance not included in the OCIP Program - Allowance</t>
  </si>
  <si>
    <t>Subcontractor GL Credit - 1% Allowance</t>
  </si>
  <si>
    <t>Warranty Reserve</t>
  </si>
  <si>
    <t xml:space="preserve">Construction Fee </t>
  </si>
  <si>
    <t>HBC Fee Discount</t>
  </si>
  <si>
    <t>SUBTOTAL - GC/GR/INS/BOND</t>
  </si>
  <si>
    <t>Prime Contract Change Order 1</t>
  </si>
  <si>
    <t>SUBTOTAL - CHANGE ORDERS</t>
  </si>
  <si>
    <t>Make Actuals Bold, Keep Projections Non-Bold</t>
  </si>
  <si>
    <t>GROSS BILLING TO DATE</t>
  </si>
  <si>
    <t>RETAINAGE HELD TO DATE</t>
  </si>
  <si>
    <t>RETAINAGE RELEASED</t>
  </si>
  <si>
    <t>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</si>
</sst>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[$-409]mmm\-yy;@"/>
    <numFmt numFmtId="166" formatCode="0\)"/>
    <numFmt numFmtId="167" formatCode="_(* #,##0_);_(* \(#,##0\);_(* &quot;-&quot;??_);_(@_)"/>
    <numFmt numFmtId="168" formatCode="_(&quot;$&quot;* #,##0_);_(&quot;$&quot;* \(#,##0\);_(&quot;$&quot;* &quot;-&quot;??_);_(@_)"/>
    <numFmt numFmtId="169" formatCode="&quot;$&quot;#,##0.00"/>
  </numFmts>
  <fonts count="19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/>
    <xf numFmtId="166" fontId="8" fillId="0" borderId="1" xfId="0" applyNumberFormat="1" applyFont="1" applyBorder="1" applyAlignment="1">
      <alignment horizontal="center" vertical="center"/>
    </xf>
    <xf numFmtId="169" fontId="10" fillId="0" borderId="1" xfId="2" applyNumberFormat="1" applyFont="1" applyBorder="1" applyAlignment="1">
      <alignment horizontal="right"/>
    </xf>
    <xf numFmtId="166" fontId="8" fillId="0" borderId="3" xfId="0" applyNumberFormat="1" applyFont="1" applyBorder="1" applyAlignment="1">
      <alignment horizontal="center" vertical="center"/>
    </xf>
    <xf numFmtId="0" fontId="0" fillId="0" borderId="5" xfId="0" applyBorder="1"/>
    <xf numFmtId="0" fontId="15" fillId="0" borderId="6" xfId="0" applyFont="1" applyBorder="1" applyAlignment="1">
      <alignment horizontal="center"/>
    </xf>
    <xf numFmtId="164" fontId="15" fillId="0" borderId="6" xfId="0" applyNumberFormat="1" applyFont="1" applyBorder="1" applyAlignment="1">
      <alignment horizontal="center"/>
    </xf>
    <xf numFmtId="168" fontId="9" fillId="0" borderId="6" xfId="2" quotePrefix="1" applyNumberFormat="1" applyFont="1" applyFill="1" applyBorder="1" applyAlignment="1">
      <alignment horizontal="center" vertical="center"/>
    </xf>
    <xf numFmtId="3" fontId="15" fillId="0" borderId="6" xfId="0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164" fontId="15" fillId="0" borderId="7" xfId="0" applyNumberFormat="1" applyFont="1" applyBorder="1" applyAlignment="1">
      <alignment horizontal="center"/>
    </xf>
    <xf numFmtId="168" fontId="12" fillId="0" borderId="7" xfId="2" applyNumberFormat="1" applyFont="1" applyBorder="1" applyAlignment="1">
      <alignment horizontal="center" vertical="center" wrapText="1"/>
    </xf>
    <xf numFmtId="165" fontId="15" fillId="0" borderId="7" xfId="0" applyNumberFormat="1" applyFont="1" applyBorder="1" applyAlignment="1">
      <alignment horizontal="center"/>
    </xf>
    <xf numFmtId="3" fontId="15" fillId="0" borderId="7" xfId="0" applyNumberFormat="1" applyFont="1" applyBorder="1"/>
    <xf numFmtId="0" fontId="0" fillId="0" borderId="7" xfId="0" applyBorder="1"/>
    <xf numFmtId="167" fontId="7" fillId="2" borderId="1" xfId="1" applyNumberFormat="1" applyFont="1" applyFill="1" applyBorder="1" applyAlignment="1">
      <alignment horizontal="left" vertical="center" wrapText="1"/>
    </xf>
    <xf numFmtId="0" fontId="0" fillId="0" borderId="8" xfId="0" applyBorder="1" applyAlignment="1">
      <alignment horizontal="center"/>
    </xf>
    <xf numFmtId="164" fontId="2" fillId="0" borderId="4" xfId="0" applyNumberFormat="1" applyFont="1" applyBorder="1" applyAlignment="1">
      <alignment horizontal="left" vertical="center"/>
    </xf>
    <xf numFmtId="164" fontId="0" fillId="0" borderId="4" xfId="0" applyNumberFormat="1" applyBorder="1" applyAlignment="1">
      <alignment horizontal="center"/>
    </xf>
    <xf numFmtId="3" fontId="0" fillId="0" borderId="4" xfId="0" applyNumberFormat="1" applyBorder="1"/>
    <xf numFmtId="167" fontId="7" fillId="2" borderId="3" xfId="1" applyNumberFormat="1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/>
    </xf>
    <xf numFmtId="164" fontId="15" fillId="0" borderId="9" xfId="0" applyNumberFormat="1" applyFont="1" applyBorder="1" applyAlignment="1">
      <alignment horizontal="center"/>
    </xf>
    <xf numFmtId="3" fontId="15" fillId="0" borderId="9" xfId="0" applyNumberFormat="1" applyFont="1" applyBorder="1" applyAlignment="1">
      <alignment horizontal="center"/>
    </xf>
    <xf numFmtId="169" fontId="10" fillId="0" borderId="3" xfId="2" applyNumberFormat="1" applyFont="1" applyBorder="1" applyAlignment="1">
      <alignment horizontal="right"/>
    </xf>
    <xf numFmtId="169" fontId="16" fillId="0" borderId="3" xfId="2" applyNumberFormat="1" applyFont="1" applyFill="1" applyBorder="1" applyAlignment="1">
      <alignment horizontal="right"/>
    </xf>
    <xf numFmtId="169" fontId="3" fillId="0" borderId="1" xfId="2" applyNumberFormat="1" applyFont="1" applyBorder="1" applyAlignment="1">
      <alignment horizontal="right" vertical="center" wrapText="1"/>
    </xf>
    <xf numFmtId="169" fontId="3" fillId="0" borderId="1" xfId="2" applyNumberFormat="1" applyFont="1" applyFill="1" applyBorder="1" applyAlignment="1">
      <alignment horizontal="right" vertical="center" wrapText="1"/>
    </xf>
    <xf numFmtId="169" fontId="16" fillId="0" borderId="1" xfId="2" applyNumberFormat="1" applyFont="1" applyFill="1" applyBorder="1" applyAlignment="1">
      <alignment horizontal="right" vertical="center" wrapText="1"/>
    </xf>
    <xf numFmtId="169" fontId="16" fillId="0" borderId="1" xfId="2" applyNumberFormat="1" applyFont="1" applyFill="1" applyBorder="1" applyAlignment="1">
      <alignment horizontal="right"/>
    </xf>
    <xf numFmtId="169" fontId="3" fillId="0" borderId="1" xfId="2" applyNumberFormat="1" applyFont="1" applyFill="1" applyBorder="1" applyAlignment="1">
      <alignment horizontal="right"/>
    </xf>
    <xf numFmtId="169" fontId="3" fillId="0" borderId="1" xfId="2" applyNumberFormat="1" applyFont="1" applyBorder="1" applyAlignment="1">
      <alignment horizontal="right"/>
    </xf>
    <xf numFmtId="169" fontId="3" fillId="0" borderId="3" xfId="2" applyNumberFormat="1" applyFont="1" applyBorder="1" applyAlignment="1">
      <alignment horizontal="right"/>
    </xf>
    <xf numFmtId="169" fontId="3" fillId="0" borderId="3" xfId="2" applyNumberFormat="1" applyFont="1" applyBorder="1"/>
    <xf numFmtId="169" fontId="3" fillId="0" borderId="1" xfId="2" applyNumberFormat="1" applyFont="1" applyBorder="1"/>
    <xf numFmtId="0" fontId="4" fillId="0" borderId="0" xfId="0" applyFont="1"/>
    <xf numFmtId="0" fontId="6" fillId="0" borderId="0" xfId="0" applyFont="1"/>
    <xf numFmtId="166" fontId="9" fillId="0" borderId="1" xfId="0" applyNumberFormat="1" applyFont="1" applyBorder="1" applyAlignment="1">
      <alignment horizontal="center" vertical="center"/>
    </xf>
    <xf numFmtId="167" fontId="7" fillId="0" borderId="1" xfId="1" applyNumberFormat="1" applyFont="1" applyFill="1" applyBorder="1" applyAlignment="1">
      <alignment horizontal="left" vertical="center" wrapText="1"/>
    </xf>
    <xf numFmtId="169" fontId="10" fillId="0" borderId="1" xfId="0" applyNumberFormat="1" applyFont="1" applyBorder="1" applyAlignment="1">
      <alignment horizontal="right"/>
    </xf>
    <xf numFmtId="169" fontId="3" fillId="0" borderId="1" xfId="0" applyNumberFormat="1" applyFont="1" applyBorder="1" applyAlignment="1">
      <alignment horizontal="right"/>
    </xf>
    <xf numFmtId="169" fontId="3" fillId="0" borderId="1" xfId="0" applyNumberFormat="1" applyFont="1" applyBorder="1"/>
    <xf numFmtId="0" fontId="14" fillId="0" borderId="0" xfId="0" applyFont="1"/>
    <xf numFmtId="166" fontId="6" fillId="3" borderId="2" xfId="0" applyNumberFormat="1" applyFont="1" applyFill="1" applyBorder="1" applyAlignment="1">
      <alignment horizontal="center" vertical="center"/>
    </xf>
    <xf numFmtId="167" fontId="6" fillId="3" borderId="2" xfId="1" applyNumberFormat="1" applyFont="1" applyFill="1" applyBorder="1" applyAlignment="1">
      <alignment horizontal="left" vertical="center" wrapText="1"/>
    </xf>
    <xf numFmtId="169" fontId="4" fillId="3" borderId="2" xfId="2" applyNumberFormat="1" applyFont="1" applyFill="1" applyBorder="1" applyAlignment="1">
      <alignment horizontal="right" vertical="center" wrapText="1"/>
    </xf>
    <xf numFmtId="169" fontId="4" fillId="3" borderId="0" xfId="0" applyNumberFormat="1" applyFont="1" applyFill="1"/>
    <xf numFmtId="166" fontId="4" fillId="3" borderId="3" xfId="0" applyNumberFormat="1" applyFont="1" applyFill="1" applyBorder="1" applyAlignment="1">
      <alignment horizontal="center" vertical="center"/>
    </xf>
    <xf numFmtId="167" fontId="4" fillId="3" borderId="3" xfId="1" applyNumberFormat="1" applyFont="1" applyFill="1" applyBorder="1" applyAlignment="1">
      <alignment horizontal="left" vertical="center" wrapText="1"/>
    </xf>
    <xf numFmtId="169" fontId="6" fillId="3" borderId="3" xfId="2" applyNumberFormat="1" applyFont="1" applyFill="1" applyBorder="1" applyAlignment="1">
      <alignment horizontal="right"/>
    </xf>
    <xf numFmtId="166" fontId="4" fillId="3" borderId="1" xfId="0" applyNumberFormat="1" applyFont="1" applyFill="1" applyBorder="1" applyAlignment="1">
      <alignment horizontal="center" vertical="center"/>
    </xf>
    <xf numFmtId="167" fontId="4" fillId="3" borderId="1" xfId="1" applyNumberFormat="1" applyFont="1" applyFill="1" applyBorder="1" applyAlignment="1">
      <alignment horizontal="left" vertical="center" wrapText="1"/>
    </xf>
    <xf numFmtId="169" fontId="6" fillId="3" borderId="1" xfId="2" applyNumberFormat="1" applyFont="1" applyFill="1" applyBorder="1" applyAlignment="1">
      <alignment horizontal="right"/>
    </xf>
    <xf numFmtId="166" fontId="14" fillId="0" borderId="3" xfId="0" applyNumberFormat="1" applyFont="1" applyBorder="1" applyAlignment="1">
      <alignment horizontal="center" vertical="center"/>
    </xf>
    <xf numFmtId="169" fontId="13" fillId="0" borderId="3" xfId="2" applyNumberFormat="1" applyFont="1" applyFill="1" applyBorder="1" applyAlignment="1">
      <alignment horizontal="right"/>
    </xf>
    <xf numFmtId="167" fontId="14" fillId="4" borderId="1" xfId="1" applyNumberFormat="1" applyFont="1" applyFill="1" applyBorder="1" applyAlignment="1">
      <alignment horizontal="left" vertical="center" wrapText="1"/>
    </xf>
    <xf numFmtId="169" fontId="13" fillId="4" borderId="1" xfId="2" applyNumberFormat="1" applyFont="1" applyFill="1" applyBorder="1" applyAlignment="1">
      <alignment horizontal="right"/>
    </xf>
    <xf numFmtId="169" fontId="7" fillId="4" borderId="1" xfId="2" applyNumberFormat="1" applyFont="1" applyFill="1" applyBorder="1" applyAlignment="1">
      <alignment horizontal="right"/>
    </xf>
    <xf numFmtId="169" fontId="13" fillId="0" borderId="1" xfId="2" applyNumberFormat="1" applyFont="1" applyBorder="1" applyAlignment="1">
      <alignment horizontal="right"/>
    </xf>
    <xf numFmtId="169" fontId="18" fillId="0" borderId="1" xfId="2" applyNumberFormat="1" applyFont="1" applyBorder="1" applyAlignment="1">
      <alignment horizontal="right"/>
    </xf>
    <xf numFmtId="3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3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9" fontId="13" fillId="4" borderId="11" xfId="2" applyNumberFormat="1" applyFont="1" applyFill="1" applyBorder="1" applyAlignment="1">
      <alignment horizontal="center"/>
    </xf>
    <xf numFmtId="169" fontId="13" fillId="4" borderId="2" xfId="2" applyNumberFormat="1" applyFont="1" applyFill="1" applyBorder="1" applyAlignment="1">
      <alignment horizontal="center"/>
    </xf>
    <xf numFmtId="169" fontId="13" fillId="4" borderId="3" xfId="2" applyNumberFormat="1" applyFont="1" applyFill="1" applyBorder="1" applyAlignment="1">
      <alignment horizontal="center"/>
    </xf>
    <xf numFmtId="169" fontId="17" fillId="4" borderId="11" xfId="2" applyNumberFormat="1" applyFont="1" applyFill="1" applyBorder="1" applyAlignment="1">
      <alignment horizontal="center" vertical="center" wrapText="1"/>
    </xf>
    <xf numFmtId="169" fontId="17" fillId="4" borderId="2" xfId="2" applyNumberFormat="1" applyFont="1" applyFill="1" applyBorder="1" applyAlignment="1">
      <alignment horizontal="center" vertical="center" wrapText="1"/>
    </xf>
    <xf numFmtId="169" fontId="17" fillId="4" borderId="3" xfId="2" applyNumberFormat="1" applyFont="1" applyFill="1" applyBorder="1" applyAlignment="1">
      <alignment horizontal="center" vertical="center" wrapText="1"/>
    </xf>
    <xf numFmtId="169" fontId="13" fillId="4" borderId="13" xfId="2" applyNumberFormat="1" applyFont="1" applyFill="1" applyBorder="1" applyAlignment="1">
      <alignment horizontal="center"/>
    </xf>
    <xf numFmtId="169" fontId="13" fillId="4" borderId="14" xfId="2" applyNumberFormat="1" applyFont="1" applyFill="1" applyBorder="1" applyAlignment="1">
      <alignment horizontal="center"/>
    </xf>
    <xf numFmtId="169" fontId="13" fillId="4" borderId="15" xfId="2" applyNumberFormat="1" applyFont="1" applyFill="1" applyBorder="1" applyAlignment="1">
      <alignment horizontal="center"/>
    </xf>
    <xf numFmtId="166" fontId="4" fillId="0" borderId="12" xfId="0" applyNumberFormat="1" applyFont="1" applyBorder="1" applyAlignment="1">
      <alignment horizontal="center" vertical="center"/>
    </xf>
    <xf numFmtId="166" fontId="4" fillId="0" borderId="10" xfId="0" applyNumberFormat="1" applyFont="1" applyBorder="1" applyAlignment="1">
      <alignment horizontal="center" vertical="center"/>
    </xf>
  </cellXfs>
  <cellStyles count="6">
    <cellStyle name="Comma" xfId="1" builtinId="3"/>
    <cellStyle name="Comma 2" xfId="4" xr:uid="{2C894EF0-5469-4DE9-8B7E-84B29944817B}"/>
    <cellStyle name="Currency" xfId="2" builtinId="4"/>
    <cellStyle name="Currency 2" xfId="5" xr:uid="{AE1AA6E4-4368-416A-B77B-444E907C1381}"/>
    <cellStyle name="Normal" xfId="0" builtinId="0"/>
    <cellStyle name="Normal 2" xfId="3" xr:uid="{C9DD54F0-B52D-440E-9916-6246E819B880}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47625</xdr:rowOff>
    </xdr:from>
    <xdr:to>
      <xdr:col>0</xdr:col>
      <xdr:colOff>1849042</xdr:colOff>
      <xdr:row>0</xdr:row>
      <xdr:rowOff>491490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EF850AF-5260-41CE-9758-2349468FF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6" y="47625"/>
          <a:ext cx="1717596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83"/>
  <sheetViews>
    <sheetView tabSelected="1" zoomScale="85" zoomScaleNormal="85" workbookViewId="0">
      <pane xSplit="3" ySplit="4" topLeftCell="D5" activePane="bottomRight" state="frozen"/>
      <selection pane="bottomRight" activeCell="B12" sqref="B12"/>
      <selection pane="bottomLeft" activeCell="A5" sqref="A5"/>
      <selection pane="topRight" activeCell="D1" sqref="D1"/>
    </sheetView>
  </sheetViews>
  <sheetFormatPr defaultRowHeight="15"/>
  <cols>
    <col min="1" max="1" width="32.5703125" style="1" customWidth="1"/>
    <col min="2" max="2" width="62.7109375" style="2" customWidth="1"/>
    <col min="3" max="3" width="20.42578125" style="2" customWidth="1"/>
    <col min="4" max="4" width="15.85546875" style="3" bestFit="1" customWidth="1"/>
    <col min="5" max="5" width="14" style="3" customWidth="1"/>
    <col min="6" max="6" width="16.7109375" style="3" customWidth="1"/>
    <col min="7" max="8" width="17.7109375" style="3" customWidth="1"/>
    <col min="9" max="10" width="16.7109375" style="3" customWidth="1"/>
    <col min="11" max="11" width="17.42578125" style="3" customWidth="1"/>
    <col min="12" max="12" width="17.7109375" style="3" customWidth="1"/>
    <col min="13" max="13" width="16.5703125" style="3" customWidth="1"/>
    <col min="14" max="14" width="16.7109375" style="3" customWidth="1"/>
    <col min="15" max="15" width="17.42578125" style="3" customWidth="1"/>
    <col min="16" max="16" width="17.7109375" style="3" customWidth="1"/>
    <col min="17" max="17" width="16.7109375" style="3" customWidth="1"/>
    <col min="18" max="19" width="17.42578125" style="3" customWidth="1"/>
    <col min="20" max="20" width="16.5703125" style="3" customWidth="1"/>
    <col min="21" max="21" width="17.7109375" style="3" customWidth="1"/>
    <col min="22" max="23" width="16.7109375" style="3" customWidth="1"/>
    <col min="24" max="24" width="17.42578125" style="3" customWidth="1"/>
    <col min="25" max="25" width="17.28515625" style="3" customWidth="1"/>
    <col min="26" max="26" width="17.42578125" style="3" customWidth="1"/>
    <col min="27" max="27" width="16.7109375" style="3" customWidth="1"/>
    <col min="28" max="28" width="17.28515625" style="3" customWidth="1"/>
    <col min="29" max="29" width="17.7109375" style="3" customWidth="1"/>
    <col min="30" max="30" width="18.140625" style="3" bestFit="1" customWidth="1"/>
    <col min="31" max="31" width="19" bestFit="1" customWidth="1"/>
  </cols>
  <sheetData>
    <row r="1" spans="1:31" ht="47.45" customHeight="1" thickBot="1">
      <c r="A1" s="19"/>
      <c r="B1" s="20" t="s">
        <v>0</v>
      </c>
      <c r="C1" s="21"/>
      <c r="D1" s="22"/>
      <c r="E1" s="22"/>
      <c r="F1" s="65" t="s">
        <v>1</v>
      </c>
      <c r="G1" s="66"/>
      <c r="H1" s="66"/>
      <c r="I1" s="66"/>
      <c r="J1" s="66"/>
      <c r="K1" s="66"/>
      <c r="L1" s="66"/>
      <c r="M1" s="66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63" t="s">
        <v>2</v>
      </c>
      <c r="AB1" s="63"/>
      <c r="AC1" s="63"/>
      <c r="AD1" s="64"/>
      <c r="AE1" s="7"/>
    </row>
    <row r="2" spans="1:31">
      <c r="A2" s="24"/>
      <c r="B2" s="25"/>
      <c r="C2" s="25" t="s">
        <v>3</v>
      </c>
      <c r="D2" s="26" t="s">
        <v>4</v>
      </c>
      <c r="E2" s="26" t="s">
        <v>4</v>
      </c>
      <c r="F2" s="26" t="s">
        <v>4</v>
      </c>
      <c r="G2" s="26" t="s">
        <v>4</v>
      </c>
      <c r="H2" s="26" t="s">
        <v>4</v>
      </c>
      <c r="I2" s="26" t="s">
        <v>4</v>
      </c>
      <c r="J2" s="26" t="s">
        <v>4</v>
      </c>
      <c r="K2" s="26" t="s">
        <v>4</v>
      </c>
      <c r="L2" s="26" t="s">
        <v>4</v>
      </c>
      <c r="M2" s="26" t="s">
        <v>4</v>
      </c>
      <c r="N2" s="26" t="s">
        <v>4</v>
      </c>
      <c r="O2" s="26" t="s">
        <v>4</v>
      </c>
      <c r="P2" s="26" t="s">
        <v>4</v>
      </c>
      <c r="Q2" s="26" t="s">
        <v>4</v>
      </c>
      <c r="R2" s="26" t="s">
        <v>4</v>
      </c>
      <c r="S2" s="26" t="s">
        <v>4</v>
      </c>
      <c r="T2" s="26" t="s">
        <v>4</v>
      </c>
      <c r="U2" s="26" t="s">
        <v>4</v>
      </c>
      <c r="V2" s="26" t="s">
        <v>4</v>
      </c>
      <c r="W2" s="26" t="s">
        <v>4</v>
      </c>
      <c r="X2" s="26" t="s">
        <v>4</v>
      </c>
      <c r="Y2" s="26" t="s">
        <v>4</v>
      </c>
      <c r="Z2" s="26" t="s">
        <v>4</v>
      </c>
      <c r="AA2" s="26" t="s">
        <v>4</v>
      </c>
      <c r="AB2" s="26" t="s">
        <v>4</v>
      </c>
      <c r="AC2" s="26" t="s">
        <v>5</v>
      </c>
      <c r="AD2" s="26" t="s">
        <v>6</v>
      </c>
      <c r="AE2" s="26" t="s">
        <v>7</v>
      </c>
    </row>
    <row r="3" spans="1:31">
      <c r="A3" s="8" t="s">
        <v>8</v>
      </c>
      <c r="B3" s="9" t="s">
        <v>9</v>
      </c>
      <c r="C3" s="10" t="s">
        <v>10</v>
      </c>
      <c r="D3" s="11" t="s">
        <v>11</v>
      </c>
      <c r="E3" s="11" t="s">
        <v>12</v>
      </c>
      <c r="F3" s="11" t="s">
        <v>13</v>
      </c>
      <c r="G3" s="11" t="s">
        <v>14</v>
      </c>
      <c r="H3" s="11" t="s">
        <v>15</v>
      </c>
      <c r="I3" s="11" t="s">
        <v>16</v>
      </c>
      <c r="J3" s="11" t="s">
        <v>17</v>
      </c>
      <c r="K3" s="11" t="s">
        <v>18</v>
      </c>
      <c r="L3" s="11" t="s">
        <v>19</v>
      </c>
      <c r="M3" s="11" t="s">
        <v>20</v>
      </c>
      <c r="N3" s="11" t="s">
        <v>21</v>
      </c>
      <c r="O3" s="11" t="s">
        <v>22</v>
      </c>
      <c r="P3" s="11" t="s">
        <v>23</v>
      </c>
      <c r="Q3" s="11" t="s">
        <v>24</v>
      </c>
      <c r="R3" s="11" t="s">
        <v>25</v>
      </c>
      <c r="S3" s="11" t="s">
        <v>26</v>
      </c>
      <c r="T3" s="11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1" t="s">
        <v>37</v>
      </c>
      <c r="AE3" s="11" t="s">
        <v>38</v>
      </c>
    </row>
    <row r="4" spans="1:31" ht="15.75" thickBot="1">
      <c r="A4" s="12"/>
      <c r="B4" s="13"/>
      <c r="C4" s="14"/>
      <c r="D4" s="15">
        <v>45383</v>
      </c>
      <c r="E4" s="15">
        <v>45413</v>
      </c>
      <c r="F4" s="15">
        <v>45444</v>
      </c>
      <c r="G4" s="15">
        <v>45474</v>
      </c>
      <c r="H4" s="15">
        <v>45505</v>
      </c>
      <c r="I4" s="15">
        <v>45536</v>
      </c>
      <c r="J4" s="15">
        <v>45566</v>
      </c>
      <c r="K4" s="15">
        <v>45597</v>
      </c>
      <c r="L4" s="15">
        <v>45627</v>
      </c>
      <c r="M4" s="15">
        <v>45658</v>
      </c>
      <c r="N4" s="15">
        <v>45689</v>
      </c>
      <c r="O4" s="15">
        <v>45717</v>
      </c>
      <c r="P4" s="15">
        <v>45748</v>
      </c>
      <c r="Q4" s="15">
        <v>45778</v>
      </c>
      <c r="R4" s="15">
        <v>45809</v>
      </c>
      <c r="S4" s="15">
        <v>45839</v>
      </c>
      <c r="T4" s="15">
        <v>45870</v>
      </c>
      <c r="U4" s="15">
        <v>45901</v>
      </c>
      <c r="V4" s="15">
        <v>45931</v>
      </c>
      <c r="W4" s="15">
        <v>45962</v>
      </c>
      <c r="X4" s="15">
        <v>45992</v>
      </c>
      <c r="Y4" s="15">
        <v>46023</v>
      </c>
      <c r="Z4" s="15">
        <v>46054</v>
      </c>
      <c r="AA4" s="15">
        <v>46082</v>
      </c>
      <c r="AB4" s="15">
        <v>46113</v>
      </c>
      <c r="AC4" s="15">
        <v>46143</v>
      </c>
      <c r="AD4" s="16"/>
      <c r="AE4" s="17"/>
    </row>
    <row r="5" spans="1:31">
      <c r="A5" s="6"/>
      <c r="B5" s="23" t="s">
        <v>39</v>
      </c>
      <c r="C5" s="28">
        <v>0</v>
      </c>
      <c r="D5" s="5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35">
        <f>SUM(D5:AC5)</f>
        <v>0</v>
      </c>
      <c r="AE5" s="36">
        <f t="shared" ref="AE5:AE36" si="0">+C5-AD5</f>
        <v>0</v>
      </c>
    </row>
    <row r="6" spans="1:31">
      <c r="A6" s="4"/>
      <c r="B6" s="18" t="s">
        <v>40</v>
      </c>
      <c r="C6" s="29">
        <v>0</v>
      </c>
      <c r="D6" s="61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35">
        <f t="shared" ref="AD6:AD37" si="1">SUM(D6:AC6)</f>
        <v>0</v>
      </c>
      <c r="AE6" s="37">
        <f t="shared" si="0"/>
        <v>0</v>
      </c>
    </row>
    <row r="7" spans="1:31">
      <c r="A7" s="4"/>
      <c r="B7" s="18" t="s">
        <v>41</v>
      </c>
      <c r="C7" s="29">
        <v>0</v>
      </c>
      <c r="D7" s="61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35">
        <f t="shared" si="1"/>
        <v>0</v>
      </c>
      <c r="AE7" s="37">
        <f t="shared" si="0"/>
        <v>0</v>
      </c>
    </row>
    <row r="8" spans="1:31">
      <c r="A8" s="4"/>
      <c r="B8" s="18" t="s">
        <v>42</v>
      </c>
      <c r="C8" s="29">
        <v>0</v>
      </c>
      <c r="D8" s="61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35">
        <f t="shared" si="1"/>
        <v>0</v>
      </c>
      <c r="AE8" s="37">
        <f t="shared" si="0"/>
        <v>0</v>
      </c>
    </row>
    <row r="9" spans="1:31">
      <c r="A9" s="4"/>
      <c r="B9" s="18" t="s">
        <v>43</v>
      </c>
      <c r="C9" s="29">
        <v>0</v>
      </c>
      <c r="D9" s="61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35">
        <f t="shared" si="1"/>
        <v>0</v>
      </c>
      <c r="AE9" s="37">
        <f t="shared" si="0"/>
        <v>0</v>
      </c>
    </row>
    <row r="10" spans="1:31">
      <c r="A10" s="4"/>
      <c r="B10" s="18" t="s">
        <v>44</v>
      </c>
      <c r="C10" s="29">
        <v>0</v>
      </c>
      <c r="D10" s="61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35">
        <f t="shared" si="1"/>
        <v>0</v>
      </c>
      <c r="AE10" s="37">
        <f t="shared" si="0"/>
        <v>0</v>
      </c>
    </row>
    <row r="11" spans="1:31">
      <c r="A11" s="4"/>
      <c r="B11" s="18" t="s">
        <v>45</v>
      </c>
      <c r="C11" s="29">
        <v>0</v>
      </c>
      <c r="D11" s="61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35">
        <f t="shared" si="1"/>
        <v>0</v>
      </c>
      <c r="AE11" s="37">
        <f t="shared" si="0"/>
        <v>0</v>
      </c>
    </row>
    <row r="12" spans="1:31">
      <c r="A12" s="4"/>
      <c r="B12" s="18" t="s">
        <v>46</v>
      </c>
      <c r="C12" s="29">
        <v>0</v>
      </c>
      <c r="D12" s="61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35">
        <f t="shared" si="1"/>
        <v>0</v>
      </c>
      <c r="AE12" s="37">
        <f t="shared" si="0"/>
        <v>0</v>
      </c>
    </row>
    <row r="13" spans="1:31">
      <c r="A13" s="4"/>
      <c r="B13" s="18" t="s">
        <v>47</v>
      </c>
      <c r="C13" s="29">
        <v>0</v>
      </c>
      <c r="D13" s="6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35">
        <f t="shared" si="1"/>
        <v>0</v>
      </c>
      <c r="AE13" s="37">
        <f t="shared" si="0"/>
        <v>0</v>
      </c>
    </row>
    <row r="14" spans="1:31">
      <c r="A14" s="4"/>
      <c r="B14" s="18" t="s">
        <v>48</v>
      </c>
      <c r="C14" s="29">
        <v>0</v>
      </c>
      <c r="D14" s="6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35">
        <f t="shared" si="1"/>
        <v>0</v>
      </c>
      <c r="AE14" s="37">
        <f t="shared" si="0"/>
        <v>0</v>
      </c>
    </row>
    <row r="15" spans="1:31">
      <c r="A15" s="4"/>
      <c r="B15" s="18" t="s">
        <v>49</v>
      </c>
      <c r="C15" s="29">
        <v>0</v>
      </c>
      <c r="D15" s="61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35">
        <f t="shared" si="1"/>
        <v>0</v>
      </c>
      <c r="AE15" s="37">
        <f t="shared" si="0"/>
        <v>0</v>
      </c>
    </row>
    <row r="16" spans="1:31">
      <c r="A16" s="4"/>
      <c r="B16" s="18" t="s">
        <v>50</v>
      </c>
      <c r="C16" s="29">
        <v>0</v>
      </c>
      <c r="D16" s="61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35">
        <f t="shared" si="1"/>
        <v>0</v>
      </c>
      <c r="AE16" s="37">
        <f t="shared" si="0"/>
        <v>0</v>
      </c>
    </row>
    <row r="17" spans="1:31">
      <c r="A17" s="4"/>
      <c r="B17" s="18" t="s">
        <v>51</v>
      </c>
      <c r="C17" s="29">
        <v>0</v>
      </c>
      <c r="D17" s="61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35">
        <f t="shared" si="1"/>
        <v>0</v>
      </c>
      <c r="AE17" s="37">
        <f t="shared" si="0"/>
        <v>0</v>
      </c>
    </row>
    <row r="18" spans="1:31">
      <c r="A18" s="4"/>
      <c r="B18" s="18" t="s">
        <v>52</v>
      </c>
      <c r="C18" s="29">
        <v>0</v>
      </c>
      <c r="D18" s="61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35">
        <f t="shared" si="1"/>
        <v>0</v>
      </c>
      <c r="AE18" s="37">
        <f t="shared" si="0"/>
        <v>0</v>
      </c>
    </row>
    <row r="19" spans="1:31">
      <c r="A19" s="4"/>
      <c r="B19" s="18" t="s">
        <v>53</v>
      </c>
      <c r="C19" s="29">
        <v>0</v>
      </c>
      <c r="D19" s="61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35">
        <f t="shared" si="1"/>
        <v>0</v>
      </c>
      <c r="AE19" s="37">
        <f t="shared" si="0"/>
        <v>0</v>
      </c>
    </row>
    <row r="20" spans="1:31">
      <c r="A20" s="4"/>
      <c r="B20" s="18" t="s">
        <v>54</v>
      </c>
      <c r="C20" s="29">
        <v>0</v>
      </c>
      <c r="D20" s="61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35">
        <f t="shared" si="1"/>
        <v>0</v>
      </c>
      <c r="AE20" s="37">
        <f t="shared" si="0"/>
        <v>0</v>
      </c>
    </row>
    <row r="21" spans="1:31">
      <c r="A21" s="4"/>
      <c r="B21" s="18" t="s">
        <v>55</v>
      </c>
      <c r="C21" s="29">
        <v>0</v>
      </c>
      <c r="D21" s="61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35">
        <f t="shared" si="1"/>
        <v>0</v>
      </c>
      <c r="AE21" s="37">
        <f t="shared" si="0"/>
        <v>0</v>
      </c>
    </row>
    <row r="22" spans="1:31">
      <c r="A22" s="4"/>
      <c r="B22" s="18" t="s">
        <v>56</v>
      </c>
      <c r="C22" s="29">
        <v>0</v>
      </c>
      <c r="D22" s="61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35">
        <f t="shared" si="1"/>
        <v>0</v>
      </c>
      <c r="AE22" s="37">
        <f t="shared" si="0"/>
        <v>0</v>
      </c>
    </row>
    <row r="23" spans="1:31">
      <c r="A23" s="4"/>
      <c r="B23" s="18" t="s">
        <v>57</v>
      </c>
      <c r="C23" s="29">
        <v>0</v>
      </c>
      <c r="D23" s="61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35">
        <f t="shared" si="1"/>
        <v>0</v>
      </c>
      <c r="AE23" s="37">
        <f t="shared" si="0"/>
        <v>0</v>
      </c>
    </row>
    <row r="24" spans="1:31">
      <c r="A24" s="4"/>
      <c r="B24" s="18" t="s">
        <v>58</v>
      </c>
      <c r="C24" s="30">
        <v>0</v>
      </c>
      <c r="D24" s="61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35">
        <f t="shared" si="1"/>
        <v>0</v>
      </c>
      <c r="AE24" s="37">
        <f t="shared" si="0"/>
        <v>0</v>
      </c>
    </row>
    <row r="25" spans="1:31">
      <c r="A25" s="4"/>
      <c r="B25" s="18" t="s">
        <v>59</v>
      </c>
      <c r="C25" s="30">
        <v>0</v>
      </c>
      <c r="D25" s="6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35">
        <f t="shared" si="1"/>
        <v>0</v>
      </c>
      <c r="AE25" s="37">
        <f t="shared" si="0"/>
        <v>0</v>
      </c>
    </row>
    <row r="26" spans="1:31">
      <c r="A26" s="4"/>
      <c r="B26" s="18" t="s">
        <v>60</v>
      </c>
      <c r="C26" s="30">
        <v>0</v>
      </c>
      <c r="D26" s="6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35">
        <f t="shared" si="1"/>
        <v>0</v>
      </c>
      <c r="AE26" s="37">
        <f t="shared" si="0"/>
        <v>0</v>
      </c>
    </row>
    <row r="27" spans="1:31">
      <c r="A27" s="4"/>
      <c r="B27" s="18" t="s">
        <v>61</v>
      </c>
      <c r="C27" s="30">
        <v>0</v>
      </c>
      <c r="D27" s="62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35">
        <f t="shared" si="1"/>
        <v>0</v>
      </c>
      <c r="AE27" s="37">
        <f t="shared" si="0"/>
        <v>0</v>
      </c>
    </row>
    <row r="28" spans="1:31">
      <c r="A28" s="4"/>
      <c r="B28" s="18" t="s">
        <v>62</v>
      </c>
      <c r="C28" s="30">
        <v>0</v>
      </c>
      <c r="D28" s="62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35">
        <f t="shared" si="1"/>
        <v>0</v>
      </c>
      <c r="AE28" s="37">
        <f t="shared" si="0"/>
        <v>0</v>
      </c>
    </row>
    <row r="29" spans="1:31">
      <c r="A29" s="4"/>
      <c r="B29" s="18" t="s">
        <v>63</v>
      </c>
      <c r="C29" s="30">
        <v>0</v>
      </c>
      <c r="D29" s="6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35">
        <f t="shared" si="1"/>
        <v>0</v>
      </c>
      <c r="AE29" s="37">
        <f t="shared" si="0"/>
        <v>0</v>
      </c>
    </row>
    <row r="30" spans="1:31">
      <c r="A30" s="4"/>
      <c r="B30" s="18" t="s">
        <v>64</v>
      </c>
      <c r="C30" s="30">
        <v>0</v>
      </c>
      <c r="D30" s="6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35">
        <f t="shared" si="1"/>
        <v>0</v>
      </c>
      <c r="AE30" s="37">
        <f t="shared" si="0"/>
        <v>0</v>
      </c>
    </row>
    <row r="31" spans="1:31">
      <c r="A31" s="4"/>
      <c r="B31" s="18" t="s">
        <v>65</v>
      </c>
      <c r="C31" s="30">
        <v>0</v>
      </c>
      <c r="D31" s="62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35">
        <f t="shared" si="1"/>
        <v>0</v>
      </c>
      <c r="AE31" s="37">
        <f t="shared" si="0"/>
        <v>0</v>
      </c>
    </row>
    <row r="32" spans="1:31">
      <c r="A32" s="4"/>
      <c r="B32" s="18" t="s">
        <v>66</v>
      </c>
      <c r="C32" s="30">
        <v>0</v>
      </c>
      <c r="D32" s="62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35">
        <f t="shared" si="1"/>
        <v>0</v>
      </c>
      <c r="AE32" s="37">
        <f t="shared" si="0"/>
        <v>0</v>
      </c>
    </row>
    <row r="33" spans="1:31">
      <c r="A33" s="4"/>
      <c r="B33" s="18" t="s">
        <v>67</v>
      </c>
      <c r="C33" s="30">
        <v>0</v>
      </c>
      <c r="D33" s="62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35">
        <f t="shared" si="1"/>
        <v>0</v>
      </c>
      <c r="AE33" s="37">
        <f t="shared" si="0"/>
        <v>0</v>
      </c>
    </row>
    <row r="34" spans="1:31">
      <c r="A34" s="4"/>
      <c r="B34" s="18" t="s">
        <v>68</v>
      </c>
      <c r="C34" s="30">
        <v>0</v>
      </c>
      <c r="D34" s="62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35">
        <f t="shared" si="1"/>
        <v>0</v>
      </c>
      <c r="AE34" s="37">
        <f t="shared" si="0"/>
        <v>0</v>
      </c>
    </row>
    <row r="35" spans="1:31">
      <c r="A35" s="4"/>
      <c r="B35" s="18" t="s">
        <v>69</v>
      </c>
      <c r="C35" s="30">
        <f>1954164-1954164</f>
        <v>0</v>
      </c>
      <c r="D35" s="62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35">
        <f t="shared" si="1"/>
        <v>0</v>
      </c>
      <c r="AE35" s="37">
        <f t="shared" si="0"/>
        <v>0</v>
      </c>
    </row>
    <row r="36" spans="1:31">
      <c r="A36" s="4"/>
      <c r="B36" s="18" t="s">
        <v>70</v>
      </c>
      <c r="C36" s="30">
        <f t="shared" ref="C36:C60" si="2">1954164-1954164</f>
        <v>0</v>
      </c>
      <c r="D36" s="62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35">
        <f t="shared" si="1"/>
        <v>0</v>
      </c>
      <c r="AE36" s="37">
        <f t="shared" si="0"/>
        <v>0</v>
      </c>
    </row>
    <row r="37" spans="1:31">
      <c r="A37" s="4"/>
      <c r="B37" s="18" t="s">
        <v>71</v>
      </c>
      <c r="C37" s="30">
        <f t="shared" si="2"/>
        <v>0</v>
      </c>
      <c r="D37" s="62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35">
        <f t="shared" si="1"/>
        <v>0</v>
      </c>
      <c r="AE37" s="37">
        <f t="shared" ref="AE37:AE68" si="3">+C37-AD37</f>
        <v>0</v>
      </c>
    </row>
    <row r="38" spans="1:31">
      <c r="A38" s="4"/>
      <c r="B38" s="18" t="s">
        <v>72</v>
      </c>
      <c r="C38" s="30">
        <f t="shared" si="2"/>
        <v>0</v>
      </c>
      <c r="D38" s="62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34">
        <f t="shared" ref="AD38:AD61" si="4">SUM(D38:AC38)</f>
        <v>0</v>
      </c>
      <c r="AE38" s="37">
        <f t="shared" si="3"/>
        <v>0</v>
      </c>
    </row>
    <row r="39" spans="1:31">
      <c r="A39" s="4"/>
      <c r="B39" s="18" t="s">
        <v>73</v>
      </c>
      <c r="C39" s="30">
        <f t="shared" si="2"/>
        <v>0</v>
      </c>
      <c r="D39" s="6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34">
        <f t="shared" si="4"/>
        <v>0</v>
      </c>
      <c r="AE39" s="37">
        <f t="shared" si="3"/>
        <v>0</v>
      </c>
    </row>
    <row r="40" spans="1:31">
      <c r="A40" s="4"/>
      <c r="B40" s="18" t="s">
        <v>74</v>
      </c>
      <c r="C40" s="30">
        <f t="shared" si="2"/>
        <v>0</v>
      </c>
      <c r="D40" s="6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34">
        <f t="shared" si="4"/>
        <v>0</v>
      </c>
      <c r="AE40" s="37">
        <f t="shared" si="3"/>
        <v>0</v>
      </c>
    </row>
    <row r="41" spans="1:31">
      <c r="A41" s="4"/>
      <c r="B41" s="18" t="s">
        <v>75</v>
      </c>
      <c r="C41" s="30">
        <f t="shared" si="2"/>
        <v>0</v>
      </c>
      <c r="D41" s="6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34">
        <f t="shared" si="4"/>
        <v>0</v>
      </c>
      <c r="AE41" s="37">
        <f t="shared" si="3"/>
        <v>0</v>
      </c>
    </row>
    <row r="42" spans="1:31">
      <c r="A42" s="4"/>
      <c r="B42" s="18" t="s">
        <v>76</v>
      </c>
      <c r="C42" s="30">
        <f t="shared" si="2"/>
        <v>0</v>
      </c>
      <c r="D42" s="6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34">
        <f t="shared" si="4"/>
        <v>0</v>
      </c>
      <c r="AE42" s="37">
        <f t="shared" si="3"/>
        <v>0</v>
      </c>
    </row>
    <row r="43" spans="1:31">
      <c r="A43" s="4"/>
      <c r="B43" s="18" t="s">
        <v>77</v>
      </c>
      <c r="C43" s="30">
        <f t="shared" si="2"/>
        <v>0</v>
      </c>
      <c r="D43" s="6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34">
        <f t="shared" si="4"/>
        <v>0</v>
      </c>
      <c r="AE43" s="37">
        <f t="shared" si="3"/>
        <v>0</v>
      </c>
    </row>
    <row r="44" spans="1:31">
      <c r="A44" s="4"/>
      <c r="B44" s="18" t="s">
        <v>78</v>
      </c>
      <c r="C44" s="30">
        <f t="shared" si="2"/>
        <v>0</v>
      </c>
      <c r="D44" s="6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34">
        <f t="shared" si="4"/>
        <v>0</v>
      </c>
      <c r="AE44" s="37">
        <f t="shared" si="3"/>
        <v>0</v>
      </c>
    </row>
    <row r="45" spans="1:31">
      <c r="A45" s="4"/>
      <c r="B45" s="18" t="s">
        <v>79</v>
      </c>
      <c r="C45" s="30">
        <f t="shared" si="2"/>
        <v>0</v>
      </c>
      <c r="D45" s="6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34">
        <f t="shared" si="4"/>
        <v>0</v>
      </c>
      <c r="AE45" s="37">
        <f t="shared" si="3"/>
        <v>0</v>
      </c>
    </row>
    <row r="46" spans="1:31">
      <c r="A46" s="4"/>
      <c r="B46" s="18" t="s">
        <v>80</v>
      </c>
      <c r="C46" s="30">
        <f t="shared" si="2"/>
        <v>0</v>
      </c>
      <c r="D46" s="62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34">
        <f t="shared" si="4"/>
        <v>0</v>
      </c>
      <c r="AE46" s="37">
        <f t="shared" si="3"/>
        <v>0</v>
      </c>
    </row>
    <row r="47" spans="1:31">
      <c r="A47" s="4"/>
      <c r="B47" s="18" t="s">
        <v>81</v>
      </c>
      <c r="C47" s="30">
        <f t="shared" si="2"/>
        <v>0</v>
      </c>
      <c r="D47" s="6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34">
        <f t="shared" si="4"/>
        <v>0</v>
      </c>
      <c r="AE47" s="37">
        <f t="shared" si="3"/>
        <v>0</v>
      </c>
    </row>
    <row r="48" spans="1:31">
      <c r="A48" s="4"/>
      <c r="B48" s="18" t="s">
        <v>82</v>
      </c>
      <c r="C48" s="30">
        <f t="shared" si="2"/>
        <v>0</v>
      </c>
      <c r="D48" s="62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34">
        <f t="shared" si="4"/>
        <v>0</v>
      </c>
      <c r="AE48" s="37">
        <f t="shared" si="3"/>
        <v>0</v>
      </c>
    </row>
    <row r="49" spans="1:31">
      <c r="A49" s="4"/>
      <c r="B49" s="18" t="s">
        <v>83</v>
      </c>
      <c r="C49" s="30">
        <f t="shared" si="2"/>
        <v>0</v>
      </c>
      <c r="D49" s="62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34">
        <f t="shared" si="4"/>
        <v>0</v>
      </c>
      <c r="AE49" s="37">
        <f t="shared" si="3"/>
        <v>0</v>
      </c>
    </row>
    <row r="50" spans="1:31">
      <c r="A50" s="4"/>
      <c r="B50" s="18" t="s">
        <v>84</v>
      </c>
      <c r="C50" s="30">
        <f t="shared" si="2"/>
        <v>0</v>
      </c>
      <c r="D50" s="62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34">
        <f t="shared" si="4"/>
        <v>0</v>
      </c>
      <c r="AE50" s="37">
        <f t="shared" si="3"/>
        <v>0</v>
      </c>
    </row>
    <row r="51" spans="1:31">
      <c r="A51" s="4"/>
      <c r="B51" s="18" t="s">
        <v>85</v>
      </c>
      <c r="C51" s="30">
        <f t="shared" si="2"/>
        <v>0</v>
      </c>
      <c r="D51" s="62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34">
        <f t="shared" si="4"/>
        <v>0</v>
      </c>
      <c r="AE51" s="37">
        <f t="shared" si="3"/>
        <v>0</v>
      </c>
    </row>
    <row r="52" spans="1:31">
      <c r="A52" s="4"/>
      <c r="B52" s="18" t="s">
        <v>86</v>
      </c>
      <c r="C52" s="30">
        <f t="shared" si="2"/>
        <v>0</v>
      </c>
      <c r="D52" s="62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34">
        <f t="shared" si="4"/>
        <v>0</v>
      </c>
      <c r="AE52" s="37">
        <f t="shared" si="3"/>
        <v>0</v>
      </c>
    </row>
    <row r="53" spans="1:31">
      <c r="A53" s="4"/>
      <c r="B53" s="18" t="s">
        <v>87</v>
      </c>
      <c r="C53" s="30">
        <f t="shared" si="2"/>
        <v>0</v>
      </c>
      <c r="D53" s="62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34">
        <f t="shared" si="4"/>
        <v>0</v>
      </c>
      <c r="AE53" s="37">
        <f t="shared" si="3"/>
        <v>0</v>
      </c>
    </row>
    <row r="54" spans="1:31">
      <c r="A54" s="4"/>
      <c r="B54" s="18" t="s">
        <v>88</v>
      </c>
      <c r="C54" s="30">
        <f t="shared" si="2"/>
        <v>0</v>
      </c>
      <c r="D54" s="62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34">
        <f t="shared" si="4"/>
        <v>0</v>
      </c>
      <c r="AE54" s="37">
        <f t="shared" si="3"/>
        <v>0</v>
      </c>
    </row>
    <row r="55" spans="1:31">
      <c r="A55" s="4"/>
      <c r="B55" s="18" t="s">
        <v>89</v>
      </c>
      <c r="C55" s="30">
        <f t="shared" si="2"/>
        <v>0</v>
      </c>
      <c r="D55" s="62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34">
        <f t="shared" si="4"/>
        <v>0</v>
      </c>
      <c r="AE55" s="37">
        <f t="shared" si="3"/>
        <v>0</v>
      </c>
    </row>
    <row r="56" spans="1:31">
      <c r="A56" s="4"/>
      <c r="B56" s="18" t="s">
        <v>90</v>
      </c>
      <c r="C56" s="30">
        <f t="shared" si="2"/>
        <v>0</v>
      </c>
      <c r="D56" s="62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34">
        <f t="shared" si="4"/>
        <v>0</v>
      </c>
      <c r="AE56" s="37">
        <f t="shared" si="3"/>
        <v>0</v>
      </c>
    </row>
    <row r="57" spans="1:31">
      <c r="A57" s="4"/>
      <c r="B57" s="18" t="s">
        <v>91</v>
      </c>
      <c r="C57" s="30">
        <f t="shared" si="2"/>
        <v>0</v>
      </c>
      <c r="D57" s="62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34">
        <f t="shared" si="4"/>
        <v>0</v>
      </c>
      <c r="AE57" s="37">
        <f t="shared" si="3"/>
        <v>0</v>
      </c>
    </row>
    <row r="58" spans="1:31">
      <c r="A58" s="4"/>
      <c r="B58" s="18" t="s">
        <v>92</v>
      </c>
      <c r="C58" s="30">
        <f t="shared" si="2"/>
        <v>0</v>
      </c>
      <c r="D58" s="62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34">
        <f t="shared" si="4"/>
        <v>0</v>
      </c>
      <c r="AE58" s="37">
        <f t="shared" si="3"/>
        <v>0</v>
      </c>
    </row>
    <row r="59" spans="1:31">
      <c r="A59" s="4"/>
      <c r="B59" s="18" t="s">
        <v>93</v>
      </c>
      <c r="C59" s="30">
        <f t="shared" si="2"/>
        <v>0</v>
      </c>
      <c r="D59" s="62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34">
        <f t="shared" si="4"/>
        <v>0</v>
      </c>
      <c r="AE59" s="37">
        <f t="shared" si="3"/>
        <v>0</v>
      </c>
    </row>
    <row r="60" spans="1:31">
      <c r="A60" s="4"/>
      <c r="B60" s="18" t="s">
        <v>94</v>
      </c>
      <c r="C60" s="30">
        <f t="shared" si="2"/>
        <v>0</v>
      </c>
      <c r="D60" s="62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34">
        <f t="shared" si="4"/>
        <v>0</v>
      </c>
      <c r="AE60" s="37">
        <f t="shared" si="3"/>
        <v>0</v>
      </c>
    </row>
    <row r="61" spans="1:31">
      <c r="A61" s="4"/>
      <c r="B61" s="18" t="s">
        <v>95</v>
      </c>
      <c r="C61" s="30">
        <v>0</v>
      </c>
      <c r="D61" s="62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34">
        <f t="shared" si="4"/>
        <v>0</v>
      </c>
      <c r="AE61" s="37">
        <f t="shared" si="3"/>
        <v>0</v>
      </c>
    </row>
    <row r="62" spans="1:31" s="39" customFormat="1">
      <c r="A62" s="46"/>
      <c r="B62" s="47" t="s">
        <v>96</v>
      </c>
      <c r="C62" s="48">
        <f>SUBTOTAL(9,C5:C61)</f>
        <v>0</v>
      </c>
      <c r="D62" s="48">
        <f t="shared" ref="D62:AD62" si="5">SUBTOTAL(9,D5:D61)</f>
        <v>0</v>
      </c>
      <c r="E62" s="48">
        <f t="shared" si="5"/>
        <v>0</v>
      </c>
      <c r="F62" s="48">
        <f t="shared" si="5"/>
        <v>0</v>
      </c>
      <c r="G62" s="48">
        <f t="shared" si="5"/>
        <v>0</v>
      </c>
      <c r="H62" s="48">
        <f t="shared" si="5"/>
        <v>0</v>
      </c>
      <c r="I62" s="48">
        <f t="shared" si="5"/>
        <v>0</v>
      </c>
      <c r="J62" s="48">
        <f t="shared" si="5"/>
        <v>0</v>
      </c>
      <c r="K62" s="48">
        <f t="shared" si="5"/>
        <v>0</v>
      </c>
      <c r="L62" s="48">
        <f t="shared" si="5"/>
        <v>0</v>
      </c>
      <c r="M62" s="48">
        <f t="shared" si="5"/>
        <v>0</v>
      </c>
      <c r="N62" s="48">
        <f t="shared" si="5"/>
        <v>0</v>
      </c>
      <c r="O62" s="48">
        <f t="shared" si="5"/>
        <v>0</v>
      </c>
      <c r="P62" s="48">
        <f t="shared" si="5"/>
        <v>0</v>
      </c>
      <c r="Q62" s="48">
        <f t="shared" si="5"/>
        <v>0</v>
      </c>
      <c r="R62" s="48">
        <f t="shared" si="5"/>
        <v>0</v>
      </c>
      <c r="S62" s="48">
        <f t="shared" si="5"/>
        <v>0</v>
      </c>
      <c r="T62" s="48">
        <f t="shared" si="5"/>
        <v>0</v>
      </c>
      <c r="U62" s="48">
        <f t="shared" si="5"/>
        <v>0</v>
      </c>
      <c r="V62" s="48">
        <f t="shared" si="5"/>
        <v>0</v>
      </c>
      <c r="W62" s="48">
        <f t="shared" si="5"/>
        <v>0</v>
      </c>
      <c r="X62" s="48">
        <f t="shared" si="5"/>
        <v>0</v>
      </c>
      <c r="Y62" s="48">
        <f t="shared" si="5"/>
        <v>0</v>
      </c>
      <c r="Z62" s="48">
        <f t="shared" si="5"/>
        <v>0</v>
      </c>
      <c r="AA62" s="48">
        <f t="shared" si="5"/>
        <v>0</v>
      </c>
      <c r="AB62" s="48">
        <f t="shared" si="5"/>
        <v>0</v>
      </c>
      <c r="AC62" s="48">
        <f t="shared" si="5"/>
        <v>0</v>
      </c>
      <c r="AD62" s="48">
        <f t="shared" si="5"/>
        <v>0</v>
      </c>
      <c r="AE62" s="49">
        <f t="shared" si="3"/>
        <v>0</v>
      </c>
    </row>
    <row r="63" spans="1:31">
      <c r="A63" s="40"/>
      <c r="B63" s="41" t="s">
        <v>97</v>
      </c>
      <c r="C63" s="31">
        <v>0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3">
        <f t="shared" ref="AD63:AD74" si="6">SUM(D63:AC63)</f>
        <v>0</v>
      </c>
      <c r="AE63" s="44">
        <f t="shared" si="3"/>
        <v>0</v>
      </c>
    </row>
    <row r="64" spans="1:31">
      <c r="A64" s="40"/>
      <c r="B64" s="41" t="s">
        <v>98</v>
      </c>
      <c r="C64" s="32">
        <v>0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3">
        <f t="shared" si="6"/>
        <v>0</v>
      </c>
      <c r="AE64" s="44">
        <f t="shared" si="3"/>
        <v>0</v>
      </c>
    </row>
    <row r="65" spans="1:31">
      <c r="A65" s="40"/>
      <c r="B65" s="41" t="s">
        <v>99</v>
      </c>
      <c r="C65" s="33">
        <v>0</v>
      </c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3">
        <f t="shared" si="6"/>
        <v>0</v>
      </c>
      <c r="AE65" s="44">
        <f t="shared" si="3"/>
        <v>0</v>
      </c>
    </row>
    <row r="66" spans="1:31">
      <c r="A66" s="40"/>
      <c r="B66" s="41" t="s">
        <v>100</v>
      </c>
      <c r="C66" s="33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3"/>
      <c r="AE66" s="43"/>
    </row>
    <row r="67" spans="1:31">
      <c r="A67" s="40"/>
      <c r="B67" s="41" t="s">
        <v>101</v>
      </c>
      <c r="C67" s="33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3"/>
      <c r="AE67" s="43"/>
    </row>
    <row r="68" spans="1:31">
      <c r="A68" s="40"/>
      <c r="B68" s="41" t="s">
        <v>102</v>
      </c>
      <c r="C68" s="33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3"/>
      <c r="AE68" s="43"/>
    </row>
    <row r="69" spans="1:31">
      <c r="A69" s="40"/>
      <c r="B69" s="41" t="s">
        <v>103</v>
      </c>
      <c r="C69" s="33">
        <v>0</v>
      </c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3">
        <f t="shared" si="6"/>
        <v>0</v>
      </c>
      <c r="AE69" s="44">
        <f t="shared" ref="AE69:AE76" si="7">+C69-AD69</f>
        <v>0</v>
      </c>
    </row>
    <row r="70" spans="1:31">
      <c r="A70" s="40"/>
      <c r="B70" s="41" t="s">
        <v>104</v>
      </c>
      <c r="C70" s="33">
        <v>0</v>
      </c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3">
        <f t="shared" si="6"/>
        <v>0</v>
      </c>
      <c r="AE70" s="44">
        <f t="shared" si="7"/>
        <v>0</v>
      </c>
    </row>
    <row r="71" spans="1:31">
      <c r="A71" s="40"/>
      <c r="B71" s="41" t="s">
        <v>105</v>
      </c>
      <c r="C71" s="33">
        <v>0</v>
      </c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3">
        <f t="shared" si="6"/>
        <v>0</v>
      </c>
      <c r="AE71" s="44">
        <f t="shared" si="7"/>
        <v>0</v>
      </c>
    </row>
    <row r="72" spans="1:31">
      <c r="A72" s="40"/>
      <c r="B72" s="41" t="s">
        <v>106</v>
      </c>
      <c r="C72" s="33">
        <v>0</v>
      </c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3">
        <f t="shared" si="6"/>
        <v>0</v>
      </c>
      <c r="AE72" s="44">
        <f t="shared" si="7"/>
        <v>0</v>
      </c>
    </row>
    <row r="73" spans="1:31">
      <c r="A73" s="40"/>
      <c r="B73" s="41" t="s">
        <v>107</v>
      </c>
      <c r="C73" s="33">
        <v>0</v>
      </c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3">
        <f t="shared" si="6"/>
        <v>0</v>
      </c>
      <c r="AE73" s="44">
        <f t="shared" si="7"/>
        <v>0</v>
      </c>
    </row>
    <row r="74" spans="1:31">
      <c r="A74" s="40"/>
      <c r="B74" s="41" t="s">
        <v>108</v>
      </c>
      <c r="C74" s="33">
        <v>0</v>
      </c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3">
        <f t="shared" si="6"/>
        <v>0</v>
      </c>
      <c r="AE74" s="44">
        <f t="shared" si="7"/>
        <v>0</v>
      </c>
    </row>
    <row r="75" spans="1:31" s="38" customFormat="1">
      <c r="A75" s="50"/>
      <c r="B75" s="51" t="s">
        <v>109</v>
      </c>
      <c r="C75" s="52">
        <f>SUBTOTAL(9,C63:C74)</f>
        <v>0</v>
      </c>
      <c r="D75" s="52">
        <f t="shared" ref="D75:AD75" si="8">SUBTOTAL(9,D63:D74)</f>
        <v>0</v>
      </c>
      <c r="E75" s="52">
        <f t="shared" si="8"/>
        <v>0</v>
      </c>
      <c r="F75" s="52">
        <f t="shared" si="8"/>
        <v>0</v>
      </c>
      <c r="G75" s="52">
        <f t="shared" si="8"/>
        <v>0</v>
      </c>
      <c r="H75" s="52">
        <f t="shared" si="8"/>
        <v>0</v>
      </c>
      <c r="I75" s="52">
        <f t="shared" si="8"/>
        <v>0</v>
      </c>
      <c r="J75" s="52">
        <f t="shared" si="8"/>
        <v>0</v>
      </c>
      <c r="K75" s="52">
        <f t="shared" si="8"/>
        <v>0</v>
      </c>
      <c r="L75" s="52">
        <f t="shared" si="8"/>
        <v>0</v>
      </c>
      <c r="M75" s="52">
        <f t="shared" si="8"/>
        <v>0</v>
      </c>
      <c r="N75" s="52">
        <f t="shared" si="8"/>
        <v>0</v>
      </c>
      <c r="O75" s="52">
        <f t="shared" si="8"/>
        <v>0</v>
      </c>
      <c r="P75" s="52">
        <f t="shared" si="8"/>
        <v>0</v>
      </c>
      <c r="Q75" s="52">
        <f t="shared" si="8"/>
        <v>0</v>
      </c>
      <c r="R75" s="52">
        <f t="shared" si="8"/>
        <v>0</v>
      </c>
      <c r="S75" s="52">
        <f t="shared" si="8"/>
        <v>0</v>
      </c>
      <c r="T75" s="52">
        <f t="shared" si="8"/>
        <v>0</v>
      </c>
      <c r="U75" s="52">
        <f t="shared" si="8"/>
        <v>0</v>
      </c>
      <c r="V75" s="52">
        <f t="shared" si="8"/>
        <v>0</v>
      </c>
      <c r="W75" s="52">
        <f t="shared" si="8"/>
        <v>0</v>
      </c>
      <c r="X75" s="52">
        <f t="shared" si="8"/>
        <v>0</v>
      </c>
      <c r="Y75" s="52">
        <f t="shared" si="8"/>
        <v>0</v>
      </c>
      <c r="Z75" s="52">
        <f t="shared" si="8"/>
        <v>0</v>
      </c>
      <c r="AA75" s="52">
        <f t="shared" si="8"/>
        <v>0</v>
      </c>
      <c r="AB75" s="52">
        <f t="shared" si="8"/>
        <v>0</v>
      </c>
      <c r="AC75" s="52">
        <f t="shared" si="8"/>
        <v>0</v>
      </c>
      <c r="AD75" s="52">
        <f t="shared" si="8"/>
        <v>0</v>
      </c>
      <c r="AE75" s="52">
        <f t="shared" si="7"/>
        <v>0</v>
      </c>
    </row>
    <row r="76" spans="1:31" s="38" customFormat="1">
      <c r="A76" s="56"/>
      <c r="B76" s="18" t="s">
        <v>110</v>
      </c>
      <c r="C76" s="57">
        <v>0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44">
        <f t="shared" si="7"/>
        <v>0</v>
      </c>
    </row>
    <row r="77" spans="1:31" s="38" customFormat="1">
      <c r="A77" s="50"/>
      <c r="B77" s="51" t="s">
        <v>111</v>
      </c>
      <c r="C77" s="52">
        <f>SUBTOTAL(9,C76)</f>
        <v>0</v>
      </c>
      <c r="D77" s="52">
        <f t="shared" ref="D77:AD77" si="9">SUBTOTAL(9,D76)</f>
        <v>0</v>
      </c>
      <c r="E77" s="52">
        <f t="shared" si="9"/>
        <v>0</v>
      </c>
      <c r="F77" s="52">
        <f t="shared" si="9"/>
        <v>0</v>
      </c>
      <c r="G77" s="52">
        <f t="shared" si="9"/>
        <v>0</v>
      </c>
      <c r="H77" s="52">
        <f t="shared" si="9"/>
        <v>0</v>
      </c>
      <c r="I77" s="52">
        <f t="shared" si="9"/>
        <v>0</v>
      </c>
      <c r="J77" s="52">
        <f t="shared" si="9"/>
        <v>0</v>
      </c>
      <c r="K77" s="52">
        <f t="shared" si="9"/>
        <v>0</v>
      </c>
      <c r="L77" s="52">
        <f t="shared" si="9"/>
        <v>0</v>
      </c>
      <c r="M77" s="52">
        <f t="shared" si="9"/>
        <v>0</v>
      </c>
      <c r="N77" s="52">
        <f t="shared" si="9"/>
        <v>0</v>
      </c>
      <c r="O77" s="52">
        <f t="shared" si="9"/>
        <v>0</v>
      </c>
      <c r="P77" s="52">
        <f t="shared" si="9"/>
        <v>0</v>
      </c>
      <c r="Q77" s="52">
        <f t="shared" si="9"/>
        <v>0</v>
      </c>
      <c r="R77" s="52">
        <f t="shared" si="9"/>
        <v>0</v>
      </c>
      <c r="S77" s="52">
        <f t="shared" si="9"/>
        <v>0</v>
      </c>
      <c r="T77" s="52">
        <f t="shared" si="9"/>
        <v>0</v>
      </c>
      <c r="U77" s="52">
        <f t="shared" si="9"/>
        <v>0</v>
      </c>
      <c r="V77" s="52">
        <f t="shared" si="9"/>
        <v>0</v>
      </c>
      <c r="W77" s="52">
        <f t="shared" si="9"/>
        <v>0</v>
      </c>
      <c r="X77" s="52">
        <f t="shared" si="9"/>
        <v>0</v>
      </c>
      <c r="Y77" s="52">
        <f t="shared" si="9"/>
        <v>0</v>
      </c>
      <c r="Z77" s="52">
        <f t="shared" si="9"/>
        <v>0</v>
      </c>
      <c r="AA77" s="52">
        <f t="shared" si="9"/>
        <v>0</v>
      </c>
      <c r="AB77" s="52">
        <f t="shared" si="9"/>
        <v>0</v>
      </c>
      <c r="AC77" s="52">
        <f t="shared" si="9"/>
        <v>0</v>
      </c>
      <c r="AD77" s="52">
        <f t="shared" si="9"/>
        <v>0</v>
      </c>
      <c r="AE77" s="52">
        <f>SUBTOTAL(9,AE76)</f>
        <v>0</v>
      </c>
    </row>
    <row r="78" spans="1:31" s="38" customFormat="1">
      <c r="A78" s="53"/>
      <c r="B78" s="54" t="s">
        <v>10</v>
      </c>
      <c r="C78" s="55">
        <f>+C77+C75+C62</f>
        <v>0</v>
      </c>
      <c r="D78" s="55">
        <f t="shared" ref="D78:AD78" si="10">+D77+D75+D62</f>
        <v>0</v>
      </c>
      <c r="E78" s="55">
        <f t="shared" si="10"/>
        <v>0</v>
      </c>
      <c r="F78" s="55">
        <f t="shared" si="10"/>
        <v>0</v>
      </c>
      <c r="G78" s="55">
        <f t="shared" si="10"/>
        <v>0</v>
      </c>
      <c r="H78" s="55">
        <f t="shared" si="10"/>
        <v>0</v>
      </c>
      <c r="I78" s="55">
        <f t="shared" si="10"/>
        <v>0</v>
      </c>
      <c r="J78" s="55">
        <f t="shared" si="10"/>
        <v>0</v>
      </c>
      <c r="K78" s="55">
        <f t="shared" si="10"/>
        <v>0</v>
      </c>
      <c r="L78" s="55">
        <f t="shared" si="10"/>
        <v>0</v>
      </c>
      <c r="M78" s="55">
        <f t="shared" si="10"/>
        <v>0</v>
      </c>
      <c r="N78" s="55">
        <f t="shared" si="10"/>
        <v>0</v>
      </c>
      <c r="O78" s="55">
        <f t="shared" si="10"/>
        <v>0</v>
      </c>
      <c r="P78" s="55">
        <f t="shared" si="10"/>
        <v>0</v>
      </c>
      <c r="Q78" s="55">
        <f t="shared" si="10"/>
        <v>0</v>
      </c>
      <c r="R78" s="55">
        <f t="shared" si="10"/>
        <v>0</v>
      </c>
      <c r="S78" s="55">
        <f t="shared" si="10"/>
        <v>0</v>
      </c>
      <c r="T78" s="55">
        <f t="shared" si="10"/>
        <v>0</v>
      </c>
      <c r="U78" s="55">
        <f t="shared" si="10"/>
        <v>0</v>
      </c>
      <c r="V78" s="55">
        <f t="shared" si="10"/>
        <v>0</v>
      </c>
      <c r="W78" s="55">
        <f t="shared" si="10"/>
        <v>0</v>
      </c>
      <c r="X78" s="55">
        <f t="shared" si="10"/>
        <v>0</v>
      </c>
      <c r="Y78" s="55">
        <f t="shared" si="10"/>
        <v>0</v>
      </c>
      <c r="Z78" s="55">
        <f t="shared" si="10"/>
        <v>0</v>
      </c>
      <c r="AA78" s="55">
        <f t="shared" si="10"/>
        <v>0</v>
      </c>
      <c r="AB78" s="55">
        <f t="shared" si="10"/>
        <v>0</v>
      </c>
      <c r="AC78" s="55">
        <f t="shared" si="10"/>
        <v>0</v>
      </c>
      <c r="AD78" s="55">
        <f t="shared" si="10"/>
        <v>0</v>
      </c>
      <c r="AE78" s="55">
        <f>+C78-AD78</f>
        <v>0</v>
      </c>
    </row>
    <row r="79" spans="1:31" s="38" customFormat="1">
      <c r="A79" s="76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</row>
    <row r="80" spans="1:31" s="45" customFormat="1">
      <c r="A80" s="70" t="s">
        <v>112</v>
      </c>
      <c r="B80" s="58" t="s">
        <v>113</v>
      </c>
      <c r="C80" s="67"/>
      <c r="D80" s="59">
        <f t="shared" ref="D80" si="11">+D78</f>
        <v>0</v>
      </c>
      <c r="E80" s="60">
        <f>+E78+D80</f>
        <v>0</v>
      </c>
      <c r="F80" s="60">
        <f t="shared" ref="F80:AC80" si="12">+F78+E80</f>
        <v>0</v>
      </c>
      <c r="G80" s="60">
        <f t="shared" si="12"/>
        <v>0</v>
      </c>
      <c r="H80" s="60">
        <f t="shared" si="12"/>
        <v>0</v>
      </c>
      <c r="I80" s="60">
        <f t="shared" si="12"/>
        <v>0</v>
      </c>
      <c r="J80" s="60">
        <f t="shared" si="12"/>
        <v>0</v>
      </c>
      <c r="K80" s="60">
        <f t="shared" si="12"/>
        <v>0</v>
      </c>
      <c r="L80" s="60">
        <f t="shared" si="12"/>
        <v>0</v>
      </c>
      <c r="M80" s="60">
        <f t="shared" si="12"/>
        <v>0</v>
      </c>
      <c r="N80" s="60">
        <f t="shared" si="12"/>
        <v>0</v>
      </c>
      <c r="O80" s="60">
        <f t="shared" si="12"/>
        <v>0</v>
      </c>
      <c r="P80" s="60">
        <f t="shared" si="12"/>
        <v>0</v>
      </c>
      <c r="Q80" s="60">
        <f t="shared" si="12"/>
        <v>0</v>
      </c>
      <c r="R80" s="60">
        <f t="shared" si="12"/>
        <v>0</v>
      </c>
      <c r="S80" s="60">
        <f t="shared" si="12"/>
        <v>0</v>
      </c>
      <c r="T80" s="60">
        <f t="shared" si="12"/>
        <v>0</v>
      </c>
      <c r="U80" s="60">
        <f t="shared" si="12"/>
        <v>0</v>
      </c>
      <c r="V80" s="60">
        <f t="shared" si="12"/>
        <v>0</v>
      </c>
      <c r="W80" s="60">
        <f t="shared" si="12"/>
        <v>0</v>
      </c>
      <c r="X80" s="60">
        <f t="shared" si="12"/>
        <v>0</v>
      </c>
      <c r="Y80" s="60">
        <f t="shared" si="12"/>
        <v>0</v>
      </c>
      <c r="Z80" s="60">
        <f t="shared" si="12"/>
        <v>0</v>
      </c>
      <c r="AA80" s="60">
        <f t="shared" si="12"/>
        <v>0</v>
      </c>
      <c r="AB80" s="60">
        <f t="shared" si="12"/>
        <v>0</v>
      </c>
      <c r="AC80" s="60">
        <f t="shared" si="12"/>
        <v>0</v>
      </c>
      <c r="AD80" s="67"/>
      <c r="AE80" s="73"/>
    </row>
    <row r="81" spans="1:31" s="45" customFormat="1">
      <c r="A81" s="71"/>
      <c r="B81" s="58" t="s">
        <v>114</v>
      </c>
      <c r="C81" s="68"/>
      <c r="D81" s="59">
        <v>0</v>
      </c>
      <c r="E81" s="60">
        <v>0</v>
      </c>
      <c r="F81" s="60">
        <v>0</v>
      </c>
      <c r="G81" s="60">
        <v>0</v>
      </c>
      <c r="H81" s="60">
        <v>0</v>
      </c>
      <c r="I81" s="60">
        <v>0</v>
      </c>
      <c r="J81" s="60">
        <v>0</v>
      </c>
      <c r="K81" s="60">
        <v>0</v>
      </c>
      <c r="L81" s="60">
        <v>0</v>
      </c>
      <c r="M81" s="60">
        <v>0</v>
      </c>
      <c r="N81" s="60">
        <v>0</v>
      </c>
      <c r="O81" s="60">
        <v>0</v>
      </c>
      <c r="P81" s="60">
        <v>0</v>
      </c>
      <c r="Q81" s="60">
        <v>0</v>
      </c>
      <c r="R81" s="60">
        <v>0</v>
      </c>
      <c r="S81" s="60">
        <v>0</v>
      </c>
      <c r="T81" s="60">
        <v>0</v>
      </c>
      <c r="U81" s="60">
        <v>0</v>
      </c>
      <c r="V81" s="60">
        <v>0</v>
      </c>
      <c r="W81" s="60">
        <v>0</v>
      </c>
      <c r="X81" s="60">
        <v>0</v>
      </c>
      <c r="Y81" s="60">
        <v>0</v>
      </c>
      <c r="Z81" s="60">
        <v>0</v>
      </c>
      <c r="AA81" s="60">
        <v>0</v>
      </c>
      <c r="AB81" s="60">
        <v>0</v>
      </c>
      <c r="AC81" s="60">
        <v>0</v>
      </c>
      <c r="AD81" s="69"/>
      <c r="AE81" s="74"/>
    </row>
    <row r="82" spans="1:31" s="45" customFormat="1">
      <c r="A82" s="71"/>
      <c r="B82" s="58" t="s">
        <v>115</v>
      </c>
      <c r="C82" s="68"/>
      <c r="D82" s="59">
        <v>0</v>
      </c>
      <c r="E82" s="60">
        <v>0</v>
      </c>
      <c r="F82" s="60">
        <v>0</v>
      </c>
      <c r="G82" s="60">
        <v>0</v>
      </c>
      <c r="H82" s="60">
        <v>0</v>
      </c>
      <c r="I82" s="60">
        <v>0</v>
      </c>
      <c r="J82" s="60">
        <v>0</v>
      </c>
      <c r="K82" s="60">
        <v>0</v>
      </c>
      <c r="L82" s="60">
        <v>0</v>
      </c>
      <c r="M82" s="60">
        <v>0</v>
      </c>
      <c r="N82" s="60">
        <v>0</v>
      </c>
      <c r="O82" s="60">
        <v>0</v>
      </c>
      <c r="P82" s="60">
        <v>0</v>
      </c>
      <c r="Q82" s="60">
        <v>0</v>
      </c>
      <c r="R82" s="60">
        <v>0</v>
      </c>
      <c r="S82" s="60">
        <v>0</v>
      </c>
      <c r="T82" s="60">
        <v>0</v>
      </c>
      <c r="U82" s="60">
        <v>0</v>
      </c>
      <c r="V82" s="60">
        <v>0</v>
      </c>
      <c r="W82" s="60">
        <v>0</v>
      </c>
      <c r="X82" s="60">
        <v>0</v>
      </c>
      <c r="Y82" s="60">
        <v>0</v>
      </c>
      <c r="Z82" s="60">
        <v>0</v>
      </c>
      <c r="AA82" s="60">
        <v>0</v>
      </c>
      <c r="AB82" s="60">
        <v>0</v>
      </c>
      <c r="AC82" s="60">
        <v>0</v>
      </c>
      <c r="AD82" s="60">
        <f>SUM(D82:AC82)</f>
        <v>0</v>
      </c>
      <c r="AE82" s="74"/>
    </row>
    <row r="83" spans="1:31" s="45" customFormat="1">
      <c r="A83" s="72"/>
      <c r="B83" s="58" t="s">
        <v>116</v>
      </c>
      <c r="C83" s="69"/>
      <c r="D83" s="59">
        <f t="shared" ref="D83:S83" si="13">+D80-D81+D82</f>
        <v>0</v>
      </c>
      <c r="E83" s="60">
        <f t="shared" si="13"/>
        <v>0</v>
      </c>
      <c r="F83" s="60">
        <f t="shared" si="13"/>
        <v>0</v>
      </c>
      <c r="G83" s="60">
        <f t="shared" si="13"/>
        <v>0</v>
      </c>
      <c r="H83" s="60">
        <f t="shared" si="13"/>
        <v>0</v>
      </c>
      <c r="I83" s="60">
        <f t="shared" si="13"/>
        <v>0</v>
      </c>
      <c r="J83" s="60">
        <f t="shared" si="13"/>
        <v>0</v>
      </c>
      <c r="K83" s="60">
        <f t="shared" si="13"/>
        <v>0</v>
      </c>
      <c r="L83" s="60">
        <f t="shared" si="13"/>
        <v>0</v>
      </c>
      <c r="M83" s="60">
        <f t="shared" si="13"/>
        <v>0</v>
      </c>
      <c r="N83" s="60">
        <f t="shared" si="13"/>
        <v>0</v>
      </c>
      <c r="O83" s="60">
        <f t="shared" si="13"/>
        <v>0</v>
      </c>
      <c r="P83" s="60">
        <f t="shared" si="13"/>
        <v>0</v>
      </c>
      <c r="Q83" s="60">
        <f t="shared" si="13"/>
        <v>0</v>
      </c>
      <c r="R83" s="60">
        <f t="shared" si="13"/>
        <v>0</v>
      </c>
      <c r="S83" s="60">
        <f t="shared" si="13"/>
        <v>0</v>
      </c>
      <c r="T83" s="60">
        <f>+T80-T81+T82</f>
        <v>0</v>
      </c>
      <c r="U83" s="60">
        <f t="shared" ref="U83:AC83" si="14">+U80-U81+U82</f>
        <v>0</v>
      </c>
      <c r="V83" s="60">
        <f t="shared" si="14"/>
        <v>0</v>
      </c>
      <c r="W83" s="60">
        <f t="shared" si="14"/>
        <v>0</v>
      </c>
      <c r="X83" s="60">
        <f t="shared" si="14"/>
        <v>0</v>
      </c>
      <c r="Y83" s="60">
        <f t="shared" si="14"/>
        <v>0</v>
      </c>
      <c r="Z83" s="60">
        <f t="shared" si="14"/>
        <v>0</v>
      </c>
      <c r="AA83" s="60">
        <f t="shared" si="14"/>
        <v>0</v>
      </c>
      <c r="AB83" s="60">
        <f t="shared" si="14"/>
        <v>0</v>
      </c>
      <c r="AC83" s="60">
        <f t="shared" si="14"/>
        <v>0</v>
      </c>
      <c r="AD83" s="59"/>
      <c r="AE83" s="75"/>
    </row>
  </sheetData>
  <mergeCells count="7">
    <mergeCell ref="AA1:AD1"/>
    <mergeCell ref="F1:M1"/>
    <mergeCell ref="C80:C83"/>
    <mergeCell ref="A80:A83"/>
    <mergeCell ref="AE80:AE83"/>
    <mergeCell ref="A79:AE79"/>
    <mergeCell ref="AD80:AD81"/>
  </mergeCells>
  <phoneticPr fontId="11" type="noConversion"/>
  <pageMargins left="0.7" right="0.7" top="0.75" bottom="0.75" header="0.3" footer="0.3"/>
  <pageSetup paperSize="17" scale="79" fitToHeight="0" orientation="landscape" r:id="rId1"/>
  <ignoredErrors>
    <ignoredError sqref="AD63:AD65 AD5:AD34 AD61 AD70:AD74 AD69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C989982C95E14EBE57AF46ABC927D6" ma:contentTypeVersion="8" ma:contentTypeDescription="Create a new document." ma:contentTypeScope="" ma:versionID="5a212993e1504d4a037434e8e6b4bb0d">
  <xsd:schema xmlns:xsd="http://www.w3.org/2001/XMLSchema" xmlns:xs="http://www.w3.org/2001/XMLSchema" xmlns:p="http://schemas.microsoft.com/office/2006/metadata/properties" xmlns:ns2="81b9044c-fec7-4192-b635-7032ff2b68cb" targetNamespace="http://schemas.microsoft.com/office/2006/metadata/properties" ma:root="true" ma:fieldsID="88057fcaea8c0ee07aadf3e3012980a9" ns2:_="">
    <xsd:import namespace="81b9044c-fec7-4192-b635-7032ff2b68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9044c-fec7-4192-b635-7032ff2b68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6D2975-9267-4C4F-A5A0-25B2053F9C41}"/>
</file>

<file path=customXml/itemProps2.xml><?xml version="1.0" encoding="utf-8"?>
<ds:datastoreItem xmlns:ds="http://schemas.openxmlformats.org/officeDocument/2006/customXml" ds:itemID="{D7F2D6E3-930A-461A-9A3C-54FD810EB97C}"/>
</file>

<file path=customXml/itemProps3.xml><?xml version="1.0" encoding="utf-8"?>
<ds:datastoreItem xmlns:ds="http://schemas.openxmlformats.org/officeDocument/2006/customXml" ds:itemID="{21859FDD-A034-404A-9B08-CA2AA40B8D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Arthur Miller</dc:creator>
  <cp:keywords/>
  <dc:description/>
  <cp:lastModifiedBy/>
  <cp:revision/>
  <dcterms:created xsi:type="dcterms:W3CDTF">2021-03-03T15:43:25Z</dcterms:created>
  <dcterms:modified xsi:type="dcterms:W3CDTF">2026-03-07T15:23:15Z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0x01010017C989982C95E14EBE57AF46ABC927D6</vt:lpwstr>
  </property>
</Properties>
</file>