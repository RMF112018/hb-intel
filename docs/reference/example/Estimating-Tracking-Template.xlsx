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bobbyfetting/hb-intel/docs/reference/example/"/>
    </mc:Choice>
  </mc:AlternateContent>
  <xr:revisionPtr revIDLastSave="0" documentId="13_ncr:1_{037C7DC1-3F5A-FE4D-A1DF-FEB4449DDF37}" xr6:coauthVersionLast="47" xr6:coauthVersionMax="47" xr10:uidLastSave="{00000000-0000-0000-0000-000000000000}"/>
  <bookViews>
    <workbookView xWindow="4420" yWindow="660" windowWidth="25820" windowHeight="17440" xr2:uid="{00000000-000D-0000-FFFF-FFFF00000000}"/>
  </bookViews>
  <sheets>
    <sheet name="Master Sheet 2026" sheetId="11" r:id="rId1"/>
    <sheet name="Go-No Go Track Sheet 2026" sheetId="12" r:id="rId2"/>
  </sheets>
  <definedNames>
    <definedName name="_xlnm.Print_Area" localSheetId="0">'Master Sheet 2026'!$B$2:$S$117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1" l="1"/>
  <c r="H92" i="11" l="1"/>
  <c r="F116" i="11" s="1"/>
  <c r="I92" i="11"/>
  <c r="K92" i="11"/>
  <c r="J92" i="11"/>
  <c r="F117" i="11" s="1"/>
  <c r="Q16" i="11"/>
  <c r="G27" i="11"/>
  <c r="F27" i="11"/>
  <c r="S20" i="11" l="1"/>
  <c r="S21" i="11"/>
  <c r="S19" i="11"/>
  <c r="S18" i="11" s="1"/>
  <c r="S24" i="11"/>
  <c r="N92" i="11"/>
  <c r="K93" i="11" s="1"/>
  <c r="I93" i="11"/>
  <c r="F115" i="11"/>
  <c r="F114" i="11"/>
  <c r="J93" i="11" l="1"/>
</calcChain>
</file>

<file path=xl/sharedStrings.xml><?xml version="1.0" encoding="utf-8"?>
<sst xmlns="http://schemas.openxmlformats.org/spreadsheetml/2006/main" count="97" uniqueCount="73">
  <si>
    <t xml:space="preserve"> </t>
  </si>
  <si>
    <t>2026 - COMMERCIAL ESTIMATING TRACKING</t>
  </si>
  <si>
    <t>CURRENT PURSUITS</t>
  </si>
  <si>
    <t>PURSUIT INFORMATION</t>
  </si>
  <si>
    <t>KEY DATES</t>
  </si>
  <si>
    <t>KEY PERSONNEL</t>
  </si>
  <si>
    <t>ESTIMATING/BIM CHECKLIST</t>
  </si>
  <si>
    <t>PROJECT #</t>
  </si>
  <si>
    <t>PROJECT NAME</t>
  </si>
  <si>
    <t>SOURCE</t>
  </si>
  <si>
    <t>DELIVERABLE</t>
  </si>
  <si>
    <t>SUB BIDS DUE</t>
  </si>
  <si>
    <t>PRESUBMISSION  REVIEW</t>
  </si>
  <si>
    <t>WIN STRATEGY MEETING</t>
  </si>
  <si>
    <t>DUE DATE (OUT THE DOOR)</t>
  </si>
  <si>
    <t>LEAD ESTIMATOR</t>
  </si>
  <si>
    <t>CONTRIBUTERS</t>
  </si>
  <si>
    <t>PX</t>
  </si>
  <si>
    <t>BID BOND (WANDA)</t>
  </si>
  <si>
    <t>P&amp;P BOND</t>
  </si>
  <si>
    <t>SCHEDULE</t>
  </si>
  <si>
    <t xml:space="preserve">LOGISTICS       </t>
  </si>
  <si>
    <t xml:space="preserve">BIM PROPOSAL </t>
  </si>
  <si>
    <t>PRECON PROPOSAL  (RYAN)</t>
  </si>
  <si>
    <t>PROPOSAL TABS (WANDA/CHRISTINA)</t>
  </si>
  <si>
    <t>COOR. W/ MARKETING PRIOR TO SENDING</t>
  </si>
  <si>
    <t>HANK</t>
  </si>
  <si>
    <t>CURRENT PRECONSTRUCTION</t>
  </si>
  <si>
    <t>CURRENT STAGE
(AS OF 8/31/24)</t>
  </si>
  <si>
    <t>PRECON BUDGET</t>
  </si>
  <si>
    <t>DESIGN BUDGET</t>
  </si>
  <si>
    <t>BILLED TO DATE (12/31/25)</t>
  </si>
  <si>
    <t>BD</t>
  </si>
  <si>
    <t>24-183-01</t>
  </si>
  <si>
    <t>OUANALAO - PHASE 1 INFRASTRUCTURE</t>
  </si>
  <si>
    <t>ON HOLD</t>
  </si>
  <si>
    <t>n/a</t>
  </si>
  <si>
    <t>TO BE BILLED AT END OF PRECON</t>
  </si>
  <si>
    <t>DUKE</t>
  </si>
  <si>
    <t>TOTAL ESTIMATED</t>
  </si>
  <si>
    <t>NOT AWARDED</t>
  </si>
  <si>
    <t>PENDING</t>
  </si>
  <si>
    <t>AWARDED</t>
  </si>
  <si>
    <t>HIT RATE</t>
  </si>
  <si>
    <t>TOTALS</t>
  </si>
  <si>
    <t>ESTIMATE TRACKING LOG</t>
  </si>
  <si>
    <t>ESTIMATE TYPE</t>
  </si>
  <si>
    <t>COST PER GSF</t>
  </si>
  <si>
    <t>COST PER UNIT</t>
  </si>
  <si>
    <t>SUBMITTED</t>
  </si>
  <si>
    <t>AWARDED W/O PRECON</t>
  </si>
  <si>
    <t>AWARDED W/ PRECON</t>
  </si>
  <si>
    <t>NOTES</t>
  </si>
  <si>
    <t>RFQ'S</t>
  </si>
  <si>
    <t>valencia reserve</t>
  </si>
  <si>
    <t>presentation</t>
  </si>
  <si>
    <t>IRSC Charter School</t>
  </si>
  <si>
    <t>RFQ</t>
  </si>
  <si>
    <t>cancelled</t>
  </si>
  <si>
    <t>CC</t>
  </si>
  <si>
    <t>Occulus</t>
  </si>
  <si>
    <t>bid</t>
  </si>
  <si>
    <t>PBC governmental center</t>
  </si>
  <si>
    <t>in progress</t>
  </si>
  <si>
    <t>2026 GO / NO GO TRACKING SHEET</t>
  </si>
  <si>
    <t>West Palm Beach Office</t>
  </si>
  <si>
    <t>Orlando</t>
  </si>
  <si>
    <t>Date</t>
  </si>
  <si>
    <t>Name of Project</t>
  </si>
  <si>
    <t>Approved</t>
  </si>
  <si>
    <t>Declined</t>
  </si>
  <si>
    <t>On Hold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</si>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</sst>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70" formatCode="m/d/yy;@"/>
    <numFmt numFmtId="171" formatCode="mm/dd/yy;@"/>
  </numFmts>
  <fonts count="35" x14ac:knownFonts="1">
    <font>
      <sz val="10"/>
      <color rgb="FF000000"/>
      <name val="Arial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theme="1"/>
      <name val="Arial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  <scheme val="minor"/>
    </font>
    <font>
      <b/>
      <sz val="9"/>
      <color theme="1"/>
      <name val="Calibri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FFFF"/>
      <name val="Calibri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8"/>
      <name val="Arial"/>
      <family val="2"/>
      <scheme val="minor"/>
    </font>
    <font>
      <b/>
      <sz val="9"/>
      <color rgb="FFFF0000"/>
      <name val="Arial"/>
      <family val="2"/>
    </font>
    <font>
      <b/>
      <sz val="9"/>
      <color theme="1"/>
      <name val="Calibri"/>
    </font>
    <font>
      <b/>
      <sz val="9"/>
      <color rgb="FF000000"/>
      <name val="Calibri"/>
    </font>
    <font>
      <b/>
      <sz val="10"/>
      <color rgb="FF000000"/>
      <name val="Calibri"/>
    </font>
    <font>
      <b/>
      <sz val="14"/>
      <color rgb="FF000000"/>
      <name val="Calibri"/>
    </font>
    <font>
      <sz val="9"/>
      <color theme="1"/>
      <name val="Arial"/>
      <scheme val="minor"/>
    </font>
    <font>
      <sz val="9"/>
      <name val="Arial"/>
      <scheme val="minor"/>
    </font>
    <font>
      <sz val="9"/>
      <color rgb="FF000000"/>
      <name val="Arial"/>
      <scheme val="minor"/>
    </font>
    <font>
      <sz val="9"/>
      <color rgb="FF000000"/>
      <name val="Calibri"/>
    </font>
    <font>
      <sz val="10"/>
      <color rgb="FF000000"/>
      <name val="Calibri"/>
    </font>
    <font>
      <b/>
      <sz val="18"/>
      <color rgb="FF000000"/>
      <name val="Calibri"/>
    </font>
    <font>
      <b/>
      <sz val="16"/>
      <color rgb="FF00B05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0.5"/>
      <color theme="1"/>
      <name val="Calibri"/>
    </font>
    <font>
      <sz val="10"/>
      <color rgb="FF00B050"/>
      <name val="Calibri"/>
    </font>
    <font>
      <sz val="9"/>
      <color theme="1"/>
      <name val="Calibri"/>
    </font>
    <font>
      <sz val="9"/>
      <color rgb="FFFF0000"/>
      <name val="Arial"/>
      <scheme val="minor"/>
    </font>
    <font>
      <sz val="9"/>
      <color rgb="FF0B8043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CFE2F3"/>
        <bgColor rgb="FFCFE2F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9E1F2"/>
      </patternFill>
    </fill>
  </fills>
  <borders count="4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95">
    <xf numFmtId="0" fontId="0" fillId="0" borderId="0" xfId="0"/>
    <xf numFmtId="164" fontId="2" fillId="0" borderId="0" xfId="0" applyNumberFormat="1" applyFont="1" applyAlignment="1">
      <alignment horizontal="left"/>
    </xf>
    <xf numFmtId="0" fontId="1" fillId="0" borderId="0" xfId="0" applyFont="1"/>
    <xf numFmtId="0" fontId="3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3" fillId="0" borderId="5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9" fontId="7" fillId="0" borderId="0" xfId="0" applyNumberFormat="1" applyFont="1"/>
    <xf numFmtId="164" fontId="3" fillId="0" borderId="0" xfId="0" applyNumberFormat="1" applyFont="1"/>
    <xf numFmtId="0" fontId="7" fillId="7" borderId="5" xfId="0" applyFont="1" applyFill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7" fillId="0" borderId="6" xfId="0" applyFont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7" fillId="0" borderId="0" xfId="0" applyFont="1"/>
    <xf numFmtId="164" fontId="9" fillId="7" borderId="0" xfId="0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165" fontId="7" fillId="0" borderId="5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5" fillId="3" borderId="5" xfId="0" applyNumberFormat="1" applyFont="1" applyFill="1" applyBorder="1"/>
    <xf numFmtId="14" fontId="1" fillId="0" borderId="0" xfId="0" applyNumberFormat="1" applyFont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4" fontId="8" fillId="7" borderId="0" xfId="0" applyNumberFormat="1" applyFont="1" applyFill="1" applyAlignment="1">
      <alignment horizontal="center"/>
    </xf>
    <xf numFmtId="164" fontId="8" fillId="7" borderId="0" xfId="0" applyNumberFormat="1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0" fontId="2" fillId="7" borderId="0" xfId="0" applyFont="1" applyFill="1"/>
    <xf numFmtId="0" fontId="12" fillId="7" borderId="0" xfId="0" applyFont="1" applyFill="1" applyAlignment="1">
      <alignment horizontal="left"/>
    </xf>
    <xf numFmtId="0" fontId="12" fillId="7" borderId="0" xfId="0" applyFont="1" applyFill="1" applyAlignment="1">
      <alignment horizontal="center"/>
    </xf>
    <xf numFmtId="14" fontId="12" fillId="7" borderId="0" xfId="0" applyNumberFormat="1" applyFont="1" applyFill="1" applyAlignment="1">
      <alignment horizontal="center"/>
    </xf>
    <xf numFmtId="164" fontId="12" fillId="7" borderId="0" xfId="0" applyNumberFormat="1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164" fontId="2" fillId="7" borderId="0" xfId="0" applyNumberFormat="1" applyFont="1" applyFill="1"/>
    <xf numFmtId="0" fontId="11" fillId="0" borderId="5" xfId="0" applyFont="1" applyBorder="1" applyAlignment="1">
      <alignment horizontal="center" vertical="top"/>
    </xf>
    <xf numFmtId="14" fontId="11" fillId="0" borderId="5" xfId="0" applyNumberFormat="1" applyFont="1" applyBorder="1" applyAlignment="1">
      <alignment horizontal="center" vertical="top"/>
    </xf>
    <xf numFmtId="164" fontId="11" fillId="0" borderId="5" xfId="0" applyNumberFormat="1" applyFont="1" applyBorder="1" applyAlignment="1">
      <alignment horizontal="center" vertical="top"/>
    </xf>
    <xf numFmtId="0" fontId="7" fillId="0" borderId="9" xfId="0" applyFont="1" applyBorder="1"/>
    <xf numFmtId="0" fontId="11" fillId="0" borderId="5" xfId="0" applyFont="1" applyBorder="1" applyAlignment="1">
      <alignment horizontal="center"/>
    </xf>
    <xf numFmtId="14" fontId="11" fillId="0" borderId="5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right"/>
    </xf>
    <xf numFmtId="164" fontId="10" fillId="3" borderId="5" xfId="0" applyNumberFormat="1" applyFont="1" applyFill="1" applyBorder="1" applyAlignment="1">
      <alignment horizontal="right"/>
    </xf>
    <xf numFmtId="164" fontId="3" fillId="0" borderId="5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3" fillId="0" borderId="6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7" fillId="0" borderId="5" xfId="0" applyNumberFormat="1" applyFont="1" applyBorder="1" applyAlignment="1">
      <alignment horizontal="center" wrapText="1"/>
    </xf>
    <xf numFmtId="165" fontId="10" fillId="0" borderId="5" xfId="0" applyNumberFormat="1" applyFont="1" applyBorder="1" applyAlignment="1">
      <alignment horizontal="right"/>
    </xf>
    <xf numFmtId="164" fontId="7" fillId="0" borderId="4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right"/>
    </xf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5" xfId="0" applyBorder="1"/>
    <xf numFmtId="0" fontId="4" fillId="0" borderId="0" xfId="0" applyFont="1"/>
    <xf numFmtId="164" fontId="11" fillId="0" borderId="0" xfId="0" applyNumberFormat="1" applyFont="1" applyAlignment="1">
      <alignment horizontal="center" vertical="top"/>
    </xf>
    <xf numFmtId="164" fontId="11" fillId="0" borderId="0" xfId="0" applyNumberFormat="1" applyFont="1" applyAlignment="1">
      <alignment horizontal="center"/>
    </xf>
    <xf numFmtId="0" fontId="2" fillId="13" borderId="0" xfId="0" applyFont="1" applyFill="1" applyAlignment="1">
      <alignment horizontal="left"/>
    </xf>
    <xf numFmtId="0" fontId="7" fillId="0" borderId="5" xfId="0" applyFont="1" applyBorder="1" applyAlignment="1">
      <alignment horizontal="left"/>
    </xf>
    <xf numFmtId="0" fontId="0" fillId="0" borderId="0" xfId="0" applyAlignment="1">
      <alignment horizontal="center"/>
    </xf>
    <xf numFmtId="165" fontId="7" fillId="11" borderId="5" xfId="0" applyNumberFormat="1" applyFont="1" applyFill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11" borderId="5" xfId="0" applyFont="1" applyFill="1" applyBorder="1" applyAlignment="1">
      <alignment horizontal="center"/>
    </xf>
    <xf numFmtId="0" fontId="4" fillId="10" borderId="0" xfId="0" applyFont="1" applyFill="1" applyAlignment="1">
      <alignment horizontal="left"/>
    </xf>
    <xf numFmtId="0" fontId="3" fillId="10" borderId="0" xfId="0" applyFont="1" applyFill="1"/>
    <xf numFmtId="0" fontId="4" fillId="10" borderId="0" xfId="0" applyFont="1" applyFill="1"/>
    <xf numFmtId="165" fontId="12" fillId="10" borderId="0" xfId="0" applyNumberFormat="1" applyFont="1" applyFill="1" applyAlignment="1">
      <alignment horizontal="center"/>
    </xf>
    <xf numFmtId="0" fontId="0" fillId="10" borderId="0" xfId="0" applyFill="1"/>
    <xf numFmtId="9" fontId="12" fillId="10" borderId="0" xfId="0" applyNumberFormat="1" applyFont="1" applyFill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0" xfId="0" applyAlignment="1">
      <alignment horizontal="left"/>
    </xf>
    <xf numFmtId="0" fontId="3" fillId="10" borderId="32" xfId="0" applyFont="1" applyFill="1" applyBorder="1"/>
    <xf numFmtId="0" fontId="4" fillId="10" borderId="32" xfId="0" applyFont="1" applyFill="1" applyBorder="1"/>
    <xf numFmtId="165" fontId="12" fillId="10" borderId="32" xfId="0" applyNumberFormat="1" applyFont="1" applyFill="1" applyBorder="1" applyAlignment="1">
      <alignment horizontal="center"/>
    </xf>
    <xf numFmtId="165" fontId="12" fillId="10" borderId="33" xfId="0" applyNumberFormat="1" applyFont="1" applyFill="1" applyBorder="1" applyAlignment="1">
      <alignment horizontal="center"/>
    </xf>
    <xf numFmtId="0" fontId="4" fillId="10" borderId="34" xfId="0" applyFont="1" applyFill="1" applyBorder="1"/>
    <xf numFmtId="164" fontId="1" fillId="10" borderId="0" xfId="0" applyNumberFormat="1" applyFont="1" applyFill="1"/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0" fontId="5" fillId="3" borderId="9" xfId="0" applyFont="1" applyFill="1" applyBorder="1" applyAlignment="1">
      <alignment horizontal="right"/>
    </xf>
    <xf numFmtId="0" fontId="15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/>
    </xf>
    <xf numFmtId="165" fontId="16" fillId="0" borderId="4" xfId="0" applyNumberFormat="1" applyFont="1" applyBorder="1" applyAlignment="1">
      <alignment horizontal="center"/>
    </xf>
    <xf numFmtId="0" fontId="17" fillId="0" borderId="20" xfId="0" applyFont="1" applyBorder="1" applyAlignment="1">
      <alignment horizontal="center" wrapText="1"/>
    </xf>
    <xf numFmtId="164" fontId="16" fillId="0" borderId="24" xfId="0" applyNumberFormat="1" applyFont="1" applyBorder="1" applyAlignment="1">
      <alignment horizontal="center"/>
    </xf>
    <xf numFmtId="0" fontId="17" fillId="6" borderId="30" xfId="0" applyFont="1" applyFill="1" applyBorder="1" applyAlignment="1">
      <alignment horizontal="center"/>
    </xf>
    <xf numFmtId="164" fontId="16" fillId="0" borderId="4" xfId="0" applyNumberFormat="1" applyFont="1" applyBorder="1" applyAlignment="1">
      <alignment horizontal="center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4" fontId="17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center"/>
    </xf>
    <xf numFmtId="164" fontId="17" fillId="0" borderId="0" xfId="0" applyNumberFormat="1" applyFont="1" applyAlignment="1">
      <alignment horizontal="left"/>
    </xf>
    <xf numFmtId="0" fontId="18" fillId="0" borderId="0" xfId="0" applyFont="1"/>
    <xf numFmtId="0" fontId="17" fillId="0" borderId="0" xfId="0" applyFont="1"/>
    <xf numFmtId="0" fontId="19" fillId="0" borderId="0" xfId="0" applyFont="1" applyAlignment="1">
      <alignment horizontal="left"/>
    </xf>
    <xf numFmtId="14" fontId="19" fillId="0" borderId="0" xfId="0" applyNumberFormat="1" applyFont="1" applyAlignment="1">
      <alignment horizontal="left"/>
    </xf>
    <xf numFmtId="14" fontId="17" fillId="0" borderId="0" xfId="0" applyNumberFormat="1" applyFont="1"/>
    <xf numFmtId="164" fontId="17" fillId="0" borderId="0" xfId="0" applyNumberFormat="1" applyFont="1"/>
    <xf numFmtId="0" fontId="16" fillId="0" borderId="0" xfId="0" applyFont="1"/>
    <xf numFmtId="164" fontId="16" fillId="0" borderId="5" xfId="0" applyNumberFormat="1" applyFont="1" applyBorder="1" applyAlignment="1">
      <alignment horizontal="center" wrapText="1"/>
    </xf>
    <xf numFmtId="164" fontId="16" fillId="0" borderId="5" xfId="0" applyNumberFormat="1" applyFont="1" applyBorder="1" applyAlignment="1">
      <alignment horizontal="center"/>
    </xf>
    <xf numFmtId="164" fontId="17" fillId="0" borderId="4" xfId="0" applyNumberFormat="1" applyFont="1" applyBorder="1" applyAlignment="1">
      <alignment horizontal="center" wrapText="1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170" fontId="20" fillId="0" borderId="6" xfId="0" applyNumberFormat="1" applyFont="1" applyBorder="1" applyAlignment="1">
      <alignment horizontal="center"/>
    </xf>
    <xf numFmtId="165" fontId="20" fillId="0" borderId="4" xfId="0" applyNumberFormat="1" applyFont="1" applyBorder="1" applyAlignment="1">
      <alignment horizontal="center"/>
    </xf>
    <xf numFmtId="165" fontId="20" fillId="0" borderId="10" xfId="0" applyNumberFormat="1" applyFont="1" applyBorder="1" applyAlignment="1">
      <alignment horizontal="center"/>
    </xf>
    <xf numFmtId="4" fontId="20" fillId="0" borderId="16" xfId="0" applyNumberFormat="1" applyFont="1" applyBorder="1" applyAlignment="1">
      <alignment horizontal="center"/>
    </xf>
    <xf numFmtId="164" fontId="20" fillId="0" borderId="4" xfId="0" applyNumberFormat="1" applyFont="1" applyBorder="1" applyAlignment="1">
      <alignment horizontal="center"/>
    </xf>
    <xf numFmtId="164" fontId="20" fillId="0" borderId="12" xfId="0" applyNumberFormat="1" applyFont="1" applyBorder="1" applyAlignment="1">
      <alignment horizontal="center"/>
    </xf>
    <xf numFmtId="0" fontId="20" fillId="0" borderId="5" xfId="0" applyFont="1" applyBorder="1" applyAlignment="1">
      <alignment horizontal="left"/>
    </xf>
    <xf numFmtId="0" fontId="20" fillId="0" borderId="7" xfId="0" applyFont="1" applyBorder="1" applyAlignment="1">
      <alignment horizontal="left"/>
    </xf>
    <xf numFmtId="165" fontId="20" fillId="0" borderId="16" xfId="0" applyNumberFormat="1" applyFont="1" applyBorder="1" applyAlignment="1">
      <alignment horizontal="center"/>
    </xf>
    <xf numFmtId="165" fontId="20" fillId="0" borderId="15" xfId="0" applyNumberFormat="1" applyFont="1" applyBorder="1" applyAlignment="1">
      <alignment horizontal="center"/>
    </xf>
    <xf numFmtId="165" fontId="20" fillId="0" borderId="5" xfId="0" applyNumberFormat="1" applyFont="1" applyBorder="1" applyAlignment="1">
      <alignment horizontal="center"/>
    </xf>
    <xf numFmtId="4" fontId="20" fillId="0" borderId="4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12" borderId="5" xfId="0" applyFont="1" applyFill="1" applyBorder="1" applyAlignment="1">
      <alignment horizontal="left"/>
    </xf>
    <xf numFmtId="170" fontId="20" fillId="0" borderId="4" xfId="0" applyNumberFormat="1" applyFont="1" applyBorder="1" applyAlignment="1">
      <alignment horizontal="center"/>
    </xf>
    <xf numFmtId="0" fontId="20" fillId="11" borderId="5" xfId="0" applyFont="1" applyFill="1" applyBorder="1" applyAlignment="1">
      <alignment horizontal="center"/>
    </xf>
    <xf numFmtId="0" fontId="20" fillId="11" borderId="5" xfId="0" applyFont="1" applyFill="1" applyBorder="1" applyAlignment="1">
      <alignment horizontal="left"/>
    </xf>
    <xf numFmtId="165" fontId="20" fillId="0" borderId="13" xfId="0" applyNumberFormat="1" applyFont="1" applyBorder="1" applyAlignment="1">
      <alignment horizontal="center"/>
    </xf>
    <xf numFmtId="165" fontId="20" fillId="0" borderId="14" xfId="0" applyNumberFormat="1" applyFont="1" applyBorder="1" applyAlignment="1">
      <alignment horizontal="center"/>
    </xf>
    <xf numFmtId="164" fontId="20" fillId="0" borderId="15" xfId="0" applyNumberFormat="1" applyFont="1" applyBorder="1" applyAlignment="1">
      <alignment horizontal="center"/>
    </xf>
    <xf numFmtId="170" fontId="20" fillId="0" borderId="17" xfId="0" applyNumberFormat="1" applyFont="1" applyBorder="1" applyAlignment="1">
      <alignment horizontal="center"/>
    </xf>
    <xf numFmtId="164" fontId="20" fillId="0" borderId="5" xfId="0" applyNumberFormat="1" applyFont="1" applyBorder="1" applyAlignment="1">
      <alignment horizontal="center"/>
    </xf>
    <xf numFmtId="4" fontId="20" fillId="0" borderId="5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165" fontId="20" fillId="0" borderId="6" xfId="0" applyNumberFormat="1" applyFont="1" applyBorder="1" applyAlignment="1">
      <alignment horizontal="center"/>
    </xf>
    <xf numFmtId="4" fontId="20" fillId="0" borderId="6" xfId="0" applyNumberFormat="1" applyFont="1" applyBorder="1" applyAlignment="1">
      <alignment horizontal="center"/>
    </xf>
    <xf numFmtId="164" fontId="20" fillId="0" borderId="6" xfId="0" applyNumberFormat="1" applyFont="1" applyBorder="1" applyAlignment="1">
      <alignment horizontal="center"/>
    </xf>
    <xf numFmtId="0" fontId="22" fillId="0" borderId="5" xfId="0" applyFont="1" applyBorder="1" applyAlignment="1">
      <alignment horizontal="left"/>
    </xf>
    <xf numFmtId="0" fontId="22" fillId="0" borderId="5" xfId="0" applyFont="1" applyBorder="1" applyAlignment="1">
      <alignment horizontal="center"/>
    </xf>
    <xf numFmtId="0" fontId="22" fillId="0" borderId="0" xfId="0" applyFont="1"/>
    <xf numFmtId="0" fontId="22" fillId="0" borderId="6" xfId="0" applyFont="1" applyBorder="1" applyAlignment="1">
      <alignment horizontal="center"/>
    </xf>
    <xf numFmtId="0" fontId="22" fillId="0" borderId="5" xfId="0" applyFont="1" applyBorder="1"/>
    <xf numFmtId="0" fontId="22" fillId="0" borderId="7" xfId="0" applyFont="1" applyBorder="1"/>
    <xf numFmtId="0" fontId="22" fillId="0" borderId="8" xfId="0" applyFont="1" applyBorder="1"/>
    <xf numFmtId="0" fontId="23" fillId="0" borderId="0" xfId="0" applyFont="1" applyAlignment="1">
      <alignment horizontal="right"/>
    </xf>
    <xf numFmtId="9" fontId="22" fillId="0" borderId="0" xfId="0" applyNumberFormat="1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20" fillId="0" borderId="15" xfId="0" applyFont="1" applyBorder="1" applyAlignment="1">
      <alignment horizontal="center"/>
    </xf>
    <xf numFmtId="165" fontId="20" fillId="0" borderId="17" xfId="0" applyNumberFormat="1" applyFont="1" applyBorder="1" applyAlignment="1">
      <alignment horizontal="center"/>
    </xf>
    <xf numFmtId="165" fontId="20" fillId="0" borderId="7" xfId="0" applyNumberFormat="1" applyFont="1" applyBorder="1" applyAlignment="1">
      <alignment horizontal="center"/>
    </xf>
    <xf numFmtId="0" fontId="21" fillId="0" borderId="0" xfId="0" applyFont="1" applyAlignment="1">
      <alignment wrapText="1"/>
    </xf>
    <xf numFmtId="0" fontId="24" fillId="0" borderId="0" xfId="0" applyFont="1"/>
    <xf numFmtId="0" fontId="26" fillId="0" borderId="0" xfId="0" applyFont="1" applyAlignment="1">
      <alignment horizontal="left"/>
    </xf>
    <xf numFmtId="0" fontId="27" fillId="0" borderId="0" xfId="0" applyFont="1"/>
    <xf numFmtId="0" fontId="26" fillId="0" borderId="0" xfId="0" applyFont="1"/>
    <xf numFmtId="0" fontId="28" fillId="0" borderId="19" xfId="0" applyFont="1" applyBorder="1" applyAlignment="1">
      <alignment horizontal="center"/>
    </xf>
    <xf numFmtId="0" fontId="28" fillId="0" borderId="19" xfId="0" applyFont="1" applyBorder="1"/>
    <xf numFmtId="171" fontId="27" fillId="0" borderId="19" xfId="0" applyNumberFormat="1" applyFont="1" applyBorder="1" applyAlignment="1">
      <alignment horizontal="right"/>
    </xf>
    <xf numFmtId="0" fontId="27" fillId="0" borderId="19" xfId="0" applyFont="1" applyBorder="1"/>
    <xf numFmtId="171" fontId="27" fillId="0" borderId="19" xfId="0" applyNumberFormat="1" applyFont="1" applyBorder="1"/>
    <xf numFmtId="0" fontId="27" fillId="0" borderId="19" xfId="0" applyFont="1" applyBorder="1" applyAlignment="1">
      <alignment horizontal="center"/>
    </xf>
    <xf numFmtId="171" fontId="29" fillId="0" borderId="19" xfId="0" applyNumberFormat="1" applyFont="1" applyBorder="1" applyAlignment="1">
      <alignment horizontal="right"/>
    </xf>
    <xf numFmtId="0" fontId="29" fillId="0" borderId="19" xfId="0" applyFont="1" applyBorder="1"/>
    <xf numFmtId="0" fontId="29" fillId="0" borderId="19" xfId="0" applyFont="1" applyBorder="1" applyAlignment="1">
      <alignment horizontal="center"/>
    </xf>
    <xf numFmtId="171" fontId="29" fillId="0" borderId="28" xfId="0" applyNumberFormat="1" applyFont="1" applyBorder="1" applyAlignment="1">
      <alignment horizontal="right"/>
    </xf>
    <xf numFmtId="0" fontId="29" fillId="0" borderId="28" xfId="0" applyFont="1" applyBorder="1"/>
    <xf numFmtId="0" fontId="29" fillId="0" borderId="28" xfId="0" applyFont="1" applyBorder="1" applyAlignment="1">
      <alignment horizontal="center"/>
    </xf>
    <xf numFmtId="171" fontId="29" fillId="0" borderId="5" xfId="0" applyNumberFormat="1" applyFont="1" applyBorder="1" applyAlignment="1">
      <alignment horizontal="right"/>
    </xf>
    <xf numFmtId="0" fontId="29" fillId="0" borderId="5" xfId="0" applyFont="1" applyBorder="1"/>
    <xf numFmtId="0" fontId="29" fillId="0" borderId="5" xfId="0" applyFont="1" applyBorder="1" applyAlignment="1">
      <alignment horizontal="center"/>
    </xf>
    <xf numFmtId="171" fontId="27" fillId="0" borderId="28" xfId="0" applyNumberFormat="1" applyFont="1" applyBorder="1"/>
    <xf numFmtId="171" fontId="27" fillId="0" borderId="28" xfId="0" applyNumberFormat="1" applyFont="1" applyBorder="1" applyAlignment="1">
      <alignment horizontal="right"/>
    </xf>
    <xf numFmtId="0" fontId="27" fillId="0" borderId="28" xfId="0" applyFont="1" applyBorder="1" applyAlignment="1">
      <alignment horizontal="center"/>
    </xf>
    <xf numFmtId="0" fontId="27" fillId="0" borderId="21" xfId="0" applyFont="1" applyBorder="1"/>
    <xf numFmtId="171" fontId="27" fillId="0" borderId="5" xfId="0" applyNumberFormat="1" applyFont="1" applyBorder="1"/>
    <xf numFmtId="171" fontId="27" fillId="0" borderId="5" xfId="0" applyNumberFormat="1" applyFont="1" applyBorder="1" applyAlignment="1">
      <alignment horizontal="right"/>
    </xf>
    <xf numFmtId="0" fontId="27" fillId="0" borderId="5" xfId="0" applyFont="1" applyBorder="1" applyAlignment="1">
      <alignment horizontal="center"/>
    </xf>
    <xf numFmtId="0" fontId="30" fillId="0" borderId="27" xfId="0" applyFont="1" applyBorder="1" applyAlignment="1">
      <alignment wrapText="1"/>
    </xf>
    <xf numFmtId="14" fontId="30" fillId="0" borderId="6" xfId="0" applyNumberFormat="1" applyFont="1" applyBorder="1" applyAlignment="1">
      <alignment wrapText="1"/>
    </xf>
    <xf numFmtId="0" fontId="30" fillId="0" borderId="6" xfId="0" applyFont="1" applyBorder="1" applyAlignment="1">
      <alignment wrapText="1"/>
    </xf>
    <xf numFmtId="0" fontId="30" fillId="0" borderId="0" xfId="0" applyFont="1" applyAlignment="1">
      <alignment wrapText="1"/>
    </xf>
    <xf numFmtId="0" fontId="25" fillId="0" borderId="0" xfId="0" applyFont="1" applyAlignment="1">
      <alignment horizontal="center"/>
    </xf>
    <xf numFmtId="171" fontId="27" fillId="0" borderId="21" xfId="0" applyNumberFormat="1" applyFont="1" applyBorder="1" applyAlignment="1">
      <alignment horizontal="right"/>
    </xf>
    <xf numFmtId="0" fontId="30" fillId="0" borderId="0" xfId="0" applyFont="1" applyAlignment="1">
      <alignment horizontal="left" vertical="top"/>
    </xf>
    <xf numFmtId="171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center"/>
    </xf>
    <xf numFmtId="171" fontId="27" fillId="0" borderId="6" xfId="0" applyNumberFormat="1" applyFont="1" applyBorder="1"/>
    <xf numFmtId="14" fontId="24" fillId="0" borderId="0" xfId="0" applyNumberFormat="1" applyFont="1"/>
    <xf numFmtId="14" fontId="26" fillId="0" borderId="0" xfId="0" applyNumberFormat="1" applyFont="1"/>
    <xf numFmtId="0" fontId="31" fillId="0" borderId="0" xfId="0" applyFont="1"/>
    <xf numFmtId="0" fontId="28" fillId="0" borderId="0" xfId="0" applyFont="1" applyAlignment="1">
      <alignment horizontal="center"/>
    </xf>
    <xf numFmtId="0" fontId="28" fillId="0" borderId="0" xfId="0" applyFont="1"/>
    <xf numFmtId="171" fontId="27" fillId="0" borderId="0" xfId="0" applyNumberFormat="1" applyFont="1" applyAlignment="1">
      <alignment horizontal="right"/>
    </xf>
    <xf numFmtId="0" fontId="27" fillId="0" borderId="0" xfId="0" applyFont="1" applyAlignment="1">
      <alignment horizontal="center"/>
    </xf>
    <xf numFmtId="14" fontId="30" fillId="0" borderId="0" xfId="0" applyNumberFormat="1" applyFont="1" applyAlignment="1">
      <alignment wrapText="1"/>
    </xf>
    <xf numFmtId="0" fontId="30" fillId="0" borderId="0" xfId="0" applyFont="1" applyAlignment="1">
      <alignment horizontal="center" wrapText="1"/>
    </xf>
    <xf numFmtId="0" fontId="27" fillId="0" borderId="6" xfId="0" applyFont="1" applyBorder="1" applyAlignment="1">
      <alignment horizontal="center" wrapText="1"/>
    </xf>
    <xf numFmtId="0" fontId="27" fillId="0" borderId="5" xfId="0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164" fontId="3" fillId="0" borderId="18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20" fillId="0" borderId="6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20" fillId="0" borderId="18" xfId="0" applyNumberFormat="1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14" fontId="20" fillId="0" borderId="5" xfId="0" applyNumberFormat="1" applyFont="1" applyBorder="1" applyAlignment="1">
      <alignment horizontal="center"/>
    </xf>
    <xf numFmtId="170" fontId="20" fillId="0" borderId="5" xfId="0" applyNumberFormat="1" applyFont="1" applyBorder="1" applyAlignment="1">
      <alignment horizontal="center"/>
    </xf>
    <xf numFmtId="14" fontId="17" fillId="0" borderId="0" xfId="0" applyNumberFormat="1" applyFont="1" applyAlignment="1">
      <alignment horizontal="center"/>
    </xf>
    <xf numFmtId="164" fontId="17" fillId="0" borderId="15" xfId="0" applyNumberFormat="1" applyFont="1" applyBorder="1" applyAlignment="1">
      <alignment horizontal="center" wrapText="1"/>
    </xf>
    <xf numFmtId="164" fontId="17" fillId="0" borderId="13" xfId="0" applyNumberFormat="1" applyFont="1" applyBorder="1" applyAlignment="1">
      <alignment horizontal="center" wrapText="1"/>
    </xf>
    <xf numFmtId="0" fontId="17" fillId="0" borderId="14" xfId="0" applyFont="1" applyBorder="1" applyAlignment="1">
      <alignment horizontal="center" wrapText="1"/>
    </xf>
    <xf numFmtId="0" fontId="17" fillId="0" borderId="15" xfId="0" applyFont="1" applyBorder="1" applyAlignment="1">
      <alignment horizontal="center" wrapText="1"/>
    </xf>
    <xf numFmtId="0" fontId="17" fillId="6" borderId="0" xfId="0" applyFont="1" applyFill="1" applyAlignment="1">
      <alignment horizontal="center"/>
    </xf>
    <xf numFmtId="0" fontId="17" fillId="6" borderId="13" xfId="0" applyFont="1" applyFill="1" applyBorder="1" applyAlignment="1">
      <alignment horizontal="center"/>
    </xf>
    <xf numFmtId="0" fontId="20" fillId="0" borderId="15" xfId="0" applyFont="1" applyBorder="1" applyAlignment="1">
      <alignment horizontal="left"/>
    </xf>
    <xf numFmtId="170" fontId="20" fillId="0" borderId="14" xfId="0" applyNumberFormat="1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64" fontId="17" fillId="0" borderId="6" xfId="0" applyNumberFormat="1" applyFont="1" applyBorder="1" applyAlignment="1">
      <alignment horizontal="center"/>
    </xf>
    <xf numFmtId="164" fontId="17" fillId="0" borderId="6" xfId="0" applyNumberFormat="1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164" fontId="16" fillId="0" borderId="6" xfId="0" applyNumberFormat="1" applyFont="1" applyBorder="1" applyAlignment="1">
      <alignment horizontal="center" wrapText="1"/>
    </xf>
    <xf numFmtId="0" fontId="21" fillId="0" borderId="35" xfId="0" applyFont="1" applyBorder="1" applyAlignment="1">
      <alignment wrapText="1"/>
    </xf>
    <xf numFmtId="0" fontId="21" fillId="0" borderId="36" xfId="0" applyFont="1" applyBorder="1" applyAlignment="1">
      <alignment wrapText="1"/>
    </xf>
    <xf numFmtId="49" fontId="20" fillId="0" borderId="5" xfId="0" applyNumberFormat="1" applyFont="1" applyBorder="1" applyAlignment="1">
      <alignment horizontal="center"/>
    </xf>
    <xf numFmtId="0" fontId="21" fillId="0" borderId="7" xfId="0" applyFont="1" applyBorder="1"/>
    <xf numFmtId="0" fontId="21" fillId="0" borderId="8" xfId="0" applyFont="1" applyBorder="1"/>
    <xf numFmtId="0" fontId="21" fillId="0" borderId="9" xfId="0" applyFont="1" applyBorder="1"/>
    <xf numFmtId="0" fontId="12" fillId="10" borderId="0" xfId="0" applyFont="1" applyFill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164" fontId="5" fillId="3" borderId="6" xfId="0" applyNumberFormat="1" applyFont="1" applyFill="1" applyBorder="1" applyAlignment="1">
      <alignment horizontal="center"/>
    </xf>
    <xf numFmtId="164" fontId="3" fillId="3" borderId="1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5" fontId="20" fillId="0" borderId="18" xfId="0" applyNumberFormat="1" applyFont="1" applyBorder="1" applyAlignment="1">
      <alignment horizontal="center"/>
    </xf>
    <xf numFmtId="165" fontId="22" fillId="0" borderId="5" xfId="0" applyNumberFormat="1" applyFont="1" applyBorder="1" applyAlignment="1">
      <alignment horizontal="center"/>
    </xf>
    <xf numFmtId="0" fontId="23" fillId="0" borderId="0" xfId="0" applyFont="1"/>
    <xf numFmtId="0" fontId="23" fillId="0" borderId="5" xfId="0" applyFont="1" applyBorder="1" applyAlignment="1">
      <alignment horizontal="center"/>
    </xf>
    <xf numFmtId="0" fontId="32" fillId="0" borderId="0" xfId="0" applyFont="1"/>
    <xf numFmtId="14" fontId="33" fillId="0" borderId="5" xfId="0" applyNumberFormat="1" applyFont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7" fillId="0" borderId="5" xfId="0" applyFont="1" applyBorder="1" applyAlignment="1">
      <alignment horizontal="left"/>
    </xf>
    <xf numFmtId="0" fontId="7" fillId="0" borderId="17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12" fillId="10" borderId="32" xfId="0" applyFont="1" applyFill="1" applyBorder="1" applyAlignment="1">
      <alignment horizontal="center"/>
    </xf>
    <xf numFmtId="0" fontId="4" fillId="10" borderId="32" xfId="0" applyFont="1" applyFill="1" applyBorder="1" applyAlignment="1">
      <alignment horizontal="left"/>
    </xf>
    <xf numFmtId="0" fontId="21" fillId="0" borderId="22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164" fontId="1" fillId="10" borderId="1" xfId="0" applyNumberFormat="1" applyFont="1" applyFill="1" applyBorder="1" applyAlignment="1">
      <alignment horizontal="left"/>
    </xf>
    <xf numFmtId="164" fontId="1" fillId="10" borderId="2" xfId="0" applyNumberFormat="1" applyFont="1" applyFill="1" applyBorder="1" applyAlignment="1">
      <alignment horizontal="left"/>
    </xf>
    <xf numFmtId="164" fontId="1" fillId="10" borderId="3" xfId="0" applyNumberFormat="1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21" fillId="0" borderId="25" xfId="0" applyFont="1" applyBorder="1" applyAlignment="1">
      <alignment wrapText="1"/>
    </xf>
    <xf numFmtId="0" fontId="10" fillId="9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/>
    <xf numFmtId="0" fontId="21" fillId="0" borderId="22" xfId="0" applyFont="1" applyBorder="1" applyAlignment="1">
      <alignment vertical="top"/>
    </xf>
    <xf numFmtId="0" fontId="21" fillId="0" borderId="23" xfId="0" applyFont="1" applyBorder="1" applyAlignment="1">
      <alignment vertical="top"/>
    </xf>
    <xf numFmtId="0" fontId="21" fillId="0" borderId="8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4" fillId="10" borderId="31" xfId="0" applyFont="1" applyFill="1" applyBorder="1" applyAlignment="1">
      <alignment horizontal="left"/>
    </xf>
    <xf numFmtId="0" fontId="21" fillId="0" borderId="5" xfId="0" applyFont="1" applyBorder="1" applyAlignment="1">
      <alignment wrapText="1"/>
    </xf>
    <xf numFmtId="0" fontId="16" fillId="5" borderId="1" xfId="0" applyFont="1" applyFill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left"/>
    </xf>
    <xf numFmtId="0" fontId="17" fillId="3" borderId="2" xfId="0" applyFont="1" applyFill="1" applyBorder="1" applyAlignment="1">
      <alignment horizontal="left"/>
    </xf>
    <xf numFmtId="0" fontId="17" fillId="3" borderId="2" xfId="0" applyFont="1" applyFill="1" applyBorder="1" applyAlignment="1">
      <alignment horizontal="center"/>
    </xf>
    <xf numFmtId="0" fontId="17" fillId="3" borderId="3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2" fillId="8" borderId="38" xfId="0" applyFont="1" applyFill="1" applyBorder="1" applyAlignment="1">
      <alignment horizontal="left"/>
    </xf>
    <xf numFmtId="0" fontId="2" fillId="8" borderId="39" xfId="0" applyFont="1" applyFill="1" applyBorder="1" applyAlignment="1">
      <alignment horizontal="left"/>
    </xf>
    <xf numFmtId="0" fontId="2" fillId="8" borderId="37" xfId="0" applyFont="1" applyFill="1" applyBorder="1" applyAlignment="1">
      <alignment horizontal="center"/>
    </xf>
    <xf numFmtId="0" fontId="2" fillId="8" borderId="37" xfId="0" applyFont="1" applyFill="1" applyBorder="1" applyAlignment="1">
      <alignment horizontal="left"/>
    </xf>
    <xf numFmtId="0" fontId="2" fillId="8" borderId="29" xfId="0" applyFont="1" applyFill="1" applyBorder="1" applyAlignment="1">
      <alignment horizontal="left"/>
    </xf>
    <xf numFmtId="0" fontId="21" fillId="0" borderId="5" xfId="0" applyFont="1" applyBorder="1"/>
    <xf numFmtId="0" fontId="21" fillId="0" borderId="7" xfId="0" applyFont="1" applyBorder="1"/>
    <xf numFmtId="0" fontId="21" fillId="0" borderId="8" xfId="0" applyFont="1" applyBorder="1"/>
    <xf numFmtId="0" fontId="21" fillId="0" borderId="9" xfId="0" applyFont="1" applyBorder="1"/>
    <xf numFmtId="0" fontId="34" fillId="0" borderId="5" xfId="0" applyFont="1" applyBorder="1" applyAlignment="1">
      <alignment wrapText="1"/>
    </xf>
    <xf numFmtId="0" fontId="26" fillId="0" borderId="0" xfId="0" applyFont="1" applyAlignment="1">
      <alignment horizontal="left"/>
    </xf>
    <xf numFmtId="0" fontId="25" fillId="0" borderId="26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2026 COMMERCIAL ESTIMATING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1-DD68-44F5-9DC5-293EB6E41A74}"/>
              </c:ext>
            </c:extLst>
          </c:dPt>
          <c:dPt>
            <c:idx val="1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3-DD68-44F5-9DC5-293EB6E41A74}"/>
              </c:ext>
            </c:extLst>
          </c:dPt>
          <c:dPt>
            <c:idx val="2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5-DD68-44F5-9DC5-293EB6E41A74}"/>
              </c:ext>
            </c:extLst>
          </c:dPt>
          <c:cat>
            <c:strRef>
              <c:f>'Master Sheet 2026'!$E$114:$E$117</c:f>
              <c:strCache>
                <c:ptCount val="3"/>
                <c:pt idx="0">
                  <c:v>AWARDED W/ PRECON</c:v>
                </c:pt>
                <c:pt idx="1">
                  <c:v>PENDING</c:v>
                </c:pt>
                <c:pt idx="2">
                  <c:v>NOT AWARDED</c:v>
                </c:pt>
              </c:strCache>
            </c:strRef>
          </c:cat>
          <c:val>
            <c:numRef>
              <c:f>'Master Sheet 2026'!$F$114:$F$117</c:f>
              <c:numCache>
                <c:formatCode>"$"#,##0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68-44F5-9DC5-293EB6E41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63787825560266509"/>
          <c:y val="0.23176463407190381"/>
          <c:w val="0.32750635978195031"/>
          <c:h val="0.6977105536226576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180975</xdr:colOff>
      <xdr:row>13</xdr:row>
      <xdr:rowOff>190500</xdr:rowOff>
    </xdr:from>
    <xdr:ext cx="5886450" cy="2276475"/>
    <xdr:graphicFrame macro="">
      <xdr:nvGraphicFramePr>
        <xdr:cNvPr id="4" name="Chart 1" title="Chart">
          <a:extLst>
            <a:ext uri="{FF2B5EF4-FFF2-40B4-BE49-F238E27FC236}">
              <a16:creationId xmlns:a16="http://schemas.microsoft.com/office/drawing/2014/main" id="{77CD4248-3BFD-480F-BCD8-D798F609C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DD10-441D-4724-954E-F5DD999447C8}">
  <sheetPr>
    <outlinePr summaryBelow="0" summaryRight="0"/>
    <pageSetUpPr fitToPage="1"/>
  </sheetPr>
  <dimension ref="A1:U118"/>
  <sheetViews>
    <sheetView showGridLines="0" tabSelected="1" zoomScale="85" zoomScaleNormal="85" workbookViewId="0">
      <pane xSplit="3" topLeftCell="D1" activePane="topRight" state="frozen"/>
      <selection activeCell="A81" sqref="A81"/>
      <selection pane="topRight" activeCell="C28" sqref="C28"/>
    </sheetView>
  </sheetViews>
  <sheetFormatPr baseColWidth="10" defaultColWidth="12.5" defaultRowHeight="15.75" customHeight="1" x14ac:dyDescent="0.15"/>
  <cols>
    <col min="1" max="1" width="2.83203125" customWidth="1"/>
    <col min="2" max="2" width="19.33203125" customWidth="1"/>
    <col min="3" max="3" width="51.5" customWidth="1"/>
    <col min="4" max="4" width="15.6640625" style="67" customWidth="1"/>
    <col min="5" max="5" width="22.5" customWidth="1"/>
    <col min="6" max="8" width="15.6640625" customWidth="1"/>
    <col min="9" max="9" width="24.5" bestFit="1" customWidth="1"/>
    <col min="10" max="10" width="15.6640625" customWidth="1"/>
    <col min="11" max="11" width="23" bestFit="1" customWidth="1"/>
    <col min="12" max="12" width="15.6640625" customWidth="1"/>
    <col min="13" max="13" width="9.6640625" customWidth="1"/>
    <col min="14" max="14" width="10.1640625" customWidth="1"/>
    <col min="15" max="15" width="9.6640625" customWidth="1"/>
    <col min="16" max="16" width="10" customWidth="1"/>
    <col min="17" max="17" width="9.83203125" customWidth="1"/>
    <col min="18" max="18" width="12.6640625" customWidth="1"/>
    <col min="19" max="19" width="16.33203125" customWidth="1"/>
    <col min="20" max="20" width="15.6640625" customWidth="1"/>
    <col min="21" max="21" width="14.5" customWidth="1"/>
    <col min="22" max="22" width="12.33203125" customWidth="1"/>
  </cols>
  <sheetData>
    <row r="1" spans="1:21" s="105" customFormat="1" ht="4.5" customHeight="1" x14ac:dyDescent="0.2">
      <c r="A1" s="99" t="s">
        <v>0</v>
      </c>
      <c r="B1" s="100"/>
      <c r="C1" s="100"/>
      <c r="D1" s="101"/>
      <c r="E1" s="102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0"/>
      <c r="T1" s="104"/>
      <c r="U1" s="100"/>
    </row>
    <row r="2" spans="1:21" s="105" customFormat="1" ht="19" x14ac:dyDescent="0.25">
      <c r="A2" s="106"/>
      <c r="B2" s="100"/>
      <c r="C2" s="107"/>
      <c r="D2" s="107" t="s">
        <v>1</v>
      </c>
      <c r="E2" s="108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0"/>
      <c r="T2" s="104"/>
      <c r="U2" s="100"/>
    </row>
    <row r="3" spans="1:21" s="105" customFormat="1" ht="14" x14ac:dyDescent="0.2">
      <c r="A3" s="106"/>
      <c r="B3" s="100" t="s">
        <v>2</v>
      </c>
      <c r="C3" s="100"/>
      <c r="D3" s="101"/>
      <c r="E3" s="102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0"/>
      <c r="T3" s="104"/>
      <c r="U3" s="100"/>
    </row>
    <row r="4" spans="1:21" s="105" customFormat="1" ht="2.25" customHeight="1" x14ac:dyDescent="0.2">
      <c r="A4" s="106"/>
      <c r="B4" s="106"/>
      <c r="C4" s="106"/>
      <c r="D4" s="101"/>
      <c r="E4" s="109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6"/>
      <c r="T4" s="110"/>
      <c r="U4" s="106"/>
    </row>
    <row r="5" spans="1:21" s="105" customFormat="1" ht="13.5" customHeight="1" x14ac:dyDescent="0.2">
      <c r="A5" s="106"/>
      <c r="B5" s="280" t="s">
        <v>3</v>
      </c>
      <c r="C5" s="280"/>
      <c r="D5" s="280"/>
      <c r="E5" s="280"/>
      <c r="F5" s="281" t="s">
        <v>4</v>
      </c>
      <c r="G5" s="281"/>
      <c r="H5" s="281"/>
      <c r="I5" s="281"/>
      <c r="J5" s="282" t="s">
        <v>5</v>
      </c>
      <c r="K5" s="282"/>
      <c r="L5" s="282"/>
      <c r="M5" s="273" t="s">
        <v>6</v>
      </c>
      <c r="N5" s="274"/>
      <c r="O5" s="274"/>
      <c r="P5" s="274"/>
      <c r="Q5" s="274"/>
      <c r="R5" s="274"/>
      <c r="S5" s="274"/>
      <c r="T5" s="275"/>
    </row>
    <row r="6" spans="1:21" s="105" customFormat="1" ht="48.75" customHeight="1" x14ac:dyDescent="0.2">
      <c r="A6" s="111"/>
      <c r="B6" s="227" t="s">
        <v>7</v>
      </c>
      <c r="C6" s="227" t="s">
        <v>8</v>
      </c>
      <c r="D6" s="227" t="s">
        <v>9</v>
      </c>
      <c r="E6" s="228" t="s">
        <v>10</v>
      </c>
      <c r="F6" s="229" t="s">
        <v>11</v>
      </c>
      <c r="G6" s="230" t="s">
        <v>12</v>
      </c>
      <c r="H6" s="230" t="s">
        <v>13</v>
      </c>
      <c r="I6" s="231" t="s">
        <v>14</v>
      </c>
      <c r="J6" s="232" t="s">
        <v>15</v>
      </c>
      <c r="K6" s="112" t="s">
        <v>16</v>
      </c>
      <c r="L6" s="113" t="s">
        <v>17</v>
      </c>
      <c r="M6" s="114" t="s">
        <v>18</v>
      </c>
      <c r="N6" s="114" t="s">
        <v>19</v>
      </c>
      <c r="O6" s="114" t="s">
        <v>20</v>
      </c>
      <c r="P6" s="114" t="s">
        <v>21</v>
      </c>
      <c r="Q6" s="114" t="s">
        <v>22</v>
      </c>
      <c r="R6" s="114" t="s">
        <v>23</v>
      </c>
      <c r="S6" s="114" t="s">
        <v>24</v>
      </c>
      <c r="T6" s="114" t="s">
        <v>25</v>
      </c>
    </row>
    <row r="7" spans="1:21" ht="18.75" customHeight="1" x14ac:dyDescent="0.15">
      <c r="B7" s="8"/>
      <c r="C7" s="8"/>
      <c r="D7" s="6"/>
      <c r="E7" s="7"/>
      <c r="F7" s="7"/>
      <c r="G7" s="7"/>
      <c r="H7" s="7"/>
      <c r="I7" s="7"/>
      <c r="J7" s="8"/>
      <c r="K7" s="226"/>
      <c r="L7" s="24"/>
      <c r="M7" s="207" t="b">
        <v>0</v>
      </c>
      <c r="N7" s="54" t="b">
        <v>0</v>
      </c>
      <c r="O7" s="54" t="b">
        <v>0</v>
      </c>
      <c r="P7" s="54" t="b">
        <v>0</v>
      </c>
      <c r="Q7" s="54" t="b">
        <v>0</v>
      </c>
      <c r="R7" s="54" t="b">
        <v>0</v>
      </c>
      <c r="S7" s="54" t="b">
        <v>0</v>
      </c>
      <c r="T7" s="54" t="b">
        <v>0</v>
      </c>
      <c r="U7" s="14"/>
    </row>
    <row r="8" spans="1:21" ht="18.75" customHeight="1" x14ac:dyDescent="0.15">
      <c r="B8" s="8"/>
      <c r="C8" s="8"/>
      <c r="D8" s="6"/>
      <c r="E8" s="8"/>
      <c r="F8" s="7"/>
      <c r="G8" s="7"/>
      <c r="H8" s="7"/>
      <c r="I8" s="7"/>
      <c r="J8" s="8"/>
      <c r="K8" s="226"/>
      <c r="L8" s="24"/>
      <c r="M8" s="207" t="b">
        <v>0</v>
      </c>
      <c r="N8" s="54" t="b">
        <v>0</v>
      </c>
      <c r="O8" s="54" t="b">
        <v>0</v>
      </c>
      <c r="P8" s="54" t="b">
        <v>0</v>
      </c>
      <c r="Q8" s="54" t="b">
        <v>0</v>
      </c>
      <c r="R8" s="54" t="b">
        <v>0</v>
      </c>
      <c r="S8" s="54" t="b">
        <v>0</v>
      </c>
      <c r="T8" s="54" t="b">
        <v>0</v>
      </c>
      <c r="U8" s="14"/>
    </row>
    <row r="9" spans="1:21" ht="18.75" customHeight="1" x14ac:dyDescent="0.15">
      <c r="B9" s="115"/>
      <c r="C9" s="145"/>
      <c r="D9" s="115"/>
      <c r="E9" s="115"/>
      <c r="F9" s="214"/>
      <c r="G9" s="214"/>
      <c r="H9" s="214"/>
      <c r="I9" s="249"/>
      <c r="J9" s="115"/>
      <c r="K9" s="122"/>
      <c r="L9" s="136"/>
      <c r="M9" s="209" t="b">
        <v>0</v>
      </c>
      <c r="N9" s="208" t="b">
        <v>0</v>
      </c>
      <c r="O9" s="208" t="b">
        <v>0</v>
      </c>
      <c r="P9" s="208" t="b">
        <v>0</v>
      </c>
      <c r="Q9" s="208" t="b">
        <v>0</v>
      </c>
      <c r="R9" s="208" t="b">
        <v>0</v>
      </c>
      <c r="S9" s="208" t="b">
        <v>0</v>
      </c>
      <c r="T9" s="208" t="b">
        <v>0</v>
      </c>
      <c r="U9" s="14"/>
    </row>
    <row r="10" spans="1:21" ht="18.75" customHeight="1" x14ac:dyDescent="0.15">
      <c r="B10" s="8"/>
      <c r="C10" s="8"/>
      <c r="D10" s="70"/>
      <c r="E10" s="15"/>
      <c r="F10" s="52"/>
      <c r="G10" s="52"/>
      <c r="H10" s="52"/>
      <c r="I10" s="52"/>
      <c r="J10" s="252"/>
      <c r="K10" s="12"/>
      <c r="L10" s="13"/>
      <c r="M10" s="207" t="b">
        <v>0</v>
      </c>
      <c r="N10" s="54" t="b">
        <v>0</v>
      </c>
      <c r="O10" s="54" t="b">
        <v>0</v>
      </c>
      <c r="P10" s="54" t="b">
        <v>0</v>
      </c>
      <c r="Q10" s="54" t="b">
        <v>0</v>
      </c>
      <c r="R10" s="54" t="b">
        <v>0</v>
      </c>
      <c r="S10" s="54" t="b">
        <v>0</v>
      </c>
      <c r="T10" s="54" t="b">
        <v>0</v>
      </c>
      <c r="U10" s="14"/>
    </row>
    <row r="11" spans="1:21" ht="18.75" customHeight="1" x14ac:dyDescent="0.15">
      <c r="B11" s="8"/>
      <c r="C11" s="69"/>
      <c r="D11" s="70"/>
      <c r="E11" s="15"/>
      <c r="F11" s="52"/>
      <c r="G11" s="52"/>
      <c r="H11" s="52"/>
      <c r="I11" s="52"/>
      <c r="J11" s="252"/>
      <c r="K11" s="12"/>
      <c r="L11" s="13"/>
      <c r="M11" s="207" t="b">
        <v>0</v>
      </c>
      <c r="N11" s="54" t="b">
        <v>0</v>
      </c>
      <c r="O11" s="54" t="b">
        <v>0</v>
      </c>
      <c r="P11" s="54" t="b">
        <v>0</v>
      </c>
      <c r="Q11" s="54" t="b">
        <v>0</v>
      </c>
      <c r="R11" s="54" t="b">
        <v>0</v>
      </c>
      <c r="S11" s="54" t="b">
        <v>0</v>
      </c>
      <c r="T11" s="54" t="b">
        <v>0</v>
      </c>
      <c r="U11" s="14"/>
    </row>
    <row r="12" spans="1:21" ht="18.75" customHeight="1" x14ac:dyDescent="0.15">
      <c r="B12" s="8"/>
      <c r="C12" s="69"/>
      <c r="D12" s="70"/>
      <c r="E12" s="15"/>
      <c r="F12" s="52"/>
      <c r="G12" s="52"/>
      <c r="H12" s="52"/>
      <c r="I12" s="52"/>
      <c r="J12" s="252"/>
      <c r="K12" s="12"/>
      <c r="L12" s="13"/>
      <c r="M12" s="207" t="b">
        <v>0</v>
      </c>
      <c r="N12" s="54" t="b">
        <v>0</v>
      </c>
      <c r="O12" s="54" t="b">
        <v>0</v>
      </c>
      <c r="P12" s="54" t="b">
        <v>0</v>
      </c>
      <c r="Q12" s="54" t="b">
        <v>0</v>
      </c>
      <c r="R12" s="54" t="b">
        <v>0</v>
      </c>
      <c r="S12" s="54" t="b">
        <v>0</v>
      </c>
      <c r="T12" s="54" t="b">
        <v>0</v>
      </c>
      <c r="U12" s="14"/>
    </row>
    <row r="13" spans="1:21" ht="18.75" customHeight="1" x14ac:dyDescent="0.15">
      <c r="B13" s="8"/>
      <c r="C13" s="69"/>
      <c r="D13" s="70"/>
      <c r="E13" s="15"/>
      <c r="F13" s="52"/>
      <c r="G13" s="52"/>
      <c r="H13" s="52"/>
      <c r="I13" s="52"/>
      <c r="J13" s="15"/>
      <c r="K13" s="57"/>
      <c r="L13" s="253"/>
      <c r="M13" s="51" t="b">
        <v>0</v>
      </c>
      <c r="N13" s="51" t="b">
        <v>0</v>
      </c>
      <c r="O13" s="51" t="b">
        <v>0</v>
      </c>
      <c r="P13" s="51" t="b">
        <v>0</v>
      </c>
      <c r="Q13" s="51" t="b">
        <v>0</v>
      </c>
      <c r="R13" s="51" t="b">
        <v>0</v>
      </c>
      <c r="S13" s="51" t="b">
        <v>0</v>
      </c>
      <c r="T13" s="51" t="b">
        <v>0</v>
      </c>
      <c r="U13" s="14"/>
    </row>
    <row r="14" spans="1:21" ht="24" customHeight="1" x14ac:dyDescent="0.15">
      <c r="B14" s="16"/>
      <c r="C14" s="16"/>
      <c r="D14" s="250"/>
      <c r="E14" s="250"/>
      <c r="F14" s="250"/>
      <c r="G14" s="250"/>
      <c r="H14" s="250"/>
      <c r="I14" s="250"/>
      <c r="J14" s="250"/>
      <c r="K14" s="14"/>
      <c r="L14" s="14"/>
      <c r="M14" s="14"/>
      <c r="N14" s="14"/>
      <c r="O14" s="14"/>
      <c r="P14" s="14"/>
      <c r="Q14" s="14"/>
      <c r="R14" s="14"/>
      <c r="S14" s="3"/>
      <c r="T14" s="10"/>
      <c r="U14" s="9"/>
    </row>
    <row r="15" spans="1:21" ht="16.5" customHeight="1" x14ac:dyDescent="0.15">
      <c r="B15" s="283" t="s">
        <v>27</v>
      </c>
      <c r="C15" s="284"/>
      <c r="D15" s="285"/>
      <c r="E15" s="286"/>
      <c r="F15" s="286"/>
      <c r="G15" s="286"/>
      <c r="H15" s="286"/>
      <c r="I15" s="286"/>
      <c r="J15" s="287"/>
      <c r="K15" s="65"/>
      <c r="L15" s="14"/>
      <c r="M15" s="14"/>
      <c r="N15" s="14"/>
      <c r="O15" s="14"/>
      <c r="P15" s="14"/>
      <c r="Q15" s="14"/>
      <c r="R15" s="14"/>
      <c r="S15" s="3" t="s">
        <v>0</v>
      </c>
      <c r="T15" s="10"/>
      <c r="U15" s="9"/>
    </row>
    <row r="16" spans="1:21" ht="26" x14ac:dyDescent="0.15">
      <c r="B16" s="90" t="s">
        <v>7</v>
      </c>
      <c r="C16" s="91" t="s">
        <v>8</v>
      </c>
      <c r="D16" s="92" t="s">
        <v>28</v>
      </c>
      <c r="E16" s="93" t="s">
        <v>29</v>
      </c>
      <c r="F16" s="94" t="s">
        <v>30</v>
      </c>
      <c r="G16" s="95" t="s">
        <v>31</v>
      </c>
      <c r="H16" s="96" t="s">
        <v>15</v>
      </c>
      <c r="I16" s="97" t="s">
        <v>32</v>
      </c>
      <c r="J16" s="98" t="s">
        <v>17</v>
      </c>
      <c r="K16" s="60"/>
      <c r="L16" s="18"/>
      <c r="M16" s="18"/>
      <c r="N16" s="18"/>
      <c r="O16" s="18"/>
      <c r="P16" s="18"/>
      <c r="Q16" s="18">
        <f>SUM(H16:H18)</f>
        <v>0</v>
      </c>
      <c r="R16" s="19"/>
      <c r="S16" s="17"/>
      <c r="T16" s="20"/>
      <c r="U16" s="9"/>
    </row>
    <row r="17" spans="2:21" ht="26" hidden="1" x14ac:dyDescent="0.15">
      <c r="B17" s="8" t="s">
        <v>33</v>
      </c>
      <c r="C17" s="6" t="s">
        <v>34</v>
      </c>
      <c r="D17" s="8" t="s">
        <v>35</v>
      </c>
      <c r="E17" s="58">
        <v>30000</v>
      </c>
      <c r="F17" s="21" t="s">
        <v>36</v>
      </c>
      <c r="G17" s="55" t="s">
        <v>37</v>
      </c>
      <c r="H17" s="8" t="s">
        <v>26</v>
      </c>
      <c r="I17" s="61"/>
      <c r="J17" s="8" t="s">
        <v>38</v>
      </c>
      <c r="K17" s="59"/>
      <c r="L17" s="19"/>
      <c r="M17" s="19"/>
      <c r="N17" s="19"/>
      <c r="O17" s="19"/>
      <c r="P17" s="19"/>
      <c r="Q17" s="19"/>
      <c r="R17" s="19"/>
      <c r="S17" s="17"/>
      <c r="T17" s="20"/>
      <c r="U17" s="9"/>
    </row>
    <row r="18" spans="2:21" ht="13" x14ac:dyDescent="0.15">
      <c r="B18" s="8"/>
      <c r="C18" s="8"/>
      <c r="D18" s="8"/>
      <c r="E18" s="68"/>
      <c r="F18" s="21"/>
      <c r="G18" s="55"/>
      <c r="H18" s="8"/>
      <c r="I18" s="61"/>
      <c r="J18" s="8"/>
      <c r="K18" s="59"/>
      <c r="L18" s="19"/>
      <c r="M18" s="19"/>
      <c r="N18" s="19"/>
      <c r="O18" s="19"/>
      <c r="P18" s="19"/>
      <c r="Q18" s="22" t="s">
        <v>39</v>
      </c>
      <c r="S18" s="23">
        <f>S19+S20+S21</f>
        <v>0</v>
      </c>
      <c r="U18" s="9"/>
    </row>
    <row r="19" spans="2:21" ht="13" x14ac:dyDescent="0.15">
      <c r="B19" s="11"/>
      <c r="C19" s="8"/>
      <c r="D19" s="89"/>
      <c r="E19" s="68"/>
      <c r="F19" s="21"/>
      <c r="G19" s="55"/>
      <c r="H19" s="8"/>
      <c r="I19" s="61"/>
      <c r="J19" s="8"/>
      <c r="K19" s="59"/>
      <c r="L19" s="19"/>
      <c r="M19" s="19"/>
      <c r="N19" s="19"/>
      <c r="O19" s="19"/>
      <c r="P19" s="19"/>
      <c r="Q19" s="22" t="s">
        <v>40</v>
      </c>
      <c r="S19" s="23">
        <f>J92</f>
        <v>0</v>
      </c>
    </row>
    <row r="20" spans="2:21" ht="13" x14ac:dyDescent="0.15">
      <c r="B20" s="11"/>
      <c r="C20" s="8"/>
      <c r="D20" s="8"/>
      <c r="E20" s="68"/>
      <c r="F20" s="21"/>
      <c r="G20" s="55"/>
      <c r="H20" s="8"/>
      <c r="I20" s="61"/>
      <c r="J20" s="15"/>
      <c r="K20" s="19"/>
      <c r="L20" s="1"/>
      <c r="M20" s="1"/>
      <c r="N20" s="1"/>
      <c r="O20" s="1"/>
      <c r="P20" s="1"/>
      <c r="Q20" s="22" t="s">
        <v>41</v>
      </c>
      <c r="S20" s="23">
        <f>H92</f>
        <v>0</v>
      </c>
      <c r="U20" s="9"/>
    </row>
    <row r="21" spans="2:21" ht="13" x14ac:dyDescent="0.15">
      <c r="B21" s="8"/>
      <c r="C21" s="8"/>
      <c r="D21" s="8"/>
      <c r="E21" s="68"/>
      <c r="F21" s="21"/>
      <c r="G21" s="55"/>
      <c r="H21" s="69"/>
      <c r="I21" s="61"/>
      <c r="J21" s="8"/>
      <c r="K21" s="59"/>
      <c r="Q21" s="22" t="s">
        <v>42</v>
      </c>
      <c r="S21" s="23">
        <f>I92+K92</f>
        <v>0</v>
      </c>
    </row>
    <row r="22" spans="2:21" ht="13" x14ac:dyDescent="0.15">
      <c r="B22" s="8"/>
      <c r="C22" s="8"/>
      <c r="D22" s="8"/>
      <c r="E22" s="68"/>
      <c r="F22" s="21"/>
      <c r="G22" s="55"/>
      <c r="H22" s="69"/>
      <c r="I22" s="61"/>
      <c r="J22" s="8"/>
    </row>
    <row r="23" spans="2:21" ht="13" x14ac:dyDescent="0.15">
      <c r="B23" s="8"/>
      <c r="C23" s="8"/>
      <c r="D23" s="89"/>
      <c r="E23" s="68"/>
      <c r="F23" s="21"/>
      <c r="G23" s="55"/>
      <c r="H23" s="69"/>
      <c r="I23" s="61"/>
      <c r="J23" s="8"/>
      <c r="S23" s="23"/>
      <c r="U23" s="23"/>
    </row>
    <row r="24" spans="2:21" ht="13" x14ac:dyDescent="0.15">
      <c r="B24" s="8"/>
      <c r="C24" s="8"/>
      <c r="D24" s="71"/>
      <c r="E24" s="68"/>
      <c r="F24" s="21"/>
      <c r="G24" s="55"/>
      <c r="H24" s="69"/>
      <c r="I24" s="210"/>
      <c r="J24" s="8"/>
      <c r="Q24" s="151" t="s">
        <v>43</v>
      </c>
      <c r="R24" s="146"/>
      <c r="S24" s="152" t="e">
        <f>S21/(S21+S19)</f>
        <v>#DIV/0!</v>
      </c>
      <c r="U24" s="23"/>
    </row>
    <row r="25" spans="2:21" ht="13" x14ac:dyDescent="0.15">
      <c r="B25" s="8"/>
      <c r="C25" s="8"/>
      <c r="D25" s="8"/>
      <c r="E25" s="68"/>
      <c r="F25" s="21"/>
      <c r="G25" s="55"/>
      <c r="H25" s="69"/>
      <c r="I25" s="61"/>
      <c r="J25" s="8"/>
      <c r="Q25" s="86"/>
      <c r="S25" s="87"/>
      <c r="U25" s="23"/>
    </row>
    <row r="26" spans="2:21" ht="13" x14ac:dyDescent="0.15">
      <c r="B26" s="8"/>
      <c r="C26" s="8"/>
      <c r="D26" s="8"/>
      <c r="E26" s="68"/>
      <c r="F26" s="21"/>
      <c r="G26" s="55"/>
      <c r="H26" s="69"/>
      <c r="I26" s="61"/>
      <c r="J26" s="8"/>
      <c r="Q26" s="86"/>
      <c r="S26" s="87"/>
      <c r="U26" s="23"/>
    </row>
    <row r="27" spans="2:21" ht="13" x14ac:dyDescent="0.15">
      <c r="B27" s="8"/>
      <c r="C27" s="78" t="s">
        <v>44</v>
      </c>
      <c r="D27" s="8"/>
      <c r="E27" s="56">
        <f>SUM(E17:E22)</f>
        <v>30000</v>
      </c>
      <c r="F27" s="56">
        <f>SUM(F17:F20)</f>
        <v>0</v>
      </c>
      <c r="G27" s="56">
        <f>SUM(G17:G23)</f>
        <v>0</v>
      </c>
      <c r="H27" s="53"/>
      <c r="I27" s="61"/>
      <c r="J27" s="61"/>
      <c r="U27" s="23"/>
    </row>
    <row r="28" spans="2:21" ht="24" customHeight="1" x14ac:dyDescent="0.15">
      <c r="B28" s="3"/>
      <c r="C28" s="3"/>
      <c r="D28" s="27"/>
      <c r="E28" s="3"/>
      <c r="F28" s="3"/>
      <c r="G28" s="3"/>
      <c r="H28" s="3"/>
    </row>
    <row r="29" spans="2:21" ht="24" customHeight="1" x14ac:dyDescent="0.15">
      <c r="B29" s="3"/>
      <c r="C29" s="3"/>
      <c r="D29" s="27"/>
      <c r="E29" s="3"/>
      <c r="F29" s="3"/>
      <c r="G29" s="3"/>
      <c r="H29" s="3"/>
      <c r="I29" s="22"/>
      <c r="M29" s="23"/>
      <c r="Q29" s="3"/>
      <c r="R29" s="3"/>
      <c r="S29" s="3"/>
      <c r="T29" s="3"/>
      <c r="U29" s="9"/>
    </row>
    <row r="30" spans="2:21" s="106" customFormat="1" ht="27.75" customHeight="1" x14ac:dyDescent="0.15">
      <c r="B30" s="276" t="s">
        <v>45</v>
      </c>
      <c r="C30" s="277"/>
      <c r="D30" s="278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9"/>
    </row>
    <row r="31" spans="2:21" s="106" customFormat="1" ht="13" x14ac:dyDescent="0.15">
      <c r="B31" s="211" t="s">
        <v>7</v>
      </c>
      <c r="C31" s="212" t="s">
        <v>8</v>
      </c>
      <c r="D31" s="212" t="s">
        <v>46</v>
      </c>
      <c r="E31" s="212" t="s">
        <v>47</v>
      </c>
      <c r="F31" s="212" t="s">
        <v>48</v>
      </c>
      <c r="G31" s="216" t="s">
        <v>49</v>
      </c>
      <c r="H31" s="217" t="s">
        <v>41</v>
      </c>
      <c r="I31" s="218" t="s">
        <v>50</v>
      </c>
      <c r="J31" s="217" t="s">
        <v>40</v>
      </c>
      <c r="K31" s="217" t="s">
        <v>51</v>
      </c>
      <c r="L31" s="219" t="s">
        <v>15</v>
      </c>
      <c r="M31" s="220" t="s">
        <v>32</v>
      </c>
      <c r="N31" s="221" t="s">
        <v>52</v>
      </c>
      <c r="O31" s="221"/>
      <c r="P31" s="221"/>
      <c r="Q31" s="221"/>
      <c r="R31" s="221"/>
      <c r="S31" s="222"/>
      <c r="U31" s="111"/>
    </row>
    <row r="32" spans="2:21" s="246" customFormat="1" ht="12" x14ac:dyDescent="0.15">
      <c r="B32" s="247"/>
      <c r="C32" s="247"/>
      <c r="D32" s="214"/>
      <c r="E32" s="127"/>
      <c r="F32" s="127"/>
      <c r="G32" s="235"/>
      <c r="H32" s="138"/>
      <c r="I32" s="127"/>
      <c r="J32" s="138"/>
      <c r="K32" s="138"/>
      <c r="L32" s="138"/>
      <c r="M32" s="138"/>
      <c r="N32" s="288"/>
      <c r="O32" s="288"/>
      <c r="P32" s="288"/>
      <c r="Q32" s="288"/>
      <c r="R32" s="288"/>
      <c r="S32" s="288"/>
      <c r="U32" s="248"/>
    </row>
    <row r="33" spans="2:21" s="246" customFormat="1" ht="12" x14ac:dyDescent="0.15">
      <c r="B33" s="115"/>
      <c r="C33" s="144"/>
      <c r="D33" s="214"/>
      <c r="E33" s="127"/>
      <c r="F33" s="127"/>
      <c r="G33" s="235"/>
      <c r="H33" s="138"/>
      <c r="I33" s="127"/>
      <c r="J33" s="138"/>
      <c r="K33" s="138"/>
      <c r="L33" s="138"/>
      <c r="M33" s="138"/>
      <c r="N33" s="236"/>
      <c r="O33" s="237"/>
      <c r="P33" s="237"/>
      <c r="Q33" s="237"/>
      <c r="R33" s="237"/>
      <c r="S33" s="238"/>
      <c r="U33" s="248"/>
    </row>
    <row r="34" spans="2:21" s="246" customFormat="1" ht="12" x14ac:dyDescent="0.15">
      <c r="B34" s="115"/>
      <c r="C34" s="144"/>
      <c r="D34" s="214"/>
      <c r="E34" s="127"/>
      <c r="F34" s="127"/>
      <c r="G34" s="235"/>
      <c r="H34" s="138"/>
      <c r="I34" s="127"/>
      <c r="J34" s="138"/>
      <c r="K34" s="138"/>
      <c r="L34" s="138"/>
      <c r="M34" s="138"/>
      <c r="N34" s="236"/>
      <c r="O34" s="237"/>
      <c r="P34" s="237"/>
      <c r="Q34" s="237"/>
      <c r="R34" s="237"/>
      <c r="S34" s="238"/>
      <c r="U34" s="248"/>
    </row>
    <row r="35" spans="2:21" s="246" customFormat="1" ht="12" x14ac:dyDescent="0.15">
      <c r="B35" s="8"/>
      <c r="C35" s="66"/>
      <c r="D35" s="214"/>
      <c r="E35" s="127"/>
      <c r="F35" s="127"/>
      <c r="G35" s="235"/>
      <c r="H35" s="138"/>
      <c r="I35" s="127"/>
      <c r="J35" s="138"/>
      <c r="K35" s="138"/>
      <c r="L35" s="138"/>
      <c r="M35" s="138"/>
      <c r="N35" s="236"/>
      <c r="O35" s="237"/>
      <c r="P35" s="237"/>
      <c r="Q35" s="237"/>
      <c r="R35" s="237"/>
      <c r="S35" s="238"/>
      <c r="U35" s="248"/>
    </row>
    <row r="36" spans="2:21" s="246" customFormat="1" ht="12" x14ac:dyDescent="0.15">
      <c r="B36" s="132"/>
      <c r="C36" s="133"/>
      <c r="D36" s="214"/>
      <c r="E36" s="127"/>
      <c r="F36" s="127"/>
      <c r="G36" s="235"/>
      <c r="H36" s="138"/>
      <c r="I36" s="127"/>
      <c r="J36" s="138"/>
      <c r="K36" s="138"/>
      <c r="L36" s="138"/>
      <c r="M36" s="138"/>
      <c r="N36" s="236"/>
      <c r="O36" s="237"/>
      <c r="P36" s="237"/>
      <c r="Q36" s="237"/>
      <c r="R36" s="237"/>
      <c r="S36" s="238"/>
      <c r="U36" s="248"/>
    </row>
    <row r="37" spans="2:21" s="246" customFormat="1" ht="12" x14ac:dyDescent="0.15">
      <c r="B37" s="132"/>
      <c r="C37" s="133"/>
      <c r="D37" s="214"/>
      <c r="E37" s="127"/>
      <c r="F37" s="127"/>
      <c r="G37" s="235"/>
      <c r="H37" s="138"/>
      <c r="I37" s="127"/>
      <c r="J37" s="138"/>
      <c r="K37" s="138"/>
      <c r="L37" s="138"/>
      <c r="M37" s="138"/>
      <c r="N37" s="236"/>
      <c r="O37" s="237"/>
      <c r="P37" s="237"/>
      <c r="Q37" s="237"/>
      <c r="R37" s="237"/>
      <c r="S37" s="238"/>
      <c r="U37" s="248"/>
    </row>
    <row r="38" spans="2:21" s="246" customFormat="1" ht="12" x14ac:dyDescent="0.15">
      <c r="B38" s="132"/>
      <c r="C38" s="133"/>
      <c r="D38" s="214"/>
      <c r="E38" s="127"/>
      <c r="F38" s="127"/>
      <c r="G38" s="235"/>
      <c r="H38" s="138"/>
      <c r="I38" s="127"/>
      <c r="J38" s="138"/>
      <c r="K38" s="138"/>
      <c r="L38" s="138"/>
      <c r="M38" s="138"/>
      <c r="N38" s="236"/>
      <c r="O38" s="237"/>
      <c r="P38" s="237"/>
      <c r="Q38" s="237"/>
      <c r="R38" s="237"/>
      <c r="S38" s="238"/>
      <c r="U38" s="248"/>
    </row>
    <row r="39" spans="2:21" s="246" customFormat="1" ht="12" x14ac:dyDescent="0.15">
      <c r="B39" s="132"/>
      <c r="C39" s="133"/>
      <c r="D39" s="214"/>
      <c r="E39" s="127"/>
      <c r="F39" s="127"/>
      <c r="G39" s="235"/>
      <c r="H39" s="138"/>
      <c r="I39" s="127"/>
      <c r="J39" s="138"/>
      <c r="K39" s="138"/>
      <c r="L39" s="138"/>
      <c r="M39" s="138"/>
      <c r="N39" s="236"/>
      <c r="O39" s="237"/>
      <c r="P39" s="237"/>
      <c r="Q39" s="237"/>
      <c r="R39" s="237"/>
      <c r="S39" s="238"/>
      <c r="U39" s="248"/>
    </row>
    <row r="40" spans="2:21" s="246" customFormat="1" ht="12.75" customHeight="1" x14ac:dyDescent="0.15">
      <c r="B40" s="8"/>
      <c r="C40" s="66"/>
      <c r="D40" s="214"/>
      <c r="E40" s="127"/>
      <c r="F40" s="127"/>
      <c r="G40" s="235"/>
      <c r="H40" s="127"/>
      <c r="I40" s="127"/>
      <c r="J40" s="138"/>
      <c r="K40" s="138"/>
      <c r="L40" s="138"/>
      <c r="M40" s="138"/>
      <c r="N40" s="289"/>
      <c r="O40" s="290"/>
      <c r="P40" s="290"/>
      <c r="Q40" s="290"/>
      <c r="R40" s="290"/>
      <c r="S40" s="291"/>
      <c r="U40" s="248"/>
    </row>
    <row r="41" spans="2:21" s="146" customFormat="1" ht="12" x14ac:dyDescent="0.15">
      <c r="B41" s="132"/>
      <c r="C41" s="133"/>
      <c r="D41" s="115"/>
      <c r="E41" s="127"/>
      <c r="F41" s="127"/>
      <c r="G41" s="215"/>
      <c r="H41" s="127"/>
      <c r="I41" s="127"/>
      <c r="J41" s="139"/>
      <c r="K41" s="138"/>
      <c r="L41" s="138"/>
      <c r="M41" s="145"/>
      <c r="N41" s="272"/>
      <c r="O41" s="272"/>
      <c r="P41" s="272"/>
      <c r="Q41" s="272"/>
      <c r="R41" s="272"/>
      <c r="S41" s="272"/>
    </row>
    <row r="42" spans="2:21" s="146" customFormat="1" ht="12" x14ac:dyDescent="0.15">
      <c r="B42" s="115"/>
      <c r="C42" s="144"/>
      <c r="D42" s="115"/>
      <c r="E42" s="127"/>
      <c r="F42" s="127"/>
      <c r="G42" s="215"/>
      <c r="H42" s="127"/>
      <c r="I42" s="127"/>
      <c r="J42" s="139"/>
      <c r="K42" s="138"/>
      <c r="L42" s="138"/>
      <c r="M42" s="145"/>
      <c r="N42" s="272"/>
      <c r="O42" s="272"/>
      <c r="P42" s="272"/>
      <c r="Q42" s="272"/>
      <c r="R42" s="272"/>
      <c r="S42" s="272"/>
    </row>
    <row r="43" spans="2:21" s="146" customFormat="1" ht="12" x14ac:dyDescent="0.15">
      <c r="B43" s="8"/>
      <c r="C43" s="66"/>
      <c r="D43" s="115"/>
      <c r="E43" s="127"/>
      <c r="F43" s="127"/>
      <c r="G43" s="215"/>
      <c r="H43" s="127"/>
      <c r="I43" s="127"/>
      <c r="J43" s="139"/>
      <c r="K43" s="138"/>
      <c r="L43" s="138"/>
      <c r="M43" s="145"/>
      <c r="N43" s="272"/>
      <c r="O43" s="272"/>
      <c r="P43" s="272"/>
      <c r="Q43" s="272"/>
      <c r="R43" s="272"/>
      <c r="S43" s="272"/>
    </row>
    <row r="44" spans="2:21" s="146" customFormat="1" ht="12" x14ac:dyDescent="0.15">
      <c r="B44" s="132"/>
      <c r="C44" s="133"/>
      <c r="D44" s="115"/>
      <c r="E44" s="127"/>
      <c r="F44" s="127"/>
      <c r="G44" s="215"/>
      <c r="H44" s="127"/>
      <c r="I44" s="127"/>
      <c r="J44" s="139"/>
      <c r="K44" s="138"/>
      <c r="L44" s="138"/>
      <c r="M44" s="145"/>
      <c r="N44" s="292"/>
      <c r="O44" s="272"/>
      <c r="P44" s="272"/>
      <c r="Q44" s="272"/>
      <c r="R44" s="272"/>
      <c r="S44" s="272"/>
    </row>
    <row r="45" spans="2:21" s="146" customFormat="1" ht="12" x14ac:dyDescent="0.15">
      <c r="B45" s="132"/>
      <c r="C45" s="133"/>
      <c r="D45" s="140"/>
      <c r="E45" s="141"/>
      <c r="F45" s="141"/>
      <c r="G45" s="117"/>
      <c r="H45" s="118"/>
      <c r="I45" s="119"/>
      <c r="J45" s="125"/>
      <c r="K45" s="121"/>
      <c r="L45" s="122"/>
      <c r="M45" s="145"/>
      <c r="N45" s="256"/>
      <c r="O45" s="256"/>
      <c r="P45" s="256"/>
      <c r="Q45" s="256"/>
      <c r="R45" s="256"/>
      <c r="S45" s="257"/>
    </row>
    <row r="46" spans="2:21" s="146" customFormat="1" ht="12" x14ac:dyDescent="0.15">
      <c r="B46" s="115"/>
      <c r="C46" s="123"/>
      <c r="D46" s="115"/>
      <c r="E46" s="127"/>
      <c r="F46" s="127"/>
      <c r="G46" s="215"/>
      <c r="H46" s="127"/>
      <c r="I46" s="127"/>
      <c r="J46" s="139"/>
      <c r="K46" s="138"/>
      <c r="L46" s="138"/>
      <c r="M46" s="145"/>
      <c r="N46" s="272"/>
      <c r="O46" s="272"/>
      <c r="P46" s="272"/>
      <c r="Q46" s="272"/>
      <c r="R46" s="272"/>
      <c r="S46" s="272"/>
    </row>
    <row r="47" spans="2:21" s="146" customFormat="1" ht="12" x14ac:dyDescent="0.15">
      <c r="B47" s="115"/>
      <c r="C47" s="123"/>
      <c r="D47" s="140"/>
      <c r="E47" s="141"/>
      <c r="F47" s="141"/>
      <c r="G47" s="117"/>
      <c r="H47" s="118"/>
      <c r="I47" s="119"/>
      <c r="J47" s="120"/>
      <c r="K47" s="121"/>
      <c r="L47" s="122"/>
      <c r="M47" s="145"/>
      <c r="N47" s="256"/>
      <c r="O47" s="256"/>
      <c r="P47" s="256"/>
      <c r="Q47" s="256"/>
      <c r="R47" s="256"/>
      <c r="S47" s="257"/>
    </row>
    <row r="48" spans="2:21" s="146" customFormat="1" ht="12" x14ac:dyDescent="0.15">
      <c r="B48" s="132"/>
      <c r="C48" s="133"/>
      <c r="D48" s="115"/>
      <c r="E48" s="127"/>
      <c r="F48" s="127"/>
      <c r="G48" s="215"/>
      <c r="H48" s="127"/>
      <c r="I48" s="127"/>
      <c r="J48" s="139"/>
      <c r="K48" s="138"/>
      <c r="L48" s="138"/>
      <c r="M48" s="145"/>
      <c r="N48" s="272"/>
      <c r="O48" s="272"/>
      <c r="P48" s="272"/>
      <c r="Q48" s="272"/>
      <c r="R48" s="272"/>
      <c r="S48" s="272"/>
    </row>
    <row r="49" spans="2:21" s="146" customFormat="1" ht="12" x14ac:dyDescent="0.15">
      <c r="B49" s="132"/>
      <c r="C49" s="133"/>
      <c r="D49" s="115"/>
      <c r="E49" s="127"/>
      <c r="F49" s="127"/>
      <c r="G49" s="215"/>
      <c r="H49" s="127"/>
      <c r="I49" s="127"/>
      <c r="J49" s="139"/>
      <c r="K49" s="138"/>
      <c r="L49" s="138"/>
      <c r="M49" s="145"/>
      <c r="N49" s="272"/>
      <c r="O49" s="272"/>
      <c r="P49" s="272"/>
      <c r="Q49" s="272"/>
      <c r="R49" s="272"/>
      <c r="S49" s="272"/>
    </row>
    <row r="50" spans="2:21" s="146" customFormat="1" ht="12" x14ac:dyDescent="0.15">
      <c r="B50" s="132"/>
      <c r="C50" s="133"/>
      <c r="D50" s="115"/>
      <c r="E50" s="127"/>
      <c r="F50" s="127"/>
      <c r="G50" s="215"/>
      <c r="H50" s="127"/>
      <c r="I50" s="127"/>
      <c r="J50" s="127"/>
      <c r="K50" s="138"/>
      <c r="L50" s="138"/>
      <c r="M50" s="145"/>
      <c r="N50" s="272"/>
      <c r="O50" s="272"/>
      <c r="P50" s="272"/>
      <c r="Q50" s="272"/>
      <c r="R50" s="272"/>
      <c r="S50" s="272"/>
    </row>
    <row r="51" spans="2:21" s="146" customFormat="1" ht="12" x14ac:dyDescent="0.15">
      <c r="B51" s="115"/>
      <c r="C51" s="144"/>
      <c r="D51" s="115"/>
      <c r="E51" s="127"/>
      <c r="F51" s="127"/>
      <c r="G51" s="215"/>
      <c r="H51" s="127"/>
      <c r="I51" s="127"/>
      <c r="J51" s="139"/>
      <c r="K51" s="138"/>
      <c r="L51" s="138"/>
      <c r="M51" s="145"/>
      <c r="N51" s="272"/>
      <c r="O51" s="272"/>
      <c r="P51" s="272"/>
      <c r="Q51" s="272"/>
      <c r="R51" s="272"/>
      <c r="S51" s="272"/>
    </row>
    <row r="52" spans="2:21" s="146" customFormat="1" ht="12" x14ac:dyDescent="0.15">
      <c r="B52" s="132"/>
      <c r="C52" s="133"/>
      <c r="D52" s="115"/>
      <c r="E52" s="127"/>
      <c r="F52" s="127"/>
      <c r="G52" s="215"/>
      <c r="H52" s="127"/>
      <c r="I52" s="127"/>
      <c r="J52" s="139"/>
      <c r="K52" s="138"/>
      <c r="L52" s="138"/>
      <c r="M52" s="145"/>
      <c r="N52" s="272"/>
      <c r="O52" s="272"/>
      <c r="P52" s="272"/>
      <c r="Q52" s="272"/>
      <c r="R52" s="272"/>
      <c r="S52" s="272"/>
    </row>
    <row r="53" spans="2:21" s="146" customFormat="1" ht="12" x14ac:dyDescent="0.15">
      <c r="B53" s="115"/>
      <c r="C53" s="144"/>
      <c r="D53" s="115"/>
      <c r="E53" s="127"/>
      <c r="F53" s="127"/>
      <c r="G53" s="215"/>
      <c r="H53" s="127"/>
      <c r="I53" s="127"/>
      <c r="J53" s="139"/>
      <c r="K53" s="138"/>
      <c r="L53" s="138"/>
      <c r="M53" s="145"/>
      <c r="N53" s="272"/>
      <c r="O53" s="272"/>
      <c r="P53" s="272"/>
      <c r="Q53" s="272"/>
      <c r="R53" s="272"/>
      <c r="S53" s="272"/>
    </row>
    <row r="54" spans="2:21" s="146" customFormat="1" ht="12" x14ac:dyDescent="0.15">
      <c r="B54" s="132"/>
      <c r="C54" s="133"/>
      <c r="D54" s="115"/>
      <c r="E54" s="127"/>
      <c r="F54" s="127"/>
      <c r="G54" s="215"/>
      <c r="H54" s="127"/>
      <c r="I54" s="127"/>
      <c r="J54" s="127"/>
      <c r="K54" s="138"/>
      <c r="L54" s="138"/>
      <c r="M54" s="145"/>
      <c r="N54" s="272"/>
      <c r="O54" s="272"/>
      <c r="P54" s="272"/>
      <c r="Q54" s="272"/>
      <c r="R54" s="272"/>
      <c r="S54" s="272"/>
    </row>
    <row r="55" spans="2:21" s="146" customFormat="1" ht="12" x14ac:dyDescent="0.15">
      <c r="B55" s="115"/>
      <c r="C55" s="123"/>
      <c r="D55" s="115"/>
      <c r="E55" s="127"/>
      <c r="F55" s="127"/>
      <c r="G55" s="215"/>
      <c r="H55" s="127"/>
      <c r="I55" s="127"/>
      <c r="J55" s="139"/>
      <c r="K55" s="138"/>
      <c r="L55" s="138"/>
      <c r="M55" s="145"/>
      <c r="N55" s="272"/>
      <c r="O55" s="272"/>
      <c r="P55" s="272"/>
      <c r="Q55" s="272"/>
      <c r="R55" s="272"/>
      <c r="S55" s="272"/>
    </row>
    <row r="56" spans="2:21" s="146" customFormat="1" ht="12" x14ac:dyDescent="0.15">
      <c r="B56" s="115"/>
      <c r="C56" s="123"/>
      <c r="D56" s="115"/>
      <c r="E56" s="127"/>
      <c r="F56" s="127"/>
      <c r="G56" s="215"/>
      <c r="H56" s="127"/>
      <c r="I56" s="127"/>
      <c r="J56" s="139"/>
      <c r="K56" s="138"/>
      <c r="L56" s="138"/>
      <c r="M56" s="145"/>
      <c r="N56" s="272"/>
      <c r="O56" s="272"/>
      <c r="P56" s="272"/>
      <c r="Q56" s="272"/>
      <c r="R56" s="272"/>
      <c r="S56" s="272"/>
    </row>
    <row r="57" spans="2:21" s="146" customFormat="1" ht="12" x14ac:dyDescent="0.15">
      <c r="B57" s="132"/>
      <c r="C57" s="133"/>
      <c r="D57" s="115"/>
      <c r="E57" s="127"/>
      <c r="F57" s="127"/>
      <c r="G57" s="215"/>
      <c r="H57" s="127"/>
      <c r="I57" s="127"/>
      <c r="J57" s="139"/>
      <c r="K57" s="138"/>
      <c r="L57" s="138"/>
      <c r="M57" s="145"/>
      <c r="N57" s="272"/>
      <c r="O57" s="272"/>
      <c r="P57" s="272"/>
      <c r="Q57" s="272"/>
      <c r="R57" s="272"/>
      <c r="S57" s="272"/>
    </row>
    <row r="58" spans="2:21" s="146" customFormat="1" ht="12" customHeight="1" x14ac:dyDescent="0.15">
      <c r="B58" s="155"/>
      <c r="C58" s="223"/>
      <c r="D58" s="155"/>
      <c r="E58" s="126"/>
      <c r="F58" s="126"/>
      <c r="G58" s="224"/>
      <c r="H58" s="126"/>
      <c r="I58" s="135"/>
      <c r="J58" s="128"/>
      <c r="K58" s="121"/>
      <c r="L58" s="213"/>
      <c r="M58" s="225"/>
      <c r="N58" s="233"/>
      <c r="O58" s="233"/>
      <c r="P58" s="233"/>
      <c r="Q58" s="233"/>
      <c r="R58" s="233"/>
      <c r="S58" s="234"/>
    </row>
    <row r="59" spans="2:21" s="146" customFormat="1" ht="12" x14ac:dyDescent="0.15">
      <c r="B59" s="115"/>
      <c r="C59" s="123"/>
      <c r="D59" s="140"/>
      <c r="E59" s="141"/>
      <c r="F59" s="141"/>
      <c r="G59" s="137"/>
      <c r="H59" s="141"/>
      <c r="I59" s="156"/>
      <c r="J59" s="139"/>
      <c r="K59" s="138"/>
      <c r="L59" s="122"/>
      <c r="M59" s="147"/>
      <c r="N59" s="256"/>
      <c r="O59" s="256"/>
      <c r="P59" s="256"/>
      <c r="Q59" s="256"/>
      <c r="R59" s="256"/>
      <c r="S59" s="257"/>
    </row>
    <row r="60" spans="2:21" s="106" customFormat="1" ht="12" customHeight="1" x14ac:dyDescent="0.15">
      <c r="B60" s="8"/>
      <c r="C60" s="66"/>
      <c r="D60" s="140"/>
      <c r="E60" s="141"/>
      <c r="F60" s="141"/>
      <c r="G60" s="137"/>
      <c r="H60" s="127"/>
      <c r="I60" s="157"/>
      <c r="J60" s="139"/>
      <c r="K60" s="139"/>
      <c r="L60" s="122"/>
      <c r="M60" s="145"/>
      <c r="N60" s="262"/>
      <c r="O60" s="256"/>
      <c r="P60" s="256"/>
      <c r="Q60" s="256"/>
      <c r="R60" s="256"/>
      <c r="S60" s="257"/>
      <c r="U60" s="111"/>
    </row>
    <row r="61" spans="2:21" s="146" customFormat="1" ht="12" customHeight="1" x14ac:dyDescent="0.15">
      <c r="B61" s="115"/>
      <c r="C61" s="123"/>
      <c r="D61" s="140"/>
      <c r="E61" s="141"/>
      <c r="F61" s="141"/>
      <c r="G61" s="137"/>
      <c r="H61" s="127"/>
      <c r="I61" s="157"/>
      <c r="J61" s="139"/>
      <c r="K61" s="138"/>
      <c r="L61" s="122"/>
      <c r="M61" s="145"/>
      <c r="N61" s="262"/>
      <c r="O61" s="256"/>
      <c r="P61" s="256"/>
      <c r="Q61" s="256"/>
      <c r="R61" s="256"/>
      <c r="S61" s="257"/>
    </row>
    <row r="62" spans="2:21" s="146" customFormat="1" ht="12" x14ac:dyDescent="0.15">
      <c r="B62" s="115"/>
      <c r="C62" s="123"/>
      <c r="D62" s="140"/>
      <c r="E62" s="141"/>
      <c r="F62" s="141"/>
      <c r="G62" s="137"/>
      <c r="H62" s="127"/>
      <c r="I62" s="157"/>
      <c r="J62" s="139"/>
      <c r="K62" s="138"/>
      <c r="L62" s="122"/>
      <c r="M62" s="145"/>
      <c r="N62" s="262"/>
      <c r="O62" s="256"/>
      <c r="P62" s="256"/>
      <c r="Q62" s="256"/>
      <c r="R62" s="256"/>
      <c r="S62" s="257"/>
    </row>
    <row r="63" spans="2:21" s="146" customFormat="1" ht="12" x14ac:dyDescent="0.15">
      <c r="B63" s="115"/>
      <c r="C63" s="123"/>
      <c r="D63" s="140"/>
      <c r="E63" s="141"/>
      <c r="F63" s="141"/>
      <c r="G63" s="137"/>
      <c r="H63" s="127"/>
      <c r="I63" s="127"/>
      <c r="J63" s="128"/>
      <c r="K63" s="121"/>
      <c r="L63" s="122"/>
      <c r="M63" s="147"/>
      <c r="N63" s="262"/>
      <c r="O63" s="256"/>
      <c r="P63" s="256"/>
      <c r="Q63" s="256"/>
      <c r="R63" s="256"/>
      <c r="S63" s="257"/>
    </row>
    <row r="64" spans="2:21" s="146" customFormat="1" ht="12" customHeight="1" x14ac:dyDescent="0.15">
      <c r="B64" s="115"/>
      <c r="C64" s="123"/>
      <c r="D64" s="140"/>
      <c r="E64" s="141"/>
      <c r="F64" s="141"/>
      <c r="G64" s="117"/>
      <c r="H64" s="118"/>
      <c r="I64" s="119"/>
      <c r="J64" s="120"/>
      <c r="K64" s="121"/>
      <c r="L64" s="122"/>
      <c r="M64" s="145"/>
      <c r="N64" s="256"/>
      <c r="O64" s="256"/>
      <c r="P64" s="256"/>
      <c r="Q64" s="256"/>
      <c r="R64" s="256"/>
      <c r="S64" s="257"/>
    </row>
    <row r="65" spans="2:19" s="146" customFormat="1" ht="12" x14ac:dyDescent="0.15">
      <c r="B65" s="115"/>
      <c r="C65" s="124"/>
      <c r="D65" s="115"/>
      <c r="E65" s="244"/>
      <c r="F65" s="141"/>
      <c r="G65" s="117"/>
      <c r="H65" s="118"/>
      <c r="I65" s="119"/>
      <c r="J65" s="120"/>
      <c r="K65" s="121"/>
      <c r="L65" s="122"/>
      <c r="M65" s="145"/>
      <c r="N65" s="256"/>
      <c r="O65" s="256"/>
      <c r="P65" s="256"/>
      <c r="Q65" s="256"/>
      <c r="R65" s="256"/>
      <c r="S65" s="257"/>
    </row>
    <row r="66" spans="2:19" s="146" customFormat="1" ht="12" x14ac:dyDescent="0.15">
      <c r="B66" s="115"/>
      <c r="C66" s="123"/>
      <c r="D66" s="155"/>
      <c r="E66" s="141"/>
      <c r="F66" s="141"/>
      <c r="G66" s="117"/>
      <c r="H66" s="118"/>
      <c r="I66" s="119"/>
      <c r="J66" s="120"/>
      <c r="K66" s="121"/>
      <c r="L66" s="122"/>
      <c r="M66" s="145"/>
      <c r="N66" s="256"/>
      <c r="O66" s="256"/>
      <c r="P66" s="256"/>
      <c r="Q66" s="256"/>
      <c r="R66" s="256"/>
      <c r="S66" s="257"/>
    </row>
    <row r="67" spans="2:19" s="146" customFormat="1" ht="12" x14ac:dyDescent="0.15">
      <c r="B67" s="115"/>
      <c r="C67" s="124"/>
      <c r="D67" s="115"/>
      <c r="E67" s="244"/>
      <c r="F67" s="141"/>
      <c r="G67" s="117"/>
      <c r="H67" s="118"/>
      <c r="I67" s="119"/>
      <c r="J67" s="125"/>
      <c r="K67" s="121"/>
      <c r="L67" s="122"/>
      <c r="M67" s="145"/>
      <c r="N67" s="256"/>
      <c r="O67" s="256"/>
      <c r="P67" s="256"/>
      <c r="Q67" s="256"/>
      <c r="R67" s="256"/>
      <c r="S67" s="257"/>
    </row>
    <row r="68" spans="2:19" s="146" customFormat="1" ht="12" x14ac:dyDescent="0.15">
      <c r="B68" s="115"/>
      <c r="C68" s="123"/>
      <c r="D68" s="153"/>
      <c r="E68" s="141"/>
      <c r="F68" s="141"/>
      <c r="G68" s="117"/>
      <c r="H68" s="118"/>
      <c r="I68" s="118"/>
      <c r="J68" s="120"/>
      <c r="K68" s="121"/>
      <c r="L68" s="122"/>
      <c r="M68" s="145"/>
      <c r="N68" s="267"/>
      <c r="O68" s="267"/>
      <c r="P68" s="267"/>
      <c r="Q68" s="267"/>
      <c r="R68" s="267"/>
      <c r="S68" s="268"/>
    </row>
    <row r="69" spans="2:19" s="146" customFormat="1" ht="12" x14ac:dyDescent="0.15">
      <c r="B69" s="115"/>
      <c r="C69" s="123"/>
      <c r="D69" s="153"/>
      <c r="E69" s="141"/>
      <c r="F69" s="141"/>
      <c r="G69" s="117"/>
      <c r="H69" s="118"/>
      <c r="I69" s="119"/>
      <c r="J69" s="120"/>
      <c r="K69" s="121"/>
      <c r="L69" s="122"/>
      <c r="M69" s="145"/>
      <c r="N69" s="256"/>
      <c r="O69" s="256"/>
      <c r="P69" s="256"/>
      <c r="Q69" s="256"/>
      <c r="R69" s="256"/>
      <c r="S69" s="257"/>
    </row>
    <row r="70" spans="2:19" s="146" customFormat="1" ht="12" x14ac:dyDescent="0.15">
      <c r="B70" s="115"/>
      <c r="C70" s="123"/>
      <c r="D70" s="140"/>
      <c r="E70" s="141"/>
      <c r="F70" s="141"/>
      <c r="G70" s="117"/>
      <c r="H70" s="126"/>
      <c r="I70" s="119"/>
      <c r="J70" s="120"/>
      <c r="K70" s="121"/>
      <c r="L70" s="122"/>
      <c r="M70" s="145"/>
      <c r="N70" s="256"/>
      <c r="O70" s="256"/>
      <c r="P70" s="256"/>
      <c r="Q70" s="256"/>
      <c r="R70" s="256"/>
      <c r="S70" s="257"/>
    </row>
    <row r="71" spans="2:19" s="146" customFormat="1" ht="12" x14ac:dyDescent="0.15">
      <c r="B71" s="115"/>
      <c r="C71" s="123"/>
      <c r="D71" s="140"/>
      <c r="E71" s="141"/>
      <c r="F71" s="141"/>
      <c r="G71" s="117"/>
      <c r="H71" s="127"/>
      <c r="I71" s="119"/>
      <c r="J71" s="128"/>
      <c r="K71" s="121"/>
      <c r="L71" s="122"/>
      <c r="M71" s="145"/>
      <c r="N71" s="256"/>
      <c r="O71" s="256"/>
      <c r="P71" s="256"/>
      <c r="Q71" s="256"/>
      <c r="R71" s="256"/>
      <c r="S71" s="257"/>
    </row>
    <row r="72" spans="2:19" s="146" customFormat="1" ht="12" x14ac:dyDescent="0.15">
      <c r="B72" s="115"/>
      <c r="C72" s="123"/>
      <c r="D72" s="140"/>
      <c r="E72" s="141"/>
      <c r="F72" s="141"/>
      <c r="G72" s="117"/>
      <c r="H72" s="127"/>
      <c r="I72" s="119"/>
      <c r="J72" s="120"/>
      <c r="K72" s="121"/>
      <c r="L72" s="122"/>
      <c r="M72" s="145"/>
      <c r="N72" s="256"/>
      <c r="O72" s="256"/>
      <c r="P72" s="256"/>
      <c r="Q72" s="256"/>
      <c r="R72" s="256"/>
      <c r="S72" s="257"/>
    </row>
    <row r="73" spans="2:19" s="146" customFormat="1" ht="12.75" customHeight="1" x14ac:dyDescent="0.15">
      <c r="B73" s="129"/>
      <c r="C73" s="123"/>
      <c r="D73" s="140"/>
      <c r="E73" s="141"/>
      <c r="F73" s="141"/>
      <c r="G73" s="117"/>
      <c r="H73" s="131"/>
      <c r="I73" s="119"/>
      <c r="J73" s="118"/>
      <c r="K73" s="121"/>
      <c r="L73" s="122"/>
      <c r="M73" s="145"/>
      <c r="N73" s="256"/>
      <c r="O73" s="256"/>
      <c r="P73" s="256"/>
      <c r="Q73" s="256"/>
      <c r="R73" s="256"/>
      <c r="S73" s="257"/>
    </row>
    <row r="74" spans="2:19" s="146" customFormat="1" ht="12" x14ac:dyDescent="0.15">
      <c r="B74" s="115"/>
      <c r="C74" s="116"/>
      <c r="D74" s="140"/>
      <c r="E74" s="141"/>
      <c r="F74" s="141"/>
      <c r="G74" s="117"/>
      <c r="H74" s="118"/>
      <c r="I74" s="119"/>
      <c r="J74" s="125"/>
      <c r="K74" s="121"/>
      <c r="L74" s="122"/>
      <c r="M74" s="145"/>
      <c r="N74" s="256"/>
      <c r="O74" s="256"/>
      <c r="P74" s="256"/>
      <c r="Q74" s="256"/>
      <c r="R74" s="256"/>
      <c r="S74" s="257"/>
    </row>
    <row r="75" spans="2:19" s="146" customFormat="1" ht="12.75" customHeight="1" x14ac:dyDescent="0.15">
      <c r="B75" s="129"/>
      <c r="C75" s="123"/>
      <c r="D75" s="140"/>
      <c r="E75" s="141"/>
      <c r="F75" s="141"/>
      <c r="G75" s="117"/>
      <c r="H75" s="118"/>
      <c r="I75" s="119"/>
      <c r="J75" s="120"/>
      <c r="K75" s="121"/>
      <c r="L75" s="122"/>
      <c r="M75" s="145"/>
      <c r="N75" s="256"/>
      <c r="O75" s="256"/>
      <c r="P75" s="256"/>
      <c r="Q75" s="256"/>
      <c r="R75" s="256"/>
      <c r="S75" s="257"/>
    </row>
    <row r="76" spans="2:19" s="146" customFormat="1" ht="12" x14ac:dyDescent="0.15">
      <c r="B76" s="115"/>
      <c r="C76" s="130"/>
      <c r="D76" s="140"/>
      <c r="E76" s="141"/>
      <c r="F76" s="141"/>
      <c r="G76" s="117"/>
      <c r="H76" s="131"/>
      <c r="I76" s="119"/>
      <c r="J76" s="125"/>
      <c r="K76" s="121"/>
      <c r="L76" s="122"/>
      <c r="M76" s="145"/>
      <c r="N76" s="256"/>
      <c r="O76" s="256"/>
      <c r="P76" s="256"/>
      <c r="Q76" s="256"/>
      <c r="R76" s="256"/>
      <c r="S76" s="257"/>
    </row>
    <row r="77" spans="2:19" s="146" customFormat="1" ht="12" x14ac:dyDescent="0.15">
      <c r="B77" s="132"/>
      <c r="C77" s="133"/>
      <c r="D77" s="154"/>
      <c r="E77" s="141"/>
      <c r="F77" s="141"/>
      <c r="G77" s="117"/>
      <c r="H77" s="118"/>
      <c r="I77" s="119"/>
      <c r="J77" s="125"/>
      <c r="K77" s="121"/>
      <c r="L77" s="122"/>
      <c r="M77" s="145"/>
      <c r="N77" s="256"/>
      <c r="O77" s="256"/>
      <c r="P77" s="256"/>
      <c r="Q77" s="256"/>
      <c r="R77" s="256"/>
      <c r="S77" s="257"/>
    </row>
    <row r="78" spans="2:19" s="146" customFormat="1" ht="12" x14ac:dyDescent="0.15">
      <c r="B78" s="115"/>
      <c r="C78" s="123"/>
      <c r="D78" s="140"/>
      <c r="E78" s="141"/>
      <c r="F78" s="141"/>
      <c r="G78" s="117"/>
      <c r="H78" s="118"/>
      <c r="I78" s="119"/>
      <c r="J78" s="125"/>
      <c r="K78" s="121"/>
      <c r="L78" s="122"/>
      <c r="M78" s="145"/>
      <c r="N78" s="256"/>
      <c r="O78" s="256"/>
      <c r="P78" s="256"/>
      <c r="Q78" s="256"/>
      <c r="R78" s="256"/>
      <c r="S78" s="257"/>
    </row>
    <row r="79" spans="2:19" s="146" customFormat="1" ht="12" x14ac:dyDescent="0.15">
      <c r="B79" s="115"/>
      <c r="C79" s="123"/>
      <c r="D79" s="140"/>
      <c r="E79" s="141"/>
      <c r="F79" s="141"/>
      <c r="G79" s="117"/>
      <c r="H79" s="118"/>
      <c r="I79" s="119"/>
      <c r="J79" s="125"/>
      <c r="K79" s="118"/>
      <c r="L79" s="122"/>
      <c r="M79" s="145"/>
      <c r="N79" s="256"/>
      <c r="O79" s="256"/>
      <c r="P79" s="256"/>
      <c r="Q79" s="256"/>
      <c r="R79" s="256"/>
      <c r="S79" s="257"/>
    </row>
    <row r="80" spans="2:19" s="146" customFormat="1" ht="12" x14ac:dyDescent="0.15">
      <c r="B80" s="115"/>
      <c r="C80" s="123"/>
      <c r="D80" s="140"/>
      <c r="E80" s="141"/>
      <c r="F80" s="141"/>
      <c r="G80" s="117"/>
      <c r="H80" s="118"/>
      <c r="I80" s="119"/>
      <c r="J80" s="118"/>
      <c r="K80" s="118"/>
      <c r="L80" s="122"/>
      <c r="M80" s="145"/>
      <c r="N80" s="256"/>
      <c r="O80" s="256"/>
      <c r="P80" s="256"/>
      <c r="Q80" s="256"/>
      <c r="R80" s="256"/>
      <c r="S80" s="257"/>
    </row>
    <row r="81" spans="2:20" s="146" customFormat="1" ht="12" x14ac:dyDescent="0.15">
      <c r="B81" s="115"/>
      <c r="C81" s="133"/>
      <c r="D81" s="140"/>
      <c r="E81" s="141"/>
      <c r="F81" s="141"/>
      <c r="G81" s="117"/>
      <c r="H81" s="118"/>
      <c r="I81" s="119"/>
      <c r="J81" s="125"/>
      <c r="K81" s="121"/>
      <c r="L81" s="122"/>
      <c r="M81" s="145"/>
      <c r="N81" s="256"/>
      <c r="O81" s="256"/>
      <c r="P81" s="256"/>
      <c r="Q81" s="256"/>
      <c r="R81" s="256"/>
      <c r="S81" s="257"/>
    </row>
    <row r="82" spans="2:20" s="146" customFormat="1" ht="12" x14ac:dyDescent="0.15">
      <c r="B82" s="115"/>
      <c r="C82" s="123"/>
      <c r="D82" s="140"/>
      <c r="E82" s="141"/>
      <c r="F82" s="141"/>
      <c r="G82" s="117"/>
      <c r="H82" s="118"/>
      <c r="I82" s="119"/>
      <c r="J82" s="125"/>
      <c r="K82" s="121"/>
      <c r="L82" s="122"/>
      <c r="M82" s="145"/>
      <c r="N82" s="262"/>
      <c r="O82" s="256"/>
      <c r="P82" s="256"/>
      <c r="Q82" s="256"/>
      <c r="R82" s="256"/>
      <c r="S82" s="257"/>
    </row>
    <row r="83" spans="2:20" s="146" customFormat="1" ht="12" x14ac:dyDescent="0.15">
      <c r="B83" s="115"/>
      <c r="C83" s="123"/>
      <c r="D83" s="140"/>
      <c r="E83" s="141"/>
      <c r="F83" s="141"/>
      <c r="G83" s="117"/>
      <c r="H83" s="126"/>
      <c r="I83" s="134"/>
      <c r="J83" s="135"/>
      <c r="K83" s="136"/>
      <c r="L83" s="122"/>
      <c r="M83" s="145"/>
      <c r="N83" s="256"/>
      <c r="O83" s="256"/>
      <c r="P83" s="256"/>
      <c r="Q83" s="256"/>
      <c r="R83" s="256"/>
      <c r="S83" s="257"/>
    </row>
    <row r="84" spans="2:20" s="146" customFormat="1" ht="12" x14ac:dyDescent="0.15">
      <c r="B84" s="115"/>
      <c r="C84" s="123"/>
      <c r="D84" s="140"/>
      <c r="E84" s="141"/>
      <c r="F84" s="141"/>
      <c r="G84" s="137"/>
      <c r="H84" s="127"/>
      <c r="I84" s="127"/>
      <c r="J84" s="127"/>
      <c r="K84" s="138"/>
      <c r="L84" s="122"/>
      <c r="M84" s="147"/>
      <c r="N84" s="256"/>
      <c r="O84" s="256"/>
      <c r="P84" s="256"/>
      <c r="Q84" s="256"/>
      <c r="R84" s="256"/>
      <c r="S84" s="257"/>
    </row>
    <row r="85" spans="2:20" s="146" customFormat="1" ht="12" x14ac:dyDescent="0.15">
      <c r="B85" s="115"/>
      <c r="C85" s="123"/>
      <c r="D85" s="140"/>
      <c r="E85" s="141"/>
      <c r="F85" s="141"/>
      <c r="G85" s="137"/>
      <c r="H85" s="127"/>
      <c r="I85" s="127"/>
      <c r="J85" s="127"/>
      <c r="K85" s="138"/>
      <c r="L85" s="122"/>
      <c r="M85" s="147"/>
      <c r="N85" s="256"/>
      <c r="O85" s="256"/>
      <c r="P85" s="256"/>
      <c r="Q85" s="256"/>
      <c r="R85" s="256"/>
      <c r="S85" s="257"/>
    </row>
    <row r="86" spans="2:20" s="146" customFormat="1" ht="12" x14ac:dyDescent="0.15">
      <c r="B86" s="140"/>
      <c r="C86" s="116"/>
      <c r="D86" s="140"/>
      <c r="E86" s="141"/>
      <c r="F86" s="141"/>
      <c r="G86" s="137"/>
      <c r="H86" s="141"/>
      <c r="I86" s="141"/>
      <c r="J86" s="142"/>
      <c r="K86" s="143"/>
      <c r="L86" s="122"/>
      <c r="M86" s="147"/>
      <c r="N86" s="256"/>
      <c r="O86" s="256"/>
      <c r="P86" s="256"/>
      <c r="Q86" s="256"/>
      <c r="R86" s="256"/>
      <c r="S86" s="257"/>
    </row>
    <row r="87" spans="2:20" s="146" customFormat="1" ht="12" x14ac:dyDescent="0.15">
      <c r="B87" s="8"/>
      <c r="C87" s="66"/>
      <c r="D87" s="140"/>
      <c r="E87" s="141"/>
      <c r="F87" s="141"/>
      <c r="G87" s="137"/>
      <c r="H87" s="141"/>
      <c r="I87" s="141"/>
      <c r="J87" s="142"/>
      <c r="K87" s="143"/>
      <c r="L87" s="122"/>
      <c r="M87" s="147"/>
      <c r="N87" s="158"/>
      <c r="O87" s="158"/>
      <c r="P87" s="158"/>
      <c r="Q87" s="158"/>
      <c r="R87" s="158"/>
      <c r="S87" s="158"/>
    </row>
    <row r="88" spans="2:20" s="146" customFormat="1" ht="12" x14ac:dyDescent="0.15">
      <c r="B88" s="115"/>
      <c r="C88" s="145"/>
      <c r="D88" s="140"/>
      <c r="E88" s="141"/>
      <c r="F88" s="141"/>
      <c r="G88" s="137"/>
      <c r="H88" s="141"/>
      <c r="I88" s="141"/>
      <c r="J88" s="142"/>
      <c r="K88" s="143"/>
      <c r="L88" s="122"/>
      <c r="M88" s="147"/>
      <c r="N88" s="158"/>
      <c r="O88" s="158"/>
      <c r="P88" s="158"/>
      <c r="Q88" s="158"/>
      <c r="R88" s="158"/>
      <c r="S88" s="158"/>
    </row>
    <row r="89" spans="2:20" s="146" customFormat="1" ht="12" x14ac:dyDescent="0.15">
      <c r="B89" s="115"/>
      <c r="C89" s="115"/>
      <c r="D89" s="145"/>
      <c r="E89" s="245"/>
      <c r="F89" s="245"/>
      <c r="G89" s="149"/>
      <c r="H89" s="148"/>
      <c r="I89" s="148"/>
      <c r="J89" s="148"/>
      <c r="K89" s="148"/>
      <c r="L89" s="150"/>
      <c r="M89" s="145"/>
      <c r="N89" s="269"/>
      <c r="O89" s="269"/>
      <c r="P89" s="269"/>
      <c r="Q89" s="269"/>
      <c r="R89" s="269"/>
      <c r="S89" s="270"/>
    </row>
    <row r="90" spans="2:20" s="146" customFormat="1" ht="12" customHeight="1" x14ac:dyDescent="0.15">
      <c r="B90" s="59"/>
      <c r="C90" s="59"/>
      <c r="D90" s="67"/>
      <c r="E90" s="79"/>
      <c r="F90"/>
      <c r="G90"/>
      <c r="H90"/>
      <c r="I90"/>
      <c r="J90"/>
      <c r="K90"/>
      <c r="L90"/>
      <c r="M90"/>
      <c r="N90" s="261"/>
      <c r="O90" s="261"/>
      <c r="P90" s="261"/>
      <c r="Q90" s="261"/>
      <c r="R90" s="261"/>
      <c r="S90" s="261"/>
    </row>
    <row r="91" spans="2:20" ht="15.75" customHeight="1" x14ac:dyDescent="0.15">
      <c r="B91" s="59"/>
      <c r="C91" s="59"/>
      <c r="E91" s="79"/>
      <c r="N91" s="261"/>
      <c r="O91" s="261"/>
      <c r="P91" s="261"/>
      <c r="Q91" s="261"/>
      <c r="R91" s="261"/>
      <c r="S91" s="261"/>
    </row>
    <row r="92" spans="2:20" ht="13" x14ac:dyDescent="0.15">
      <c r="B92" s="271"/>
      <c r="C92" s="255"/>
      <c r="D92" s="254" t="s">
        <v>44</v>
      </c>
      <c r="E92" s="255"/>
      <c r="F92" s="80"/>
      <c r="G92" s="81"/>
      <c r="H92" s="82">
        <f>SUM(H61:H91)</f>
        <v>0</v>
      </c>
      <c r="I92" s="82">
        <f>SUM(I61:I91)</f>
        <v>0</v>
      </c>
      <c r="J92" s="82">
        <f>SUM(J61:J91)</f>
        <v>0</v>
      </c>
      <c r="K92" s="83">
        <f>SUM(K61:K91)</f>
        <v>0</v>
      </c>
      <c r="L92" s="81"/>
      <c r="M92" s="84"/>
      <c r="N92" s="258">
        <f>K92+J92+I92</f>
        <v>0</v>
      </c>
      <c r="O92" s="259"/>
      <c r="P92" s="259"/>
      <c r="Q92" s="259"/>
      <c r="R92" s="259"/>
      <c r="S92" s="260"/>
    </row>
    <row r="93" spans="2:20" ht="13" x14ac:dyDescent="0.15">
      <c r="B93" s="72"/>
      <c r="C93" s="72"/>
      <c r="D93" s="239"/>
      <c r="E93" s="72"/>
      <c r="F93" s="73"/>
      <c r="G93" s="74"/>
      <c r="H93" s="75"/>
      <c r="I93" s="77" t="e">
        <f>I92/N92</f>
        <v>#DIV/0!</v>
      </c>
      <c r="J93" s="77" t="e">
        <f>J92/N92</f>
        <v>#DIV/0!</v>
      </c>
      <c r="K93" s="77" t="e">
        <f>K92/N92</f>
        <v>#DIV/0!</v>
      </c>
      <c r="L93" s="76"/>
      <c r="M93" s="76"/>
      <c r="N93" s="85"/>
      <c r="O93" s="73"/>
      <c r="P93" s="76"/>
      <c r="Q93" s="76"/>
      <c r="R93" s="76"/>
      <c r="S93" s="76"/>
    </row>
    <row r="94" spans="2:20" ht="13" x14ac:dyDescent="0.15">
      <c r="B94" s="26"/>
      <c r="C94" s="26"/>
      <c r="D94" s="26"/>
      <c r="E94" s="29"/>
      <c r="F94" s="25"/>
      <c r="G94" s="25"/>
      <c r="H94" s="25"/>
      <c r="I94" s="4"/>
      <c r="J94" s="4"/>
      <c r="K94" s="4"/>
      <c r="L94" s="4"/>
      <c r="M94" s="4"/>
      <c r="N94" s="4"/>
      <c r="O94" s="4"/>
      <c r="P94" s="4"/>
      <c r="Q94" s="4"/>
      <c r="R94" s="30"/>
      <c r="S94" s="2"/>
    </row>
    <row r="95" spans="2:20" ht="13" x14ac:dyDescent="0.15">
      <c r="B95" s="31"/>
      <c r="C95" s="31"/>
      <c r="D95" s="31"/>
      <c r="E95" s="32"/>
      <c r="F95" s="33"/>
      <c r="G95" s="33"/>
      <c r="H95" s="33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2"/>
      <c r="T95" s="5"/>
    </row>
    <row r="96" spans="2:20" ht="13" x14ac:dyDescent="0.15"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5"/>
    </row>
    <row r="97" spans="2:20" ht="27.75" customHeight="1" x14ac:dyDescent="0.15">
      <c r="B97" s="36"/>
      <c r="C97" s="37"/>
      <c r="D97" s="37"/>
      <c r="E97" s="38"/>
      <c r="F97" s="39"/>
      <c r="G97" s="39"/>
      <c r="H97" s="39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35"/>
      <c r="T97" s="16"/>
    </row>
    <row r="98" spans="2:20" ht="13" x14ac:dyDescent="0.15">
      <c r="B98" s="31"/>
      <c r="C98" s="31"/>
      <c r="D98" s="31"/>
      <c r="E98" s="32"/>
      <c r="F98" s="33"/>
      <c r="G98" s="33"/>
      <c r="H98" s="33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2"/>
      <c r="T98" s="41"/>
    </row>
    <row r="99" spans="2:20" ht="13" x14ac:dyDescent="0.15">
      <c r="B99" s="263" t="s">
        <v>53</v>
      </c>
      <c r="C99" s="264"/>
      <c r="D99" s="265"/>
      <c r="E99" s="264"/>
      <c r="F99" s="264"/>
      <c r="G99" s="266"/>
      <c r="H99" s="62"/>
      <c r="I99" s="4"/>
      <c r="J99" s="4"/>
      <c r="K99" s="4"/>
      <c r="L99" s="4"/>
      <c r="M99" s="4"/>
      <c r="N99" s="4"/>
      <c r="O99" s="4"/>
      <c r="P99" s="4"/>
      <c r="Q99" s="4"/>
      <c r="R99" s="4"/>
      <c r="S99" s="2"/>
      <c r="T99" s="5"/>
    </row>
    <row r="100" spans="2:20" ht="13" hidden="1" x14ac:dyDescent="0.15">
      <c r="B100" s="42"/>
      <c r="C100" s="42" t="s">
        <v>54</v>
      </c>
      <c r="D100" s="42"/>
      <c r="E100" s="43"/>
      <c r="F100" s="44" t="s">
        <v>55</v>
      </c>
      <c r="G100" s="44"/>
      <c r="H100" s="63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2"/>
      <c r="T100" s="5"/>
    </row>
    <row r="101" spans="2:20" ht="13" hidden="1" x14ac:dyDescent="0.15">
      <c r="B101" s="42"/>
      <c r="C101" s="42" t="s">
        <v>56</v>
      </c>
      <c r="D101" s="42" t="s">
        <v>57</v>
      </c>
      <c r="E101" s="43"/>
      <c r="F101" s="44" t="s">
        <v>58</v>
      </c>
      <c r="G101" s="44" t="s">
        <v>59</v>
      </c>
      <c r="H101" s="63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2"/>
      <c r="T101" s="5"/>
    </row>
    <row r="102" spans="2:20" ht="13" hidden="1" x14ac:dyDescent="0.15">
      <c r="B102" s="42"/>
      <c r="C102" s="42" t="s">
        <v>60</v>
      </c>
      <c r="D102" s="42" t="s">
        <v>61</v>
      </c>
      <c r="E102" s="43">
        <v>44510</v>
      </c>
      <c r="F102" s="44" t="s">
        <v>55</v>
      </c>
      <c r="G102" s="44"/>
      <c r="H102" s="63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2"/>
      <c r="T102" s="5"/>
    </row>
    <row r="103" spans="2:20" ht="13" hidden="1" x14ac:dyDescent="0.15">
      <c r="B103" s="42"/>
      <c r="C103" s="42" t="s">
        <v>62</v>
      </c>
      <c r="D103" s="42" t="s">
        <v>57</v>
      </c>
      <c r="E103" s="43">
        <v>44532</v>
      </c>
      <c r="F103" s="44" t="s">
        <v>63</v>
      </c>
      <c r="G103" s="44"/>
      <c r="H103" s="63"/>
      <c r="T103" s="5"/>
    </row>
    <row r="104" spans="2:20" ht="13" hidden="1" x14ac:dyDescent="0.15">
      <c r="B104" s="45"/>
      <c r="C104" s="46"/>
      <c r="D104" s="46"/>
      <c r="E104" s="47"/>
      <c r="F104" s="48"/>
      <c r="G104" s="48"/>
      <c r="H104" s="64"/>
    </row>
    <row r="105" spans="2:20" ht="18.75" hidden="1" customHeight="1" x14ac:dyDescent="0.15">
      <c r="B105" s="45"/>
      <c r="C105" s="46"/>
      <c r="D105" s="46"/>
      <c r="E105" s="47"/>
      <c r="F105" s="48"/>
      <c r="G105" s="48"/>
      <c r="H105" s="64"/>
    </row>
    <row r="106" spans="2:20" ht="13" hidden="1" x14ac:dyDescent="0.15">
      <c r="B106" s="45"/>
      <c r="C106" s="46"/>
      <c r="D106" s="46"/>
      <c r="E106" s="47"/>
      <c r="F106" s="48"/>
      <c r="G106" s="48"/>
      <c r="H106" s="64"/>
    </row>
    <row r="107" spans="2:20" ht="13" hidden="1" x14ac:dyDescent="0.15">
      <c r="B107" s="45"/>
      <c r="C107" s="46"/>
      <c r="D107" s="46"/>
      <c r="E107" s="47"/>
      <c r="F107" s="48"/>
      <c r="G107" s="48"/>
      <c r="H107" s="64"/>
    </row>
    <row r="108" spans="2:20" ht="13" hidden="1" x14ac:dyDescent="0.15">
      <c r="B108" s="45"/>
      <c r="C108" s="46"/>
      <c r="D108" s="46"/>
      <c r="E108" s="47"/>
      <c r="F108" s="48"/>
      <c r="G108" s="48"/>
      <c r="H108" s="64"/>
    </row>
    <row r="109" spans="2:20" ht="13" hidden="1" x14ac:dyDescent="0.15">
      <c r="B109" s="45"/>
      <c r="C109" s="46"/>
      <c r="D109" s="46"/>
      <c r="E109" s="47"/>
      <c r="F109" s="48"/>
      <c r="G109" s="48"/>
      <c r="H109" s="64"/>
    </row>
    <row r="110" spans="2:20" ht="13" hidden="1" x14ac:dyDescent="0.15">
      <c r="B110" s="46"/>
      <c r="C110" s="46"/>
      <c r="D110" s="46"/>
      <c r="E110" s="47"/>
      <c r="F110" s="48"/>
      <c r="G110" s="48"/>
      <c r="H110" s="64"/>
    </row>
    <row r="111" spans="2:20" ht="13" hidden="1" x14ac:dyDescent="0.15">
      <c r="B111" s="46"/>
      <c r="C111" s="46"/>
      <c r="D111" s="46"/>
      <c r="E111" s="47"/>
      <c r="F111" s="48"/>
      <c r="G111" s="48"/>
      <c r="H111" s="64"/>
    </row>
    <row r="112" spans="2:20" ht="13" hidden="1" x14ac:dyDescent="0.15">
      <c r="B112" s="46"/>
      <c r="C112" s="46"/>
      <c r="D112" s="46"/>
      <c r="E112" s="47"/>
      <c r="F112" s="48"/>
      <c r="G112" s="48"/>
      <c r="H112" s="64"/>
    </row>
    <row r="113" spans="2:8" ht="13" hidden="1" x14ac:dyDescent="0.15">
      <c r="B113" s="46"/>
      <c r="C113" s="46"/>
      <c r="D113" s="46"/>
      <c r="E113" s="47"/>
      <c r="F113" s="48"/>
      <c r="G113" s="48"/>
      <c r="H113" s="64"/>
    </row>
    <row r="114" spans="2:8" ht="13" hidden="1" x14ac:dyDescent="0.15">
      <c r="B114" s="3"/>
      <c r="C114" s="3"/>
      <c r="D114" s="240"/>
      <c r="E114" s="49" t="s">
        <v>50</v>
      </c>
      <c r="F114" s="28">
        <f>I92</f>
        <v>0</v>
      </c>
      <c r="G114" s="14"/>
      <c r="H114" s="14"/>
    </row>
    <row r="115" spans="2:8" ht="13" x14ac:dyDescent="0.15">
      <c r="B115" s="3"/>
      <c r="C115" s="3"/>
      <c r="D115" s="241"/>
      <c r="E115" s="49" t="s">
        <v>51</v>
      </c>
      <c r="F115" s="50">
        <f>K92</f>
        <v>0</v>
      </c>
      <c r="G115" s="14"/>
      <c r="H115" s="14"/>
    </row>
    <row r="116" spans="2:8" ht="13" x14ac:dyDescent="0.15">
      <c r="B116" s="3"/>
      <c r="C116" s="3"/>
      <c r="D116" s="242"/>
      <c r="E116" s="88" t="s">
        <v>41</v>
      </c>
      <c r="F116" s="50">
        <f>H92</f>
        <v>0</v>
      </c>
      <c r="G116" s="14"/>
      <c r="H116" s="14"/>
    </row>
    <row r="117" spans="2:8" ht="13" x14ac:dyDescent="0.15">
      <c r="B117" s="3"/>
      <c r="C117" s="3"/>
      <c r="D117" s="243"/>
      <c r="E117" s="88" t="s">
        <v>40</v>
      </c>
      <c r="F117" s="50">
        <f>J92</f>
        <v>0</v>
      </c>
      <c r="G117" s="14"/>
      <c r="H117" s="14"/>
    </row>
    <row r="118" spans="2:8" ht="13" x14ac:dyDescent="0.15"/>
  </sheetData>
  <sortState xmlns:xlrd2="http://schemas.microsoft.com/office/spreadsheetml/2017/richdata2" ref="B7:T10">
    <sortCondition ref="I7:I10"/>
  </sortState>
  <mergeCells count="60">
    <mergeCell ref="N54:S54"/>
    <mergeCell ref="N48:S48"/>
    <mergeCell ref="N49:S49"/>
    <mergeCell ref="N42:S42"/>
    <mergeCell ref="N43:S43"/>
    <mergeCell ref="N44:S44"/>
    <mergeCell ref="N46:S46"/>
    <mergeCell ref="N45:S45"/>
    <mergeCell ref="N47:S47"/>
    <mergeCell ref="N59:S59"/>
    <mergeCell ref="N84:S84"/>
    <mergeCell ref="N85:S85"/>
    <mergeCell ref="N63:S63"/>
    <mergeCell ref="N60:S60"/>
    <mergeCell ref="N56:S56"/>
    <mergeCell ref="N57:S57"/>
    <mergeCell ref="M5:T5"/>
    <mergeCell ref="B30:S30"/>
    <mergeCell ref="B5:E5"/>
    <mergeCell ref="F5:I5"/>
    <mergeCell ref="J5:L5"/>
    <mergeCell ref="B15:J15"/>
    <mergeCell ref="N32:S32"/>
    <mergeCell ref="N40:S40"/>
    <mergeCell ref="N53:S53"/>
    <mergeCell ref="N55:S55"/>
    <mergeCell ref="N52:S52"/>
    <mergeCell ref="N50:S50"/>
    <mergeCell ref="N51:S51"/>
    <mergeCell ref="N41:S41"/>
    <mergeCell ref="B99:G99"/>
    <mergeCell ref="N61:S61"/>
    <mergeCell ref="N62:S62"/>
    <mergeCell ref="N64:S64"/>
    <mergeCell ref="N65:S65"/>
    <mergeCell ref="N66:S66"/>
    <mergeCell ref="N67:S67"/>
    <mergeCell ref="N68:S68"/>
    <mergeCell ref="N69:S69"/>
    <mergeCell ref="N77:S77"/>
    <mergeCell ref="N70:S70"/>
    <mergeCell ref="N71:S71"/>
    <mergeCell ref="N72:S72"/>
    <mergeCell ref="N89:S89"/>
    <mergeCell ref="N86:S86"/>
    <mergeCell ref="B92:C92"/>
    <mergeCell ref="D92:E92"/>
    <mergeCell ref="N73:S73"/>
    <mergeCell ref="N80:S80"/>
    <mergeCell ref="N81:S81"/>
    <mergeCell ref="N74:S74"/>
    <mergeCell ref="N75:S75"/>
    <mergeCell ref="N76:S76"/>
    <mergeCell ref="N78:S78"/>
    <mergeCell ref="N79:S79"/>
    <mergeCell ref="N92:S92"/>
    <mergeCell ref="N90:S90"/>
    <mergeCell ref="N91:S91"/>
    <mergeCell ref="N82:S82"/>
    <mergeCell ref="N83:S83"/>
  </mergeCells>
  <phoneticPr fontId="14" type="noConversion"/>
  <conditionalFormatting sqref="N32:N91">
    <cfRule type="notContainsBlanks" dxfId="0" priority="2">
      <formula>LEN(TRIM(N32))&gt;0</formula>
    </cfRule>
  </conditionalFormatting>
  <dataValidations count="6">
    <dataValidation type="list" allowBlank="1" showErrorMessage="1" sqref="H17:H26 J7:J13" xr:uid="{F30932D6-0DEF-4CA3-917C-6823C5584BA0}">
      <formula1>"HANK,SAM,VITO ,CLAUDIA,JAYDEN,RYAN,HUNTER, BILL, N/A"</formula1>
    </dataValidation>
    <dataValidation type="list" allowBlank="1" showErrorMessage="1" sqref="K17:K21 H27" xr:uid="{F62D8F86-B49B-45EE-B201-BB7CE3035933}">
      <formula1>"BOB,DUKE,JOE C.,JOE K.,RUDY ,ART,BURK"</formula1>
    </dataValidation>
    <dataValidation type="list" allowBlank="1" showErrorMessage="1" sqref="D65 D68:D69 E7:E13" xr:uid="{47179B8F-2970-4F0C-BA37-7F35F7F567B4}">
      <formula1>"CONCEPTUAL EST,GMP,LUMP SUM PROPOSAL ,DD EST,SCHEMATIC EST,OTHER,MARKETING "</formula1>
    </dataValidation>
    <dataValidation type="list" allowBlank="1" showErrorMessage="1" sqref="J17:J26" xr:uid="{BF57B7EB-BCD2-4281-AB51-2FDF119D2331}">
      <formula1>"BOB, DUKE, JOE K., JOE V, JOE K, ART, BURK, PAUL, JAY M. "</formula1>
    </dataValidation>
    <dataValidation type="list" allowBlank="1" showErrorMessage="1" sqref="D89:D91" xr:uid="{ADA2595E-FC0B-4E3F-91B3-6A81B288D84D}">
      <formula1>"CONCEPTUAL ESTIMATE, SD ESTIMATE, DD ESTIMATE, GMP, LUMP SUM PROPOSAL"</formula1>
    </dataValidation>
    <dataValidation type="list" allowBlank="1" showErrorMessage="1" sqref="D6:D13" xr:uid="{E4FADDFA-37DB-40E6-9D38-ABEB2E5624A5}">
      <formula1>"RFP,RFQ,CLIENT REQUEST,DESIGN/BUILD RFP"</formula1>
    </dataValidation>
  </dataValidations>
  <printOptions gridLines="1"/>
  <pageMargins left="0.7" right="0.7" top="0.75" bottom="0.75" header="0" footer="0"/>
  <pageSetup paperSize="17" scale="68" fitToHeight="0" pageOrder="overThenDown" orientation="landscape" cellComments="atEnd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9719A-B026-4406-B0AD-6AA17A6681CF}">
  <sheetPr>
    <outlinePr summaryBelow="0" summaryRight="0"/>
  </sheetPr>
  <dimension ref="A2:P91"/>
  <sheetViews>
    <sheetView workbookViewId="0">
      <selection activeCell="K6" sqref="K6:P15"/>
    </sheetView>
  </sheetViews>
  <sheetFormatPr baseColWidth="10" defaultColWidth="12.5" defaultRowHeight="15.75" customHeight="1" x14ac:dyDescent="0.2"/>
  <cols>
    <col min="1" max="1" width="12" style="159" customWidth="1"/>
    <col min="2" max="2" width="54.33203125" style="159" customWidth="1"/>
    <col min="3" max="4" width="12.83203125" style="159" customWidth="1"/>
    <col min="5" max="6" width="11.5" style="159" customWidth="1"/>
    <col min="7" max="7" width="18" style="159" customWidth="1"/>
    <col min="8" max="10" width="9.1640625" style="159" bestFit="1" customWidth="1"/>
    <col min="11" max="11" width="11.1640625" style="159" customWidth="1"/>
    <col min="12" max="12" width="46.1640625" style="159" customWidth="1"/>
    <col min="13" max="13" width="10.6640625" style="159" customWidth="1"/>
    <col min="14" max="14" width="9.33203125" style="159" bestFit="1" customWidth="1"/>
    <col min="15" max="15" width="9.33203125" style="159" customWidth="1"/>
    <col min="16" max="16" width="9.1640625" style="159" bestFit="1" customWidth="1"/>
    <col min="17" max="17" width="19.5" style="159" bestFit="1" customWidth="1"/>
    <col min="18" max="16384" width="12.5" style="159"/>
  </cols>
  <sheetData>
    <row r="2" spans="1:16" ht="24" x14ac:dyDescent="0.3">
      <c r="I2" s="189"/>
      <c r="J2" s="189"/>
    </row>
    <row r="3" spans="1:16" ht="24" x14ac:dyDescent="0.3">
      <c r="F3" s="294" t="s">
        <v>64</v>
      </c>
      <c r="G3" s="294"/>
      <c r="H3" s="294"/>
      <c r="I3" s="294"/>
      <c r="J3" s="294"/>
      <c r="K3" s="294"/>
    </row>
    <row r="4" spans="1:16" ht="21" x14ac:dyDescent="0.25">
      <c r="A4" s="293" t="s">
        <v>65</v>
      </c>
      <c r="B4" s="293"/>
      <c r="C4" s="293"/>
      <c r="D4" s="160"/>
      <c r="E4" s="161"/>
      <c r="F4" s="161"/>
      <c r="K4" s="162" t="s">
        <v>66</v>
      </c>
    </row>
    <row r="5" spans="1:16" ht="15.75" customHeight="1" x14ac:dyDescent="0.2">
      <c r="A5" s="163" t="s">
        <v>67</v>
      </c>
      <c r="B5" s="164" t="s">
        <v>68</v>
      </c>
      <c r="C5" s="163" t="s">
        <v>69</v>
      </c>
      <c r="D5" s="163" t="s">
        <v>70</v>
      </c>
      <c r="E5" s="163" t="s">
        <v>71</v>
      </c>
      <c r="F5" s="163" t="s">
        <v>72</v>
      </c>
      <c r="K5" s="163" t="s">
        <v>67</v>
      </c>
      <c r="L5" s="164" t="s">
        <v>68</v>
      </c>
      <c r="M5" s="163" t="s">
        <v>69</v>
      </c>
      <c r="N5" s="163" t="s">
        <v>70</v>
      </c>
      <c r="O5" s="163" t="s">
        <v>71</v>
      </c>
      <c r="P5" s="163" t="s">
        <v>72</v>
      </c>
    </row>
    <row r="6" spans="1:16" ht="15.75" customHeight="1" x14ac:dyDescent="0.2">
      <c r="A6" s="165"/>
      <c r="B6" s="166"/>
      <c r="C6" s="167"/>
      <c r="D6" s="167"/>
      <c r="E6" s="165"/>
      <c r="F6" s="168"/>
      <c r="K6" s="169"/>
      <c r="L6" s="170"/>
      <c r="M6" s="169"/>
      <c r="N6" s="169"/>
      <c r="O6" s="169"/>
      <c r="P6" s="171"/>
    </row>
    <row r="7" spans="1:16" ht="15.75" customHeight="1" x14ac:dyDescent="0.2">
      <c r="A7" s="165"/>
      <c r="B7" s="166"/>
      <c r="C7" s="167"/>
      <c r="D7" s="167"/>
      <c r="E7" s="165"/>
      <c r="F7" s="168"/>
      <c r="K7" s="169"/>
      <c r="L7" s="170"/>
      <c r="M7" s="169"/>
      <c r="N7" s="169"/>
      <c r="O7" s="169"/>
      <c r="P7" s="171"/>
    </row>
    <row r="8" spans="1:16" ht="15.75" customHeight="1" x14ac:dyDescent="0.2">
      <c r="A8" s="165"/>
      <c r="B8" s="166"/>
      <c r="C8" s="167"/>
      <c r="D8" s="167"/>
      <c r="E8" s="165"/>
      <c r="F8" s="168"/>
      <c r="K8" s="169"/>
      <c r="L8" s="170"/>
      <c r="N8" s="169"/>
      <c r="O8" s="169"/>
      <c r="P8" s="171"/>
    </row>
    <row r="9" spans="1:16" ht="15.75" customHeight="1" x14ac:dyDescent="0.2">
      <c r="A9" s="165"/>
      <c r="B9" s="166"/>
      <c r="C9" s="167"/>
      <c r="D9" s="167"/>
      <c r="E9" s="165"/>
      <c r="F9" s="168"/>
      <c r="K9" s="169"/>
      <c r="L9" s="170"/>
      <c r="M9" s="169"/>
      <c r="N9" s="169"/>
      <c r="O9" s="169"/>
      <c r="P9" s="171"/>
    </row>
    <row r="10" spans="1:16" ht="15.75" customHeight="1" x14ac:dyDescent="0.2">
      <c r="A10" s="165"/>
      <c r="B10" s="166"/>
      <c r="C10" s="167"/>
      <c r="D10" s="167"/>
      <c r="E10" s="165"/>
      <c r="F10" s="168"/>
      <c r="K10" s="169"/>
      <c r="L10" s="170"/>
      <c r="M10" s="169"/>
      <c r="N10" s="169"/>
      <c r="O10" s="169"/>
      <c r="P10" s="171"/>
    </row>
    <row r="11" spans="1:16" ht="15.75" customHeight="1" x14ac:dyDescent="0.2">
      <c r="A11" s="165"/>
      <c r="B11" s="166"/>
      <c r="C11" s="167"/>
      <c r="D11" s="167"/>
      <c r="E11" s="165"/>
      <c r="F11" s="168"/>
      <c r="K11" s="169"/>
      <c r="L11" s="170"/>
      <c r="M11" s="169"/>
      <c r="N11" s="169"/>
      <c r="O11" s="169"/>
      <c r="P11" s="171"/>
    </row>
    <row r="12" spans="1:16" ht="15.75" customHeight="1" x14ac:dyDescent="0.2">
      <c r="A12" s="165"/>
      <c r="B12" s="166"/>
      <c r="C12" s="167"/>
      <c r="D12" s="167"/>
      <c r="E12" s="165"/>
      <c r="F12" s="168"/>
      <c r="K12" s="169"/>
      <c r="L12" s="170"/>
      <c r="M12" s="169"/>
      <c r="N12" s="169"/>
      <c r="O12" s="169"/>
      <c r="P12" s="171"/>
    </row>
    <row r="13" spans="1:16" ht="15.75" customHeight="1" x14ac:dyDescent="0.2">
      <c r="A13" s="165"/>
      <c r="B13" s="166"/>
      <c r="C13" s="167"/>
      <c r="D13" s="167"/>
      <c r="E13" s="165"/>
      <c r="F13" s="168"/>
      <c r="K13" s="169"/>
      <c r="L13" s="170"/>
      <c r="M13" s="169"/>
      <c r="N13" s="169"/>
      <c r="O13" s="169"/>
      <c r="P13" s="171"/>
    </row>
    <row r="14" spans="1:16" ht="15.75" customHeight="1" x14ac:dyDescent="0.2">
      <c r="A14" s="165"/>
      <c r="B14" s="166"/>
      <c r="C14" s="167"/>
      <c r="D14" s="167"/>
      <c r="E14" s="165"/>
      <c r="F14" s="168"/>
      <c r="K14" s="169"/>
      <c r="L14" s="170"/>
      <c r="M14" s="169"/>
      <c r="N14" s="169"/>
      <c r="O14" s="169"/>
      <c r="P14" s="171"/>
    </row>
    <row r="15" spans="1:16" ht="15.75" customHeight="1" x14ac:dyDescent="0.2">
      <c r="A15" s="165"/>
      <c r="B15" s="166"/>
      <c r="C15" s="167"/>
      <c r="D15" s="167"/>
      <c r="E15" s="165"/>
      <c r="F15" s="168"/>
      <c r="K15" s="169"/>
      <c r="L15" s="251"/>
      <c r="M15" s="169"/>
      <c r="N15" s="169"/>
      <c r="O15" s="169"/>
      <c r="P15" s="171"/>
    </row>
    <row r="16" spans="1:16" ht="15.75" customHeight="1" x14ac:dyDescent="0.2">
      <c r="A16" s="165"/>
      <c r="B16" s="166"/>
      <c r="C16" s="167"/>
      <c r="D16" s="167"/>
      <c r="E16" s="165"/>
      <c r="F16" s="168"/>
      <c r="K16" s="169"/>
      <c r="L16" s="170"/>
      <c r="M16" s="169"/>
      <c r="N16" s="169"/>
      <c r="O16" s="169"/>
      <c r="P16" s="171"/>
    </row>
    <row r="17" spans="1:16" ht="15.75" customHeight="1" x14ac:dyDescent="0.2">
      <c r="A17" s="165"/>
      <c r="B17" s="166"/>
      <c r="C17" s="167"/>
      <c r="D17" s="167"/>
      <c r="E17" s="165"/>
      <c r="F17" s="168"/>
      <c r="K17" s="172"/>
      <c r="L17" s="173"/>
      <c r="M17" s="172"/>
      <c r="N17" s="172"/>
      <c r="O17" s="172"/>
      <c r="P17" s="174"/>
    </row>
    <row r="18" spans="1:16" ht="15.75" customHeight="1" x14ac:dyDescent="0.2">
      <c r="A18" s="165"/>
      <c r="B18" s="166"/>
      <c r="C18" s="167"/>
      <c r="D18" s="167"/>
      <c r="E18" s="165"/>
      <c r="F18" s="168"/>
      <c r="K18" s="175"/>
      <c r="L18" s="176"/>
      <c r="M18" s="175"/>
      <c r="N18" s="175"/>
      <c r="O18" s="175"/>
      <c r="P18" s="177"/>
    </row>
    <row r="19" spans="1:16" ht="15.75" customHeight="1" x14ac:dyDescent="0.2">
      <c r="A19" s="165"/>
      <c r="B19" s="166"/>
      <c r="C19" s="167"/>
      <c r="D19" s="167"/>
      <c r="E19" s="165"/>
      <c r="F19" s="168"/>
      <c r="K19" s="175"/>
      <c r="L19" s="176"/>
      <c r="M19" s="175"/>
      <c r="N19" s="175"/>
      <c r="O19" s="175"/>
      <c r="P19" s="177"/>
    </row>
    <row r="20" spans="1:16" ht="15.75" customHeight="1" x14ac:dyDescent="0.2">
      <c r="A20" s="165"/>
      <c r="B20" s="166"/>
      <c r="C20" s="167"/>
      <c r="D20" s="167"/>
      <c r="E20" s="165"/>
      <c r="F20" s="168"/>
      <c r="K20" s="175"/>
      <c r="L20" s="176"/>
      <c r="M20" s="175"/>
      <c r="N20" s="175"/>
      <c r="O20" s="175"/>
      <c r="P20" s="177"/>
    </row>
    <row r="21" spans="1:16" ht="15.75" customHeight="1" x14ac:dyDescent="0.2">
      <c r="A21" s="165"/>
      <c r="B21" s="166"/>
      <c r="C21" s="167"/>
      <c r="D21" s="167"/>
      <c r="E21" s="165"/>
      <c r="F21" s="168"/>
      <c r="K21" s="175"/>
      <c r="L21" s="176"/>
      <c r="M21" s="175"/>
      <c r="N21" s="175"/>
      <c r="O21" s="175"/>
      <c r="P21" s="177"/>
    </row>
    <row r="22" spans="1:16" ht="15.75" customHeight="1" x14ac:dyDescent="0.2">
      <c r="A22" s="165"/>
      <c r="B22" s="166"/>
      <c r="C22" s="167"/>
      <c r="D22" s="167"/>
      <c r="E22" s="165"/>
      <c r="F22" s="168"/>
      <c r="K22" s="175"/>
      <c r="L22" s="176"/>
      <c r="M22" s="175"/>
      <c r="N22" s="175"/>
      <c r="O22" s="175"/>
      <c r="P22" s="177"/>
    </row>
    <row r="23" spans="1:16" ht="15.75" customHeight="1" x14ac:dyDescent="0.2">
      <c r="A23" s="165"/>
      <c r="B23" s="166"/>
      <c r="C23" s="167"/>
      <c r="D23" s="167"/>
      <c r="E23" s="165"/>
      <c r="F23" s="168"/>
      <c r="K23" s="175"/>
      <c r="L23" s="176"/>
      <c r="M23" s="175"/>
      <c r="N23" s="175"/>
      <c r="O23" s="175"/>
      <c r="P23" s="177"/>
    </row>
    <row r="24" spans="1:16" ht="15.75" customHeight="1" x14ac:dyDescent="0.2">
      <c r="A24" s="165"/>
      <c r="B24" s="166"/>
      <c r="C24" s="167"/>
      <c r="D24" s="167"/>
      <c r="E24" s="165"/>
      <c r="F24" s="168"/>
      <c r="K24" s="175"/>
      <c r="L24" s="176"/>
      <c r="M24" s="175"/>
      <c r="N24" s="175"/>
      <c r="O24" s="175"/>
      <c r="P24" s="177"/>
    </row>
    <row r="25" spans="1:16" ht="15.75" customHeight="1" x14ac:dyDescent="0.2">
      <c r="A25" s="165"/>
      <c r="B25" s="166"/>
      <c r="C25" s="178"/>
      <c r="D25" s="178"/>
      <c r="E25" s="179"/>
      <c r="F25" s="180"/>
      <c r="K25" s="175"/>
      <c r="L25" s="176"/>
      <c r="M25" s="175"/>
      <c r="N25" s="175"/>
      <c r="O25" s="175"/>
      <c r="P25" s="177"/>
    </row>
    <row r="26" spans="1:16" ht="15.75" customHeight="1" x14ac:dyDescent="0.2">
      <c r="A26" s="165"/>
      <c r="B26" s="166"/>
      <c r="C26" s="178"/>
      <c r="D26" s="178"/>
      <c r="E26" s="179"/>
      <c r="F26" s="180"/>
      <c r="K26" s="175"/>
      <c r="L26" s="176"/>
      <c r="M26" s="175"/>
      <c r="N26" s="175"/>
      <c r="O26" s="175"/>
      <c r="P26" s="177"/>
    </row>
    <row r="27" spans="1:16" ht="15.75" customHeight="1" x14ac:dyDescent="0.2">
      <c r="A27" s="165"/>
      <c r="B27" s="181"/>
      <c r="C27" s="182"/>
      <c r="D27" s="182"/>
      <c r="E27" s="183"/>
      <c r="F27" s="184"/>
      <c r="K27" s="175"/>
      <c r="L27" s="176"/>
      <c r="M27" s="175"/>
      <c r="N27" s="175"/>
      <c r="O27" s="175"/>
      <c r="P27" s="177"/>
    </row>
    <row r="28" spans="1:16" ht="15.75" customHeight="1" x14ac:dyDescent="0.2">
      <c r="A28" s="165"/>
      <c r="B28" s="185"/>
      <c r="C28" s="194"/>
      <c r="D28" s="186"/>
      <c r="E28" s="187"/>
      <c r="F28" s="204"/>
      <c r="G28" s="188"/>
      <c r="K28" s="175"/>
      <c r="L28" s="176"/>
      <c r="M28" s="175"/>
      <c r="N28" s="175"/>
      <c r="O28" s="175"/>
      <c r="P28" s="177"/>
    </row>
    <row r="29" spans="1:16" ht="15.75" customHeight="1" x14ac:dyDescent="0.2">
      <c r="A29" s="190"/>
      <c r="B29" s="205"/>
      <c r="C29" s="182"/>
      <c r="D29" s="182"/>
      <c r="E29" s="182"/>
      <c r="F29" s="206"/>
      <c r="G29" s="188"/>
      <c r="K29" s="175"/>
      <c r="L29" s="176"/>
      <c r="M29" s="175"/>
      <c r="N29" s="175"/>
      <c r="O29" s="175"/>
      <c r="P29" s="177"/>
    </row>
    <row r="30" spans="1:16" ht="15.75" customHeight="1" x14ac:dyDescent="0.2">
      <c r="A30" s="190"/>
      <c r="B30" s="205"/>
      <c r="C30" s="182"/>
      <c r="D30" s="182"/>
      <c r="E30" s="182"/>
      <c r="F30" s="206"/>
      <c r="G30" s="188"/>
      <c r="K30" s="175"/>
      <c r="L30" s="176"/>
      <c r="M30" s="175"/>
      <c r="N30" s="175"/>
      <c r="O30" s="175"/>
      <c r="P30" s="177"/>
    </row>
    <row r="31" spans="1:16" ht="15.75" customHeight="1" x14ac:dyDescent="0.2">
      <c r="A31" s="190"/>
      <c r="B31" s="205"/>
      <c r="C31" s="182"/>
      <c r="D31" s="182"/>
      <c r="E31" s="182"/>
      <c r="F31" s="206"/>
      <c r="G31" s="191"/>
      <c r="K31" s="192"/>
      <c r="M31" s="192"/>
      <c r="N31" s="192"/>
      <c r="O31" s="192"/>
      <c r="P31" s="193"/>
    </row>
    <row r="32" spans="1:16" ht="15.75" customHeight="1" x14ac:dyDescent="0.2">
      <c r="A32" s="190"/>
      <c r="B32" s="205"/>
      <c r="C32" s="182"/>
      <c r="D32" s="182"/>
      <c r="E32" s="182"/>
      <c r="F32" s="206"/>
      <c r="G32" s="188"/>
      <c r="K32" s="192"/>
      <c r="M32" s="192"/>
      <c r="N32" s="192"/>
      <c r="O32" s="192"/>
      <c r="P32" s="193"/>
    </row>
    <row r="33" spans="1:16" ht="15.75" customHeight="1" x14ac:dyDescent="0.2">
      <c r="A33" s="190"/>
      <c r="B33" s="205"/>
      <c r="C33" s="182"/>
      <c r="D33" s="182"/>
      <c r="E33" s="182"/>
      <c r="F33" s="206"/>
      <c r="G33" s="188"/>
      <c r="K33" s="192"/>
      <c r="M33" s="192"/>
      <c r="N33" s="192"/>
      <c r="O33" s="192"/>
      <c r="P33" s="193"/>
    </row>
    <row r="34" spans="1:16" ht="15.75" customHeight="1" x14ac:dyDescent="0.2">
      <c r="A34" s="190"/>
      <c r="B34" s="205"/>
      <c r="C34" s="182"/>
      <c r="D34" s="182"/>
      <c r="E34" s="182"/>
      <c r="F34" s="206"/>
      <c r="G34" s="188"/>
      <c r="K34" s="192"/>
      <c r="M34" s="192"/>
      <c r="N34" s="192"/>
      <c r="O34" s="192"/>
      <c r="P34" s="193"/>
    </row>
    <row r="35" spans="1:16" ht="15.75" customHeight="1" x14ac:dyDescent="0.2">
      <c r="A35" s="190"/>
      <c r="B35" s="205"/>
      <c r="C35" s="182"/>
      <c r="D35" s="182"/>
      <c r="E35" s="182"/>
      <c r="F35" s="206"/>
      <c r="G35" s="188"/>
      <c r="K35" s="192"/>
      <c r="M35" s="192"/>
      <c r="N35" s="192"/>
      <c r="O35" s="192"/>
      <c r="P35" s="193"/>
    </row>
    <row r="36" spans="1:16" ht="15.75" customHeight="1" x14ac:dyDescent="0.2">
      <c r="A36" s="190"/>
      <c r="B36" s="205"/>
      <c r="C36" s="182"/>
      <c r="D36" s="182"/>
      <c r="E36" s="182"/>
      <c r="F36" s="206"/>
      <c r="G36" s="188"/>
      <c r="K36" s="192"/>
      <c r="M36" s="192"/>
      <c r="N36" s="192"/>
      <c r="O36" s="192"/>
      <c r="P36" s="193"/>
    </row>
    <row r="37" spans="1:16" ht="15.75" customHeight="1" x14ac:dyDescent="0.2">
      <c r="A37" s="190"/>
      <c r="B37" s="205"/>
      <c r="C37" s="182"/>
      <c r="D37" s="182"/>
      <c r="E37" s="182"/>
      <c r="F37" s="206"/>
      <c r="G37" s="188"/>
      <c r="K37" s="192"/>
      <c r="M37" s="192"/>
      <c r="N37" s="192"/>
      <c r="O37" s="192"/>
      <c r="P37" s="193"/>
    </row>
    <row r="38" spans="1:16" ht="15.75" customHeight="1" x14ac:dyDescent="0.2">
      <c r="A38" s="190"/>
      <c r="B38" s="205"/>
      <c r="C38" s="182"/>
      <c r="D38" s="182"/>
      <c r="E38" s="182"/>
      <c r="F38" s="206"/>
      <c r="G38" s="188"/>
      <c r="K38" s="192"/>
      <c r="M38" s="192"/>
      <c r="N38" s="192"/>
      <c r="O38" s="192"/>
      <c r="P38" s="193"/>
    </row>
    <row r="39" spans="1:16" ht="15.75" customHeight="1" x14ac:dyDescent="0.2">
      <c r="A39" s="190"/>
      <c r="B39" s="205"/>
      <c r="C39" s="182"/>
      <c r="D39" s="182"/>
      <c r="E39" s="182"/>
      <c r="F39" s="206"/>
      <c r="G39" s="188"/>
      <c r="K39" s="192"/>
      <c r="M39" s="192"/>
      <c r="N39" s="192"/>
      <c r="O39" s="192"/>
      <c r="P39" s="193"/>
    </row>
    <row r="40" spans="1:16" ht="15.75" customHeight="1" x14ac:dyDescent="0.2">
      <c r="A40" s="190"/>
      <c r="B40" s="205"/>
      <c r="C40" s="182"/>
      <c r="D40" s="182"/>
      <c r="E40" s="182"/>
      <c r="F40" s="206"/>
      <c r="G40" s="188"/>
      <c r="K40" s="192"/>
      <c r="M40" s="192"/>
      <c r="N40" s="192"/>
      <c r="O40" s="192"/>
      <c r="P40" s="193"/>
    </row>
    <row r="41" spans="1:16" ht="15.75" customHeight="1" x14ac:dyDescent="0.2">
      <c r="A41" s="190"/>
      <c r="B41" s="205"/>
      <c r="C41" s="182"/>
      <c r="D41" s="182"/>
      <c r="E41" s="182"/>
      <c r="F41" s="206"/>
      <c r="G41" s="188"/>
      <c r="K41" s="192"/>
      <c r="M41" s="192"/>
      <c r="N41" s="192"/>
      <c r="O41" s="192"/>
      <c r="P41" s="193"/>
    </row>
    <row r="42" spans="1:16" ht="15.75" customHeight="1" x14ac:dyDescent="0.2">
      <c r="A42" s="190"/>
      <c r="B42" s="205"/>
      <c r="C42" s="182"/>
      <c r="D42" s="182"/>
      <c r="E42" s="182"/>
      <c r="F42" s="206"/>
      <c r="G42" s="188"/>
      <c r="K42" s="192"/>
      <c r="M42" s="192"/>
      <c r="N42" s="192"/>
      <c r="O42" s="192"/>
      <c r="P42" s="193"/>
    </row>
    <row r="43" spans="1:16" ht="15.75" customHeight="1" x14ac:dyDescent="0.2">
      <c r="A43" s="190"/>
      <c r="B43" s="205"/>
      <c r="C43" s="182"/>
      <c r="D43" s="182"/>
      <c r="E43" s="182"/>
      <c r="F43" s="206"/>
      <c r="G43" s="188"/>
      <c r="K43" s="192"/>
      <c r="M43" s="192"/>
      <c r="N43" s="192"/>
      <c r="O43" s="192"/>
      <c r="P43" s="193"/>
    </row>
    <row r="44" spans="1:16" ht="15.75" customHeight="1" x14ac:dyDescent="0.2">
      <c r="A44" s="190"/>
      <c r="B44" s="205"/>
      <c r="C44" s="182"/>
      <c r="D44" s="182"/>
      <c r="E44" s="182"/>
      <c r="F44" s="206"/>
      <c r="G44" s="188"/>
      <c r="K44" s="192"/>
      <c r="M44" s="192"/>
      <c r="N44" s="192"/>
      <c r="O44" s="192"/>
      <c r="P44" s="193"/>
    </row>
    <row r="45" spans="1:16" ht="15.75" customHeight="1" x14ac:dyDescent="0.2">
      <c r="A45" s="190"/>
      <c r="B45" s="205"/>
      <c r="C45" s="182"/>
      <c r="D45" s="182"/>
      <c r="E45" s="182"/>
      <c r="F45" s="206"/>
      <c r="G45" s="188"/>
      <c r="K45" s="192"/>
      <c r="M45" s="192"/>
      <c r="N45" s="192"/>
      <c r="O45" s="192"/>
      <c r="P45" s="193"/>
    </row>
    <row r="46" spans="1:16" ht="15.75" customHeight="1" x14ac:dyDescent="0.2">
      <c r="A46" s="190"/>
      <c r="B46" s="205"/>
      <c r="C46" s="182"/>
      <c r="D46" s="182"/>
      <c r="E46" s="182"/>
      <c r="F46" s="206"/>
      <c r="G46" s="188"/>
      <c r="K46" s="192"/>
      <c r="M46" s="192"/>
      <c r="N46" s="192"/>
      <c r="O46" s="192"/>
      <c r="P46" s="193"/>
    </row>
    <row r="47" spans="1:16" ht="15.75" customHeight="1" x14ac:dyDescent="0.2">
      <c r="A47" s="190"/>
      <c r="B47" s="205"/>
      <c r="C47" s="182"/>
      <c r="D47" s="182"/>
      <c r="E47" s="182"/>
      <c r="F47" s="206"/>
      <c r="G47" s="188"/>
      <c r="K47" s="192"/>
      <c r="M47" s="192"/>
      <c r="N47" s="192"/>
      <c r="O47" s="192"/>
      <c r="P47" s="193"/>
    </row>
    <row r="48" spans="1:16" ht="15.75" customHeight="1" x14ac:dyDescent="0.2">
      <c r="A48" s="190"/>
      <c r="B48" s="205"/>
      <c r="C48" s="182"/>
      <c r="D48" s="182"/>
      <c r="E48" s="182"/>
      <c r="F48" s="206"/>
      <c r="G48" s="188"/>
      <c r="K48" s="192"/>
      <c r="M48" s="192"/>
      <c r="N48" s="192"/>
      <c r="O48" s="192"/>
      <c r="P48" s="193"/>
    </row>
    <row r="49" spans="1:16" ht="15.75" customHeight="1" x14ac:dyDescent="0.2">
      <c r="A49" s="190"/>
      <c r="B49" s="205"/>
      <c r="C49" s="182"/>
      <c r="D49" s="182"/>
      <c r="E49" s="182"/>
      <c r="F49" s="206"/>
      <c r="G49" s="188"/>
      <c r="K49" s="192"/>
      <c r="M49" s="192"/>
      <c r="N49" s="192"/>
      <c r="O49" s="192"/>
      <c r="P49" s="193"/>
    </row>
    <row r="50" spans="1:16" ht="15.75" customHeight="1" x14ac:dyDescent="0.2">
      <c r="A50" s="190"/>
      <c r="B50" s="205"/>
      <c r="C50" s="182"/>
      <c r="D50" s="182"/>
      <c r="E50" s="182"/>
      <c r="F50" s="206"/>
      <c r="G50" s="188"/>
      <c r="K50" s="192"/>
      <c r="M50" s="192"/>
      <c r="N50" s="192"/>
      <c r="O50" s="192"/>
      <c r="P50" s="193"/>
    </row>
    <row r="51" spans="1:16" ht="15.75" customHeight="1" x14ac:dyDescent="0.2">
      <c r="A51" s="190"/>
      <c r="B51" s="205"/>
      <c r="C51" s="182"/>
      <c r="D51" s="182"/>
      <c r="E51" s="182"/>
      <c r="F51" s="206"/>
      <c r="K51" s="192"/>
      <c r="M51" s="192"/>
      <c r="N51" s="192"/>
      <c r="O51" s="192"/>
      <c r="P51" s="193"/>
    </row>
    <row r="52" spans="1:16" ht="15.75" customHeight="1" x14ac:dyDescent="0.2">
      <c r="A52" s="190"/>
      <c r="B52" s="205"/>
      <c r="C52" s="182"/>
      <c r="D52" s="182"/>
      <c r="E52" s="182"/>
      <c r="F52" s="206"/>
      <c r="K52" s="192"/>
      <c r="M52" s="192"/>
      <c r="N52" s="192"/>
      <c r="O52" s="192"/>
      <c r="P52" s="193"/>
    </row>
    <row r="53" spans="1:16" ht="15.75" customHeight="1" x14ac:dyDescent="0.2">
      <c r="A53" s="190"/>
      <c r="B53" s="205"/>
      <c r="C53" s="182"/>
      <c r="D53" s="182"/>
      <c r="E53" s="182"/>
      <c r="F53" s="206"/>
      <c r="K53" s="192"/>
      <c r="M53" s="192"/>
      <c r="N53" s="192"/>
      <c r="O53" s="192"/>
      <c r="P53" s="193"/>
    </row>
    <row r="54" spans="1:16" ht="15.75" customHeight="1" x14ac:dyDescent="0.2">
      <c r="A54" s="190"/>
      <c r="B54" s="205"/>
      <c r="C54" s="182"/>
      <c r="D54" s="182"/>
      <c r="E54" s="182"/>
      <c r="F54" s="206"/>
      <c r="K54" s="192"/>
      <c r="M54" s="192"/>
      <c r="N54" s="192"/>
      <c r="O54" s="192"/>
      <c r="P54" s="193"/>
    </row>
    <row r="55" spans="1:16" ht="15.75" customHeight="1" x14ac:dyDescent="0.2">
      <c r="A55" s="190"/>
      <c r="B55" s="205"/>
      <c r="C55" s="182"/>
      <c r="D55" s="182"/>
      <c r="E55" s="182"/>
      <c r="F55" s="206"/>
      <c r="K55" s="192"/>
      <c r="M55" s="192"/>
      <c r="N55" s="192"/>
      <c r="O55" s="192"/>
      <c r="P55" s="193"/>
    </row>
    <row r="56" spans="1:16" ht="15.75" customHeight="1" x14ac:dyDescent="0.2">
      <c r="A56" s="190"/>
      <c r="B56" s="205"/>
      <c r="C56" s="182"/>
      <c r="D56" s="182"/>
      <c r="E56" s="182"/>
      <c r="F56" s="206"/>
      <c r="K56" s="192"/>
      <c r="P56" s="193"/>
    </row>
    <row r="57" spans="1:16" ht="15.75" customHeight="1" x14ac:dyDescent="0.2">
      <c r="A57" s="195"/>
      <c r="F57" s="193"/>
      <c r="K57" s="192"/>
    </row>
    <row r="58" spans="1:16" ht="21" x14ac:dyDescent="0.25">
      <c r="A58" s="196"/>
      <c r="B58" s="197"/>
      <c r="F58" s="193"/>
    </row>
    <row r="59" spans="1:16" ht="15.75" customHeight="1" x14ac:dyDescent="0.2">
      <c r="A59" s="198"/>
      <c r="B59" s="199"/>
      <c r="C59" s="198"/>
      <c r="D59" s="198"/>
      <c r="E59" s="198"/>
      <c r="F59" s="198"/>
    </row>
    <row r="60" spans="1:16" ht="15.75" customHeight="1" x14ac:dyDescent="0.2">
      <c r="A60" s="200"/>
      <c r="B60" s="161"/>
      <c r="C60" s="200"/>
      <c r="D60" s="200"/>
      <c r="E60" s="200"/>
      <c r="F60" s="201"/>
    </row>
    <row r="61" spans="1:16" ht="15.75" customHeight="1" x14ac:dyDescent="0.2">
      <c r="A61" s="200"/>
      <c r="B61" s="161"/>
      <c r="C61" s="200"/>
      <c r="D61" s="200"/>
      <c r="E61" s="200"/>
      <c r="F61" s="201"/>
    </row>
    <row r="62" spans="1:16" ht="15.75" customHeight="1" x14ac:dyDescent="0.2">
      <c r="A62" s="200"/>
      <c r="B62" s="161"/>
      <c r="C62" s="200"/>
      <c r="D62" s="200"/>
      <c r="E62" s="200"/>
      <c r="F62" s="201"/>
    </row>
    <row r="63" spans="1:16" ht="15.75" customHeight="1" x14ac:dyDescent="0.2">
      <c r="A63" s="200"/>
      <c r="B63" s="161"/>
      <c r="C63" s="200"/>
      <c r="D63" s="200"/>
      <c r="E63" s="200"/>
      <c r="F63" s="201"/>
    </row>
    <row r="64" spans="1:16" ht="15.75" customHeight="1" x14ac:dyDescent="0.2">
      <c r="A64" s="200"/>
      <c r="B64" s="161"/>
      <c r="C64" s="200"/>
      <c r="D64" s="200"/>
      <c r="E64" s="200"/>
      <c r="F64" s="201"/>
    </row>
    <row r="65" spans="1:6" ht="15.75" customHeight="1" x14ac:dyDescent="0.2">
      <c r="A65" s="200"/>
      <c r="B65" s="161"/>
      <c r="C65" s="200"/>
      <c r="D65" s="200"/>
      <c r="E65" s="200"/>
      <c r="F65" s="201"/>
    </row>
    <row r="66" spans="1:6" ht="15.75" customHeight="1" x14ac:dyDescent="0.2">
      <c r="A66" s="200"/>
      <c r="B66" s="161"/>
      <c r="C66" s="200"/>
      <c r="D66" s="200"/>
      <c r="E66" s="200"/>
      <c r="F66" s="201"/>
    </row>
    <row r="67" spans="1:6" ht="15.75" customHeight="1" x14ac:dyDescent="0.2">
      <c r="A67" s="200"/>
      <c r="B67" s="161"/>
      <c r="C67" s="200"/>
      <c r="D67" s="200"/>
      <c r="E67" s="200"/>
      <c r="F67" s="201"/>
    </row>
    <row r="68" spans="1:6" ht="15.75" customHeight="1" x14ac:dyDescent="0.2">
      <c r="A68" s="200"/>
      <c r="B68" s="161"/>
      <c r="C68" s="200"/>
      <c r="D68" s="200"/>
      <c r="E68" s="200"/>
      <c r="F68" s="201"/>
    </row>
    <row r="69" spans="1:6" ht="15.75" customHeight="1" x14ac:dyDescent="0.2">
      <c r="A69" s="200"/>
      <c r="B69" s="161"/>
      <c r="C69" s="200"/>
      <c r="D69" s="200"/>
      <c r="E69" s="200"/>
      <c r="F69" s="201"/>
    </row>
    <row r="70" spans="1:6" ht="15.75" customHeight="1" x14ac:dyDescent="0.2">
      <c r="A70" s="200"/>
      <c r="B70" s="161"/>
      <c r="C70" s="200"/>
      <c r="D70" s="200"/>
      <c r="E70" s="200"/>
      <c r="F70" s="201"/>
    </row>
    <row r="71" spans="1:6" ht="15.75" customHeight="1" x14ac:dyDescent="0.2">
      <c r="A71" s="200"/>
      <c r="B71" s="161"/>
      <c r="C71" s="200"/>
      <c r="D71" s="200"/>
      <c r="E71" s="200"/>
      <c r="F71" s="201"/>
    </row>
    <row r="72" spans="1:6" ht="15.75" customHeight="1" x14ac:dyDescent="0.2">
      <c r="A72" s="200"/>
      <c r="B72" s="161"/>
      <c r="C72" s="200"/>
      <c r="D72" s="200"/>
      <c r="E72" s="200"/>
      <c r="F72" s="201"/>
    </row>
    <row r="73" spans="1:6" ht="15.75" customHeight="1" x14ac:dyDescent="0.2">
      <c r="A73" s="200"/>
      <c r="B73" s="161"/>
      <c r="C73" s="200"/>
      <c r="D73" s="200"/>
      <c r="E73" s="200"/>
      <c r="F73" s="201"/>
    </row>
    <row r="74" spans="1:6" ht="15.75" customHeight="1" x14ac:dyDescent="0.2">
      <c r="A74" s="200"/>
      <c r="B74" s="161"/>
      <c r="C74" s="200"/>
      <c r="D74" s="200"/>
      <c r="E74" s="200"/>
      <c r="F74" s="201"/>
    </row>
    <row r="75" spans="1:6" ht="15.75" customHeight="1" x14ac:dyDescent="0.2">
      <c r="A75" s="200"/>
      <c r="B75" s="161"/>
      <c r="C75" s="200"/>
      <c r="D75" s="200"/>
      <c r="E75" s="200"/>
      <c r="F75" s="201"/>
    </row>
    <row r="76" spans="1:6" ht="15.75" customHeight="1" x14ac:dyDescent="0.2">
      <c r="A76" s="200"/>
      <c r="B76" s="161"/>
      <c r="C76" s="200"/>
      <c r="D76" s="200"/>
      <c r="E76" s="200"/>
      <c r="F76" s="201"/>
    </row>
    <row r="77" spans="1:6" ht="15.75" customHeight="1" x14ac:dyDescent="0.2">
      <c r="A77" s="200"/>
      <c r="B77" s="161"/>
      <c r="C77" s="200"/>
      <c r="D77" s="200"/>
      <c r="E77" s="200"/>
      <c r="F77" s="201"/>
    </row>
    <row r="78" spans="1:6" ht="15.75" customHeight="1" x14ac:dyDescent="0.2">
      <c r="A78" s="200"/>
      <c r="B78" s="161"/>
      <c r="C78" s="200"/>
      <c r="D78" s="200"/>
      <c r="E78" s="200"/>
      <c r="F78" s="201"/>
    </row>
    <row r="79" spans="1:6" ht="15.75" customHeight="1" x14ac:dyDescent="0.2">
      <c r="A79" s="200"/>
      <c r="B79" s="161"/>
      <c r="C79" s="200"/>
      <c r="D79" s="200"/>
      <c r="E79" s="200"/>
      <c r="F79" s="201"/>
    </row>
    <row r="80" spans="1:6" ht="15.75" customHeight="1" x14ac:dyDescent="0.2">
      <c r="A80" s="200"/>
      <c r="B80" s="161"/>
      <c r="C80" s="200"/>
      <c r="D80" s="200"/>
      <c r="E80" s="200"/>
      <c r="F80" s="201"/>
    </row>
    <row r="81" spans="1:7" ht="15.75" customHeight="1" x14ac:dyDescent="0.2">
      <c r="A81" s="200"/>
      <c r="B81" s="188"/>
      <c r="C81" s="202"/>
      <c r="D81" s="202"/>
      <c r="E81" s="188"/>
      <c r="F81" s="203"/>
      <c r="G81" s="188"/>
    </row>
    <row r="82" spans="1:7" ht="15.75" customHeight="1" x14ac:dyDescent="0.2">
      <c r="A82" s="200"/>
      <c r="B82" s="188"/>
      <c r="C82" s="202"/>
      <c r="D82" s="202"/>
      <c r="E82" s="202"/>
      <c r="F82" s="203"/>
      <c r="G82" s="188"/>
    </row>
    <row r="83" spans="1:7" ht="15.75" customHeight="1" x14ac:dyDescent="0.2">
      <c r="A83" s="200"/>
      <c r="B83" s="188"/>
      <c r="C83" s="202"/>
      <c r="D83" s="202"/>
      <c r="E83" s="202"/>
      <c r="F83" s="203"/>
      <c r="G83" s="188"/>
    </row>
    <row r="84" spans="1:7" ht="15.75" customHeight="1" x14ac:dyDescent="0.2">
      <c r="A84" s="200"/>
      <c r="B84" s="188"/>
      <c r="C84" s="202"/>
      <c r="D84" s="202"/>
      <c r="E84" s="188"/>
      <c r="F84" s="203"/>
      <c r="G84" s="188"/>
    </row>
    <row r="85" spans="1:7" ht="15.75" customHeight="1" x14ac:dyDescent="0.2">
      <c r="A85" s="200"/>
      <c r="B85" s="188"/>
      <c r="C85" s="202"/>
      <c r="D85" s="202"/>
      <c r="E85" s="188"/>
      <c r="F85" s="203"/>
      <c r="G85" s="188"/>
    </row>
    <row r="86" spans="1:7" ht="15.75" customHeight="1" x14ac:dyDescent="0.2">
      <c r="A86" s="200"/>
      <c r="B86" s="188"/>
      <c r="C86" s="202"/>
      <c r="D86" s="202"/>
      <c r="E86" s="202"/>
      <c r="F86" s="203"/>
      <c r="G86" s="188"/>
    </row>
    <row r="87" spans="1:7" ht="15.75" customHeight="1" x14ac:dyDescent="0.2">
      <c r="A87" s="200"/>
      <c r="B87" s="188"/>
      <c r="C87" s="202"/>
      <c r="D87" s="202"/>
      <c r="E87" s="188"/>
      <c r="F87" s="203"/>
      <c r="G87" s="188"/>
    </row>
    <row r="88" spans="1:7" ht="15.75" customHeight="1" x14ac:dyDescent="0.2">
      <c r="A88" s="200"/>
      <c r="B88" s="161"/>
      <c r="C88" s="200"/>
      <c r="D88" s="200"/>
      <c r="E88" s="200"/>
      <c r="F88" s="201"/>
    </row>
    <row r="89" spans="1:7" ht="15.75" customHeight="1" x14ac:dyDescent="0.2">
      <c r="A89" s="200"/>
      <c r="B89" s="161"/>
      <c r="C89" s="200"/>
      <c r="D89" s="200"/>
      <c r="E89" s="200"/>
      <c r="F89" s="201"/>
    </row>
    <row r="90" spans="1:7" ht="15.75" customHeight="1" x14ac:dyDescent="0.2">
      <c r="A90" s="200"/>
      <c r="B90" s="161"/>
      <c r="C90" s="200"/>
      <c r="D90" s="200"/>
      <c r="E90" s="200"/>
      <c r="F90" s="201"/>
    </row>
    <row r="91" spans="1:7" ht="15.75" customHeight="1" x14ac:dyDescent="0.2">
      <c r="A91" s="200"/>
      <c r="B91" s="161"/>
      <c r="C91" s="200"/>
      <c r="D91" s="200"/>
      <c r="E91" s="200"/>
      <c r="F91" s="201"/>
    </row>
  </sheetData>
  <mergeCells count="2">
    <mergeCell ref="A4:C4"/>
    <mergeCell ref="F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Master Sheet 2026</vt:lpstr>
      <vt:lpstr>Go-No Go Track Sheet 2026</vt:lpstr>
      <vt:lpstr>'Master Sheet 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Hutchins</dc:creator>
  <cp:keywords/>
  <dc:description/>
  <cp:lastModifiedBy>Bobby Fetting</cp:lastModifiedBy>
  <cp:revision/>
  <dcterms:created xsi:type="dcterms:W3CDTF">2024-09-17T20:10:42Z</dcterms:created>
  <dcterms:modified xsi:type="dcterms:W3CDTF">2026-05-04T08:20:41Z</dcterms:modified>
  <cp:category/>
  <cp:contentStatus/>
</cp:coreProperties>
</file>