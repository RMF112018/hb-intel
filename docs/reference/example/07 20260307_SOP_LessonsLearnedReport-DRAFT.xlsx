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bobbyfetting/Downloads/"/>
    </mc:Choice>
  </mc:AlternateContent>
  <xr:revisionPtr revIDLastSave="0" documentId="13_ncr:1_{094A233D-24FE-034C-9029-E483FA3A0584}" xr6:coauthVersionLast="47" xr6:coauthVersionMax="47" xr10:uidLastSave="{00000000-0000-0000-0000-000000000000}"/>
  <bookViews>
    <workbookView xWindow="1140" yWindow="660" windowWidth="29100" windowHeight="18980" tabRatio="500" xr2:uid="{00000000-000D-0000-FFFF-FFFF00000000}"/>
  </bookViews>
  <sheets>
    <sheet name="Lessons Learned Form" sheetId="1" r:id="rId1"/>
    <sheet name="Lessons Database" sheetId="2" r:id="rId2"/>
    <sheet name="Reference Guid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2" i="2" l="1"/>
  <c r="E121" i="2"/>
  <c r="E120" i="2"/>
  <c r="E119" i="2"/>
  <c r="E118" i="2"/>
  <c r="E117" i="2"/>
  <c r="E116" i="2"/>
  <c r="E115" i="2"/>
  <c r="E114" i="2"/>
  <c r="E113" i="2"/>
  <c r="J134" i="1"/>
</calcChain>
</file>

<file path=xl/sharedStrings.xml><?xml version="1.0" encoding="utf-8"?>
<sst xmlns="http://schemas.openxmlformats.org/spreadsheetml/2006/main" count="398" uniqueCount="237">
  <si>
    <t>LESSONS LEARNED REPORT</t>
  </si>
  <si>
    <t>Hedrick Brothers Construction  ·  Project Closeout Documentation</t>
  </si>
  <si>
    <t xml:space="preserve">  SECTION 1 — PROJECT IDENTIFICATION</t>
  </si>
  <si>
    <t>Project Name</t>
  </si>
  <si>
    <t>Project Number</t>
  </si>
  <si>
    <t>Project Location / Address</t>
  </si>
  <si>
    <t>Project Type</t>
  </si>
  <si>
    <t>Original Contract Value ($)</t>
  </si>
  <si>
    <t>Final Contract Value ($)</t>
  </si>
  <si>
    <t>Variance ($)</t>
  </si>
  <si>
    <t>Scheduled Completion</t>
  </si>
  <si>
    <t>Actual Completion</t>
  </si>
  <si>
    <t>Days Variance</t>
  </si>
  <si>
    <t>Project Manager</t>
  </si>
  <si>
    <t>Superintendent</t>
  </si>
  <si>
    <t>Project Executive</t>
  </si>
  <si>
    <t>Report Prepared By</t>
  </si>
  <si>
    <t>Date of Report</t>
  </si>
  <si>
    <t xml:space="preserve">  SECTION 2 — PROJECT CLASSIFICATIONS  (check all that apply — drives database filtering)</t>
  </si>
  <si>
    <t>Delivery Method</t>
  </si>
  <si>
    <t>Market Sector</t>
  </si>
  <si>
    <t>Project Size Band</t>
  </si>
  <si>
    <t>Complexity Rating</t>
  </si>
  <si>
    <t>Design-Bid-Build</t>
  </si>
  <si>
    <t>K-12 Education</t>
  </si>
  <si>
    <t>Under $1M</t>
  </si>
  <si>
    <t>1 – Straightforward</t>
  </si>
  <si>
    <t>Design-Build</t>
  </si>
  <si>
    <t>Higher Education</t>
  </si>
  <si>
    <t>$1M – $5M</t>
  </si>
  <si>
    <t>2 – Moderate</t>
  </si>
  <si>
    <t>CM at Risk</t>
  </si>
  <si>
    <t>Healthcare / Medical</t>
  </si>
  <si>
    <t>$5M – $15M</t>
  </si>
  <si>
    <t>3 – Complex</t>
  </si>
  <si>
    <t>GMP</t>
  </si>
  <si>
    <t>Government / Civic</t>
  </si>
  <si>
    <t>$15M – $50M</t>
  </si>
  <si>
    <t>4 – Highly Complex</t>
  </si>
  <si>
    <t>Lump Sum</t>
  </si>
  <si>
    <t>Office / Commercial</t>
  </si>
  <si>
    <t>$50M – $100M</t>
  </si>
  <si>
    <t>5 – Exceptional</t>
  </si>
  <si>
    <t>IDIQ / Job Order</t>
  </si>
  <si>
    <t>Industrial / Mfg</t>
  </si>
  <si>
    <t>Over $100M</t>
  </si>
  <si>
    <t>Public-Private (P3)</t>
  </si>
  <si>
    <t>Retail / Hospitality</t>
  </si>
  <si>
    <t>Residential / Mixed-Use</t>
  </si>
  <si>
    <t>Transportation / Infra</t>
  </si>
  <si>
    <t>Data Center / Tech</t>
  </si>
  <si>
    <t>Mission Critical</t>
  </si>
  <si>
    <t>Renovation / Historic</t>
  </si>
  <si>
    <t>Other</t>
  </si>
  <si>
    <t xml:space="preserve">  SECTION 3 — INDIVIDUAL LESSON ENTRIES  (one block per distinct lesson)</t>
  </si>
  <si>
    <t>INSTRUCTIONS: Complete one block per lesson. Use specific, actionable language. Rate applicability 1 (rarely applicable) to 5 (always applicable). Tag keywords that future teams will search for.</t>
  </si>
  <si>
    <t xml:space="preserve">  LESSON #1</t>
  </si>
  <si>
    <t>Category</t>
  </si>
  <si>
    <t>Select ▼</t>
  </si>
  <si>
    <t>Phase Encountered</t>
  </si>
  <si>
    <t>Applicability
(1–5)</t>
  </si>
  <si>
    <t>Keywords / Tags</t>
  </si>
  <si>
    <t>e.g., concrete, footing, weather, permit delay  —  comma-separated</t>
  </si>
  <si>
    <t>SITUATION  —  What happened?</t>
  </si>
  <si>
    <t>Describe the specific condition or event. Include when, who, and what triggered it.</t>
  </si>
  <si>
    <t>IMPACT  —  What were the consequences?</t>
  </si>
  <si>
    <t>Impact Magnitude</t>
  </si>
  <si>
    <t>Quantify where possible: cost ($), schedule (days), safety, rework hours, relationship impact.</t>
  </si>
  <si>
    <t>ROOT CAUSE  —  Why did it happen?</t>
  </si>
  <si>
    <t>Identify the underlying cause: planning gap, communication failure, design deficiency, scope ambiguity, vendor failure, site conditions, resource constraint.</t>
  </si>
  <si>
    <t>RESPONSE  —  How did we address it on this project?</t>
  </si>
  <si>
    <t>Describe the corrective or mitigation actions taken. Who was involved? Was it effective?</t>
  </si>
  <si>
    <t>RECOMMENDATION  —  What should future teams do differently?</t>
  </si>
  <si>
    <t>Start with an action verb. Name an owner and project phase. Example: 'Require structural steel lead-time confirmation from 2 suppliers at GMP development. Assigned to: Estimating Lead.'</t>
  </si>
  <si>
    <t>Supporting Documents / References</t>
  </si>
  <si>
    <t>RFI numbers, CO numbers, photo file paths, schedule snapshots</t>
  </si>
  <si>
    <t xml:space="preserve">  LESSON #2</t>
  </si>
  <si>
    <t xml:space="preserve">  LESSON #3</t>
  </si>
  <si>
    <t xml:space="preserve">  LESSON #4</t>
  </si>
  <si>
    <t xml:space="preserve">  LESSON #5</t>
  </si>
  <si>
    <t xml:space="preserve">  LESSON #6</t>
  </si>
  <si>
    <t xml:space="preserve">  SECTION 4 — PROJECT-LEVEL SUMMARY RATINGS</t>
  </si>
  <si>
    <t>Rate overall performance in each domain  (1 = Far Below Expectations  →  5 = Far Exceeded Expectations)</t>
  </si>
  <si>
    <t>Performance Domain</t>
  </si>
  <si>
    <t>Notes / Evidence</t>
  </si>
  <si>
    <t>Score
(1–5)</t>
  </si>
  <si>
    <t>Safety Performance</t>
  </si>
  <si>
    <t>Incidents, near-misses, culture, subcontractor compliance</t>
  </si>
  <si>
    <t>Quality &amp; Craftsmanship</t>
  </si>
  <si>
    <t>Punch list density, rework rate, first-time inspection pass rate</t>
  </si>
  <si>
    <t>Schedule Adherence</t>
  </si>
  <si>
    <t>On-time delivery, milestone reliability, float management</t>
  </si>
  <si>
    <t>Cost / Budget Performance</t>
  </si>
  <si>
    <t>Variance to GMP, contingency use, change order volume</t>
  </si>
  <si>
    <t>Owner Satisfaction</t>
  </si>
  <si>
    <t>Relationship quality, communication, trust, repeat likelihood</t>
  </si>
  <si>
    <t>Subcontractor Management</t>
  </si>
  <si>
    <t>Selection, oversight, performance management, issues resolved</t>
  </si>
  <si>
    <t>Preconstruction Effectiveness</t>
  </si>
  <si>
    <t>BIM, coordination, VE ROI, constructability reviews</t>
  </si>
  <si>
    <t>Team Collaboration</t>
  </si>
  <si>
    <t>Internal communication, problem-solving, escalation quality</t>
  </si>
  <si>
    <t>Innovation / Best Practices</t>
  </si>
  <si>
    <t>New methods, technology, or processes piloted</t>
  </si>
  <si>
    <t>Overall Project Success</t>
  </si>
  <si>
    <t>Holistic — would you want this project in your portfolio again?</t>
  </si>
  <si>
    <t>OVERALL PROJECT PERFORMANCE AVERAGE</t>
  </si>
  <si>
    <t xml:space="preserve">  SECTION 5 — BEST PRACTICES TO REPLICATE</t>
  </si>
  <si>
    <t>What worked so well it should become standard HBC practice? These entries feed the HBC Best Practice Library.</t>
  </si>
  <si>
    <t>Best Practice #1  —  Title</t>
  </si>
  <si>
    <t>Describe the practice or process. Why did it work? What conditions are required? Who should own rollout?</t>
  </si>
  <si>
    <t>Best Practice #2  —  Title</t>
  </si>
  <si>
    <t>Best Practice #3  —  Title</t>
  </si>
  <si>
    <t xml:space="preserve">  SECTION 6 — PROCESS IMPROVEMENT RECOMMENDATIONS</t>
  </si>
  <si>
    <t>Flag changes to HBC systems, standards, templates, or processes that would prevent recurrence company-wide.</t>
  </si>
  <si>
    <t>Recommended Change</t>
  </si>
  <si>
    <t>Owner / Department</t>
  </si>
  <si>
    <t>Priority</t>
  </si>
  <si>
    <t>Effort</t>
  </si>
  <si>
    <t>High / Med / Low</t>
  </si>
  <si>
    <t xml:space="preserve">  SECTION 7 — REVIEW &amp; APPROVAL</t>
  </si>
  <si>
    <t>Signature / Date:</t>
  </si>
  <si>
    <t>Reviewed &amp; Approved / Date:</t>
  </si>
  <si>
    <t>VP of Operations</t>
  </si>
  <si>
    <t>Final Approval / Date:</t>
  </si>
  <si>
    <t>LESSONS LEARNED DATABASE  —  HEDRICK BROTHERS CONSTRUCTION</t>
  </si>
  <si>
    <t>One row = one lesson. Enter data after each form is completed. Use Excel Filter (Data → Filter) to search by category, project type, keywords, impact, etc.</t>
  </si>
  <si>
    <t>#</t>
  </si>
  <si>
    <t>Project
Name</t>
  </si>
  <si>
    <t>Project
Number</t>
  </si>
  <si>
    <t>Market
Sector</t>
  </si>
  <si>
    <t>Delivery
Method</t>
  </si>
  <si>
    <t>Project
Size</t>
  </si>
  <si>
    <t>Report
Date</t>
  </si>
  <si>
    <t>Lesson
#</t>
  </si>
  <si>
    <t>Situation
(What Happened)</t>
  </si>
  <si>
    <t>Root Cause</t>
  </si>
  <si>
    <t>Recommendation
(Action Required)</t>
  </si>
  <si>
    <t>Impact
Magnitude</t>
  </si>
  <si>
    <t>1</t>
  </si>
  <si>
    <t>Riverside Office Park</t>
  </si>
  <si>
    <t>2023-087</t>
  </si>
  <si>
    <t>$15M–$50M</t>
  </si>
  <si>
    <t>2024-11-15</t>
  </si>
  <si>
    <t>SCHEDULE</t>
  </si>
  <si>
    <t>Structural steel delivery delayed 6 weeks. Team assumed 10-week mill lead time; actual was 16 weeks at time of order.</t>
  </si>
  <si>
    <t>Estimating used historical lead times without confirming current mill conditions. No procurement milestone established in schedule.</t>
  </si>
  <si>
    <t>Require estimating to confirm current lead times with ≥2 steel suppliers at GMP development. Add structural steel procurement milestone to master schedule template.</t>
  </si>
  <si>
    <t>steel, procurement, lead time, structural, schedule delay, estimating</t>
  </si>
  <si>
    <t>Significant</t>
  </si>
  <si>
    <t>5</t>
  </si>
  <si>
    <t>2</t>
  </si>
  <si>
    <t>QUALITY</t>
  </si>
  <si>
    <t>Concrete flatwork on floors 2–4 showed excessive surface cracking within 30 days of pour. Three areas required overlay at $41,000.</t>
  </si>
  <si>
    <t>Subcontractor applied cure-and-seal too early, trapping bleed water. No third-party inspector present during finishing.</t>
  </si>
  <si>
    <t>Require concrete subcontractor to submit flatwork quality plan including curing procedures. Mandate third-party special inspection for all elevated slabs &gt;5,000 SF.</t>
  </si>
  <si>
    <t>concrete, flatwork, cracking, curing, special inspection, rework, quality</t>
  </si>
  <si>
    <t>3</t>
  </si>
  <si>
    <t>Oakwood Medical Center</t>
  </si>
  <si>
    <t>2022-041</t>
  </si>
  <si>
    <t>$50M–$100M</t>
  </si>
  <si>
    <t>2024-09-30</t>
  </si>
  <si>
    <t>OWNER / CLIENT</t>
  </si>
  <si>
    <t>Owner changed room configuration for 14 patient rooms after MEP rough-in was 60% complete. Result: $287K in COs and 3-week delay.</t>
  </si>
  <si>
    <t>No contractual design freeze milestone established. Team accepted verbal confirmation of design completion.</t>
  </si>
  <si>
    <t>Establish a Design Freeze Milestone contractually before MEP rough-in. Include cost-escalation clause for changes after this date.</t>
  </si>
  <si>
    <t>owner change, design freeze, MEP, scope creep, healthcare, change order</t>
  </si>
  <si>
    <t>Critical</t>
  </si>
  <si>
    <t>DATABASE SUMMARY STATISTICS</t>
  </si>
  <si>
    <t>Total Lessons Recorded</t>
  </si>
  <si>
    <t>Avg Applicability Rating</t>
  </si>
  <si>
    <t>Count — Critical Impact</t>
  </si>
  <si>
    <t>Count — Significant Impact</t>
  </si>
  <si>
    <t>Count — Schedule Lessons</t>
  </si>
  <si>
    <t>Count — Safety Lessons</t>
  </si>
  <si>
    <t>Count — Quality Lessons</t>
  </si>
  <si>
    <t>Count — Cost / Budget Lessons</t>
  </si>
  <si>
    <t>Count — Subcontractor Lessons</t>
  </si>
  <si>
    <t>Count — Owner / Client Lessons</t>
  </si>
  <si>
    <t>LESSONS LEARNED — REFERENCE GUIDE &amp; WRITING STANDARDS</t>
  </si>
  <si>
    <t>LESSON CATEGORY DEFINITIONS</t>
  </si>
  <si>
    <t>WRITING TIPS FOR HIGH-QUALITY LESSONS</t>
  </si>
  <si>
    <t>Definition &amp; Examples</t>
  </si>
  <si>
    <t>✔</t>
  </si>
  <si>
    <t>Be SPECIFIC — name the trade, location, date, and dollar amount</t>
  </si>
  <si>
    <t>PRE-CONSTRUCTION</t>
  </si>
  <si>
    <t>Planning, scope development, constructability reviews, BIM coordination, owner alignment</t>
  </si>
  <si>
    <t>Be CAUSAL — explain WHY it happened, not just what happened</t>
  </si>
  <si>
    <t>ESTIMATING &amp; BID</t>
  </si>
  <si>
    <t>Quantity takeoffs, bid strategy, allowances, unit price gaps, scope exclusions</t>
  </si>
  <si>
    <t>Be ACTIONABLE — recommendations name an owner and use an action verb</t>
  </si>
  <si>
    <t>PROCUREMENT</t>
  </si>
  <si>
    <t>Lead times, supplier qualification, subcontract terms, material escalation</t>
  </si>
  <si>
    <t>Avoid blame — focus on systems, processes, and conditions</t>
  </si>
  <si>
    <t>CPM logic, float management, look-ahead reliability, milestone tracking</t>
  </si>
  <si>
    <t>Rate applicability honestly — not every lesson fits every project type</t>
  </si>
  <si>
    <t>COST / BUDGET</t>
  </si>
  <si>
    <t>Contingency use, change order management, GMP risk, buyout savings/losses</t>
  </si>
  <si>
    <t>One lesson per entry — don't combine unrelated issues</t>
  </si>
  <si>
    <t>SAFETY</t>
  </si>
  <si>
    <t>Incidents, near-misses, safety culture, PPE, subcontractor compliance, JHAs</t>
  </si>
  <si>
    <t>Tag thoroughly — use terms future teams will search</t>
  </si>
  <si>
    <t>Rework, punch list density, inspection failures, mock-ups, material substitutions</t>
  </si>
  <si>
    <t>Link supporting documents by file path, RFI number, or CO number</t>
  </si>
  <si>
    <t>SUBCONTRACTORS</t>
  </si>
  <si>
    <t>Selection, performance, default, coordination issues, contract clarity</t>
  </si>
  <si>
    <t>✗</t>
  </si>
  <si>
    <t>DON'T write 'communication was poor' — describe what failed specifically</t>
  </si>
  <si>
    <t>DESIGN / RFIs</t>
  </si>
  <si>
    <t>Design gaps, RFI volume, architect responsiveness, drawing coordination</t>
  </si>
  <si>
    <t>DON'T omit cost/schedule data — quantification makes lessons actionable</t>
  </si>
  <si>
    <t>Scope creep, decision latency, design freeze, communication protocols</t>
  </si>
  <si>
    <t>DON'T wait until project end — capture lessons as they occur</t>
  </si>
  <si>
    <t>TECHNOLOGY / BIM</t>
  </si>
  <si>
    <t>BIM clash detection, drone use, project management software, digital twins</t>
  </si>
  <si>
    <t>WORKFORCE / LABOR</t>
  </si>
  <si>
    <t>Crew productivity, craft shortage, overtime, union issues, workforce development</t>
  </si>
  <si>
    <t>COMMISSIONING</t>
  </si>
  <si>
    <t>Systems startup, OAC sign-off, testing deficiencies, owner training, TAB</t>
  </si>
  <si>
    <t>CLOSEOUT / TURNOVER</t>
  </si>
  <si>
    <t>As-builts, O&amp;Ms, warranties, attic stock, final lien waivers, COO</t>
  </si>
  <si>
    <t>OTHER</t>
  </si>
  <si>
    <t>Lessons not fitting above categories — describe in the narrative</t>
  </si>
  <si>
    <t>IMPACT MAGNITUDE GUIDE</t>
  </si>
  <si>
    <t>Rating</t>
  </si>
  <si>
    <t>Threshold (Cost / Schedule)</t>
  </si>
  <si>
    <t>Description</t>
  </si>
  <si>
    <t>Minor</t>
  </si>
  <si>
    <t>&lt;$10K or &lt;2 days</t>
  </si>
  <si>
    <t>Isolated; resolved quickly with no lasting effect</t>
  </si>
  <si>
    <t>Moderate</t>
  </si>
  <si>
    <t>$10K–$50K or 2–10 days</t>
  </si>
  <si>
    <t>Noticeable; required escalation; resolved without major disruption</t>
  </si>
  <si>
    <t>$50K–$200K or 10–30 days</t>
  </si>
  <si>
    <t>Material cost/schedule impact; required negotiation or recovery plan</t>
  </si>
  <si>
    <t>&gt;$200K or &gt;30 days</t>
  </si>
  <si>
    <t>Major impact; threatened milestone, budget, or safety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</si>
</sst>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theme="1"/>
      <name val="Calibri"/>
      <family val="2"/>
      <charset val="1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B2A4A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1B2A4A"/>
      <name val="Arial"/>
      <family val="2"/>
    </font>
    <font>
      <sz val="9"/>
      <name val="Arial"/>
      <family val="2"/>
    </font>
    <font>
      <i/>
      <sz val="9"/>
      <color rgb="FFFFFFFF"/>
      <name val="Arial"/>
      <family val="2"/>
    </font>
    <font>
      <b/>
      <sz val="9"/>
      <color rgb="FF2E4172"/>
      <name val="Arial"/>
      <family val="2"/>
    </font>
    <font>
      <b/>
      <sz val="11"/>
      <color rgb="FF1B2A4A"/>
      <name val="Arial"/>
      <family val="2"/>
    </font>
    <font>
      <i/>
      <sz val="10"/>
      <color rgb="FF595959"/>
      <name val="Arial"/>
      <family val="2"/>
    </font>
    <font>
      <i/>
      <sz val="10"/>
      <color rgb="FF9E9E9E"/>
      <name val="Arial"/>
      <family val="2"/>
    </font>
    <font>
      <b/>
      <sz val="10"/>
      <color rgb="FFFFFFFF"/>
      <name val="Arial"/>
      <family val="2"/>
    </font>
    <font>
      <i/>
      <sz val="9"/>
      <color rgb="FF2E7D32"/>
      <name val="Arial"/>
      <family val="2"/>
    </font>
    <font>
      <i/>
      <sz val="9"/>
      <color rgb="FF595959"/>
      <name val="Arial"/>
      <family val="2"/>
    </font>
    <font>
      <b/>
      <sz val="11"/>
      <name val="Arial"/>
      <family val="2"/>
    </font>
    <font>
      <b/>
      <sz val="13"/>
      <color rgb="FF1B2A4A"/>
      <name val="Arial"/>
      <family val="2"/>
    </font>
    <font>
      <i/>
      <sz val="9"/>
      <color rgb="FF9E9E9E"/>
      <name val="Arial"/>
      <family val="2"/>
    </font>
    <font>
      <b/>
      <sz val="14"/>
      <color rgb="FFC9A84C"/>
      <name val="Arial"/>
      <family val="2"/>
    </font>
    <font>
      <b/>
      <sz val="10"/>
      <color rgb="FF2E4172"/>
      <name val="Arial"/>
      <family val="2"/>
    </font>
    <font>
      <b/>
      <sz val="11"/>
      <color rgb="FF1B5E20"/>
      <name val="Arial"/>
      <family val="2"/>
    </font>
    <font>
      <b/>
      <sz val="13"/>
      <color rgb="FFC9A84C"/>
      <name val="Arial"/>
      <family val="2"/>
    </font>
    <font>
      <b/>
      <sz val="9"/>
      <color rgb="FF1B2A4A"/>
      <name val="Arial"/>
      <family val="2"/>
    </font>
    <font>
      <b/>
      <sz val="11"/>
      <color rgb="FF8B0000"/>
      <name val="Arial"/>
      <family val="2"/>
    </font>
    <font>
      <b/>
      <sz val="9"/>
      <name val="Arial"/>
      <family val="2"/>
    </font>
    <font>
      <b/>
      <sz val="18"/>
      <color rgb="FFFFFFFF"/>
      <name val="Arial"/>
      <family val="2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4172"/>
        <bgColor rgb="FF1B2A4A"/>
      </patternFill>
    </fill>
    <fill>
      <patternFill patternType="solid">
        <fgColor rgb="FFC9A84C"/>
        <bgColor rgb="FF9E9E9E"/>
      </patternFill>
    </fill>
    <fill>
      <patternFill patternType="solid">
        <fgColor rgb="FFD9E2F3"/>
        <bgColor rgb="FFD6DCE4"/>
      </patternFill>
    </fill>
    <fill>
      <patternFill patternType="solid">
        <fgColor rgb="FFFDFAF2"/>
        <bgColor rgb="FFFFFFFF"/>
      </patternFill>
    </fill>
    <fill>
      <patternFill patternType="solid">
        <fgColor rgb="FF4472C4"/>
        <bgColor rgb="FF0066CC"/>
      </patternFill>
    </fill>
    <fill>
      <patternFill patternType="solid">
        <fgColor rgb="FFF2F2F2"/>
        <bgColor rgb="FFFDFAF2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DFAF2"/>
      </patternFill>
    </fill>
    <fill>
      <patternFill patternType="solid">
        <fgColor rgb="FFD6DCE4"/>
        <bgColor rgb="FFD9E2F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CE4D6"/>
        <bgColor rgb="FFFBE9E7"/>
      </patternFill>
    </fill>
    <fill>
      <patternFill patternType="solid">
        <fgColor rgb="FFF3E5F5"/>
        <bgColor rgb="FFFBE9E7"/>
      </patternFill>
    </fill>
    <fill>
      <patternFill patternType="solid">
        <fgColor rgb="FFFBE9E7"/>
        <bgColor rgb="FFFCE4D6"/>
      </patternFill>
    </fill>
    <fill>
      <patternFill patternType="solid">
        <fgColor rgb="FFFF9999"/>
        <bgColor rgb="FFFF8080"/>
      </patternFill>
    </fill>
    <fill>
      <patternFill patternType="solid">
        <fgColor rgb="FFFE5E1A"/>
        <bgColor rgb="FF9E9E9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2" fillId="6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9" fillId="9" borderId="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top" wrapText="1"/>
    </xf>
    <xf numFmtId="0" fontId="18" fillId="9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top" wrapText="1"/>
    </xf>
    <xf numFmtId="0" fontId="7" fillId="10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left" vertical="top" wrapText="1"/>
    </xf>
    <xf numFmtId="0" fontId="0" fillId="5" borderId="1" xfId="0" applyFill="1" applyBorder="1"/>
    <xf numFmtId="0" fontId="21" fillId="12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indent="1"/>
    </xf>
    <xf numFmtId="0" fontId="23" fillId="14" borderId="1" xfId="0" applyFont="1" applyFill="1" applyBorder="1" applyAlignment="1">
      <alignment horizontal="left" vertical="center" indent="1"/>
    </xf>
    <xf numFmtId="0" fontId="23" fillId="9" borderId="1" xfId="0" applyFont="1" applyFill="1" applyBorder="1" applyAlignment="1">
      <alignment horizontal="left" vertical="center" indent="1"/>
    </xf>
    <xf numFmtId="0" fontId="24" fillId="14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left" vertical="center" indent="1"/>
    </xf>
    <xf numFmtId="0" fontId="23" fillId="16" borderId="1" xfId="0" applyFont="1" applyFill="1" applyBorder="1" applyAlignment="1">
      <alignment horizontal="left" vertical="center" indent="1"/>
    </xf>
    <xf numFmtId="0" fontId="23" fillId="11" borderId="1" xfId="0" applyFont="1" applyFill="1" applyBorder="1" applyAlignment="1">
      <alignment horizontal="left" vertical="center" indent="1"/>
    </xf>
    <xf numFmtId="0" fontId="23" fillId="8" borderId="1" xfId="0" applyFont="1" applyFill="1" applyBorder="1" applyAlignment="1">
      <alignment horizontal="left" vertical="center" indent="1"/>
    </xf>
    <xf numFmtId="0" fontId="25" fillId="12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8" fillId="9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/>
    </xf>
    <xf numFmtId="164" fontId="21" fillId="12" borderId="1" xfId="0" applyNumberFormat="1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0" fillId="18" borderId="3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26" fillId="7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28" fillId="18" borderId="3" xfId="0" applyFont="1" applyFill="1" applyBorder="1" applyAlignment="1">
      <alignment horizontal="left" vertical="center"/>
    </xf>
    <xf numFmtId="0" fontId="28" fillId="18" borderId="4" xfId="0" applyFont="1" applyFill="1" applyBorder="1" applyAlignment="1">
      <alignment horizontal="left" vertical="center"/>
    </xf>
    <xf numFmtId="0" fontId="28" fillId="18" borderId="5" xfId="0" applyFont="1" applyFill="1" applyBorder="1" applyAlignment="1">
      <alignment horizontal="left" vertical="center"/>
    </xf>
    <xf numFmtId="2" fontId="17" fillId="18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B5E20"/>
      <rgbColor rgb="FF000080"/>
      <rgbColor rgb="FF808000"/>
      <rgbColor rgb="FF800080"/>
      <rgbColor rgb="FF008080"/>
      <rgbColor rgb="FFD9E2F3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DFAF2"/>
      <rgbColor rgb="FFF3E5F5"/>
      <rgbColor rgb="FFFF9999"/>
      <rgbColor rgb="FFFBE9E7"/>
      <rgbColor rgb="FFFCE4D6"/>
      <rgbColor rgb="FF4472C4"/>
      <rgbColor rgb="FF33CCCC"/>
      <rgbColor rgb="FF99CC00"/>
      <rgbColor rgb="FFFFCC00"/>
      <rgbColor rgb="FFC9A84C"/>
      <rgbColor rgb="FFFF6600"/>
      <rgbColor rgb="FF595959"/>
      <rgbColor rgb="FF9E9E9E"/>
      <rgbColor rgb="FF003366"/>
      <rgbColor rgb="FF2E7D32"/>
      <rgbColor rgb="FF003300"/>
      <rgbColor rgb="FF333300"/>
      <rgbColor rgb="FF993300"/>
      <rgbColor rgb="FF993366"/>
      <rgbColor rgb="FF2E4172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E5E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9"/>
  <sheetViews>
    <sheetView showGridLines="0" tabSelected="1" zoomScaleNormal="100" workbookViewId="0">
      <selection activeCell="F20" sqref="F20"/>
    </sheetView>
  </sheetViews>
  <sheetFormatPr baseColWidth="10" defaultColWidth="8.6640625" defaultRowHeight="15" x14ac:dyDescent="0.2"/>
  <cols>
    <col min="1" max="1" width="4" customWidth="1"/>
    <col min="2" max="10" width="22" customWidth="1"/>
  </cols>
  <sheetData>
    <row r="1" spans="1:10" ht="4.5" customHeight="1" x14ac:dyDescent="0.2"/>
    <row r="2" spans="1:10" ht="54" customHeight="1" x14ac:dyDescent="0.2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75"/>
    </row>
    <row r="3" spans="1:10" ht="18" customHeight="1" x14ac:dyDescent="0.2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ht="4.5" customHeight="1" x14ac:dyDescent="0.2">
      <c r="A4" s="72"/>
      <c r="B4" s="73"/>
      <c r="C4" s="73"/>
      <c r="D4" s="73"/>
      <c r="E4" s="73"/>
      <c r="F4" s="73"/>
      <c r="G4" s="73"/>
      <c r="H4" s="73"/>
      <c r="I4" s="73"/>
      <c r="J4" s="74"/>
    </row>
    <row r="5" spans="1:10" ht="24" customHeight="1" x14ac:dyDescent="0.2">
      <c r="A5" s="12" t="s">
        <v>2</v>
      </c>
      <c r="B5" s="12"/>
      <c r="C5" s="12"/>
      <c r="D5" s="12"/>
      <c r="E5" s="12"/>
      <c r="F5" s="12"/>
      <c r="G5" s="12"/>
      <c r="H5" s="12"/>
      <c r="I5" s="12"/>
      <c r="J5" s="12"/>
    </row>
    <row r="6" spans="1:10" ht="25" customHeight="1" x14ac:dyDescent="0.2">
      <c r="B6" s="15" t="s">
        <v>3</v>
      </c>
      <c r="C6" s="11"/>
      <c r="D6" s="11"/>
      <c r="E6" s="11"/>
      <c r="F6" s="10" t="s">
        <v>4</v>
      </c>
      <c r="G6" s="10"/>
      <c r="H6" s="11"/>
      <c r="I6" s="11"/>
      <c r="J6" s="11"/>
    </row>
    <row r="7" spans="1:10" ht="25" customHeight="1" x14ac:dyDescent="0.2">
      <c r="B7" s="15" t="s">
        <v>5</v>
      </c>
      <c r="C7" s="11"/>
      <c r="D7" s="11"/>
      <c r="E7" s="11"/>
      <c r="F7" s="10" t="s">
        <v>6</v>
      </c>
      <c r="G7" s="10"/>
      <c r="H7" s="11"/>
      <c r="I7" s="11"/>
      <c r="J7" s="11"/>
    </row>
    <row r="8" spans="1:10" ht="25" customHeight="1" x14ac:dyDescent="0.2">
      <c r="B8" s="15" t="s">
        <v>7</v>
      </c>
      <c r="C8" s="11"/>
      <c r="D8" s="11"/>
      <c r="E8" s="15" t="s">
        <v>8</v>
      </c>
      <c r="F8" s="11"/>
      <c r="G8" s="11"/>
      <c r="H8" s="15" t="s">
        <v>9</v>
      </c>
      <c r="I8" s="11"/>
      <c r="J8" s="11"/>
    </row>
    <row r="9" spans="1:10" ht="25" customHeight="1" x14ac:dyDescent="0.2">
      <c r="B9" s="15" t="s">
        <v>10</v>
      </c>
      <c r="C9" s="11"/>
      <c r="D9" s="11"/>
      <c r="E9" s="15" t="s">
        <v>11</v>
      </c>
      <c r="F9" s="11"/>
      <c r="G9" s="11"/>
      <c r="H9" s="15" t="s">
        <v>12</v>
      </c>
      <c r="I9" s="11"/>
      <c r="J9" s="11"/>
    </row>
    <row r="10" spans="1:10" ht="25" customHeight="1" x14ac:dyDescent="0.2">
      <c r="B10" s="15" t="s">
        <v>13</v>
      </c>
      <c r="C10" s="11"/>
      <c r="D10" s="11"/>
      <c r="E10" s="15" t="s">
        <v>14</v>
      </c>
      <c r="F10" s="11"/>
      <c r="G10" s="11"/>
      <c r="H10" s="15" t="s">
        <v>15</v>
      </c>
      <c r="I10" s="11"/>
      <c r="J10" s="11"/>
    </row>
    <row r="11" spans="1:10" ht="25" customHeight="1" x14ac:dyDescent="0.2">
      <c r="B11" s="15" t="s">
        <v>16</v>
      </c>
      <c r="C11" s="11"/>
      <c r="D11" s="11"/>
      <c r="E11" s="11"/>
      <c r="F11" s="11"/>
      <c r="G11" s="15" t="s">
        <v>17</v>
      </c>
      <c r="H11" s="11"/>
      <c r="I11" s="11"/>
      <c r="J11" s="11"/>
    </row>
    <row r="12" spans="1:10" ht="4.5" customHeight="1" x14ac:dyDescent="0.2">
      <c r="A12" s="72"/>
      <c r="B12" s="73"/>
      <c r="C12" s="73"/>
      <c r="D12" s="73"/>
      <c r="E12" s="73"/>
      <c r="F12" s="73"/>
      <c r="G12" s="73"/>
      <c r="H12" s="73"/>
      <c r="I12" s="73"/>
      <c r="J12" s="74"/>
    </row>
    <row r="13" spans="1:10" ht="24" customHeight="1" x14ac:dyDescent="0.2">
      <c r="A13" s="12" t="s">
        <v>18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18" customHeight="1" x14ac:dyDescent="0.2">
      <c r="B14" s="9" t="s">
        <v>19</v>
      </c>
      <c r="C14" s="9"/>
      <c r="D14" s="9" t="s">
        <v>20</v>
      </c>
      <c r="E14" s="9"/>
      <c r="F14" s="9"/>
      <c r="G14" s="9" t="s">
        <v>21</v>
      </c>
      <c r="H14" s="9"/>
      <c r="I14" s="8" t="s">
        <v>22</v>
      </c>
      <c r="J14" s="8"/>
    </row>
    <row r="15" spans="1:10" ht="18" customHeight="1" x14ac:dyDescent="0.2">
      <c r="B15" s="19" t="s">
        <v>23</v>
      </c>
      <c r="C15" s="20"/>
      <c r="D15" s="7" t="s">
        <v>24</v>
      </c>
      <c r="E15" s="7"/>
      <c r="F15" s="20"/>
      <c r="G15" s="19" t="s">
        <v>25</v>
      </c>
      <c r="H15" s="20"/>
      <c r="I15" s="19" t="s">
        <v>26</v>
      </c>
      <c r="J15" s="20"/>
    </row>
    <row r="16" spans="1:10" ht="18" customHeight="1" x14ac:dyDescent="0.2">
      <c r="B16" s="21" t="s">
        <v>27</v>
      </c>
      <c r="C16" s="20"/>
      <c r="D16" s="6" t="s">
        <v>28</v>
      </c>
      <c r="E16" s="6"/>
      <c r="F16" s="20"/>
      <c r="G16" s="21" t="s">
        <v>29</v>
      </c>
      <c r="H16" s="20"/>
      <c r="I16" s="21" t="s">
        <v>30</v>
      </c>
      <c r="J16" s="20"/>
    </row>
    <row r="17" spans="1:10" ht="18" customHeight="1" x14ac:dyDescent="0.2">
      <c r="B17" s="19" t="s">
        <v>31</v>
      </c>
      <c r="C17" s="20"/>
      <c r="D17" s="7" t="s">
        <v>32</v>
      </c>
      <c r="E17" s="7"/>
      <c r="F17" s="20"/>
      <c r="G17" s="19" t="s">
        <v>33</v>
      </c>
      <c r="H17" s="20"/>
      <c r="I17" s="19" t="s">
        <v>34</v>
      </c>
      <c r="J17" s="20"/>
    </row>
    <row r="18" spans="1:10" ht="18" customHeight="1" x14ac:dyDescent="0.2">
      <c r="B18" s="21" t="s">
        <v>35</v>
      </c>
      <c r="C18" s="20"/>
      <c r="D18" s="6" t="s">
        <v>36</v>
      </c>
      <c r="E18" s="6"/>
      <c r="F18" s="20"/>
      <c r="G18" s="21" t="s">
        <v>37</v>
      </c>
      <c r="H18" s="20"/>
      <c r="I18" s="21" t="s">
        <v>38</v>
      </c>
      <c r="J18" s="20"/>
    </row>
    <row r="19" spans="1:10" ht="18" customHeight="1" x14ac:dyDescent="0.2">
      <c r="B19" s="19" t="s">
        <v>39</v>
      </c>
      <c r="C19" s="20"/>
      <c r="D19" s="7" t="s">
        <v>40</v>
      </c>
      <c r="E19" s="7"/>
      <c r="F19" s="20"/>
      <c r="G19" s="19" t="s">
        <v>41</v>
      </c>
      <c r="H19" s="20"/>
      <c r="I19" s="19" t="s">
        <v>42</v>
      </c>
      <c r="J19" s="20"/>
    </row>
    <row r="20" spans="1:10" ht="18" customHeight="1" x14ac:dyDescent="0.2">
      <c r="B20" s="21" t="s">
        <v>43</v>
      </c>
      <c r="C20" s="20"/>
      <c r="D20" s="6" t="s">
        <v>44</v>
      </c>
      <c r="E20" s="6"/>
      <c r="F20" s="20"/>
      <c r="G20" s="21" t="s">
        <v>45</v>
      </c>
      <c r="H20" s="20"/>
      <c r="I20" s="22"/>
      <c r="J20" s="22"/>
    </row>
    <row r="21" spans="1:10" ht="18" customHeight="1" x14ac:dyDescent="0.2">
      <c r="B21" s="19" t="s">
        <v>46</v>
      </c>
      <c r="C21" s="20"/>
      <c r="D21" s="7" t="s">
        <v>47</v>
      </c>
      <c r="E21" s="7"/>
      <c r="F21" s="20"/>
      <c r="G21" s="22"/>
      <c r="H21" s="22"/>
      <c r="I21" s="22"/>
      <c r="J21" s="22"/>
    </row>
    <row r="22" spans="1:10" ht="18" customHeight="1" x14ac:dyDescent="0.2">
      <c r="B22" s="22"/>
      <c r="C22" s="22"/>
      <c r="D22" s="6" t="s">
        <v>48</v>
      </c>
      <c r="E22" s="6"/>
      <c r="F22" s="20"/>
      <c r="G22" s="22"/>
      <c r="H22" s="22"/>
      <c r="I22" s="22"/>
      <c r="J22" s="22"/>
    </row>
    <row r="23" spans="1:10" ht="18" customHeight="1" x14ac:dyDescent="0.2">
      <c r="B23" s="22"/>
      <c r="C23" s="22"/>
      <c r="D23" s="7" t="s">
        <v>49</v>
      </c>
      <c r="E23" s="7"/>
      <c r="F23" s="20"/>
      <c r="G23" s="22"/>
      <c r="H23" s="22"/>
      <c r="I23" s="22"/>
      <c r="J23" s="22"/>
    </row>
    <row r="24" spans="1:10" ht="18" customHeight="1" x14ac:dyDescent="0.2">
      <c r="B24" s="22"/>
      <c r="C24" s="22"/>
      <c r="D24" s="6" t="s">
        <v>50</v>
      </c>
      <c r="E24" s="6"/>
      <c r="F24" s="20"/>
      <c r="G24" s="22"/>
      <c r="H24" s="22"/>
      <c r="I24" s="22"/>
      <c r="J24" s="22"/>
    </row>
    <row r="25" spans="1:10" ht="18" customHeight="1" x14ac:dyDescent="0.2">
      <c r="B25" s="22"/>
      <c r="C25" s="22"/>
      <c r="D25" s="7" t="s">
        <v>51</v>
      </c>
      <c r="E25" s="7"/>
      <c r="F25" s="20"/>
      <c r="G25" s="22"/>
      <c r="H25" s="22"/>
      <c r="I25" s="22"/>
      <c r="J25" s="22"/>
    </row>
    <row r="26" spans="1:10" ht="18" customHeight="1" x14ac:dyDescent="0.2">
      <c r="B26" s="22"/>
      <c r="C26" s="22"/>
      <c r="D26" s="6" t="s">
        <v>52</v>
      </c>
      <c r="E26" s="6"/>
      <c r="F26" s="20"/>
      <c r="G26" s="22"/>
      <c r="H26" s="22"/>
      <c r="I26" s="22"/>
      <c r="J26" s="22"/>
    </row>
    <row r="27" spans="1:10" ht="18" customHeight="1" x14ac:dyDescent="0.2">
      <c r="B27" s="22"/>
      <c r="C27" s="22"/>
      <c r="D27" s="7" t="s">
        <v>53</v>
      </c>
      <c r="E27" s="7"/>
      <c r="F27" s="20"/>
      <c r="G27" s="22"/>
      <c r="H27" s="22"/>
      <c r="I27" s="22"/>
      <c r="J27" s="22"/>
    </row>
    <row r="28" spans="1:10" ht="4.5" customHeight="1" x14ac:dyDescent="0.2">
      <c r="A28" s="72"/>
      <c r="B28" s="73"/>
      <c r="C28" s="73"/>
      <c r="D28" s="73"/>
      <c r="E28" s="73"/>
      <c r="F28" s="73"/>
      <c r="G28" s="73"/>
      <c r="H28" s="73"/>
      <c r="I28" s="73"/>
      <c r="J28" s="74"/>
    </row>
    <row r="29" spans="1:10" ht="24" customHeight="1" x14ac:dyDescent="0.2">
      <c r="A29" s="12" t="s">
        <v>54</v>
      </c>
      <c r="B29" s="12"/>
      <c r="C29" s="12"/>
      <c r="D29" s="12"/>
      <c r="E29" s="12"/>
      <c r="F29" s="12"/>
      <c r="G29" s="12"/>
      <c r="H29" s="12"/>
      <c r="I29" s="12"/>
      <c r="J29" s="12"/>
    </row>
    <row r="30" spans="1:10" ht="19.5" customHeight="1" x14ac:dyDescent="0.2">
      <c r="A30" s="5" t="s">
        <v>55</v>
      </c>
      <c r="B30" s="5"/>
      <c r="C30" s="5"/>
      <c r="D30" s="5"/>
      <c r="E30" s="5"/>
      <c r="F30" s="5"/>
      <c r="G30" s="5"/>
      <c r="H30" s="5"/>
      <c r="I30" s="5"/>
      <c r="J30" s="5"/>
    </row>
    <row r="31" spans="1:10" ht="21.75" customHeight="1" x14ac:dyDescent="0.2">
      <c r="A31" s="4" t="s">
        <v>56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 ht="42" customHeight="1" x14ac:dyDescent="0.2">
      <c r="A32" s="10" t="s">
        <v>57</v>
      </c>
      <c r="B32" s="10"/>
      <c r="C32" s="3" t="s">
        <v>58</v>
      </c>
      <c r="D32" s="3"/>
      <c r="E32" s="3"/>
      <c r="F32" s="10" t="s">
        <v>59</v>
      </c>
      <c r="G32" s="10"/>
      <c r="H32" s="3" t="s">
        <v>58</v>
      </c>
      <c r="I32" s="3"/>
      <c r="J32" s="24" t="s">
        <v>60</v>
      </c>
    </row>
    <row r="33" spans="1:10" ht="19.5" customHeight="1" x14ac:dyDescent="0.2">
      <c r="A33" s="2" t="s">
        <v>61</v>
      </c>
      <c r="B33" s="2"/>
      <c r="C33" s="1" t="s">
        <v>62</v>
      </c>
      <c r="D33" s="1"/>
      <c r="E33" s="1"/>
      <c r="F33" s="1"/>
      <c r="G33" s="1"/>
      <c r="H33" s="1"/>
      <c r="I33" s="1"/>
      <c r="J33" s="1"/>
    </row>
    <row r="34" spans="1:10" ht="19.5" customHeight="1" x14ac:dyDescent="0.2">
      <c r="A34" s="54" t="s">
        <v>63</v>
      </c>
      <c r="B34" s="54"/>
      <c r="C34" s="54"/>
      <c r="D34" s="54"/>
      <c r="E34" s="54"/>
      <c r="F34" s="54"/>
      <c r="G34" s="54"/>
      <c r="H34" s="54"/>
      <c r="I34" s="54"/>
      <c r="J34" s="54"/>
    </row>
    <row r="35" spans="1:10" ht="75" customHeight="1" x14ac:dyDescent="0.2">
      <c r="A35" s="1" t="s">
        <v>64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ht="19.5" customHeight="1" x14ac:dyDescent="0.2">
      <c r="A36" s="54" t="s">
        <v>65</v>
      </c>
      <c r="B36" s="54"/>
      <c r="C36" s="54"/>
      <c r="D36" s="54"/>
      <c r="E36" s="54"/>
      <c r="F36" s="54"/>
      <c r="G36" s="54"/>
      <c r="H36" s="54" t="s">
        <v>66</v>
      </c>
      <c r="I36" s="54"/>
      <c r="J36" s="23" t="s">
        <v>58</v>
      </c>
    </row>
    <row r="37" spans="1:10" ht="64.5" customHeight="1" x14ac:dyDescent="0.2">
      <c r="A37" s="1" t="s">
        <v>67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ht="19.5" customHeight="1" x14ac:dyDescent="0.2">
      <c r="A38" s="54" t="s">
        <v>68</v>
      </c>
      <c r="B38" s="54"/>
      <c r="C38" s="54"/>
      <c r="D38" s="54"/>
      <c r="E38" s="54"/>
      <c r="F38" s="54"/>
      <c r="G38" s="54"/>
      <c r="H38" s="54"/>
      <c r="I38" s="54"/>
      <c r="J38" s="54"/>
    </row>
    <row r="39" spans="1:10" ht="64.5" customHeight="1" x14ac:dyDescent="0.2">
      <c r="A39" s="1" t="s">
        <v>69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ht="19.5" customHeight="1" x14ac:dyDescent="0.2">
      <c r="A40" s="54" t="s">
        <v>70</v>
      </c>
      <c r="B40" s="54"/>
      <c r="C40" s="54"/>
      <c r="D40" s="54"/>
      <c r="E40" s="54"/>
      <c r="F40" s="54"/>
      <c r="G40" s="54"/>
      <c r="H40" s="54"/>
      <c r="I40" s="54"/>
      <c r="J40" s="54"/>
    </row>
    <row r="41" spans="1:10" ht="54.75" customHeight="1" x14ac:dyDescent="0.2">
      <c r="A41" s="1" t="s">
        <v>71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s="76" customFormat="1" ht="24" customHeight="1" x14ac:dyDescent="0.2">
      <c r="A42" s="80" t="s">
        <v>72</v>
      </c>
      <c r="B42" s="81"/>
      <c r="C42" s="81"/>
      <c r="D42" s="81"/>
      <c r="E42" s="81"/>
      <c r="F42" s="81"/>
      <c r="G42" s="81"/>
      <c r="H42" s="81"/>
      <c r="I42" s="81"/>
      <c r="J42" s="82"/>
    </row>
    <row r="43" spans="1:10" ht="75" customHeight="1" x14ac:dyDescent="0.2">
      <c r="A43" s="55" t="s">
        <v>73</v>
      </c>
      <c r="B43" s="55"/>
      <c r="C43" s="55"/>
      <c r="D43" s="55"/>
      <c r="E43" s="55"/>
      <c r="F43" s="55"/>
      <c r="G43" s="55"/>
      <c r="H43" s="55"/>
      <c r="I43" s="55"/>
      <c r="J43" s="55"/>
    </row>
    <row r="44" spans="1:10" ht="31" customHeight="1" x14ac:dyDescent="0.2">
      <c r="A44" s="2" t="s">
        <v>74</v>
      </c>
      <c r="B44" s="2"/>
      <c r="C44" s="1" t="s">
        <v>75</v>
      </c>
      <c r="D44" s="1"/>
      <c r="E44" s="1"/>
      <c r="F44" s="1"/>
      <c r="G44" s="1"/>
      <c r="H44" s="1"/>
      <c r="I44" s="1"/>
      <c r="J44" s="1"/>
    </row>
    <row r="45" spans="1:10" ht="4.5" customHeight="1" x14ac:dyDescent="0.2">
      <c r="A45" s="77"/>
      <c r="B45" s="78"/>
      <c r="C45" s="78"/>
      <c r="D45" s="78"/>
      <c r="E45" s="78"/>
      <c r="F45" s="78"/>
      <c r="G45" s="78"/>
      <c r="H45" s="78"/>
      <c r="I45" s="78"/>
      <c r="J45" s="79"/>
    </row>
    <row r="46" spans="1:10" ht="21.75" customHeight="1" x14ac:dyDescent="0.2">
      <c r="A46" s="12" t="s">
        <v>76</v>
      </c>
      <c r="B46" s="12"/>
      <c r="C46" s="12"/>
      <c r="D46" s="12"/>
      <c r="E46" s="12"/>
      <c r="F46" s="12"/>
      <c r="G46" s="12"/>
      <c r="H46" s="12"/>
      <c r="I46" s="12"/>
      <c r="J46" s="12"/>
    </row>
    <row r="47" spans="1:10" ht="42" customHeight="1" x14ac:dyDescent="0.2">
      <c r="A47" s="10" t="s">
        <v>57</v>
      </c>
      <c r="B47" s="10"/>
      <c r="C47" s="3" t="s">
        <v>58</v>
      </c>
      <c r="D47" s="3"/>
      <c r="E47" s="3"/>
      <c r="F47" s="10" t="s">
        <v>59</v>
      </c>
      <c r="G47" s="10"/>
      <c r="H47" s="3" t="s">
        <v>58</v>
      </c>
      <c r="I47" s="3"/>
      <c r="J47" s="24" t="s">
        <v>60</v>
      </c>
    </row>
    <row r="48" spans="1:10" ht="19.5" customHeight="1" x14ac:dyDescent="0.2">
      <c r="A48" s="2" t="s">
        <v>61</v>
      </c>
      <c r="B48" s="2"/>
      <c r="C48" s="1" t="s">
        <v>62</v>
      </c>
      <c r="D48" s="1"/>
      <c r="E48" s="1"/>
      <c r="F48" s="1"/>
      <c r="G48" s="1"/>
      <c r="H48" s="1"/>
      <c r="I48" s="1"/>
      <c r="J48" s="1"/>
    </row>
    <row r="49" spans="1:10" ht="19.5" customHeight="1" x14ac:dyDescent="0.2">
      <c r="A49" s="54" t="s">
        <v>63</v>
      </c>
      <c r="B49" s="54"/>
      <c r="C49" s="54"/>
      <c r="D49" s="54"/>
      <c r="E49" s="54"/>
      <c r="F49" s="54"/>
      <c r="G49" s="54"/>
      <c r="H49" s="54"/>
      <c r="I49" s="54"/>
      <c r="J49" s="54"/>
    </row>
    <row r="50" spans="1:10" ht="75" customHeight="1" x14ac:dyDescent="0.2">
      <c r="A50" s="1" t="s">
        <v>64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ht="19.5" customHeight="1" x14ac:dyDescent="0.2">
      <c r="A51" s="54" t="s">
        <v>65</v>
      </c>
      <c r="B51" s="54"/>
      <c r="C51" s="54"/>
      <c r="D51" s="54"/>
      <c r="E51" s="54"/>
      <c r="F51" s="54"/>
      <c r="G51" s="54"/>
      <c r="H51" s="54" t="s">
        <v>66</v>
      </c>
      <c r="I51" s="54"/>
      <c r="J51" s="23" t="s">
        <v>58</v>
      </c>
    </row>
    <row r="52" spans="1:10" ht="64.5" customHeight="1" x14ac:dyDescent="0.2">
      <c r="A52" s="1" t="s">
        <v>67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ht="19.5" customHeight="1" x14ac:dyDescent="0.2">
      <c r="A53" s="54" t="s">
        <v>68</v>
      </c>
      <c r="B53" s="54"/>
      <c r="C53" s="54"/>
      <c r="D53" s="54"/>
      <c r="E53" s="54"/>
      <c r="F53" s="54"/>
      <c r="G53" s="54"/>
      <c r="H53" s="54"/>
      <c r="I53" s="54"/>
      <c r="J53" s="54"/>
    </row>
    <row r="54" spans="1:10" ht="64.5" customHeight="1" x14ac:dyDescent="0.2">
      <c r="A54" s="1" t="s">
        <v>69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ht="19.5" customHeight="1" x14ac:dyDescent="0.2">
      <c r="A55" s="54" t="s">
        <v>70</v>
      </c>
      <c r="B55" s="54"/>
      <c r="C55" s="54"/>
      <c r="D55" s="54"/>
      <c r="E55" s="54"/>
      <c r="F55" s="54"/>
      <c r="G55" s="54"/>
      <c r="H55" s="54"/>
      <c r="I55" s="54"/>
      <c r="J55" s="54"/>
    </row>
    <row r="56" spans="1:10" ht="54.75" customHeight="1" x14ac:dyDescent="0.2">
      <c r="A56" s="1" t="s">
        <v>71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ht="19.5" customHeight="1" x14ac:dyDescent="0.2">
      <c r="A57" s="80" t="s">
        <v>72</v>
      </c>
      <c r="B57" s="81"/>
      <c r="C57" s="81"/>
      <c r="D57" s="81"/>
      <c r="E57" s="81"/>
      <c r="F57" s="81"/>
      <c r="G57" s="81"/>
      <c r="H57" s="81"/>
      <c r="I57" s="81"/>
      <c r="J57" s="82"/>
    </row>
    <row r="58" spans="1:10" ht="75" customHeight="1" x14ac:dyDescent="0.2">
      <c r="A58" s="55" t="s">
        <v>73</v>
      </c>
      <c r="B58" s="55"/>
      <c r="C58" s="55"/>
      <c r="D58" s="55"/>
      <c r="E58" s="55"/>
      <c r="F58" s="55"/>
      <c r="G58" s="55"/>
      <c r="H58" s="55"/>
      <c r="I58" s="55"/>
      <c r="J58" s="55"/>
    </row>
    <row r="59" spans="1:10" ht="31" customHeight="1" x14ac:dyDescent="0.2">
      <c r="A59" s="2" t="s">
        <v>74</v>
      </c>
      <c r="B59" s="2"/>
      <c r="C59" s="1" t="s">
        <v>75</v>
      </c>
      <c r="D59" s="1"/>
      <c r="E59" s="1"/>
      <c r="F59" s="1"/>
      <c r="G59" s="1"/>
      <c r="H59" s="1"/>
      <c r="I59" s="1"/>
      <c r="J59" s="1"/>
    </row>
    <row r="60" spans="1:10" ht="4.5" customHeight="1" x14ac:dyDescent="0.2">
      <c r="A60" s="77"/>
      <c r="B60" s="78"/>
      <c r="C60" s="78"/>
      <c r="D60" s="78"/>
      <c r="E60" s="78"/>
      <c r="F60" s="78"/>
      <c r="G60" s="78"/>
      <c r="H60" s="78"/>
      <c r="I60" s="78"/>
      <c r="J60" s="79"/>
    </row>
    <row r="61" spans="1:10" ht="21.75" customHeight="1" x14ac:dyDescent="0.2">
      <c r="A61" s="4" t="s">
        <v>77</v>
      </c>
      <c r="B61" s="4"/>
      <c r="C61" s="4"/>
      <c r="D61" s="4"/>
      <c r="E61" s="4"/>
      <c r="F61" s="4"/>
      <c r="G61" s="4"/>
      <c r="H61" s="4"/>
      <c r="I61" s="4"/>
      <c r="J61" s="4"/>
    </row>
    <row r="62" spans="1:10" ht="42" customHeight="1" x14ac:dyDescent="0.2">
      <c r="A62" s="10" t="s">
        <v>57</v>
      </c>
      <c r="B62" s="10"/>
      <c r="C62" s="3" t="s">
        <v>58</v>
      </c>
      <c r="D62" s="3"/>
      <c r="E62" s="3"/>
      <c r="F62" s="10" t="s">
        <v>59</v>
      </c>
      <c r="G62" s="10"/>
      <c r="H62" s="3" t="s">
        <v>58</v>
      </c>
      <c r="I62" s="3"/>
      <c r="J62" s="24" t="s">
        <v>60</v>
      </c>
    </row>
    <row r="63" spans="1:10" ht="19.5" customHeight="1" x14ac:dyDescent="0.2">
      <c r="A63" s="2" t="s">
        <v>61</v>
      </c>
      <c r="B63" s="2"/>
      <c r="C63" s="1" t="s">
        <v>62</v>
      </c>
      <c r="D63" s="1"/>
      <c r="E63" s="1"/>
      <c r="F63" s="1"/>
      <c r="G63" s="1"/>
      <c r="H63" s="1"/>
      <c r="I63" s="1"/>
      <c r="J63" s="1"/>
    </row>
    <row r="64" spans="1:10" ht="19.5" customHeight="1" x14ac:dyDescent="0.2">
      <c r="A64" s="54" t="s">
        <v>63</v>
      </c>
      <c r="B64" s="54"/>
      <c r="C64" s="54"/>
      <c r="D64" s="54"/>
      <c r="E64" s="54"/>
      <c r="F64" s="54"/>
      <c r="G64" s="54"/>
      <c r="H64" s="54"/>
      <c r="I64" s="54"/>
      <c r="J64" s="54"/>
    </row>
    <row r="65" spans="1:10" ht="75" customHeight="1" x14ac:dyDescent="0.2">
      <c r="A65" s="1" t="s">
        <v>64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ht="19.5" customHeight="1" x14ac:dyDescent="0.2">
      <c r="A66" s="54" t="s">
        <v>65</v>
      </c>
      <c r="B66" s="54"/>
      <c r="C66" s="54"/>
      <c r="D66" s="54"/>
      <c r="E66" s="54"/>
      <c r="F66" s="54"/>
      <c r="G66" s="54"/>
      <c r="H66" s="54" t="s">
        <v>66</v>
      </c>
      <c r="I66" s="54"/>
      <c r="J66" s="23" t="s">
        <v>58</v>
      </c>
    </row>
    <row r="67" spans="1:10" ht="64.5" customHeight="1" x14ac:dyDescent="0.2">
      <c r="A67" s="1" t="s">
        <v>67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ht="19.5" customHeight="1" x14ac:dyDescent="0.2">
      <c r="A68" s="54" t="s">
        <v>68</v>
      </c>
      <c r="B68" s="54"/>
      <c r="C68" s="54"/>
      <c r="D68" s="54"/>
      <c r="E68" s="54"/>
      <c r="F68" s="54"/>
      <c r="G68" s="54"/>
      <c r="H68" s="54"/>
      <c r="I68" s="54"/>
      <c r="J68" s="54"/>
    </row>
    <row r="69" spans="1:10" ht="64.5" customHeight="1" x14ac:dyDescent="0.2">
      <c r="A69" s="1" t="s">
        <v>69</v>
      </c>
      <c r="B69" s="1"/>
      <c r="C69" s="1"/>
      <c r="D69" s="1"/>
      <c r="E69" s="1"/>
      <c r="F69" s="1"/>
      <c r="G69" s="1"/>
      <c r="H69" s="1"/>
      <c r="I69" s="1"/>
      <c r="J69" s="1"/>
    </row>
    <row r="70" spans="1:10" ht="19.5" customHeight="1" x14ac:dyDescent="0.2">
      <c r="A70" s="54" t="s">
        <v>70</v>
      </c>
      <c r="B70" s="54"/>
      <c r="C70" s="54"/>
      <c r="D70" s="54"/>
      <c r="E70" s="54"/>
      <c r="F70" s="54"/>
      <c r="G70" s="54"/>
      <c r="H70" s="54"/>
      <c r="I70" s="54"/>
      <c r="J70" s="54"/>
    </row>
    <row r="71" spans="1:10" ht="54.75" customHeight="1" x14ac:dyDescent="0.2">
      <c r="A71" s="1" t="s">
        <v>71</v>
      </c>
      <c r="B71" s="1"/>
      <c r="C71" s="1"/>
      <c r="D71" s="1"/>
      <c r="E71" s="1"/>
      <c r="F71" s="1"/>
      <c r="G71" s="1"/>
      <c r="H71" s="1"/>
      <c r="I71" s="1"/>
      <c r="J71" s="1"/>
    </row>
    <row r="72" spans="1:10" ht="19.5" customHeight="1" x14ac:dyDescent="0.2">
      <c r="A72" s="80" t="s">
        <v>72</v>
      </c>
      <c r="B72" s="81"/>
      <c r="C72" s="81"/>
      <c r="D72" s="81"/>
      <c r="E72" s="81"/>
      <c r="F72" s="81"/>
      <c r="G72" s="81"/>
      <c r="H72" s="81"/>
      <c r="I72" s="81"/>
      <c r="J72" s="82"/>
    </row>
    <row r="73" spans="1:10" ht="75" customHeight="1" x14ac:dyDescent="0.2">
      <c r="A73" s="55" t="s">
        <v>73</v>
      </c>
      <c r="B73" s="55"/>
      <c r="C73" s="55"/>
      <c r="D73" s="55"/>
      <c r="E73" s="55"/>
      <c r="F73" s="55"/>
      <c r="G73" s="55"/>
      <c r="H73" s="55"/>
      <c r="I73" s="55"/>
      <c r="J73" s="55"/>
    </row>
    <row r="74" spans="1:10" ht="31" customHeight="1" x14ac:dyDescent="0.2">
      <c r="A74" s="2" t="s">
        <v>74</v>
      </c>
      <c r="B74" s="2"/>
      <c r="C74" s="1" t="s">
        <v>75</v>
      </c>
      <c r="D74" s="1"/>
      <c r="E74" s="1"/>
      <c r="F74" s="1"/>
      <c r="G74" s="1"/>
      <c r="H74" s="1"/>
      <c r="I74" s="1"/>
      <c r="J74" s="1"/>
    </row>
    <row r="75" spans="1:10" ht="4.5" customHeight="1" x14ac:dyDescent="0.2">
      <c r="A75" s="77"/>
      <c r="B75" s="78"/>
      <c r="C75" s="78"/>
      <c r="D75" s="78"/>
      <c r="E75" s="78"/>
      <c r="F75" s="78"/>
      <c r="G75" s="78"/>
      <c r="H75" s="78"/>
      <c r="I75" s="78"/>
      <c r="J75" s="79"/>
    </row>
    <row r="76" spans="1:10" ht="21.75" customHeight="1" x14ac:dyDescent="0.2">
      <c r="A76" s="12" t="s">
        <v>78</v>
      </c>
      <c r="B76" s="12"/>
      <c r="C76" s="12"/>
      <c r="D76" s="12"/>
      <c r="E76" s="12"/>
      <c r="F76" s="12"/>
      <c r="G76" s="12"/>
      <c r="H76" s="12"/>
      <c r="I76" s="12"/>
      <c r="J76" s="12"/>
    </row>
    <row r="77" spans="1:10" ht="42" customHeight="1" x14ac:dyDescent="0.2">
      <c r="A77" s="10" t="s">
        <v>57</v>
      </c>
      <c r="B77" s="10"/>
      <c r="C77" s="3" t="s">
        <v>58</v>
      </c>
      <c r="D77" s="3"/>
      <c r="E77" s="3"/>
      <c r="F77" s="10" t="s">
        <v>59</v>
      </c>
      <c r="G77" s="10"/>
      <c r="H77" s="3" t="s">
        <v>58</v>
      </c>
      <c r="I77" s="3"/>
      <c r="J77" s="24" t="s">
        <v>60</v>
      </c>
    </row>
    <row r="78" spans="1:10" ht="19.5" customHeight="1" x14ac:dyDescent="0.2">
      <c r="A78" s="2" t="s">
        <v>61</v>
      </c>
      <c r="B78" s="2"/>
      <c r="C78" s="1" t="s">
        <v>62</v>
      </c>
      <c r="D78" s="1"/>
      <c r="E78" s="1"/>
      <c r="F78" s="1"/>
      <c r="G78" s="1"/>
      <c r="H78" s="1"/>
      <c r="I78" s="1"/>
      <c r="J78" s="1"/>
    </row>
    <row r="79" spans="1:10" ht="19.5" customHeight="1" x14ac:dyDescent="0.2">
      <c r="A79" s="54" t="s">
        <v>63</v>
      </c>
      <c r="B79" s="54"/>
      <c r="C79" s="54"/>
      <c r="D79" s="54"/>
      <c r="E79" s="54"/>
      <c r="F79" s="54"/>
      <c r="G79" s="54"/>
      <c r="H79" s="54"/>
      <c r="I79" s="54"/>
      <c r="J79" s="54"/>
    </row>
    <row r="80" spans="1:10" ht="75" customHeight="1" x14ac:dyDescent="0.2">
      <c r="A80" s="1" t="s">
        <v>64</v>
      </c>
      <c r="B80" s="1"/>
      <c r="C80" s="1"/>
      <c r="D80" s="1"/>
      <c r="E80" s="1"/>
      <c r="F80" s="1"/>
      <c r="G80" s="1"/>
      <c r="H80" s="1"/>
      <c r="I80" s="1"/>
      <c r="J80" s="1"/>
    </row>
    <row r="81" spans="1:10" ht="19.5" customHeight="1" x14ac:dyDescent="0.2">
      <c r="A81" s="54" t="s">
        <v>65</v>
      </c>
      <c r="B81" s="54"/>
      <c r="C81" s="54"/>
      <c r="D81" s="54"/>
      <c r="E81" s="54"/>
      <c r="F81" s="54"/>
      <c r="G81" s="54"/>
      <c r="H81" s="54" t="s">
        <v>66</v>
      </c>
      <c r="I81" s="54"/>
      <c r="J81" s="23" t="s">
        <v>58</v>
      </c>
    </row>
    <row r="82" spans="1:10" ht="64.5" customHeight="1" x14ac:dyDescent="0.2">
      <c r="A82" s="1" t="s">
        <v>67</v>
      </c>
      <c r="B82" s="1"/>
      <c r="C82" s="1"/>
      <c r="D82" s="1"/>
      <c r="E82" s="1"/>
      <c r="F82" s="1"/>
      <c r="G82" s="1"/>
      <c r="H82" s="1"/>
      <c r="I82" s="1"/>
      <c r="J82" s="1"/>
    </row>
    <row r="83" spans="1:10" ht="19.5" customHeight="1" x14ac:dyDescent="0.2">
      <c r="A83" s="54" t="s">
        <v>68</v>
      </c>
      <c r="B83" s="54"/>
      <c r="C83" s="54"/>
      <c r="D83" s="54"/>
      <c r="E83" s="54"/>
      <c r="F83" s="54"/>
      <c r="G83" s="54"/>
      <c r="H83" s="54"/>
      <c r="I83" s="54"/>
      <c r="J83" s="54"/>
    </row>
    <row r="84" spans="1:10" ht="64.5" customHeight="1" x14ac:dyDescent="0.2">
      <c r="A84" s="1" t="s">
        <v>69</v>
      </c>
      <c r="B84" s="1"/>
      <c r="C84" s="1"/>
      <c r="D84" s="1"/>
      <c r="E84" s="1"/>
      <c r="F84" s="1"/>
      <c r="G84" s="1"/>
      <c r="H84" s="1"/>
      <c r="I84" s="1"/>
      <c r="J84" s="1"/>
    </row>
    <row r="85" spans="1:10" ht="19.5" customHeight="1" x14ac:dyDescent="0.2">
      <c r="A85" s="54" t="s">
        <v>70</v>
      </c>
      <c r="B85" s="54"/>
      <c r="C85" s="54"/>
      <c r="D85" s="54"/>
      <c r="E85" s="54"/>
      <c r="F85" s="54"/>
      <c r="G85" s="54"/>
      <c r="H85" s="54"/>
      <c r="I85" s="54"/>
      <c r="J85" s="54"/>
    </row>
    <row r="86" spans="1:10" ht="54.75" customHeight="1" x14ac:dyDescent="0.2">
      <c r="A86" s="1" t="s">
        <v>71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 ht="19.5" customHeight="1" x14ac:dyDescent="0.2">
      <c r="A87" s="80" t="s">
        <v>72</v>
      </c>
      <c r="B87" s="81"/>
      <c r="C87" s="81"/>
      <c r="D87" s="81"/>
      <c r="E87" s="81"/>
      <c r="F87" s="81"/>
      <c r="G87" s="81"/>
      <c r="H87" s="81"/>
      <c r="I87" s="81"/>
      <c r="J87" s="82"/>
    </row>
    <row r="88" spans="1:10" ht="75" customHeight="1" x14ac:dyDescent="0.2">
      <c r="A88" s="55" t="s">
        <v>73</v>
      </c>
      <c r="B88" s="55"/>
      <c r="C88" s="55"/>
      <c r="D88" s="55"/>
      <c r="E88" s="55"/>
      <c r="F88" s="55"/>
      <c r="G88" s="55"/>
      <c r="H88" s="55"/>
      <c r="I88" s="55"/>
      <c r="J88" s="55"/>
    </row>
    <row r="89" spans="1:10" ht="31" customHeight="1" x14ac:dyDescent="0.2">
      <c r="A89" s="2" t="s">
        <v>74</v>
      </c>
      <c r="B89" s="2"/>
      <c r="C89" s="1" t="s">
        <v>75</v>
      </c>
      <c r="D89" s="1"/>
      <c r="E89" s="1"/>
      <c r="F89" s="1"/>
      <c r="G89" s="1"/>
      <c r="H89" s="1"/>
      <c r="I89" s="1"/>
      <c r="J89" s="1"/>
    </row>
    <row r="90" spans="1:10" ht="4.5" customHeight="1" x14ac:dyDescent="0.2">
      <c r="A90" s="77"/>
      <c r="B90" s="78"/>
      <c r="C90" s="78"/>
      <c r="D90" s="78"/>
      <c r="E90" s="78"/>
      <c r="F90" s="78"/>
      <c r="G90" s="78"/>
      <c r="H90" s="78"/>
      <c r="I90" s="78"/>
      <c r="J90" s="79"/>
    </row>
    <row r="91" spans="1:10" ht="21.75" customHeight="1" x14ac:dyDescent="0.2">
      <c r="A91" s="4" t="s">
        <v>79</v>
      </c>
      <c r="B91" s="4"/>
      <c r="C91" s="4"/>
      <c r="D91" s="4"/>
      <c r="E91" s="4"/>
      <c r="F91" s="4"/>
      <c r="G91" s="4"/>
      <c r="H91" s="4"/>
      <c r="I91" s="4"/>
      <c r="J91" s="4"/>
    </row>
    <row r="92" spans="1:10" ht="42" customHeight="1" x14ac:dyDescent="0.2">
      <c r="A92" s="10" t="s">
        <v>57</v>
      </c>
      <c r="B92" s="10"/>
      <c r="C92" s="3" t="s">
        <v>58</v>
      </c>
      <c r="D92" s="3"/>
      <c r="E92" s="3"/>
      <c r="F92" s="10" t="s">
        <v>59</v>
      </c>
      <c r="G92" s="10"/>
      <c r="H92" s="3" t="s">
        <v>58</v>
      </c>
      <c r="I92" s="3"/>
      <c r="J92" s="24" t="s">
        <v>60</v>
      </c>
    </row>
    <row r="93" spans="1:10" ht="19.5" customHeight="1" x14ac:dyDescent="0.2">
      <c r="A93" s="2" t="s">
        <v>61</v>
      </c>
      <c r="B93" s="2"/>
      <c r="C93" s="1" t="s">
        <v>62</v>
      </c>
      <c r="D93" s="1"/>
      <c r="E93" s="1"/>
      <c r="F93" s="1"/>
      <c r="G93" s="1"/>
      <c r="H93" s="1"/>
      <c r="I93" s="1"/>
      <c r="J93" s="1"/>
    </row>
    <row r="94" spans="1:10" ht="19.5" customHeight="1" x14ac:dyDescent="0.2">
      <c r="A94" s="54" t="s">
        <v>63</v>
      </c>
      <c r="B94" s="54"/>
      <c r="C94" s="54"/>
      <c r="D94" s="54"/>
      <c r="E94" s="54"/>
      <c r="F94" s="54"/>
      <c r="G94" s="54"/>
      <c r="H94" s="54"/>
      <c r="I94" s="54"/>
      <c r="J94" s="54"/>
    </row>
    <row r="95" spans="1:10" ht="75" customHeight="1" x14ac:dyDescent="0.2">
      <c r="A95" s="1" t="s">
        <v>64</v>
      </c>
      <c r="B95" s="1"/>
      <c r="C95" s="1"/>
      <c r="D95" s="1"/>
      <c r="E95" s="1"/>
      <c r="F95" s="1"/>
      <c r="G95" s="1"/>
      <c r="H95" s="1"/>
      <c r="I95" s="1"/>
      <c r="J95" s="1"/>
    </row>
    <row r="96" spans="1:10" ht="19.5" customHeight="1" x14ac:dyDescent="0.2">
      <c r="A96" s="54" t="s">
        <v>65</v>
      </c>
      <c r="B96" s="54"/>
      <c r="C96" s="54"/>
      <c r="D96" s="54"/>
      <c r="E96" s="54"/>
      <c r="F96" s="54"/>
      <c r="G96" s="54"/>
      <c r="H96" s="54" t="s">
        <v>66</v>
      </c>
      <c r="I96" s="54"/>
      <c r="J96" s="23" t="s">
        <v>58</v>
      </c>
    </row>
    <row r="97" spans="1:10" ht="64.5" customHeight="1" x14ac:dyDescent="0.2">
      <c r="A97" s="1" t="s">
        <v>67</v>
      </c>
      <c r="B97" s="1"/>
      <c r="C97" s="1"/>
      <c r="D97" s="1"/>
      <c r="E97" s="1"/>
      <c r="F97" s="1"/>
      <c r="G97" s="1"/>
      <c r="H97" s="1"/>
      <c r="I97" s="1"/>
      <c r="J97" s="1"/>
    </row>
    <row r="98" spans="1:10" ht="19.5" customHeight="1" x14ac:dyDescent="0.2">
      <c r="A98" s="54" t="s">
        <v>68</v>
      </c>
      <c r="B98" s="54"/>
      <c r="C98" s="54"/>
      <c r="D98" s="54"/>
      <c r="E98" s="54"/>
      <c r="F98" s="54"/>
      <c r="G98" s="54"/>
      <c r="H98" s="54"/>
      <c r="I98" s="54"/>
      <c r="J98" s="54"/>
    </row>
    <row r="99" spans="1:10" ht="64.5" customHeight="1" x14ac:dyDescent="0.2">
      <c r="A99" s="1" t="s">
        <v>69</v>
      </c>
      <c r="B99" s="1"/>
      <c r="C99" s="1"/>
      <c r="D99" s="1"/>
      <c r="E99" s="1"/>
      <c r="F99" s="1"/>
      <c r="G99" s="1"/>
      <c r="H99" s="1"/>
      <c r="I99" s="1"/>
      <c r="J99" s="1"/>
    </row>
    <row r="100" spans="1:10" ht="19.5" customHeight="1" x14ac:dyDescent="0.2">
      <c r="A100" s="54" t="s">
        <v>70</v>
      </c>
      <c r="B100" s="54"/>
      <c r="C100" s="54"/>
      <c r="D100" s="54"/>
      <c r="E100" s="54"/>
      <c r="F100" s="54"/>
      <c r="G100" s="54"/>
      <c r="H100" s="54"/>
      <c r="I100" s="54"/>
      <c r="J100" s="54"/>
    </row>
    <row r="101" spans="1:10" ht="54.75" customHeight="1" x14ac:dyDescent="0.2">
      <c r="A101" s="1" t="s">
        <v>71</v>
      </c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9.5" customHeight="1" x14ac:dyDescent="0.2">
      <c r="A102" s="80" t="s">
        <v>72</v>
      </c>
      <c r="B102" s="81"/>
      <c r="C102" s="81"/>
      <c r="D102" s="81"/>
      <c r="E102" s="81"/>
      <c r="F102" s="81"/>
      <c r="G102" s="81"/>
      <c r="H102" s="81"/>
      <c r="I102" s="81"/>
      <c r="J102" s="82"/>
    </row>
    <row r="103" spans="1:10" ht="75" customHeight="1" x14ac:dyDescent="0.2">
      <c r="A103" s="55" t="s">
        <v>73</v>
      </c>
      <c r="B103" s="55"/>
      <c r="C103" s="55"/>
      <c r="D103" s="55"/>
      <c r="E103" s="55"/>
      <c r="F103" s="55"/>
      <c r="G103" s="55"/>
      <c r="H103" s="55"/>
      <c r="I103" s="55"/>
      <c r="J103" s="55"/>
    </row>
    <row r="104" spans="1:10" ht="31" customHeight="1" x14ac:dyDescent="0.2">
      <c r="A104" s="2" t="s">
        <v>74</v>
      </c>
      <c r="B104" s="2"/>
      <c r="C104" s="1" t="s">
        <v>75</v>
      </c>
      <c r="D104" s="1"/>
      <c r="E104" s="1"/>
      <c r="F104" s="1"/>
      <c r="G104" s="1"/>
      <c r="H104" s="1"/>
      <c r="I104" s="1"/>
      <c r="J104" s="1"/>
    </row>
    <row r="105" spans="1:10" ht="4.5" customHeight="1" x14ac:dyDescent="0.2">
      <c r="A105" s="77"/>
      <c r="B105" s="78"/>
      <c r="C105" s="78"/>
      <c r="D105" s="78"/>
      <c r="E105" s="78"/>
      <c r="F105" s="78"/>
      <c r="G105" s="78"/>
      <c r="H105" s="78"/>
      <c r="I105" s="78"/>
      <c r="J105" s="79"/>
    </row>
    <row r="106" spans="1:10" ht="21.75" customHeight="1" x14ac:dyDescent="0.2">
      <c r="A106" s="12" t="s">
        <v>80</v>
      </c>
      <c r="B106" s="12"/>
      <c r="C106" s="12"/>
      <c r="D106" s="12"/>
      <c r="E106" s="12"/>
      <c r="F106" s="12"/>
      <c r="G106" s="12"/>
      <c r="H106" s="12"/>
      <c r="I106" s="12"/>
      <c r="J106" s="12"/>
    </row>
    <row r="107" spans="1:10" ht="42" customHeight="1" x14ac:dyDescent="0.2">
      <c r="A107" s="10" t="s">
        <v>57</v>
      </c>
      <c r="B107" s="10"/>
      <c r="C107" s="3" t="s">
        <v>58</v>
      </c>
      <c r="D107" s="3"/>
      <c r="E107" s="3"/>
      <c r="F107" s="10" t="s">
        <v>59</v>
      </c>
      <c r="G107" s="10"/>
      <c r="H107" s="3" t="s">
        <v>58</v>
      </c>
      <c r="I107" s="3"/>
      <c r="J107" s="24" t="s">
        <v>60</v>
      </c>
    </row>
    <row r="108" spans="1:10" ht="19.5" customHeight="1" x14ac:dyDescent="0.2">
      <c r="A108" s="2" t="s">
        <v>61</v>
      </c>
      <c r="B108" s="2"/>
      <c r="C108" s="1" t="s">
        <v>62</v>
      </c>
      <c r="D108" s="1"/>
      <c r="E108" s="1"/>
      <c r="F108" s="1"/>
      <c r="G108" s="1"/>
      <c r="H108" s="1"/>
      <c r="I108" s="1"/>
      <c r="J108" s="1"/>
    </row>
    <row r="109" spans="1:10" ht="19.5" customHeight="1" x14ac:dyDescent="0.2">
      <c r="A109" s="54" t="s">
        <v>63</v>
      </c>
      <c r="B109" s="54"/>
      <c r="C109" s="54"/>
      <c r="D109" s="54"/>
      <c r="E109" s="54"/>
      <c r="F109" s="54"/>
      <c r="G109" s="54"/>
      <c r="H109" s="54"/>
      <c r="I109" s="54"/>
      <c r="J109" s="54"/>
    </row>
    <row r="110" spans="1:10" ht="75" customHeight="1" x14ac:dyDescent="0.2">
      <c r="A110" s="1" t="s">
        <v>64</v>
      </c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9.5" customHeight="1" x14ac:dyDescent="0.2">
      <c r="A111" s="54" t="s">
        <v>65</v>
      </c>
      <c r="B111" s="54"/>
      <c r="C111" s="54"/>
      <c r="D111" s="54"/>
      <c r="E111" s="54"/>
      <c r="F111" s="54"/>
      <c r="G111" s="54"/>
      <c r="H111" s="54" t="s">
        <v>66</v>
      </c>
      <c r="I111" s="54"/>
      <c r="J111" s="23" t="s">
        <v>58</v>
      </c>
    </row>
    <row r="112" spans="1:10" ht="64.5" customHeight="1" x14ac:dyDescent="0.2">
      <c r="A112" s="1" t="s">
        <v>67</v>
      </c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9.5" customHeight="1" x14ac:dyDescent="0.2">
      <c r="A113" s="54" t="s">
        <v>68</v>
      </c>
      <c r="B113" s="54"/>
      <c r="C113" s="54"/>
      <c r="D113" s="54"/>
      <c r="E113" s="54"/>
      <c r="F113" s="54"/>
      <c r="G113" s="54"/>
      <c r="H113" s="54"/>
      <c r="I113" s="54"/>
      <c r="J113" s="54"/>
    </row>
    <row r="114" spans="1:10" ht="64.5" customHeight="1" x14ac:dyDescent="0.2">
      <c r="A114" s="1" t="s">
        <v>69</v>
      </c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9.5" customHeight="1" x14ac:dyDescent="0.2">
      <c r="A115" s="54" t="s">
        <v>70</v>
      </c>
      <c r="B115" s="54"/>
      <c r="C115" s="54"/>
      <c r="D115" s="54"/>
      <c r="E115" s="54"/>
      <c r="F115" s="54"/>
      <c r="G115" s="54"/>
      <c r="H115" s="54"/>
      <c r="I115" s="54"/>
      <c r="J115" s="54"/>
    </row>
    <row r="116" spans="1:10" ht="54.75" customHeight="1" x14ac:dyDescent="0.2">
      <c r="A116" s="1" t="s">
        <v>71</v>
      </c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9.5" customHeight="1" x14ac:dyDescent="0.2">
      <c r="A117" s="80" t="s">
        <v>72</v>
      </c>
      <c r="B117" s="81"/>
      <c r="C117" s="81"/>
      <c r="D117" s="81"/>
      <c r="E117" s="81"/>
      <c r="F117" s="81"/>
      <c r="G117" s="81"/>
      <c r="H117" s="81"/>
      <c r="I117" s="81"/>
      <c r="J117" s="82"/>
    </row>
    <row r="118" spans="1:10" ht="75" customHeight="1" x14ac:dyDescent="0.2">
      <c r="A118" s="55" t="s">
        <v>73</v>
      </c>
      <c r="B118" s="55"/>
      <c r="C118" s="55"/>
      <c r="D118" s="55"/>
      <c r="E118" s="55"/>
      <c r="F118" s="55"/>
      <c r="G118" s="55"/>
      <c r="H118" s="55"/>
      <c r="I118" s="55"/>
      <c r="J118" s="55"/>
    </row>
    <row r="119" spans="1:10" ht="33" customHeight="1" x14ac:dyDescent="0.2">
      <c r="A119" s="2" t="s">
        <v>74</v>
      </c>
      <c r="B119" s="2"/>
      <c r="C119" s="1" t="s">
        <v>75</v>
      </c>
      <c r="D119" s="1"/>
      <c r="E119" s="1"/>
      <c r="F119" s="1"/>
      <c r="G119" s="1"/>
      <c r="H119" s="1"/>
      <c r="I119" s="1"/>
      <c r="J119" s="1"/>
    </row>
    <row r="120" spans="1:10" ht="4.5" customHeight="1" x14ac:dyDescent="0.2">
      <c r="A120" s="72"/>
      <c r="B120" s="73"/>
      <c r="C120" s="73"/>
      <c r="D120" s="73"/>
      <c r="E120" s="73"/>
      <c r="F120" s="73"/>
      <c r="G120" s="73"/>
      <c r="H120" s="73"/>
      <c r="I120" s="73"/>
      <c r="J120" s="74"/>
    </row>
    <row r="121" spans="1:10" ht="24" customHeight="1" x14ac:dyDescent="0.2">
      <c r="A121" s="4" t="s">
        <v>81</v>
      </c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18" customHeight="1" x14ac:dyDescent="0.2">
      <c r="A122" s="5" t="s">
        <v>82</v>
      </c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34" customHeight="1" x14ac:dyDescent="0.2">
      <c r="A123" s="56" t="s">
        <v>83</v>
      </c>
      <c r="B123" s="56"/>
      <c r="C123" s="56"/>
      <c r="D123" s="56"/>
      <c r="E123" s="56"/>
      <c r="F123" s="56" t="s">
        <v>84</v>
      </c>
      <c r="G123" s="56"/>
      <c r="H123" s="56"/>
      <c r="I123" s="56"/>
      <c r="J123" s="25" t="s">
        <v>85</v>
      </c>
    </row>
    <row r="124" spans="1:10" ht="24" customHeight="1" x14ac:dyDescent="0.2">
      <c r="A124" s="57" t="s">
        <v>86</v>
      </c>
      <c r="B124" s="57"/>
      <c r="C124" s="57"/>
      <c r="D124" s="57"/>
      <c r="E124" s="57"/>
      <c r="F124" s="58" t="s">
        <v>87</v>
      </c>
      <c r="G124" s="58"/>
      <c r="H124" s="58"/>
      <c r="I124" s="58"/>
      <c r="J124" s="26"/>
    </row>
    <row r="125" spans="1:10" ht="24" customHeight="1" x14ac:dyDescent="0.2">
      <c r="A125" s="59" t="s">
        <v>88</v>
      </c>
      <c r="B125" s="59"/>
      <c r="C125" s="59"/>
      <c r="D125" s="59"/>
      <c r="E125" s="59"/>
      <c r="F125" s="60" t="s">
        <v>89</v>
      </c>
      <c r="G125" s="60"/>
      <c r="H125" s="60"/>
      <c r="I125" s="60"/>
      <c r="J125" s="26"/>
    </row>
    <row r="126" spans="1:10" ht="24" customHeight="1" x14ac:dyDescent="0.2">
      <c r="A126" s="57" t="s">
        <v>90</v>
      </c>
      <c r="B126" s="57"/>
      <c r="C126" s="57"/>
      <c r="D126" s="57"/>
      <c r="E126" s="57"/>
      <c r="F126" s="58" t="s">
        <v>91</v>
      </c>
      <c r="G126" s="58"/>
      <c r="H126" s="58"/>
      <c r="I126" s="58"/>
      <c r="J126" s="26"/>
    </row>
    <row r="127" spans="1:10" ht="24" customHeight="1" x14ac:dyDescent="0.2">
      <c r="A127" s="59" t="s">
        <v>92</v>
      </c>
      <c r="B127" s="59"/>
      <c r="C127" s="59"/>
      <c r="D127" s="59"/>
      <c r="E127" s="59"/>
      <c r="F127" s="60" t="s">
        <v>93</v>
      </c>
      <c r="G127" s="60"/>
      <c r="H127" s="60"/>
      <c r="I127" s="60"/>
      <c r="J127" s="26"/>
    </row>
    <row r="128" spans="1:10" ht="24" customHeight="1" x14ac:dyDescent="0.2">
      <c r="A128" s="57" t="s">
        <v>94</v>
      </c>
      <c r="B128" s="57"/>
      <c r="C128" s="57"/>
      <c r="D128" s="57"/>
      <c r="E128" s="57"/>
      <c r="F128" s="58" t="s">
        <v>95</v>
      </c>
      <c r="G128" s="58"/>
      <c r="H128" s="58"/>
      <c r="I128" s="58"/>
      <c r="J128" s="26"/>
    </row>
    <row r="129" spans="1:10" ht="24" customHeight="1" x14ac:dyDescent="0.2">
      <c r="A129" s="59" t="s">
        <v>96</v>
      </c>
      <c r="B129" s="59"/>
      <c r="C129" s="59"/>
      <c r="D129" s="59"/>
      <c r="E129" s="59"/>
      <c r="F129" s="60" t="s">
        <v>97</v>
      </c>
      <c r="G129" s="60"/>
      <c r="H129" s="60"/>
      <c r="I129" s="60"/>
      <c r="J129" s="26"/>
    </row>
    <row r="130" spans="1:10" ht="24" customHeight="1" x14ac:dyDescent="0.2">
      <c r="A130" s="57" t="s">
        <v>98</v>
      </c>
      <c r="B130" s="57"/>
      <c r="C130" s="57"/>
      <c r="D130" s="57"/>
      <c r="E130" s="57"/>
      <c r="F130" s="58" t="s">
        <v>99</v>
      </c>
      <c r="G130" s="58"/>
      <c r="H130" s="58"/>
      <c r="I130" s="58"/>
      <c r="J130" s="26"/>
    </row>
    <row r="131" spans="1:10" ht="24" customHeight="1" x14ac:dyDescent="0.2">
      <c r="A131" s="59" t="s">
        <v>100</v>
      </c>
      <c r="B131" s="59"/>
      <c r="C131" s="59"/>
      <c r="D131" s="59"/>
      <c r="E131" s="59"/>
      <c r="F131" s="60" t="s">
        <v>101</v>
      </c>
      <c r="G131" s="60"/>
      <c r="H131" s="60"/>
      <c r="I131" s="60"/>
      <c r="J131" s="26"/>
    </row>
    <row r="132" spans="1:10" ht="24" customHeight="1" x14ac:dyDescent="0.2">
      <c r="A132" s="57" t="s">
        <v>102</v>
      </c>
      <c r="B132" s="57"/>
      <c r="C132" s="57"/>
      <c r="D132" s="57"/>
      <c r="E132" s="57"/>
      <c r="F132" s="58" t="s">
        <v>103</v>
      </c>
      <c r="G132" s="58"/>
      <c r="H132" s="58"/>
      <c r="I132" s="58"/>
      <c r="J132" s="26"/>
    </row>
    <row r="133" spans="1:10" ht="24" customHeight="1" x14ac:dyDescent="0.2">
      <c r="A133" s="59" t="s">
        <v>104</v>
      </c>
      <c r="B133" s="59"/>
      <c r="C133" s="59"/>
      <c r="D133" s="59"/>
      <c r="E133" s="59"/>
      <c r="F133" s="60" t="s">
        <v>105</v>
      </c>
      <c r="G133" s="60"/>
      <c r="H133" s="60"/>
      <c r="I133" s="60"/>
      <c r="J133" s="26"/>
    </row>
    <row r="134" spans="1:10" ht="24" customHeight="1" x14ac:dyDescent="0.2">
      <c r="A134" s="61" t="s">
        <v>106</v>
      </c>
      <c r="B134" s="61"/>
      <c r="C134" s="61"/>
      <c r="D134" s="61"/>
      <c r="E134" s="61"/>
      <c r="F134" s="61"/>
      <c r="G134" s="61"/>
      <c r="H134" s="61"/>
      <c r="I134" s="61"/>
      <c r="J134" s="83" t="str">
        <f>IFERROR(AVERAGEIF(J124:J133,"&gt;0"),"")</f>
        <v/>
      </c>
    </row>
    <row r="135" spans="1:10" ht="4.5" customHeight="1" x14ac:dyDescent="0.2">
      <c r="A135" s="72"/>
      <c r="B135" s="73"/>
      <c r="C135" s="73"/>
      <c r="D135" s="73"/>
      <c r="E135" s="73"/>
      <c r="F135" s="73"/>
      <c r="G135" s="73"/>
      <c r="H135" s="73"/>
      <c r="I135" s="73"/>
      <c r="J135" s="74"/>
    </row>
    <row r="136" spans="1:10" ht="24" customHeight="1" x14ac:dyDescent="0.2">
      <c r="A136" s="12" t="s">
        <v>107</v>
      </c>
      <c r="B136" s="12"/>
      <c r="C136" s="12"/>
      <c r="D136" s="12"/>
      <c r="E136" s="12"/>
      <c r="F136" s="12"/>
      <c r="G136" s="12"/>
      <c r="H136" s="12"/>
      <c r="I136" s="12"/>
      <c r="J136" s="12"/>
    </row>
    <row r="137" spans="1:10" ht="18" customHeight="1" x14ac:dyDescent="0.2">
      <c r="A137" s="5" t="s">
        <v>108</v>
      </c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1.75" customHeight="1" x14ac:dyDescent="0.2">
      <c r="A138" s="10" t="s">
        <v>109</v>
      </c>
      <c r="B138" s="10"/>
      <c r="C138" s="10"/>
      <c r="D138" s="10"/>
      <c r="E138" s="10"/>
      <c r="F138" s="10"/>
      <c r="G138" s="10"/>
      <c r="H138" s="10" t="s">
        <v>57</v>
      </c>
      <c r="I138" s="10"/>
      <c r="J138" s="27"/>
    </row>
    <row r="139" spans="1:10" ht="60" customHeight="1" x14ac:dyDescent="0.2">
      <c r="A139" s="55" t="s">
        <v>110</v>
      </c>
      <c r="B139" s="55"/>
      <c r="C139" s="55"/>
      <c r="D139" s="55"/>
      <c r="E139" s="55"/>
      <c r="F139" s="55"/>
      <c r="G139" s="55"/>
      <c r="H139" s="55"/>
      <c r="I139" s="55"/>
      <c r="J139" s="55"/>
    </row>
    <row r="140" spans="1:10" ht="21.75" customHeight="1" x14ac:dyDescent="0.2">
      <c r="A140" s="10" t="s">
        <v>111</v>
      </c>
      <c r="B140" s="10"/>
      <c r="C140" s="10"/>
      <c r="D140" s="10"/>
      <c r="E140" s="10"/>
      <c r="F140" s="10"/>
      <c r="G140" s="10"/>
      <c r="H140" s="10" t="s">
        <v>57</v>
      </c>
      <c r="I140" s="10"/>
      <c r="J140" s="27"/>
    </row>
    <row r="141" spans="1:10" ht="60" customHeight="1" x14ac:dyDescent="0.2">
      <c r="A141" s="55" t="s">
        <v>110</v>
      </c>
      <c r="B141" s="55"/>
      <c r="C141" s="55"/>
      <c r="D141" s="55"/>
      <c r="E141" s="55"/>
      <c r="F141" s="55"/>
      <c r="G141" s="55"/>
      <c r="H141" s="55"/>
      <c r="I141" s="55"/>
      <c r="J141" s="55"/>
    </row>
    <row r="142" spans="1:10" ht="21.75" customHeight="1" x14ac:dyDescent="0.2">
      <c r="A142" s="10" t="s">
        <v>112</v>
      </c>
      <c r="B142" s="10"/>
      <c r="C142" s="10"/>
      <c r="D142" s="10"/>
      <c r="E142" s="10"/>
      <c r="F142" s="10"/>
      <c r="G142" s="10"/>
      <c r="H142" s="10" t="s">
        <v>57</v>
      </c>
      <c r="I142" s="10"/>
      <c r="J142" s="27"/>
    </row>
    <row r="143" spans="1:10" ht="60" customHeight="1" x14ac:dyDescent="0.2">
      <c r="A143" s="55" t="s">
        <v>110</v>
      </c>
      <c r="B143" s="55"/>
      <c r="C143" s="55"/>
      <c r="D143" s="55"/>
      <c r="E143" s="55"/>
      <c r="F143" s="55"/>
      <c r="G143" s="55"/>
      <c r="H143" s="55"/>
      <c r="I143" s="55"/>
      <c r="J143" s="55"/>
    </row>
    <row r="144" spans="1:10" ht="4.5" customHeight="1" x14ac:dyDescent="0.2">
      <c r="A144" s="72"/>
      <c r="B144" s="73"/>
      <c r="C144" s="73"/>
      <c r="D144" s="73"/>
      <c r="E144" s="73"/>
      <c r="F144" s="73"/>
      <c r="G144" s="73"/>
      <c r="H144" s="73"/>
      <c r="I144" s="73"/>
      <c r="J144" s="74"/>
    </row>
    <row r="145" spans="1:10" ht="24" customHeight="1" x14ac:dyDescent="0.2">
      <c r="A145" s="12" t="s">
        <v>113</v>
      </c>
      <c r="B145" s="12"/>
      <c r="C145" s="12"/>
      <c r="D145" s="12"/>
      <c r="E145" s="12"/>
      <c r="F145" s="12"/>
      <c r="G145" s="12"/>
      <c r="H145" s="12"/>
      <c r="I145" s="12"/>
      <c r="J145" s="12"/>
    </row>
    <row r="146" spans="1:10" ht="18" customHeight="1" x14ac:dyDescent="0.2">
      <c r="A146" s="5" t="s">
        <v>114</v>
      </c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9.5" customHeight="1" x14ac:dyDescent="0.2">
      <c r="A147" s="10" t="s">
        <v>115</v>
      </c>
      <c r="B147" s="10"/>
      <c r="C147" s="10"/>
      <c r="D147" s="10"/>
      <c r="E147" s="10"/>
      <c r="F147" s="10" t="s">
        <v>116</v>
      </c>
      <c r="G147" s="10"/>
      <c r="H147" s="10" t="s">
        <v>117</v>
      </c>
      <c r="I147" s="10"/>
      <c r="J147" s="15" t="s">
        <v>118</v>
      </c>
    </row>
    <row r="148" spans="1:10" ht="30" customHeight="1" x14ac:dyDescent="0.2">
      <c r="A148" s="11"/>
      <c r="B148" s="11"/>
      <c r="C148" s="11"/>
      <c r="D148" s="11"/>
      <c r="E148" s="11"/>
      <c r="F148" s="11"/>
      <c r="G148" s="11"/>
      <c r="H148" s="62" t="s">
        <v>119</v>
      </c>
      <c r="I148" s="62"/>
      <c r="J148" s="28" t="s">
        <v>119</v>
      </c>
    </row>
    <row r="149" spans="1:10" ht="30" customHeight="1" x14ac:dyDescent="0.2">
      <c r="A149" s="63"/>
      <c r="B149" s="63"/>
      <c r="C149" s="63"/>
      <c r="D149" s="63"/>
      <c r="E149" s="63"/>
      <c r="F149" s="63"/>
      <c r="G149" s="63"/>
      <c r="H149" s="62" t="s">
        <v>119</v>
      </c>
      <c r="I149" s="62"/>
      <c r="J149" s="28" t="s">
        <v>119</v>
      </c>
    </row>
    <row r="150" spans="1:10" ht="30" customHeight="1" x14ac:dyDescent="0.2">
      <c r="A150" s="11"/>
      <c r="B150" s="11"/>
      <c r="C150" s="11"/>
      <c r="D150" s="11"/>
      <c r="E150" s="11"/>
      <c r="F150" s="11"/>
      <c r="G150" s="11"/>
      <c r="H150" s="62" t="s">
        <v>119</v>
      </c>
      <c r="I150" s="62"/>
      <c r="J150" s="28" t="s">
        <v>119</v>
      </c>
    </row>
    <row r="151" spans="1:10" ht="30" customHeight="1" x14ac:dyDescent="0.2">
      <c r="A151" s="63"/>
      <c r="B151" s="63"/>
      <c r="C151" s="63"/>
      <c r="D151" s="63"/>
      <c r="E151" s="63"/>
      <c r="F151" s="63"/>
      <c r="G151" s="63"/>
      <c r="H151" s="62" t="s">
        <v>119</v>
      </c>
      <c r="I151" s="62"/>
      <c r="J151" s="28" t="s">
        <v>119</v>
      </c>
    </row>
    <row r="152" spans="1:10" ht="30" customHeight="1" x14ac:dyDescent="0.2">
      <c r="A152" s="11"/>
      <c r="B152" s="11"/>
      <c r="C152" s="11"/>
      <c r="D152" s="11"/>
      <c r="E152" s="11"/>
      <c r="F152" s="11"/>
      <c r="G152" s="11"/>
      <c r="H152" s="62" t="s">
        <v>119</v>
      </c>
      <c r="I152" s="62"/>
      <c r="J152" s="28" t="s">
        <v>119</v>
      </c>
    </row>
    <row r="153" spans="1:10" ht="30" customHeight="1" x14ac:dyDescent="0.2">
      <c r="A153" s="63"/>
      <c r="B153" s="63"/>
      <c r="C153" s="63"/>
      <c r="D153" s="63"/>
      <c r="E153" s="63"/>
      <c r="F153" s="63"/>
      <c r="G153" s="63"/>
      <c r="H153" s="62" t="s">
        <v>119</v>
      </c>
      <c r="I153" s="62"/>
      <c r="J153" s="28" t="s">
        <v>119</v>
      </c>
    </row>
    <row r="154" spans="1:10" ht="4.5" customHeight="1" x14ac:dyDescent="0.2">
      <c r="A154" s="72"/>
      <c r="B154" s="73"/>
      <c r="C154" s="73"/>
      <c r="D154" s="73"/>
      <c r="E154" s="73"/>
      <c r="F154" s="73"/>
      <c r="G154" s="73"/>
      <c r="H154" s="73"/>
      <c r="I154" s="73"/>
      <c r="J154" s="74"/>
    </row>
    <row r="155" spans="1:10" ht="24" customHeight="1" x14ac:dyDescent="0.2">
      <c r="A155" s="4" t="s">
        <v>120</v>
      </c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30" customHeight="1" x14ac:dyDescent="0.2">
      <c r="A156" s="10" t="s">
        <v>13</v>
      </c>
      <c r="B156" s="10"/>
      <c r="C156" s="11"/>
      <c r="D156" s="11"/>
      <c r="E156" s="11"/>
      <c r="F156" s="11"/>
      <c r="G156" s="11"/>
      <c r="H156" s="2" t="s">
        <v>121</v>
      </c>
      <c r="I156" s="2"/>
      <c r="J156" s="16"/>
    </row>
    <row r="157" spans="1:10" ht="30" customHeight="1" x14ac:dyDescent="0.2">
      <c r="A157" s="10" t="s">
        <v>14</v>
      </c>
      <c r="B157" s="10"/>
      <c r="C157" s="11"/>
      <c r="D157" s="11"/>
      <c r="E157" s="11"/>
      <c r="F157" s="11"/>
      <c r="G157" s="11"/>
      <c r="H157" s="2" t="s">
        <v>121</v>
      </c>
      <c r="I157" s="2"/>
      <c r="J157" s="16"/>
    </row>
    <row r="158" spans="1:10" ht="30" customHeight="1" x14ac:dyDescent="0.2">
      <c r="A158" s="10" t="s">
        <v>15</v>
      </c>
      <c r="B158" s="10"/>
      <c r="C158" s="11"/>
      <c r="D158" s="11"/>
      <c r="E158" s="11"/>
      <c r="F158" s="11"/>
      <c r="G158" s="11"/>
      <c r="H158" s="2" t="s">
        <v>122</v>
      </c>
      <c r="I158" s="2"/>
      <c r="J158" s="16"/>
    </row>
    <row r="159" spans="1:10" ht="30" customHeight="1" x14ac:dyDescent="0.2">
      <c r="A159" s="10" t="s">
        <v>123</v>
      </c>
      <c r="B159" s="10"/>
      <c r="C159" s="11"/>
      <c r="D159" s="11"/>
      <c r="E159" s="11"/>
      <c r="F159" s="11"/>
      <c r="G159" s="11"/>
      <c r="H159" s="2" t="s">
        <v>124</v>
      </c>
      <c r="I159" s="2"/>
      <c r="J159" s="16"/>
    </row>
  </sheetData>
  <mergeCells count="244">
    <mergeCell ref="A157:B157"/>
    <mergeCell ref="C157:G157"/>
    <mergeCell ref="H157:I157"/>
    <mergeCell ref="A158:B158"/>
    <mergeCell ref="C158:G158"/>
    <mergeCell ref="H158:I158"/>
    <mergeCell ref="A159:B159"/>
    <mergeCell ref="C159:G159"/>
    <mergeCell ref="H159:I159"/>
    <mergeCell ref="A152:E152"/>
    <mergeCell ref="F152:G152"/>
    <mergeCell ref="H152:I152"/>
    <mergeCell ref="A153:E153"/>
    <mergeCell ref="F153:G153"/>
    <mergeCell ref="H153:I153"/>
    <mergeCell ref="A155:J155"/>
    <mergeCell ref="A156:B156"/>
    <mergeCell ref="C156:G156"/>
    <mergeCell ref="H156:I156"/>
    <mergeCell ref="A154:J154"/>
    <mergeCell ref="A149:E149"/>
    <mergeCell ref="F149:G149"/>
    <mergeCell ref="H149:I149"/>
    <mergeCell ref="A150:E150"/>
    <mergeCell ref="F150:G150"/>
    <mergeCell ref="H150:I150"/>
    <mergeCell ref="A151:E151"/>
    <mergeCell ref="F151:G151"/>
    <mergeCell ref="H151:I151"/>
    <mergeCell ref="A142:G142"/>
    <mergeCell ref="H142:I142"/>
    <mergeCell ref="A143:J143"/>
    <mergeCell ref="A145:J145"/>
    <mergeCell ref="A146:J146"/>
    <mergeCell ref="A147:E147"/>
    <mergeCell ref="F147:G147"/>
    <mergeCell ref="H147:I147"/>
    <mergeCell ref="A148:E148"/>
    <mergeCell ref="F148:G148"/>
    <mergeCell ref="H148:I148"/>
    <mergeCell ref="A144:J144"/>
    <mergeCell ref="A134:I134"/>
    <mergeCell ref="A136:J136"/>
    <mergeCell ref="A137:J137"/>
    <mergeCell ref="A138:G138"/>
    <mergeCell ref="H138:I138"/>
    <mergeCell ref="A139:J139"/>
    <mergeCell ref="A140:G140"/>
    <mergeCell ref="H140:I140"/>
    <mergeCell ref="A141:J141"/>
    <mergeCell ref="A135:J135"/>
    <mergeCell ref="A129:E129"/>
    <mergeCell ref="F129:I129"/>
    <mergeCell ref="A130:E130"/>
    <mergeCell ref="F130:I130"/>
    <mergeCell ref="A131:E131"/>
    <mergeCell ref="F131:I131"/>
    <mergeCell ref="A132:E132"/>
    <mergeCell ref="F132:I132"/>
    <mergeCell ref="A133:E133"/>
    <mergeCell ref="F133:I133"/>
    <mergeCell ref="A124:E124"/>
    <mergeCell ref="F124:I124"/>
    <mergeCell ref="A125:E125"/>
    <mergeCell ref="F125:I125"/>
    <mergeCell ref="A126:E126"/>
    <mergeCell ref="F126:I126"/>
    <mergeCell ref="A127:E127"/>
    <mergeCell ref="F127:I127"/>
    <mergeCell ref="A128:E128"/>
    <mergeCell ref="F128:I128"/>
    <mergeCell ref="A115:J115"/>
    <mergeCell ref="A116:J116"/>
    <mergeCell ref="A117:J117"/>
    <mergeCell ref="A118:J118"/>
    <mergeCell ref="A119:B119"/>
    <mergeCell ref="C119:J119"/>
    <mergeCell ref="A121:J121"/>
    <mergeCell ref="A122:J122"/>
    <mergeCell ref="A123:E123"/>
    <mergeCell ref="F123:I123"/>
    <mergeCell ref="A120:J120"/>
    <mergeCell ref="A108:B108"/>
    <mergeCell ref="C108:J108"/>
    <mergeCell ref="A109:J109"/>
    <mergeCell ref="A110:J110"/>
    <mergeCell ref="A111:G111"/>
    <mergeCell ref="H111:I111"/>
    <mergeCell ref="A112:J112"/>
    <mergeCell ref="A113:J113"/>
    <mergeCell ref="A114:J114"/>
    <mergeCell ref="A100:J100"/>
    <mergeCell ref="A101:J101"/>
    <mergeCell ref="A102:J102"/>
    <mergeCell ref="A103:J103"/>
    <mergeCell ref="A104:B104"/>
    <mergeCell ref="C104:J104"/>
    <mergeCell ref="A106:J106"/>
    <mergeCell ref="A107:B107"/>
    <mergeCell ref="C107:E107"/>
    <mergeCell ref="F107:G107"/>
    <mergeCell ref="H107:I107"/>
    <mergeCell ref="A105:J105"/>
    <mergeCell ref="A93:B93"/>
    <mergeCell ref="C93:J93"/>
    <mergeCell ref="A94:J94"/>
    <mergeCell ref="A95:J95"/>
    <mergeCell ref="A96:G96"/>
    <mergeCell ref="H96:I96"/>
    <mergeCell ref="A97:J97"/>
    <mergeCell ref="A98:J98"/>
    <mergeCell ref="A99:J99"/>
    <mergeCell ref="A85:J85"/>
    <mergeCell ref="A86:J86"/>
    <mergeCell ref="A87:J87"/>
    <mergeCell ref="A88:J88"/>
    <mergeCell ref="A89:B89"/>
    <mergeCell ref="C89:J89"/>
    <mergeCell ref="A91:J91"/>
    <mergeCell ref="A92:B92"/>
    <mergeCell ref="C92:E92"/>
    <mergeCell ref="F92:G92"/>
    <mergeCell ref="H92:I92"/>
    <mergeCell ref="A90:J90"/>
    <mergeCell ref="A78:B78"/>
    <mergeCell ref="C78:J78"/>
    <mergeCell ref="A79:J79"/>
    <mergeCell ref="A80:J80"/>
    <mergeCell ref="A81:G81"/>
    <mergeCell ref="H81:I81"/>
    <mergeCell ref="A82:J82"/>
    <mergeCell ref="A83:J83"/>
    <mergeCell ref="A84:J84"/>
    <mergeCell ref="A70:J70"/>
    <mergeCell ref="A71:J71"/>
    <mergeCell ref="A72:J72"/>
    <mergeCell ref="A73:J73"/>
    <mergeCell ref="A74:B74"/>
    <mergeCell ref="C74:J74"/>
    <mergeCell ref="A76:J76"/>
    <mergeCell ref="A77:B77"/>
    <mergeCell ref="C77:E77"/>
    <mergeCell ref="F77:G77"/>
    <mergeCell ref="H77:I77"/>
    <mergeCell ref="A75:J75"/>
    <mergeCell ref="A63:B63"/>
    <mergeCell ref="C63:J63"/>
    <mergeCell ref="A64:J64"/>
    <mergeCell ref="A65:J65"/>
    <mergeCell ref="A66:G66"/>
    <mergeCell ref="H66:I66"/>
    <mergeCell ref="A67:J67"/>
    <mergeCell ref="A68:J68"/>
    <mergeCell ref="A69:J69"/>
    <mergeCell ref="A55:J55"/>
    <mergeCell ref="A56:J56"/>
    <mergeCell ref="A57:J57"/>
    <mergeCell ref="A58:J58"/>
    <mergeCell ref="A59:B59"/>
    <mergeCell ref="C59:J59"/>
    <mergeCell ref="A61:J61"/>
    <mergeCell ref="A62:B62"/>
    <mergeCell ref="C62:E62"/>
    <mergeCell ref="F62:G62"/>
    <mergeCell ref="H62:I62"/>
    <mergeCell ref="A60:J60"/>
    <mergeCell ref="A48:B48"/>
    <mergeCell ref="C48:J48"/>
    <mergeCell ref="A49:J49"/>
    <mergeCell ref="A50:J50"/>
    <mergeCell ref="A51:G51"/>
    <mergeCell ref="H51:I51"/>
    <mergeCell ref="A52:J52"/>
    <mergeCell ref="A53:J53"/>
    <mergeCell ref="A54:J54"/>
    <mergeCell ref="A40:J40"/>
    <mergeCell ref="A41:J41"/>
    <mergeCell ref="A42:J42"/>
    <mergeCell ref="A43:J43"/>
    <mergeCell ref="A44:B44"/>
    <mergeCell ref="C44:J44"/>
    <mergeCell ref="A46:J46"/>
    <mergeCell ref="A47:B47"/>
    <mergeCell ref="C47:E47"/>
    <mergeCell ref="F47:G47"/>
    <mergeCell ref="H47:I47"/>
    <mergeCell ref="A45:J45"/>
    <mergeCell ref="A33:B33"/>
    <mergeCell ref="C33:J33"/>
    <mergeCell ref="A34:J34"/>
    <mergeCell ref="A35:J35"/>
    <mergeCell ref="A36:G36"/>
    <mergeCell ref="H36:I36"/>
    <mergeCell ref="A37:J37"/>
    <mergeCell ref="A38:J38"/>
    <mergeCell ref="A39:J39"/>
    <mergeCell ref="D26:E26"/>
    <mergeCell ref="D27:E27"/>
    <mergeCell ref="A29:J29"/>
    <mergeCell ref="A30:J30"/>
    <mergeCell ref="A31:J31"/>
    <mergeCell ref="A32:B32"/>
    <mergeCell ref="C32:E32"/>
    <mergeCell ref="F32:G32"/>
    <mergeCell ref="H32:I32"/>
    <mergeCell ref="A28:J28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C11:F11"/>
    <mergeCell ref="H11:J11"/>
    <mergeCell ref="A13:J13"/>
    <mergeCell ref="B14:C14"/>
    <mergeCell ref="D14:F14"/>
    <mergeCell ref="G14:H14"/>
    <mergeCell ref="I14:J14"/>
    <mergeCell ref="D15:E15"/>
    <mergeCell ref="D16:E16"/>
    <mergeCell ref="A12:J12"/>
    <mergeCell ref="C8:D8"/>
    <mergeCell ref="F8:G8"/>
    <mergeCell ref="I8:J8"/>
    <mergeCell ref="C9:D9"/>
    <mergeCell ref="F9:G9"/>
    <mergeCell ref="I9:J9"/>
    <mergeCell ref="C10:D10"/>
    <mergeCell ref="F10:G10"/>
    <mergeCell ref="I10:J10"/>
    <mergeCell ref="A2:J2"/>
    <mergeCell ref="A3:J3"/>
    <mergeCell ref="A5:J5"/>
    <mergeCell ref="C6:E6"/>
    <mergeCell ref="F6:G6"/>
    <mergeCell ref="H6:J6"/>
    <mergeCell ref="C7:E7"/>
    <mergeCell ref="F7:G7"/>
    <mergeCell ref="H7:J7"/>
    <mergeCell ref="A4:J4"/>
  </mergeCells>
  <dataValidations count="3">
    <dataValidation type="list" sqref="C1:E3 C5:E44 C46:E500" xr:uid="{00000000-0002-0000-0000-000000000000}">
      <formula1>"PRE-CONSTRUCTION,ESTIMATING &amp; BID,PROCUREMENT,SCHEDULE,COST / BUDGET,SAFETY,QUALITY,SUBCONTRACTORS,DESIGN / RFIs,OWNER / CLIENT,TECHNOLOGY / BIM,WORKFORCE / LABOR,COMMISSIONING,CLOSEOUT / TURNOVER,OTHER"</formula1>
      <formula2>0</formula2>
    </dataValidation>
    <dataValidation type="list" sqref="H1:I3 H5:I44 H46:I500" xr:uid="{00000000-0002-0000-0000-000001000000}">
      <formula1>"Pre-Construction,Estimating,Procurement,Mobilization,Foundation,Structure,MEP Rough-In,Enclosure,Finishes,Commissioning,Closeout,Post-Occupancy"</formula1>
      <formula2>0</formula2>
    </dataValidation>
    <dataValidation type="whole" showErrorMessage="1" errorTitle="Invalid" error="Enter 1–5." sqref="J1:J3 J5:J44 J46:J500" xr:uid="{00000000-0002-0000-0000-000002000000}">
      <formula1>1</formula1>
      <formula2>5</formula2>
    </dataValidation>
  </dataValidations>
  <pageMargins left="0.75" right="0.75" top="1" bottom="1" header="0.5" footer="0.5"/>
  <pageSetup paperSize="9" orientation="portrait" horizontalDpi="300" verticalDpi="300"/>
  <headerFooter>
    <oddHeader>&amp;C&amp;"Calibri,Bold"&amp;14Lessons Learned Report</oddHeader>
    <oddFooter>&amp;LHedrick Brothers Construction — CONFIDENTIAL&amp;RPage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22"/>
  <sheetViews>
    <sheetView showGridLines="0" zoomScaleNormal="100" workbookViewId="0"/>
  </sheetViews>
  <sheetFormatPr baseColWidth="10" defaultColWidth="8.6640625" defaultRowHeight="15" x14ac:dyDescent="0.2"/>
  <cols>
    <col min="1" max="1" width="5" customWidth="1"/>
    <col min="2" max="2" width="18" customWidth="1"/>
    <col min="3" max="3" width="14" customWidth="1"/>
    <col min="4" max="5" width="16" customWidth="1"/>
    <col min="6" max="7" width="13" customWidth="1"/>
    <col min="8" max="8" width="9" customWidth="1"/>
    <col min="9" max="9" width="18" customWidth="1"/>
    <col min="10" max="10" width="48" customWidth="1"/>
    <col min="11" max="11" width="40" customWidth="1"/>
    <col min="12" max="12" width="50" customWidth="1"/>
    <col min="13" max="13" width="38" customWidth="1"/>
    <col min="14" max="14" width="13" customWidth="1"/>
    <col min="15" max="15" width="10" customWidth="1"/>
  </cols>
  <sheetData>
    <row r="1" spans="1:15" ht="4.5" customHeight="1" x14ac:dyDescent="0.2"/>
    <row r="2" spans="1:15" ht="48" customHeight="1" x14ac:dyDescent="0.2">
      <c r="A2" s="64" t="s">
        <v>125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5" ht="4.5" customHeight="1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19.5" customHeight="1" x14ac:dyDescent="0.2">
      <c r="A4" s="5" t="s">
        <v>126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43.5" customHeight="1" x14ac:dyDescent="0.2">
      <c r="A5" s="29" t="s">
        <v>127</v>
      </c>
      <c r="B5" s="29" t="s">
        <v>128</v>
      </c>
      <c r="C5" s="29" t="s">
        <v>129</v>
      </c>
      <c r="D5" s="29" t="s">
        <v>130</v>
      </c>
      <c r="E5" s="29" t="s">
        <v>131</v>
      </c>
      <c r="F5" s="29" t="s">
        <v>132</v>
      </c>
      <c r="G5" s="29" t="s">
        <v>133</v>
      </c>
      <c r="H5" s="30" t="s">
        <v>134</v>
      </c>
      <c r="I5" s="30" t="s">
        <v>57</v>
      </c>
      <c r="J5" s="30" t="s">
        <v>135</v>
      </c>
      <c r="K5" s="30" t="s">
        <v>136</v>
      </c>
      <c r="L5" s="18" t="s">
        <v>137</v>
      </c>
      <c r="M5" s="18" t="s">
        <v>61</v>
      </c>
      <c r="N5" s="18" t="s">
        <v>138</v>
      </c>
      <c r="O5" s="18" t="s">
        <v>60</v>
      </c>
    </row>
    <row r="6" spans="1:15" ht="75" customHeight="1" x14ac:dyDescent="0.2">
      <c r="A6" s="31" t="s">
        <v>139</v>
      </c>
      <c r="B6" s="31" t="s">
        <v>140</v>
      </c>
      <c r="C6" s="31" t="s">
        <v>141</v>
      </c>
      <c r="D6" s="31" t="s">
        <v>40</v>
      </c>
      <c r="E6" s="31" t="s">
        <v>35</v>
      </c>
      <c r="F6" s="31" t="s">
        <v>142</v>
      </c>
      <c r="G6" s="31" t="s">
        <v>143</v>
      </c>
      <c r="H6" s="31" t="s">
        <v>139</v>
      </c>
      <c r="I6" s="32" t="s">
        <v>144</v>
      </c>
      <c r="J6" s="32" t="s">
        <v>145</v>
      </c>
      <c r="K6" s="32" t="s">
        <v>146</v>
      </c>
      <c r="L6" s="32" t="s">
        <v>147</v>
      </c>
      <c r="M6" s="32" t="s">
        <v>148</v>
      </c>
      <c r="N6" s="32" t="s">
        <v>149</v>
      </c>
      <c r="O6" s="32" t="s">
        <v>150</v>
      </c>
    </row>
    <row r="7" spans="1:15" ht="75" customHeight="1" x14ac:dyDescent="0.2">
      <c r="A7" s="33" t="s">
        <v>151</v>
      </c>
      <c r="B7" s="33" t="s">
        <v>140</v>
      </c>
      <c r="C7" s="33" t="s">
        <v>141</v>
      </c>
      <c r="D7" s="33" t="s">
        <v>40</v>
      </c>
      <c r="E7" s="33" t="s">
        <v>35</v>
      </c>
      <c r="F7" s="33" t="s">
        <v>142</v>
      </c>
      <c r="G7" s="33" t="s">
        <v>143</v>
      </c>
      <c r="H7" s="33" t="s">
        <v>151</v>
      </c>
      <c r="I7" s="34" t="s">
        <v>152</v>
      </c>
      <c r="J7" s="34" t="s">
        <v>153</v>
      </c>
      <c r="K7" s="34" t="s">
        <v>154</v>
      </c>
      <c r="L7" s="34" t="s">
        <v>155</v>
      </c>
      <c r="M7" s="34" t="s">
        <v>156</v>
      </c>
      <c r="N7" s="34" t="s">
        <v>149</v>
      </c>
      <c r="O7" s="34" t="s">
        <v>150</v>
      </c>
    </row>
    <row r="8" spans="1:15" ht="75" customHeight="1" x14ac:dyDescent="0.2">
      <c r="A8" s="31" t="s">
        <v>157</v>
      </c>
      <c r="B8" s="31" t="s">
        <v>158</v>
      </c>
      <c r="C8" s="31" t="s">
        <v>159</v>
      </c>
      <c r="D8" s="31" t="s">
        <v>32</v>
      </c>
      <c r="E8" s="31" t="s">
        <v>31</v>
      </c>
      <c r="F8" s="31" t="s">
        <v>160</v>
      </c>
      <c r="G8" s="31" t="s">
        <v>161</v>
      </c>
      <c r="H8" s="31" t="s">
        <v>139</v>
      </c>
      <c r="I8" s="32" t="s">
        <v>162</v>
      </c>
      <c r="J8" s="32" t="s">
        <v>163</v>
      </c>
      <c r="K8" s="32" t="s">
        <v>164</v>
      </c>
      <c r="L8" s="32" t="s">
        <v>165</v>
      </c>
      <c r="M8" s="32" t="s">
        <v>166</v>
      </c>
      <c r="N8" s="32" t="s">
        <v>167</v>
      </c>
      <c r="O8" s="32" t="s">
        <v>150</v>
      </c>
    </row>
    <row r="12" spans="1:15" ht="54.75" customHeight="1" x14ac:dyDescent="0.2">
      <c r="A12" s="33"/>
      <c r="B12" s="33"/>
      <c r="C12" s="33"/>
      <c r="D12" s="33"/>
      <c r="E12" s="33"/>
      <c r="F12" s="33"/>
      <c r="G12" s="33"/>
      <c r="H12" s="33"/>
      <c r="I12" s="34"/>
      <c r="J12" s="34"/>
      <c r="K12" s="34"/>
      <c r="L12" s="34"/>
      <c r="M12" s="34"/>
      <c r="N12" s="34"/>
      <c r="O12" s="34"/>
    </row>
    <row r="13" spans="1:15" ht="54.75" customHeight="1" x14ac:dyDescent="0.2">
      <c r="A13" s="31"/>
      <c r="B13" s="31"/>
      <c r="C13" s="31"/>
      <c r="D13" s="31"/>
      <c r="E13" s="31"/>
      <c r="F13" s="31"/>
      <c r="G13" s="31"/>
      <c r="H13" s="31"/>
      <c r="I13" s="32"/>
      <c r="J13" s="32"/>
      <c r="K13" s="32"/>
      <c r="L13" s="32"/>
      <c r="M13" s="32"/>
      <c r="N13" s="32"/>
      <c r="O13" s="32"/>
    </row>
    <row r="14" spans="1:15" ht="54.75" customHeight="1" x14ac:dyDescent="0.2">
      <c r="A14" s="33"/>
      <c r="B14" s="33"/>
      <c r="C14" s="33"/>
      <c r="D14" s="33"/>
      <c r="E14" s="33"/>
      <c r="F14" s="33"/>
      <c r="G14" s="33"/>
      <c r="H14" s="33"/>
      <c r="I14" s="34"/>
      <c r="J14" s="34"/>
      <c r="K14" s="34"/>
      <c r="L14" s="34"/>
      <c r="M14" s="34"/>
      <c r="N14" s="34"/>
      <c r="O14" s="34"/>
    </row>
    <row r="15" spans="1:15" ht="54.75" customHeight="1" x14ac:dyDescent="0.2">
      <c r="A15" s="31"/>
      <c r="B15" s="31"/>
      <c r="C15" s="31"/>
      <c r="D15" s="31"/>
      <c r="E15" s="31"/>
      <c r="F15" s="31"/>
      <c r="G15" s="31"/>
      <c r="H15" s="31"/>
      <c r="I15" s="32"/>
      <c r="J15" s="32"/>
      <c r="K15" s="32"/>
      <c r="L15" s="32"/>
      <c r="M15" s="32"/>
      <c r="N15" s="32"/>
      <c r="O15" s="32"/>
    </row>
    <row r="16" spans="1:15" ht="54.75" customHeight="1" x14ac:dyDescent="0.2">
      <c r="A16" s="33"/>
      <c r="B16" s="33"/>
      <c r="C16" s="33"/>
      <c r="D16" s="33"/>
      <c r="E16" s="33"/>
      <c r="F16" s="33"/>
      <c r="G16" s="33"/>
      <c r="H16" s="33"/>
      <c r="I16" s="34"/>
      <c r="J16" s="34"/>
      <c r="K16" s="34"/>
      <c r="L16" s="34"/>
      <c r="M16" s="34"/>
      <c r="N16" s="34"/>
      <c r="O16" s="34"/>
    </row>
    <row r="17" spans="1:15" ht="54.75" customHeight="1" x14ac:dyDescent="0.2">
      <c r="A17" s="31"/>
      <c r="B17" s="31"/>
      <c r="C17" s="31"/>
      <c r="D17" s="31"/>
      <c r="E17" s="31"/>
      <c r="F17" s="31"/>
      <c r="G17" s="31"/>
      <c r="H17" s="31"/>
      <c r="I17" s="32"/>
      <c r="J17" s="32"/>
      <c r="K17" s="32"/>
      <c r="L17" s="32"/>
      <c r="M17" s="32"/>
      <c r="N17" s="32"/>
      <c r="O17" s="32"/>
    </row>
    <row r="18" spans="1:15" ht="54.75" customHeight="1" x14ac:dyDescent="0.2">
      <c r="A18" s="33"/>
      <c r="B18" s="33"/>
      <c r="C18" s="33"/>
      <c r="D18" s="33"/>
      <c r="E18" s="33"/>
      <c r="F18" s="33"/>
      <c r="G18" s="33"/>
      <c r="H18" s="33"/>
      <c r="I18" s="34"/>
      <c r="J18" s="34"/>
      <c r="K18" s="34"/>
      <c r="L18" s="34"/>
      <c r="M18" s="34"/>
      <c r="N18" s="34"/>
      <c r="O18" s="34"/>
    </row>
    <row r="19" spans="1:15" ht="54.75" customHeight="1" x14ac:dyDescent="0.2">
      <c r="A19" s="31"/>
      <c r="B19" s="31"/>
      <c r="C19" s="31"/>
      <c r="D19" s="31"/>
      <c r="E19" s="31"/>
      <c r="F19" s="31"/>
      <c r="G19" s="31"/>
      <c r="H19" s="31"/>
      <c r="I19" s="32"/>
      <c r="J19" s="32"/>
      <c r="K19" s="32"/>
      <c r="L19" s="32"/>
      <c r="M19" s="32"/>
      <c r="N19" s="32"/>
      <c r="O19" s="32"/>
    </row>
    <row r="20" spans="1:15" ht="54.75" customHeight="1" x14ac:dyDescent="0.2">
      <c r="A20" s="33"/>
      <c r="B20" s="33"/>
      <c r="C20" s="33"/>
      <c r="D20" s="33"/>
      <c r="E20" s="33"/>
      <c r="F20" s="33"/>
      <c r="G20" s="33"/>
      <c r="H20" s="33"/>
      <c r="I20" s="34"/>
      <c r="J20" s="34"/>
      <c r="K20" s="34"/>
      <c r="L20" s="34"/>
      <c r="M20" s="34"/>
      <c r="N20" s="34"/>
      <c r="O20" s="34"/>
    </row>
    <row r="21" spans="1:15" ht="54.75" customHeight="1" x14ac:dyDescent="0.2">
      <c r="A21" s="31"/>
      <c r="B21" s="31"/>
      <c r="C21" s="31"/>
      <c r="D21" s="31"/>
      <c r="E21" s="31"/>
      <c r="F21" s="31"/>
      <c r="G21" s="31"/>
      <c r="H21" s="31"/>
      <c r="I21" s="32"/>
      <c r="J21" s="32"/>
      <c r="K21" s="32"/>
      <c r="L21" s="32"/>
      <c r="M21" s="32"/>
      <c r="N21" s="32"/>
      <c r="O21" s="32"/>
    </row>
    <row r="22" spans="1:15" ht="54.75" customHeight="1" x14ac:dyDescent="0.2">
      <c r="A22" s="33"/>
      <c r="B22" s="33"/>
      <c r="C22" s="33"/>
      <c r="D22" s="33"/>
      <c r="E22" s="33"/>
      <c r="F22" s="33"/>
      <c r="G22" s="33"/>
      <c r="H22" s="33"/>
      <c r="I22" s="34"/>
      <c r="J22" s="34"/>
      <c r="K22" s="34"/>
      <c r="L22" s="34"/>
      <c r="M22" s="34"/>
      <c r="N22" s="34"/>
      <c r="O22" s="34"/>
    </row>
    <row r="23" spans="1:15" ht="54.75" customHeight="1" x14ac:dyDescent="0.2">
      <c r="A23" s="31"/>
      <c r="B23" s="31"/>
      <c r="C23" s="31"/>
      <c r="D23" s="31"/>
      <c r="E23" s="31"/>
      <c r="F23" s="31"/>
      <c r="G23" s="31"/>
      <c r="H23" s="31"/>
      <c r="I23" s="32"/>
      <c r="J23" s="32"/>
      <c r="K23" s="32"/>
      <c r="L23" s="32"/>
      <c r="M23" s="32"/>
      <c r="N23" s="32"/>
      <c r="O23" s="32"/>
    </row>
    <row r="24" spans="1:15" ht="54.75" customHeight="1" x14ac:dyDescent="0.2">
      <c r="A24" s="33"/>
      <c r="B24" s="33"/>
      <c r="C24" s="33"/>
      <c r="D24" s="33"/>
      <c r="E24" s="33"/>
      <c r="F24" s="33"/>
      <c r="G24" s="33"/>
      <c r="H24" s="33"/>
      <c r="I24" s="34"/>
      <c r="J24" s="34"/>
      <c r="K24" s="34"/>
      <c r="L24" s="34"/>
      <c r="M24" s="34"/>
      <c r="N24" s="34"/>
      <c r="O24" s="34"/>
    </row>
    <row r="25" spans="1:15" ht="54.75" customHeight="1" x14ac:dyDescent="0.2">
      <c r="A25" s="31"/>
      <c r="B25" s="31"/>
      <c r="C25" s="31"/>
      <c r="D25" s="31"/>
      <c r="E25" s="31"/>
      <c r="F25" s="31"/>
      <c r="G25" s="31"/>
      <c r="H25" s="31"/>
      <c r="I25" s="32"/>
      <c r="J25" s="32"/>
      <c r="K25" s="32"/>
      <c r="L25" s="32"/>
      <c r="M25" s="32"/>
      <c r="N25" s="32"/>
      <c r="O25" s="32"/>
    </row>
    <row r="26" spans="1:15" ht="54.75" customHeight="1" x14ac:dyDescent="0.2">
      <c r="A26" s="33"/>
      <c r="B26" s="33"/>
      <c r="C26" s="33"/>
      <c r="D26" s="33"/>
      <c r="E26" s="33"/>
      <c r="F26" s="33"/>
      <c r="G26" s="33"/>
      <c r="H26" s="33"/>
      <c r="I26" s="34"/>
      <c r="J26" s="34"/>
      <c r="K26" s="34"/>
      <c r="L26" s="34"/>
      <c r="M26" s="34"/>
      <c r="N26" s="34"/>
      <c r="O26" s="34"/>
    </row>
    <row r="27" spans="1:15" ht="54.75" customHeight="1" x14ac:dyDescent="0.2">
      <c r="A27" s="31"/>
      <c r="B27" s="31"/>
      <c r="C27" s="31"/>
      <c r="D27" s="31"/>
      <c r="E27" s="31"/>
      <c r="F27" s="31"/>
      <c r="G27" s="31"/>
      <c r="H27" s="31"/>
      <c r="I27" s="32"/>
      <c r="J27" s="32"/>
      <c r="K27" s="32"/>
      <c r="L27" s="32"/>
      <c r="M27" s="32"/>
      <c r="N27" s="32"/>
      <c r="O27" s="32"/>
    </row>
    <row r="28" spans="1:15" ht="54.75" customHeight="1" x14ac:dyDescent="0.2">
      <c r="A28" s="33"/>
      <c r="B28" s="33"/>
      <c r="C28" s="33"/>
      <c r="D28" s="33"/>
      <c r="E28" s="33"/>
      <c r="F28" s="33"/>
      <c r="G28" s="33"/>
      <c r="H28" s="33"/>
      <c r="I28" s="34"/>
      <c r="J28" s="34"/>
      <c r="K28" s="34"/>
      <c r="L28" s="34"/>
      <c r="M28" s="34"/>
      <c r="N28" s="34"/>
      <c r="O28" s="34"/>
    </row>
    <row r="29" spans="1:15" ht="54.75" customHeight="1" x14ac:dyDescent="0.2">
      <c r="A29" s="31"/>
      <c r="B29" s="31"/>
      <c r="C29" s="31"/>
      <c r="D29" s="31"/>
      <c r="E29" s="31"/>
      <c r="F29" s="31"/>
      <c r="G29" s="31"/>
      <c r="H29" s="31"/>
      <c r="I29" s="32"/>
      <c r="J29" s="32"/>
      <c r="K29" s="32"/>
      <c r="L29" s="32"/>
      <c r="M29" s="32"/>
      <c r="N29" s="32"/>
      <c r="O29" s="32"/>
    </row>
    <row r="30" spans="1:15" ht="54.75" customHeight="1" x14ac:dyDescent="0.2">
      <c r="A30" s="33"/>
      <c r="B30" s="33"/>
      <c r="C30" s="33"/>
      <c r="D30" s="33"/>
      <c r="E30" s="33"/>
      <c r="F30" s="33"/>
      <c r="G30" s="33"/>
      <c r="H30" s="33"/>
      <c r="I30" s="34"/>
      <c r="J30" s="34"/>
      <c r="K30" s="34"/>
      <c r="L30" s="34"/>
      <c r="M30" s="34"/>
      <c r="N30" s="34"/>
      <c r="O30" s="34"/>
    </row>
    <row r="31" spans="1:15" ht="54.75" customHeight="1" x14ac:dyDescent="0.2">
      <c r="A31" s="31"/>
      <c r="B31" s="31"/>
      <c r="C31" s="31"/>
      <c r="D31" s="31"/>
      <c r="E31" s="31"/>
      <c r="F31" s="31"/>
      <c r="G31" s="31"/>
      <c r="H31" s="31"/>
      <c r="I31" s="32"/>
      <c r="J31" s="32"/>
      <c r="K31" s="32"/>
      <c r="L31" s="32"/>
      <c r="M31" s="32"/>
      <c r="N31" s="32"/>
      <c r="O31" s="32"/>
    </row>
    <row r="32" spans="1:15" ht="54.75" customHeight="1" x14ac:dyDescent="0.2">
      <c r="A32" s="33"/>
      <c r="B32" s="33"/>
      <c r="C32" s="33"/>
      <c r="D32" s="33"/>
      <c r="E32" s="33"/>
      <c r="F32" s="33"/>
      <c r="G32" s="33"/>
      <c r="H32" s="33"/>
      <c r="I32" s="34"/>
      <c r="J32" s="34"/>
      <c r="K32" s="34"/>
      <c r="L32" s="34"/>
      <c r="M32" s="34"/>
      <c r="N32" s="34"/>
      <c r="O32" s="34"/>
    </row>
    <row r="33" spans="1:15" ht="54.75" customHeight="1" x14ac:dyDescent="0.2">
      <c r="A33" s="31"/>
      <c r="B33" s="31"/>
      <c r="C33" s="31"/>
      <c r="D33" s="31"/>
      <c r="E33" s="31"/>
      <c r="F33" s="31"/>
      <c r="G33" s="31"/>
      <c r="H33" s="31"/>
      <c r="I33" s="32"/>
      <c r="J33" s="32"/>
      <c r="K33" s="32"/>
      <c r="L33" s="32"/>
      <c r="M33" s="32"/>
      <c r="N33" s="32"/>
      <c r="O33" s="32"/>
    </row>
    <row r="34" spans="1:15" ht="54.75" customHeight="1" x14ac:dyDescent="0.2">
      <c r="A34" s="33"/>
      <c r="B34" s="33"/>
      <c r="C34" s="33"/>
      <c r="D34" s="33"/>
      <c r="E34" s="33"/>
      <c r="F34" s="33"/>
      <c r="G34" s="33"/>
      <c r="H34" s="33"/>
      <c r="I34" s="34"/>
      <c r="J34" s="34"/>
      <c r="K34" s="34"/>
      <c r="L34" s="34"/>
      <c r="M34" s="34"/>
      <c r="N34" s="34"/>
      <c r="O34" s="34"/>
    </row>
    <row r="35" spans="1:15" ht="54.75" customHeight="1" x14ac:dyDescent="0.2">
      <c r="A35" s="31"/>
      <c r="B35" s="31"/>
      <c r="C35" s="31"/>
      <c r="D35" s="31"/>
      <c r="E35" s="31"/>
      <c r="F35" s="31"/>
      <c r="G35" s="31"/>
      <c r="H35" s="31"/>
      <c r="I35" s="32"/>
      <c r="J35" s="32"/>
      <c r="K35" s="32"/>
      <c r="L35" s="32"/>
      <c r="M35" s="32"/>
      <c r="N35" s="32"/>
      <c r="O35" s="32"/>
    </row>
    <row r="36" spans="1:15" ht="54.75" customHeight="1" x14ac:dyDescent="0.2">
      <c r="A36" s="33"/>
      <c r="B36" s="33"/>
      <c r="C36" s="33"/>
      <c r="D36" s="33"/>
      <c r="E36" s="33"/>
      <c r="F36" s="33"/>
      <c r="G36" s="33"/>
      <c r="H36" s="33"/>
      <c r="I36" s="34"/>
      <c r="J36" s="34"/>
      <c r="K36" s="34"/>
      <c r="L36" s="34"/>
      <c r="M36" s="34"/>
      <c r="N36" s="34"/>
      <c r="O36" s="34"/>
    </row>
    <row r="37" spans="1:15" ht="54.75" customHeight="1" x14ac:dyDescent="0.2">
      <c r="A37" s="31"/>
      <c r="B37" s="31"/>
      <c r="C37" s="31"/>
      <c r="D37" s="31"/>
      <c r="E37" s="31"/>
      <c r="F37" s="31"/>
      <c r="G37" s="31"/>
      <c r="H37" s="31"/>
      <c r="I37" s="32"/>
      <c r="J37" s="32"/>
      <c r="K37" s="32"/>
      <c r="L37" s="32"/>
      <c r="M37" s="32"/>
      <c r="N37" s="32"/>
      <c r="O37" s="32"/>
    </row>
    <row r="38" spans="1:15" ht="54.75" customHeight="1" x14ac:dyDescent="0.2">
      <c r="A38" s="33"/>
      <c r="B38" s="33"/>
      <c r="C38" s="33"/>
      <c r="D38" s="33"/>
      <c r="E38" s="33"/>
      <c r="F38" s="33"/>
      <c r="G38" s="33"/>
      <c r="H38" s="33"/>
      <c r="I38" s="34"/>
      <c r="J38" s="34"/>
      <c r="K38" s="34"/>
      <c r="L38" s="34"/>
      <c r="M38" s="34"/>
      <c r="N38" s="34"/>
      <c r="O38" s="34"/>
    </row>
    <row r="39" spans="1:15" ht="54.75" customHeight="1" x14ac:dyDescent="0.2">
      <c r="A39" s="31"/>
      <c r="B39" s="31"/>
      <c r="C39" s="31"/>
      <c r="D39" s="31"/>
      <c r="E39" s="31"/>
      <c r="F39" s="31"/>
      <c r="G39" s="31"/>
      <c r="H39" s="31"/>
      <c r="I39" s="32"/>
      <c r="J39" s="32"/>
      <c r="K39" s="32"/>
      <c r="L39" s="32"/>
      <c r="M39" s="32"/>
      <c r="N39" s="32"/>
      <c r="O39" s="32"/>
    </row>
    <row r="40" spans="1:15" ht="54.75" customHeight="1" x14ac:dyDescent="0.2">
      <c r="A40" s="33"/>
      <c r="B40" s="33"/>
      <c r="C40" s="33"/>
      <c r="D40" s="33"/>
      <c r="E40" s="33"/>
      <c r="F40" s="33"/>
      <c r="G40" s="33"/>
      <c r="H40" s="33"/>
      <c r="I40" s="34"/>
      <c r="J40" s="34"/>
      <c r="K40" s="34"/>
      <c r="L40" s="34"/>
      <c r="M40" s="34"/>
      <c r="N40" s="34"/>
      <c r="O40" s="34"/>
    </row>
    <row r="41" spans="1:15" ht="54.75" customHeight="1" x14ac:dyDescent="0.2">
      <c r="A41" s="31"/>
      <c r="B41" s="31"/>
      <c r="C41" s="31"/>
      <c r="D41" s="31"/>
      <c r="E41" s="31"/>
      <c r="F41" s="31"/>
      <c r="G41" s="31"/>
      <c r="H41" s="31"/>
      <c r="I41" s="32"/>
      <c r="J41" s="32"/>
      <c r="K41" s="32"/>
      <c r="L41" s="32"/>
      <c r="M41" s="32"/>
      <c r="N41" s="32"/>
      <c r="O41" s="32"/>
    </row>
    <row r="42" spans="1:15" ht="54.75" customHeight="1" x14ac:dyDescent="0.2">
      <c r="A42" s="33"/>
      <c r="B42" s="33"/>
      <c r="C42" s="33"/>
      <c r="D42" s="33"/>
      <c r="E42" s="33"/>
      <c r="F42" s="33"/>
      <c r="G42" s="33"/>
      <c r="H42" s="33"/>
      <c r="I42" s="34"/>
      <c r="J42" s="34"/>
      <c r="K42" s="34"/>
      <c r="L42" s="34"/>
      <c r="M42" s="34"/>
      <c r="N42" s="34"/>
      <c r="O42" s="34"/>
    </row>
    <row r="43" spans="1:15" ht="54.75" customHeight="1" x14ac:dyDescent="0.2">
      <c r="A43" s="31"/>
      <c r="B43" s="31"/>
      <c r="C43" s="31"/>
      <c r="D43" s="31"/>
      <c r="E43" s="31"/>
      <c r="F43" s="31"/>
      <c r="G43" s="31"/>
      <c r="H43" s="31"/>
      <c r="I43" s="32"/>
      <c r="J43" s="32"/>
      <c r="K43" s="32"/>
      <c r="L43" s="32"/>
      <c r="M43" s="32"/>
      <c r="N43" s="32"/>
      <c r="O43" s="32"/>
    </row>
    <row r="44" spans="1:15" ht="54.75" customHeight="1" x14ac:dyDescent="0.2">
      <c r="A44" s="33"/>
      <c r="B44" s="33"/>
      <c r="C44" s="33"/>
      <c r="D44" s="33"/>
      <c r="E44" s="33"/>
      <c r="F44" s="33"/>
      <c r="G44" s="33"/>
      <c r="H44" s="33"/>
      <c r="I44" s="34"/>
      <c r="J44" s="34"/>
      <c r="K44" s="34"/>
      <c r="L44" s="34"/>
      <c r="M44" s="34"/>
      <c r="N44" s="34"/>
      <c r="O44" s="34"/>
    </row>
    <row r="45" spans="1:15" ht="54.75" customHeight="1" x14ac:dyDescent="0.2">
      <c r="A45" s="31"/>
      <c r="B45" s="31"/>
      <c r="C45" s="31"/>
      <c r="D45" s="31"/>
      <c r="E45" s="31"/>
      <c r="F45" s="31"/>
      <c r="G45" s="31"/>
      <c r="H45" s="31"/>
      <c r="I45" s="32"/>
      <c r="J45" s="32"/>
      <c r="K45" s="32"/>
      <c r="L45" s="32"/>
      <c r="M45" s="32"/>
      <c r="N45" s="32"/>
      <c r="O45" s="32"/>
    </row>
    <row r="46" spans="1:15" ht="54.75" customHeight="1" x14ac:dyDescent="0.2">
      <c r="A46" s="33"/>
      <c r="B46" s="33"/>
      <c r="C46" s="33"/>
      <c r="D46" s="33"/>
      <c r="E46" s="33"/>
      <c r="F46" s="33"/>
      <c r="G46" s="33"/>
      <c r="H46" s="33"/>
      <c r="I46" s="34"/>
      <c r="J46" s="34"/>
      <c r="K46" s="34"/>
      <c r="L46" s="34"/>
      <c r="M46" s="34"/>
      <c r="N46" s="34"/>
      <c r="O46" s="34"/>
    </row>
    <row r="47" spans="1:15" ht="54.75" customHeight="1" x14ac:dyDescent="0.2">
      <c r="A47" s="31"/>
      <c r="B47" s="31"/>
      <c r="C47" s="31"/>
      <c r="D47" s="31"/>
      <c r="E47" s="31"/>
      <c r="F47" s="31"/>
      <c r="G47" s="31"/>
      <c r="H47" s="31"/>
      <c r="I47" s="32"/>
      <c r="J47" s="32"/>
      <c r="K47" s="32"/>
      <c r="L47" s="32"/>
      <c r="M47" s="32"/>
      <c r="N47" s="32"/>
      <c r="O47" s="32"/>
    </row>
    <row r="48" spans="1:15" ht="54.75" customHeight="1" x14ac:dyDescent="0.2">
      <c r="A48" s="33"/>
      <c r="B48" s="33"/>
      <c r="C48" s="33"/>
      <c r="D48" s="33"/>
      <c r="E48" s="33"/>
      <c r="F48" s="33"/>
      <c r="G48" s="33"/>
      <c r="H48" s="33"/>
      <c r="I48" s="34"/>
      <c r="J48" s="34"/>
      <c r="K48" s="34"/>
      <c r="L48" s="34"/>
      <c r="M48" s="34"/>
      <c r="N48" s="34"/>
      <c r="O48" s="34"/>
    </row>
    <row r="49" spans="1:15" ht="54.75" customHeight="1" x14ac:dyDescent="0.2">
      <c r="A49" s="31"/>
      <c r="B49" s="31"/>
      <c r="C49" s="31"/>
      <c r="D49" s="31"/>
      <c r="E49" s="31"/>
      <c r="F49" s="31"/>
      <c r="G49" s="31"/>
      <c r="H49" s="31"/>
      <c r="I49" s="32"/>
      <c r="J49" s="32"/>
      <c r="K49" s="32"/>
      <c r="L49" s="32"/>
      <c r="M49" s="32"/>
      <c r="N49" s="32"/>
      <c r="O49" s="32"/>
    </row>
    <row r="50" spans="1:15" ht="54.75" customHeight="1" x14ac:dyDescent="0.2">
      <c r="A50" s="33"/>
      <c r="B50" s="33"/>
      <c r="C50" s="33"/>
      <c r="D50" s="33"/>
      <c r="E50" s="33"/>
      <c r="F50" s="33"/>
      <c r="G50" s="33"/>
      <c r="H50" s="33"/>
      <c r="I50" s="34"/>
      <c r="J50" s="34"/>
      <c r="K50" s="34"/>
      <c r="L50" s="34"/>
      <c r="M50" s="34"/>
      <c r="N50" s="34"/>
      <c r="O50" s="34"/>
    </row>
    <row r="51" spans="1:15" ht="54.75" customHeight="1" x14ac:dyDescent="0.2">
      <c r="A51" s="31"/>
      <c r="B51" s="31"/>
      <c r="C51" s="31"/>
      <c r="D51" s="31"/>
      <c r="E51" s="31"/>
      <c r="F51" s="31"/>
      <c r="G51" s="31"/>
      <c r="H51" s="31"/>
      <c r="I51" s="32"/>
      <c r="J51" s="32"/>
      <c r="K51" s="32"/>
      <c r="L51" s="32"/>
      <c r="M51" s="32"/>
      <c r="N51" s="32"/>
      <c r="O51" s="32"/>
    </row>
    <row r="52" spans="1:15" ht="54.75" customHeight="1" x14ac:dyDescent="0.2">
      <c r="A52" s="33"/>
      <c r="B52" s="33"/>
      <c r="C52" s="33"/>
      <c r="D52" s="33"/>
      <c r="E52" s="33"/>
      <c r="F52" s="33"/>
      <c r="G52" s="33"/>
      <c r="H52" s="33"/>
      <c r="I52" s="34"/>
      <c r="J52" s="34"/>
      <c r="K52" s="34"/>
      <c r="L52" s="34"/>
      <c r="M52" s="34"/>
      <c r="N52" s="34"/>
      <c r="O52" s="34"/>
    </row>
    <row r="53" spans="1:15" ht="54.75" customHeight="1" x14ac:dyDescent="0.2">
      <c r="A53" s="31"/>
      <c r="B53" s="31"/>
      <c r="C53" s="31"/>
      <c r="D53" s="31"/>
      <c r="E53" s="31"/>
      <c r="F53" s="31"/>
      <c r="G53" s="31"/>
      <c r="H53" s="31"/>
      <c r="I53" s="32"/>
      <c r="J53" s="32"/>
      <c r="K53" s="32"/>
      <c r="L53" s="32"/>
      <c r="M53" s="32"/>
      <c r="N53" s="32"/>
      <c r="O53" s="32"/>
    </row>
    <row r="54" spans="1:15" ht="54.75" customHeight="1" x14ac:dyDescent="0.2">
      <c r="A54" s="33"/>
      <c r="B54" s="33"/>
      <c r="C54" s="33"/>
      <c r="D54" s="33"/>
      <c r="E54" s="33"/>
      <c r="F54" s="33"/>
      <c r="G54" s="33"/>
      <c r="H54" s="33"/>
      <c r="I54" s="34"/>
      <c r="J54" s="34"/>
      <c r="K54" s="34"/>
      <c r="L54" s="34"/>
      <c r="M54" s="34"/>
      <c r="N54" s="34"/>
      <c r="O54" s="34"/>
    </row>
    <row r="55" spans="1:15" ht="54.75" customHeight="1" x14ac:dyDescent="0.2">
      <c r="A55" s="31"/>
      <c r="B55" s="31"/>
      <c r="C55" s="31"/>
      <c r="D55" s="31"/>
      <c r="E55" s="31"/>
      <c r="F55" s="31"/>
      <c r="G55" s="31"/>
      <c r="H55" s="31"/>
      <c r="I55" s="32"/>
      <c r="J55" s="32"/>
      <c r="K55" s="32"/>
      <c r="L55" s="32"/>
      <c r="M55" s="32"/>
      <c r="N55" s="32"/>
      <c r="O55" s="32"/>
    </row>
    <row r="56" spans="1:15" ht="54.75" customHeight="1" x14ac:dyDescent="0.2">
      <c r="A56" s="33"/>
      <c r="B56" s="33"/>
      <c r="C56" s="33"/>
      <c r="D56" s="33"/>
      <c r="E56" s="33"/>
      <c r="F56" s="33"/>
      <c r="G56" s="33"/>
      <c r="H56" s="33"/>
      <c r="I56" s="34"/>
      <c r="J56" s="34"/>
      <c r="K56" s="34"/>
      <c r="L56" s="34"/>
      <c r="M56" s="34"/>
      <c r="N56" s="34"/>
      <c r="O56" s="34"/>
    </row>
    <row r="57" spans="1:15" ht="54.75" customHeight="1" x14ac:dyDescent="0.2">
      <c r="A57" s="31"/>
      <c r="B57" s="31"/>
      <c r="C57" s="31"/>
      <c r="D57" s="31"/>
      <c r="E57" s="31"/>
      <c r="F57" s="31"/>
      <c r="G57" s="31"/>
      <c r="H57" s="31"/>
      <c r="I57" s="32"/>
      <c r="J57" s="32"/>
      <c r="K57" s="32"/>
      <c r="L57" s="32"/>
      <c r="M57" s="32"/>
      <c r="N57" s="32"/>
      <c r="O57" s="32"/>
    </row>
    <row r="58" spans="1:15" ht="54.75" customHeight="1" x14ac:dyDescent="0.2">
      <c r="A58" s="33"/>
      <c r="B58" s="33"/>
      <c r="C58" s="33"/>
      <c r="D58" s="33"/>
      <c r="E58" s="33"/>
      <c r="F58" s="33"/>
      <c r="G58" s="33"/>
      <c r="H58" s="33"/>
      <c r="I58" s="34"/>
      <c r="J58" s="34"/>
      <c r="K58" s="34"/>
      <c r="L58" s="34"/>
      <c r="M58" s="34"/>
      <c r="N58" s="34"/>
      <c r="O58" s="34"/>
    </row>
    <row r="59" spans="1:15" ht="54.75" customHeight="1" x14ac:dyDescent="0.2">
      <c r="A59" s="31"/>
      <c r="B59" s="31"/>
      <c r="C59" s="31"/>
      <c r="D59" s="31"/>
      <c r="E59" s="31"/>
      <c r="F59" s="31"/>
      <c r="G59" s="31"/>
      <c r="H59" s="31"/>
      <c r="I59" s="32"/>
      <c r="J59" s="32"/>
      <c r="K59" s="32"/>
      <c r="L59" s="32"/>
      <c r="M59" s="32"/>
      <c r="N59" s="32"/>
      <c r="O59" s="32"/>
    </row>
    <row r="60" spans="1:15" ht="54.75" customHeight="1" x14ac:dyDescent="0.2">
      <c r="A60" s="33"/>
      <c r="B60" s="33"/>
      <c r="C60" s="33"/>
      <c r="D60" s="33"/>
      <c r="E60" s="33"/>
      <c r="F60" s="33"/>
      <c r="G60" s="33"/>
      <c r="H60" s="33"/>
      <c r="I60" s="34"/>
      <c r="J60" s="34"/>
      <c r="K60" s="34"/>
      <c r="L60" s="34"/>
      <c r="M60" s="34"/>
      <c r="N60" s="34"/>
      <c r="O60" s="34"/>
    </row>
    <row r="61" spans="1:15" ht="54.75" customHeight="1" x14ac:dyDescent="0.2">
      <c r="A61" s="31"/>
      <c r="B61" s="31"/>
      <c r="C61" s="31"/>
      <c r="D61" s="31"/>
      <c r="E61" s="31"/>
      <c r="F61" s="31"/>
      <c r="G61" s="31"/>
      <c r="H61" s="31"/>
      <c r="I61" s="32"/>
      <c r="J61" s="32"/>
      <c r="K61" s="32"/>
      <c r="L61" s="32"/>
      <c r="M61" s="32"/>
      <c r="N61" s="32"/>
      <c r="O61" s="32"/>
    </row>
    <row r="62" spans="1:15" ht="54.75" customHeight="1" x14ac:dyDescent="0.2">
      <c r="A62" s="33"/>
      <c r="B62" s="33"/>
      <c r="C62" s="33"/>
      <c r="D62" s="33"/>
      <c r="E62" s="33"/>
      <c r="F62" s="33"/>
      <c r="G62" s="33"/>
      <c r="H62" s="33"/>
      <c r="I62" s="34"/>
      <c r="J62" s="34"/>
      <c r="K62" s="34"/>
      <c r="L62" s="34"/>
      <c r="M62" s="34"/>
      <c r="N62" s="34"/>
      <c r="O62" s="34"/>
    </row>
    <row r="63" spans="1:15" ht="54.75" customHeight="1" x14ac:dyDescent="0.2">
      <c r="A63" s="31"/>
      <c r="B63" s="31"/>
      <c r="C63" s="31"/>
      <c r="D63" s="31"/>
      <c r="E63" s="31"/>
      <c r="F63" s="31"/>
      <c r="G63" s="31"/>
      <c r="H63" s="31"/>
      <c r="I63" s="32"/>
      <c r="J63" s="32"/>
      <c r="K63" s="32"/>
      <c r="L63" s="32"/>
      <c r="M63" s="32"/>
      <c r="N63" s="32"/>
      <c r="O63" s="32"/>
    </row>
    <row r="64" spans="1:15" ht="54.75" customHeight="1" x14ac:dyDescent="0.2">
      <c r="A64" s="33"/>
      <c r="B64" s="33"/>
      <c r="C64" s="33"/>
      <c r="D64" s="33"/>
      <c r="E64" s="33"/>
      <c r="F64" s="33"/>
      <c r="G64" s="33"/>
      <c r="H64" s="33"/>
      <c r="I64" s="34"/>
      <c r="J64" s="34"/>
      <c r="K64" s="34"/>
      <c r="L64" s="34"/>
      <c r="M64" s="34"/>
      <c r="N64" s="34"/>
      <c r="O64" s="34"/>
    </row>
    <row r="65" spans="1:15" ht="54.75" customHeight="1" x14ac:dyDescent="0.2">
      <c r="A65" s="31"/>
      <c r="B65" s="31"/>
      <c r="C65" s="31"/>
      <c r="D65" s="31"/>
      <c r="E65" s="31"/>
      <c r="F65" s="31"/>
      <c r="G65" s="31"/>
      <c r="H65" s="31"/>
      <c r="I65" s="32"/>
      <c r="J65" s="32"/>
      <c r="K65" s="32"/>
      <c r="L65" s="32"/>
      <c r="M65" s="32"/>
      <c r="N65" s="32"/>
      <c r="O65" s="32"/>
    </row>
    <row r="66" spans="1:15" ht="54.75" customHeight="1" x14ac:dyDescent="0.2">
      <c r="A66" s="33"/>
      <c r="B66" s="33"/>
      <c r="C66" s="33"/>
      <c r="D66" s="33"/>
      <c r="E66" s="33"/>
      <c r="F66" s="33"/>
      <c r="G66" s="33"/>
      <c r="H66" s="33"/>
      <c r="I66" s="34"/>
      <c r="J66" s="34"/>
      <c r="K66" s="34"/>
      <c r="L66" s="34"/>
      <c r="M66" s="34"/>
      <c r="N66" s="34"/>
      <c r="O66" s="34"/>
    </row>
    <row r="67" spans="1:15" ht="54.75" customHeight="1" x14ac:dyDescent="0.2">
      <c r="A67" s="31"/>
      <c r="B67" s="31"/>
      <c r="C67" s="31"/>
      <c r="D67" s="31"/>
      <c r="E67" s="31"/>
      <c r="F67" s="31"/>
      <c r="G67" s="31"/>
      <c r="H67" s="31"/>
      <c r="I67" s="32"/>
      <c r="J67" s="32"/>
      <c r="K67" s="32"/>
      <c r="L67" s="32"/>
      <c r="M67" s="32"/>
      <c r="N67" s="32"/>
      <c r="O67" s="32"/>
    </row>
    <row r="68" spans="1:15" ht="54.75" customHeight="1" x14ac:dyDescent="0.2">
      <c r="A68" s="33"/>
      <c r="B68" s="33"/>
      <c r="C68" s="33"/>
      <c r="D68" s="33"/>
      <c r="E68" s="33"/>
      <c r="F68" s="33"/>
      <c r="G68" s="33"/>
      <c r="H68" s="33"/>
      <c r="I68" s="34"/>
      <c r="J68" s="34"/>
      <c r="K68" s="34"/>
      <c r="L68" s="34"/>
      <c r="M68" s="34"/>
      <c r="N68" s="34"/>
      <c r="O68" s="34"/>
    </row>
    <row r="69" spans="1:15" ht="54.75" customHeight="1" x14ac:dyDescent="0.2">
      <c r="A69" s="31"/>
      <c r="B69" s="31"/>
      <c r="C69" s="31"/>
      <c r="D69" s="31"/>
      <c r="E69" s="31"/>
      <c r="F69" s="31"/>
      <c r="G69" s="31"/>
      <c r="H69" s="31"/>
      <c r="I69" s="32"/>
      <c r="J69" s="32"/>
      <c r="K69" s="32"/>
      <c r="L69" s="32"/>
      <c r="M69" s="32"/>
      <c r="N69" s="32"/>
      <c r="O69" s="32"/>
    </row>
    <row r="70" spans="1:15" ht="54.75" customHeight="1" x14ac:dyDescent="0.2">
      <c r="A70" s="33"/>
      <c r="B70" s="33"/>
      <c r="C70" s="33"/>
      <c r="D70" s="33"/>
      <c r="E70" s="33"/>
      <c r="F70" s="33"/>
      <c r="G70" s="33"/>
      <c r="H70" s="33"/>
      <c r="I70" s="34"/>
      <c r="J70" s="34"/>
      <c r="K70" s="34"/>
      <c r="L70" s="34"/>
      <c r="M70" s="34"/>
      <c r="N70" s="34"/>
      <c r="O70" s="34"/>
    </row>
    <row r="71" spans="1:15" ht="54.75" customHeight="1" x14ac:dyDescent="0.2">
      <c r="A71" s="31"/>
      <c r="B71" s="31"/>
      <c r="C71" s="31"/>
      <c r="D71" s="31"/>
      <c r="E71" s="31"/>
      <c r="F71" s="31"/>
      <c r="G71" s="31"/>
      <c r="H71" s="31"/>
      <c r="I71" s="32"/>
      <c r="J71" s="32"/>
      <c r="K71" s="32"/>
      <c r="L71" s="32"/>
      <c r="M71" s="32"/>
      <c r="N71" s="32"/>
      <c r="O71" s="32"/>
    </row>
    <row r="72" spans="1:15" ht="54.75" customHeight="1" x14ac:dyDescent="0.2">
      <c r="A72" s="33"/>
      <c r="B72" s="33"/>
      <c r="C72" s="33"/>
      <c r="D72" s="33"/>
      <c r="E72" s="33"/>
      <c r="F72" s="33"/>
      <c r="G72" s="33"/>
      <c r="H72" s="33"/>
      <c r="I72" s="34"/>
      <c r="J72" s="34"/>
      <c r="K72" s="34"/>
      <c r="L72" s="34"/>
      <c r="M72" s="34"/>
      <c r="N72" s="34"/>
      <c r="O72" s="34"/>
    </row>
    <row r="73" spans="1:15" ht="54.75" customHeight="1" x14ac:dyDescent="0.2">
      <c r="A73" s="31"/>
      <c r="B73" s="31"/>
      <c r="C73" s="31"/>
      <c r="D73" s="31"/>
      <c r="E73" s="31"/>
      <c r="F73" s="31"/>
      <c r="G73" s="31"/>
      <c r="H73" s="31"/>
      <c r="I73" s="32"/>
      <c r="J73" s="32"/>
      <c r="K73" s="32"/>
      <c r="L73" s="32"/>
      <c r="M73" s="32"/>
      <c r="N73" s="32"/>
      <c r="O73" s="32"/>
    </row>
    <row r="74" spans="1:15" ht="54.75" customHeight="1" x14ac:dyDescent="0.2">
      <c r="A74" s="33"/>
      <c r="B74" s="33"/>
      <c r="C74" s="33"/>
      <c r="D74" s="33"/>
      <c r="E74" s="33"/>
      <c r="F74" s="33"/>
      <c r="G74" s="33"/>
      <c r="H74" s="33"/>
      <c r="I74" s="34"/>
      <c r="J74" s="34"/>
      <c r="K74" s="34"/>
      <c r="L74" s="34"/>
      <c r="M74" s="34"/>
      <c r="N74" s="34"/>
      <c r="O74" s="34"/>
    </row>
    <row r="75" spans="1:15" ht="54.75" customHeight="1" x14ac:dyDescent="0.2">
      <c r="A75" s="31"/>
      <c r="B75" s="31"/>
      <c r="C75" s="31"/>
      <c r="D75" s="31"/>
      <c r="E75" s="31"/>
      <c r="F75" s="31"/>
      <c r="G75" s="31"/>
      <c r="H75" s="31"/>
      <c r="I75" s="32"/>
      <c r="J75" s="32"/>
      <c r="K75" s="32"/>
      <c r="L75" s="32"/>
      <c r="M75" s="32"/>
      <c r="N75" s="32"/>
      <c r="O75" s="32"/>
    </row>
    <row r="76" spans="1:15" ht="54.75" customHeight="1" x14ac:dyDescent="0.2">
      <c r="A76" s="33"/>
      <c r="B76" s="33"/>
      <c r="C76" s="33"/>
      <c r="D76" s="33"/>
      <c r="E76" s="33"/>
      <c r="F76" s="33"/>
      <c r="G76" s="33"/>
      <c r="H76" s="33"/>
      <c r="I76" s="34"/>
      <c r="J76" s="34"/>
      <c r="K76" s="34"/>
      <c r="L76" s="34"/>
      <c r="M76" s="34"/>
      <c r="N76" s="34"/>
      <c r="O76" s="34"/>
    </row>
    <row r="77" spans="1:15" ht="54.75" customHeight="1" x14ac:dyDescent="0.2">
      <c r="A77" s="31"/>
      <c r="B77" s="31"/>
      <c r="C77" s="31"/>
      <c r="D77" s="31"/>
      <c r="E77" s="31"/>
      <c r="F77" s="31"/>
      <c r="G77" s="31"/>
      <c r="H77" s="31"/>
      <c r="I77" s="32"/>
      <c r="J77" s="32"/>
      <c r="K77" s="32"/>
      <c r="L77" s="32"/>
      <c r="M77" s="32"/>
      <c r="N77" s="32"/>
      <c r="O77" s="32"/>
    </row>
    <row r="78" spans="1:15" ht="54.75" customHeight="1" x14ac:dyDescent="0.2">
      <c r="A78" s="33"/>
      <c r="B78" s="33"/>
      <c r="C78" s="33"/>
      <c r="D78" s="33"/>
      <c r="E78" s="33"/>
      <c r="F78" s="33"/>
      <c r="G78" s="33"/>
      <c r="H78" s="33"/>
      <c r="I78" s="34"/>
      <c r="J78" s="34"/>
      <c r="K78" s="34"/>
      <c r="L78" s="34"/>
      <c r="M78" s="34"/>
      <c r="N78" s="34"/>
      <c r="O78" s="34"/>
    </row>
    <row r="79" spans="1:15" ht="54.75" customHeight="1" x14ac:dyDescent="0.2">
      <c r="A79" s="31"/>
      <c r="B79" s="31"/>
      <c r="C79" s="31"/>
      <c r="D79" s="31"/>
      <c r="E79" s="31"/>
      <c r="F79" s="31"/>
      <c r="G79" s="31"/>
      <c r="H79" s="31"/>
      <c r="I79" s="32"/>
      <c r="J79" s="32"/>
      <c r="K79" s="32"/>
      <c r="L79" s="32"/>
      <c r="M79" s="32"/>
      <c r="N79" s="32"/>
      <c r="O79" s="32"/>
    </row>
    <row r="80" spans="1:15" ht="54.75" customHeight="1" x14ac:dyDescent="0.2">
      <c r="A80" s="33"/>
      <c r="B80" s="33"/>
      <c r="C80" s="33"/>
      <c r="D80" s="33"/>
      <c r="E80" s="33"/>
      <c r="F80" s="33"/>
      <c r="G80" s="33"/>
      <c r="H80" s="33"/>
      <c r="I80" s="34"/>
      <c r="J80" s="34"/>
      <c r="K80" s="34"/>
      <c r="L80" s="34"/>
      <c r="M80" s="34"/>
      <c r="N80" s="34"/>
      <c r="O80" s="34"/>
    </row>
    <row r="81" spans="1:15" ht="54.75" customHeight="1" x14ac:dyDescent="0.2">
      <c r="A81" s="31"/>
      <c r="B81" s="31"/>
      <c r="C81" s="31"/>
      <c r="D81" s="31"/>
      <c r="E81" s="31"/>
      <c r="F81" s="31"/>
      <c r="G81" s="31"/>
      <c r="H81" s="31"/>
      <c r="I81" s="32"/>
      <c r="J81" s="32"/>
      <c r="K81" s="32"/>
      <c r="L81" s="32"/>
      <c r="M81" s="32"/>
      <c r="N81" s="32"/>
      <c r="O81" s="32"/>
    </row>
    <row r="82" spans="1:15" ht="54.75" customHeight="1" x14ac:dyDescent="0.2">
      <c r="A82" s="33"/>
      <c r="B82" s="33"/>
      <c r="C82" s="33"/>
      <c r="D82" s="33"/>
      <c r="E82" s="33"/>
      <c r="F82" s="33"/>
      <c r="G82" s="33"/>
      <c r="H82" s="33"/>
      <c r="I82" s="34"/>
      <c r="J82" s="34"/>
      <c r="K82" s="34"/>
      <c r="L82" s="34"/>
      <c r="M82" s="34"/>
      <c r="N82" s="34"/>
      <c r="O82" s="34"/>
    </row>
    <row r="83" spans="1:15" ht="54.75" customHeight="1" x14ac:dyDescent="0.2">
      <c r="A83" s="31"/>
      <c r="B83" s="31"/>
      <c r="C83" s="31"/>
      <c r="D83" s="31"/>
      <c r="E83" s="31"/>
      <c r="F83" s="31"/>
      <c r="G83" s="31"/>
      <c r="H83" s="31"/>
      <c r="I83" s="32"/>
      <c r="J83" s="32"/>
      <c r="K83" s="32"/>
      <c r="L83" s="32"/>
      <c r="M83" s="32"/>
      <c r="N83" s="32"/>
      <c r="O83" s="32"/>
    </row>
    <row r="84" spans="1:15" ht="54.75" customHeight="1" x14ac:dyDescent="0.2">
      <c r="A84" s="33"/>
      <c r="B84" s="33"/>
      <c r="C84" s="33"/>
      <c r="D84" s="33"/>
      <c r="E84" s="33"/>
      <c r="F84" s="33"/>
      <c r="G84" s="33"/>
      <c r="H84" s="33"/>
      <c r="I84" s="34"/>
      <c r="J84" s="34"/>
      <c r="K84" s="34"/>
      <c r="L84" s="34"/>
      <c r="M84" s="34"/>
      <c r="N84" s="34"/>
      <c r="O84" s="34"/>
    </row>
    <row r="85" spans="1:15" ht="54.75" customHeight="1" x14ac:dyDescent="0.2">
      <c r="A85" s="31"/>
      <c r="B85" s="31"/>
      <c r="C85" s="31"/>
      <c r="D85" s="31"/>
      <c r="E85" s="31"/>
      <c r="F85" s="31"/>
      <c r="G85" s="31"/>
      <c r="H85" s="31"/>
      <c r="I85" s="32"/>
      <c r="J85" s="32"/>
      <c r="K85" s="32"/>
      <c r="L85" s="32"/>
      <c r="M85" s="32"/>
      <c r="N85" s="32"/>
      <c r="O85" s="32"/>
    </row>
    <row r="86" spans="1:15" ht="54.75" customHeight="1" x14ac:dyDescent="0.2">
      <c r="A86" s="33"/>
      <c r="B86" s="33"/>
      <c r="C86" s="33"/>
      <c r="D86" s="33"/>
      <c r="E86" s="33"/>
      <c r="F86" s="33"/>
      <c r="G86" s="33"/>
      <c r="H86" s="33"/>
      <c r="I86" s="34"/>
      <c r="J86" s="34"/>
      <c r="K86" s="34"/>
      <c r="L86" s="34"/>
      <c r="M86" s="34"/>
      <c r="N86" s="34"/>
      <c r="O86" s="34"/>
    </row>
    <row r="87" spans="1:15" ht="54.75" customHeight="1" x14ac:dyDescent="0.2">
      <c r="A87" s="31"/>
      <c r="B87" s="31"/>
      <c r="C87" s="31"/>
      <c r="D87" s="31"/>
      <c r="E87" s="31"/>
      <c r="F87" s="31"/>
      <c r="G87" s="31"/>
      <c r="H87" s="31"/>
      <c r="I87" s="32"/>
      <c r="J87" s="32"/>
      <c r="K87" s="32"/>
      <c r="L87" s="32"/>
      <c r="M87" s="32"/>
      <c r="N87" s="32"/>
      <c r="O87" s="32"/>
    </row>
    <row r="88" spans="1:15" ht="54.75" customHeight="1" x14ac:dyDescent="0.2">
      <c r="A88" s="33"/>
      <c r="B88" s="33"/>
      <c r="C88" s="33"/>
      <c r="D88" s="33"/>
      <c r="E88" s="33"/>
      <c r="F88" s="33"/>
      <c r="G88" s="33"/>
      <c r="H88" s="33"/>
      <c r="I88" s="34"/>
      <c r="J88" s="34"/>
      <c r="K88" s="34"/>
      <c r="L88" s="34"/>
      <c r="M88" s="34"/>
      <c r="N88" s="34"/>
      <c r="O88" s="34"/>
    </row>
    <row r="89" spans="1:15" ht="54.75" customHeight="1" x14ac:dyDescent="0.2">
      <c r="A89" s="31"/>
      <c r="B89" s="31"/>
      <c r="C89" s="31"/>
      <c r="D89" s="31"/>
      <c r="E89" s="31"/>
      <c r="F89" s="31"/>
      <c r="G89" s="31"/>
      <c r="H89" s="31"/>
      <c r="I89" s="32"/>
      <c r="J89" s="32"/>
      <c r="K89" s="32"/>
      <c r="L89" s="32"/>
      <c r="M89" s="32"/>
      <c r="N89" s="32"/>
      <c r="O89" s="32"/>
    </row>
    <row r="90" spans="1:15" ht="54.75" customHeight="1" x14ac:dyDescent="0.2">
      <c r="A90" s="33"/>
      <c r="B90" s="33"/>
      <c r="C90" s="33"/>
      <c r="D90" s="33"/>
      <c r="E90" s="33"/>
      <c r="F90" s="33"/>
      <c r="G90" s="33"/>
      <c r="H90" s="33"/>
      <c r="I90" s="34"/>
      <c r="J90" s="34"/>
      <c r="K90" s="34"/>
      <c r="L90" s="34"/>
      <c r="M90" s="34"/>
      <c r="N90" s="34"/>
      <c r="O90" s="34"/>
    </row>
    <row r="91" spans="1:15" ht="54.75" customHeight="1" x14ac:dyDescent="0.2">
      <c r="A91" s="31"/>
      <c r="B91" s="31"/>
      <c r="C91" s="31"/>
      <c r="D91" s="31"/>
      <c r="E91" s="31"/>
      <c r="F91" s="31"/>
      <c r="G91" s="31"/>
      <c r="H91" s="31"/>
      <c r="I91" s="32"/>
      <c r="J91" s="32"/>
      <c r="K91" s="32"/>
      <c r="L91" s="32"/>
      <c r="M91" s="32"/>
      <c r="N91" s="32"/>
      <c r="O91" s="32"/>
    </row>
    <row r="92" spans="1:15" ht="54.75" customHeight="1" x14ac:dyDescent="0.2">
      <c r="A92" s="33"/>
      <c r="B92" s="33"/>
      <c r="C92" s="33"/>
      <c r="D92" s="33"/>
      <c r="E92" s="33"/>
      <c r="F92" s="33"/>
      <c r="G92" s="33"/>
      <c r="H92" s="33"/>
      <c r="I92" s="34"/>
      <c r="J92" s="34"/>
      <c r="K92" s="34"/>
      <c r="L92" s="34"/>
      <c r="M92" s="34"/>
      <c r="N92" s="34"/>
      <c r="O92" s="34"/>
    </row>
    <row r="93" spans="1:15" ht="54.75" customHeight="1" x14ac:dyDescent="0.2">
      <c r="A93" s="31"/>
      <c r="B93" s="31"/>
      <c r="C93" s="31"/>
      <c r="D93" s="31"/>
      <c r="E93" s="31"/>
      <c r="F93" s="31"/>
      <c r="G93" s="31"/>
      <c r="H93" s="31"/>
      <c r="I93" s="32"/>
      <c r="J93" s="32"/>
      <c r="K93" s="32"/>
      <c r="L93" s="32"/>
      <c r="M93" s="32"/>
      <c r="N93" s="32"/>
      <c r="O93" s="32"/>
    </row>
    <row r="94" spans="1:15" ht="54.75" customHeight="1" x14ac:dyDescent="0.2">
      <c r="A94" s="33"/>
      <c r="B94" s="33"/>
      <c r="C94" s="33"/>
      <c r="D94" s="33"/>
      <c r="E94" s="33"/>
      <c r="F94" s="33"/>
      <c r="G94" s="33"/>
      <c r="H94" s="33"/>
      <c r="I94" s="34"/>
      <c r="J94" s="34"/>
      <c r="K94" s="34"/>
      <c r="L94" s="34"/>
      <c r="M94" s="34"/>
      <c r="N94" s="34"/>
      <c r="O94" s="34"/>
    </row>
    <row r="95" spans="1:15" ht="54.75" customHeight="1" x14ac:dyDescent="0.2">
      <c r="A95" s="31"/>
      <c r="B95" s="31"/>
      <c r="C95" s="31"/>
      <c r="D95" s="31"/>
      <c r="E95" s="31"/>
      <c r="F95" s="31"/>
      <c r="G95" s="31"/>
      <c r="H95" s="31"/>
      <c r="I95" s="32"/>
      <c r="J95" s="32"/>
      <c r="K95" s="32"/>
      <c r="L95" s="32"/>
      <c r="M95" s="32"/>
      <c r="N95" s="32"/>
      <c r="O95" s="32"/>
    </row>
    <row r="96" spans="1:15" ht="54.75" customHeight="1" x14ac:dyDescent="0.2">
      <c r="A96" s="33"/>
      <c r="B96" s="33"/>
      <c r="C96" s="33"/>
      <c r="D96" s="33"/>
      <c r="E96" s="33"/>
      <c r="F96" s="33"/>
      <c r="G96" s="33"/>
      <c r="H96" s="33"/>
      <c r="I96" s="34"/>
      <c r="J96" s="34"/>
      <c r="K96" s="34"/>
      <c r="L96" s="34"/>
      <c r="M96" s="34"/>
      <c r="N96" s="34"/>
      <c r="O96" s="34"/>
    </row>
    <row r="97" spans="1:15" ht="54.75" customHeight="1" x14ac:dyDescent="0.2">
      <c r="A97" s="31"/>
      <c r="B97" s="31"/>
      <c r="C97" s="31"/>
      <c r="D97" s="31"/>
      <c r="E97" s="31"/>
      <c r="F97" s="31"/>
      <c r="G97" s="31"/>
      <c r="H97" s="31"/>
      <c r="I97" s="32"/>
      <c r="J97" s="32"/>
      <c r="K97" s="32"/>
      <c r="L97" s="32"/>
      <c r="M97" s="32"/>
      <c r="N97" s="32"/>
      <c r="O97" s="32"/>
    </row>
    <row r="98" spans="1:15" ht="54.75" customHeight="1" x14ac:dyDescent="0.2">
      <c r="A98" s="33"/>
      <c r="B98" s="33"/>
      <c r="C98" s="33"/>
      <c r="D98" s="33"/>
      <c r="E98" s="33"/>
      <c r="F98" s="33"/>
      <c r="G98" s="33"/>
      <c r="H98" s="33"/>
      <c r="I98" s="34"/>
      <c r="J98" s="34"/>
      <c r="K98" s="34"/>
      <c r="L98" s="34"/>
      <c r="M98" s="34"/>
      <c r="N98" s="34"/>
      <c r="O98" s="34"/>
    </row>
    <row r="99" spans="1:15" ht="54.75" customHeight="1" x14ac:dyDescent="0.2">
      <c r="A99" s="31"/>
      <c r="B99" s="31"/>
      <c r="C99" s="31"/>
      <c r="D99" s="31"/>
      <c r="E99" s="31"/>
      <c r="F99" s="31"/>
      <c r="G99" s="31"/>
      <c r="H99" s="31"/>
      <c r="I99" s="32"/>
      <c r="J99" s="32"/>
      <c r="K99" s="32"/>
      <c r="L99" s="32"/>
      <c r="M99" s="32"/>
      <c r="N99" s="32"/>
      <c r="O99" s="32"/>
    </row>
    <row r="100" spans="1:15" ht="54.75" customHeight="1" x14ac:dyDescent="0.2">
      <c r="A100" s="33"/>
      <c r="B100" s="33"/>
      <c r="C100" s="33"/>
      <c r="D100" s="33"/>
      <c r="E100" s="33"/>
      <c r="F100" s="33"/>
      <c r="G100" s="33"/>
      <c r="H100" s="33"/>
      <c r="I100" s="34"/>
      <c r="J100" s="34"/>
      <c r="K100" s="34"/>
      <c r="L100" s="34"/>
      <c r="M100" s="34"/>
      <c r="N100" s="34"/>
      <c r="O100" s="34"/>
    </row>
    <row r="101" spans="1:15" ht="54.75" customHeight="1" x14ac:dyDescent="0.2">
      <c r="A101" s="31"/>
      <c r="B101" s="31"/>
      <c r="C101" s="31"/>
      <c r="D101" s="31"/>
      <c r="E101" s="31"/>
      <c r="F101" s="31"/>
      <c r="G101" s="31"/>
      <c r="H101" s="31"/>
      <c r="I101" s="32"/>
      <c r="J101" s="32"/>
      <c r="K101" s="32"/>
      <c r="L101" s="32"/>
      <c r="M101" s="32"/>
      <c r="N101" s="32"/>
      <c r="O101" s="32"/>
    </row>
    <row r="102" spans="1:15" ht="54.75" customHeight="1" x14ac:dyDescent="0.2">
      <c r="A102" s="33"/>
      <c r="B102" s="33"/>
      <c r="C102" s="33"/>
      <c r="D102" s="33"/>
      <c r="E102" s="33"/>
      <c r="F102" s="33"/>
      <c r="G102" s="33"/>
      <c r="H102" s="33"/>
      <c r="I102" s="34"/>
      <c r="J102" s="34"/>
      <c r="K102" s="34"/>
      <c r="L102" s="34"/>
      <c r="M102" s="34"/>
      <c r="N102" s="34"/>
      <c r="O102" s="34"/>
    </row>
    <row r="103" spans="1:15" ht="54.75" customHeight="1" x14ac:dyDescent="0.2">
      <c r="A103" s="31"/>
      <c r="B103" s="31"/>
      <c r="C103" s="31"/>
      <c r="D103" s="31"/>
      <c r="E103" s="31"/>
      <c r="F103" s="31"/>
      <c r="G103" s="31"/>
      <c r="H103" s="31"/>
      <c r="I103" s="32"/>
      <c r="J103" s="32"/>
      <c r="K103" s="32"/>
      <c r="L103" s="32"/>
      <c r="M103" s="32"/>
      <c r="N103" s="32"/>
      <c r="O103" s="32"/>
    </row>
    <row r="104" spans="1:15" ht="54.75" customHeight="1" x14ac:dyDescent="0.2">
      <c r="A104" s="33"/>
      <c r="B104" s="33"/>
      <c r="C104" s="33"/>
      <c r="D104" s="33"/>
      <c r="E104" s="33"/>
      <c r="F104" s="33"/>
      <c r="G104" s="33"/>
      <c r="H104" s="33"/>
      <c r="I104" s="34"/>
      <c r="J104" s="34"/>
      <c r="K104" s="34"/>
      <c r="L104" s="34"/>
      <c r="M104" s="34"/>
      <c r="N104" s="34"/>
      <c r="O104" s="34"/>
    </row>
    <row r="105" spans="1:15" ht="54.75" customHeight="1" x14ac:dyDescent="0.2">
      <c r="A105" s="31"/>
      <c r="B105" s="31"/>
      <c r="C105" s="31"/>
      <c r="D105" s="31"/>
      <c r="E105" s="31"/>
      <c r="F105" s="31"/>
      <c r="G105" s="31"/>
      <c r="H105" s="31"/>
      <c r="I105" s="32"/>
      <c r="J105" s="32"/>
      <c r="K105" s="32"/>
      <c r="L105" s="32"/>
      <c r="M105" s="32"/>
      <c r="N105" s="32"/>
      <c r="O105" s="32"/>
    </row>
    <row r="106" spans="1:15" ht="54.75" customHeight="1" x14ac:dyDescent="0.2">
      <c r="A106" s="33"/>
      <c r="B106" s="33"/>
      <c r="C106" s="33"/>
      <c r="D106" s="33"/>
      <c r="E106" s="33"/>
      <c r="F106" s="33"/>
      <c r="G106" s="33"/>
      <c r="H106" s="33"/>
      <c r="I106" s="34"/>
      <c r="J106" s="34"/>
      <c r="K106" s="34"/>
      <c r="L106" s="34"/>
      <c r="M106" s="34"/>
      <c r="N106" s="34"/>
      <c r="O106" s="34"/>
    </row>
    <row r="107" spans="1:15" ht="54.75" customHeight="1" x14ac:dyDescent="0.2">
      <c r="A107" s="31"/>
      <c r="B107" s="31"/>
      <c r="C107" s="31"/>
      <c r="D107" s="31"/>
      <c r="E107" s="31"/>
      <c r="F107" s="31"/>
      <c r="G107" s="31"/>
      <c r="H107" s="31"/>
      <c r="I107" s="32"/>
      <c r="J107" s="32"/>
      <c r="K107" s="32"/>
      <c r="L107" s="32"/>
      <c r="M107" s="32"/>
      <c r="N107" s="32"/>
      <c r="O107" s="32"/>
    </row>
    <row r="108" spans="1:15" ht="54.75" customHeight="1" x14ac:dyDescent="0.2">
      <c r="A108" s="33"/>
      <c r="B108" s="33"/>
      <c r="C108" s="33"/>
      <c r="D108" s="33"/>
      <c r="E108" s="33"/>
      <c r="F108" s="33"/>
      <c r="G108" s="33"/>
      <c r="H108" s="33"/>
      <c r="I108" s="34"/>
      <c r="J108" s="34"/>
      <c r="K108" s="34"/>
      <c r="L108" s="34"/>
      <c r="M108" s="34"/>
      <c r="N108" s="34"/>
      <c r="O108" s="34"/>
    </row>
    <row r="111" spans="1:15" ht="4.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</row>
    <row r="112" spans="1:15" ht="21.75" customHeight="1" x14ac:dyDescent="0.2">
      <c r="A112" s="65" t="s">
        <v>168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</row>
    <row r="113" spans="1:15" ht="21.75" customHeight="1" x14ac:dyDescent="0.2">
      <c r="A113" s="66" t="s">
        <v>169</v>
      </c>
      <c r="B113" s="66"/>
      <c r="C113" s="66"/>
      <c r="D113" s="66"/>
      <c r="E113" s="67">
        <f>COUNTA(I6:I109)</f>
        <v>3</v>
      </c>
      <c r="F113" s="67"/>
      <c r="G113" s="35"/>
      <c r="H113" s="35"/>
      <c r="I113" s="35"/>
      <c r="J113" s="35"/>
      <c r="K113" s="35"/>
      <c r="L113" s="35"/>
      <c r="M113" s="35"/>
      <c r="N113" s="35"/>
      <c r="O113" s="35"/>
    </row>
    <row r="114" spans="1:15" ht="21.75" customHeight="1" x14ac:dyDescent="0.2">
      <c r="A114" s="68" t="s">
        <v>170</v>
      </c>
      <c r="B114" s="68"/>
      <c r="C114" s="68"/>
      <c r="D114" s="68"/>
      <c r="E114" s="67" t="str">
        <f>IFERROR(AVERAGEIF(O6:O109,"&gt;0"),"")</f>
        <v/>
      </c>
      <c r="F114" s="67"/>
      <c r="G114" s="22"/>
      <c r="H114" s="22"/>
      <c r="I114" s="22"/>
      <c r="J114" s="22"/>
      <c r="K114" s="22"/>
      <c r="L114" s="22"/>
      <c r="M114" s="22"/>
      <c r="N114" s="22"/>
      <c r="O114" s="22"/>
    </row>
    <row r="115" spans="1:15" ht="21.75" customHeight="1" x14ac:dyDescent="0.2">
      <c r="A115" s="66" t="s">
        <v>171</v>
      </c>
      <c r="B115" s="66"/>
      <c r="C115" s="66"/>
      <c r="D115" s="66"/>
      <c r="E115" s="67">
        <f>COUNTIF(N6:N109,"Critical")</f>
        <v>1</v>
      </c>
      <c r="F115" s="67"/>
      <c r="G115" s="35"/>
      <c r="H115" s="35"/>
      <c r="I115" s="35"/>
      <c r="J115" s="35"/>
      <c r="K115" s="35"/>
      <c r="L115" s="35"/>
      <c r="M115" s="35"/>
      <c r="N115" s="35"/>
      <c r="O115" s="35"/>
    </row>
    <row r="116" spans="1:15" ht="21.75" customHeight="1" x14ac:dyDescent="0.2">
      <c r="A116" s="68" t="s">
        <v>172</v>
      </c>
      <c r="B116" s="68"/>
      <c r="C116" s="68"/>
      <c r="D116" s="68"/>
      <c r="E116" s="67">
        <f>COUNTIF(N6:N109,"Significant")</f>
        <v>2</v>
      </c>
      <c r="F116" s="67"/>
      <c r="G116" s="22"/>
      <c r="H116" s="22"/>
      <c r="I116" s="22"/>
      <c r="J116" s="22"/>
      <c r="K116" s="22"/>
      <c r="L116" s="22"/>
      <c r="M116" s="22"/>
      <c r="N116" s="22"/>
      <c r="O116" s="22"/>
    </row>
    <row r="117" spans="1:15" ht="21.75" customHeight="1" x14ac:dyDescent="0.2">
      <c r="A117" s="66" t="s">
        <v>173</v>
      </c>
      <c r="B117" s="66"/>
      <c r="C117" s="66"/>
      <c r="D117" s="66"/>
      <c r="E117" s="67">
        <f>COUNTIF(I6:I109,"SCHEDULE")</f>
        <v>1</v>
      </c>
      <c r="F117" s="67"/>
      <c r="G117" s="35"/>
      <c r="H117" s="35"/>
      <c r="I117" s="35"/>
      <c r="J117" s="35"/>
      <c r="K117" s="35"/>
      <c r="L117" s="35"/>
      <c r="M117" s="35"/>
      <c r="N117" s="35"/>
      <c r="O117" s="35"/>
    </row>
    <row r="118" spans="1:15" ht="21.75" customHeight="1" x14ac:dyDescent="0.2">
      <c r="A118" s="68" t="s">
        <v>174</v>
      </c>
      <c r="B118" s="68"/>
      <c r="C118" s="68"/>
      <c r="D118" s="68"/>
      <c r="E118" s="67">
        <f>COUNTIF(I6:I109,"SAFETY")</f>
        <v>0</v>
      </c>
      <c r="F118" s="67"/>
      <c r="G118" s="22"/>
      <c r="H118" s="22"/>
      <c r="I118" s="22"/>
      <c r="J118" s="22"/>
      <c r="K118" s="22"/>
      <c r="L118" s="22"/>
      <c r="M118" s="22"/>
      <c r="N118" s="22"/>
      <c r="O118" s="22"/>
    </row>
    <row r="119" spans="1:15" ht="21.75" customHeight="1" x14ac:dyDescent="0.2">
      <c r="A119" s="66" t="s">
        <v>175</v>
      </c>
      <c r="B119" s="66"/>
      <c r="C119" s="66"/>
      <c r="D119" s="66"/>
      <c r="E119" s="67">
        <f>COUNTIF(I6:I109,"QUALITY")</f>
        <v>1</v>
      </c>
      <c r="F119" s="67"/>
      <c r="G119" s="35"/>
      <c r="H119" s="35"/>
      <c r="I119" s="35"/>
      <c r="J119" s="35"/>
      <c r="K119" s="35"/>
      <c r="L119" s="35"/>
      <c r="M119" s="35"/>
      <c r="N119" s="35"/>
      <c r="O119" s="35"/>
    </row>
    <row r="120" spans="1:15" ht="21.75" customHeight="1" x14ac:dyDescent="0.2">
      <c r="A120" s="68" t="s">
        <v>176</v>
      </c>
      <c r="B120" s="68"/>
      <c r="C120" s="68"/>
      <c r="D120" s="68"/>
      <c r="E120" s="67">
        <f>COUNTIF(I6:I109,"COST / BUDGET")</f>
        <v>0</v>
      </c>
      <c r="F120" s="67"/>
      <c r="G120" s="22"/>
      <c r="H120" s="22"/>
      <c r="I120" s="22"/>
      <c r="J120" s="22"/>
      <c r="K120" s="22"/>
      <c r="L120" s="22"/>
      <c r="M120" s="22"/>
      <c r="N120" s="22"/>
      <c r="O120" s="22"/>
    </row>
    <row r="121" spans="1:15" ht="21.75" customHeight="1" x14ac:dyDescent="0.2">
      <c r="A121" s="66" t="s">
        <v>177</v>
      </c>
      <c r="B121" s="66"/>
      <c r="C121" s="66"/>
      <c r="D121" s="66"/>
      <c r="E121" s="67">
        <f>COUNTIF(I6:I109,"SUBCONTRACTORS")</f>
        <v>0</v>
      </c>
      <c r="F121" s="67"/>
      <c r="G121" s="35"/>
      <c r="H121" s="35"/>
      <c r="I121" s="35"/>
      <c r="J121" s="35"/>
      <c r="K121" s="35"/>
      <c r="L121" s="35"/>
      <c r="M121" s="35"/>
      <c r="N121" s="35"/>
      <c r="O121" s="35"/>
    </row>
    <row r="122" spans="1:15" ht="21.75" customHeight="1" x14ac:dyDescent="0.2">
      <c r="A122" s="68" t="s">
        <v>178</v>
      </c>
      <c r="B122" s="68"/>
      <c r="C122" s="68"/>
      <c r="D122" s="68"/>
      <c r="E122" s="67">
        <f>COUNTIF(I6:I109,"OWNER / CLIENT")</f>
        <v>1</v>
      </c>
      <c r="F122" s="67"/>
      <c r="G122" s="22"/>
      <c r="H122" s="22"/>
      <c r="I122" s="22"/>
      <c r="J122" s="22"/>
      <c r="K122" s="22"/>
      <c r="L122" s="22"/>
      <c r="M122" s="22"/>
      <c r="N122" s="22"/>
      <c r="O122" s="22"/>
    </row>
  </sheetData>
  <mergeCells count="23">
    <mergeCell ref="A120:D120"/>
    <mergeCell ref="E120:F120"/>
    <mergeCell ref="A121:D121"/>
    <mergeCell ref="E121:F121"/>
    <mergeCell ref="A122:D122"/>
    <mergeCell ref="E122:F122"/>
    <mergeCell ref="A117:D117"/>
    <mergeCell ref="E117:F117"/>
    <mergeCell ref="A118:D118"/>
    <mergeCell ref="E118:F118"/>
    <mergeCell ref="A119:D119"/>
    <mergeCell ref="E119:F119"/>
    <mergeCell ref="A114:D114"/>
    <mergeCell ref="E114:F114"/>
    <mergeCell ref="A115:D115"/>
    <mergeCell ref="E115:F115"/>
    <mergeCell ref="A116:D116"/>
    <mergeCell ref="E116:F116"/>
    <mergeCell ref="A2:O2"/>
    <mergeCell ref="A4:O4"/>
    <mergeCell ref="A112:O112"/>
    <mergeCell ref="A113:D113"/>
    <mergeCell ref="E113:F113"/>
  </mergeCells>
  <pageMargins left="0.75" right="0.75" top="1" bottom="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26" customWidth="1"/>
    <col min="3" max="3" width="52" customWidth="1"/>
    <col min="4" max="5" width="4" customWidth="1"/>
    <col min="6" max="6" width="30" customWidth="1"/>
    <col min="7" max="7" width="48" customWidth="1"/>
  </cols>
  <sheetData>
    <row r="1" spans="1:7" ht="4.5" customHeight="1" x14ac:dyDescent="0.2"/>
    <row r="2" spans="1:7" ht="43.5" customHeight="1" x14ac:dyDescent="0.2">
      <c r="A2" s="69" t="s">
        <v>179</v>
      </c>
      <c r="B2" s="69"/>
      <c r="C2" s="69"/>
      <c r="D2" s="69"/>
      <c r="E2" s="69"/>
      <c r="F2" s="69"/>
      <c r="G2" s="69"/>
    </row>
    <row r="3" spans="1:7" ht="4.5" customHeight="1" x14ac:dyDescent="0.2">
      <c r="A3" s="14"/>
      <c r="B3" s="14"/>
      <c r="C3" s="14"/>
      <c r="D3" s="14"/>
      <c r="E3" s="14"/>
      <c r="F3" s="14"/>
      <c r="G3" s="14"/>
    </row>
    <row r="4" spans="1:7" ht="21.75" customHeight="1" x14ac:dyDescent="0.2">
      <c r="A4" s="12" t="s">
        <v>180</v>
      </c>
      <c r="B4" s="12"/>
      <c r="C4" s="12"/>
      <c r="E4" s="12" t="s">
        <v>181</v>
      </c>
      <c r="F4" s="12"/>
      <c r="G4" s="12"/>
    </row>
    <row r="5" spans="1:7" ht="21.75" customHeight="1" x14ac:dyDescent="0.2">
      <c r="A5" s="18" t="s">
        <v>57</v>
      </c>
      <c r="B5" s="9" t="s">
        <v>182</v>
      </c>
      <c r="C5" s="9"/>
      <c r="E5" s="36" t="s">
        <v>183</v>
      </c>
      <c r="F5" s="70" t="s">
        <v>184</v>
      </c>
      <c r="G5" s="70"/>
    </row>
    <row r="6" spans="1:7" ht="21.75" customHeight="1" x14ac:dyDescent="0.2">
      <c r="A6" s="38" t="s">
        <v>185</v>
      </c>
      <c r="B6" s="70" t="s">
        <v>186</v>
      </c>
      <c r="C6" s="70"/>
      <c r="E6" s="36" t="s">
        <v>183</v>
      </c>
      <c r="F6" s="71" t="s">
        <v>187</v>
      </c>
      <c r="G6" s="71"/>
    </row>
    <row r="7" spans="1:7" ht="21.75" customHeight="1" x14ac:dyDescent="0.2">
      <c r="A7" s="38" t="s">
        <v>188</v>
      </c>
      <c r="B7" s="71" t="s">
        <v>189</v>
      </c>
      <c r="C7" s="71"/>
      <c r="E7" s="36" t="s">
        <v>183</v>
      </c>
      <c r="F7" s="70" t="s">
        <v>190</v>
      </c>
      <c r="G7" s="70"/>
    </row>
    <row r="8" spans="1:7" ht="21.75" customHeight="1" x14ac:dyDescent="0.2">
      <c r="A8" s="38" t="s">
        <v>191</v>
      </c>
      <c r="B8" s="70" t="s">
        <v>192</v>
      </c>
      <c r="C8" s="70"/>
      <c r="E8" s="36" t="s">
        <v>183</v>
      </c>
      <c r="F8" s="71" t="s">
        <v>193</v>
      </c>
      <c r="G8" s="71"/>
    </row>
    <row r="9" spans="1:7" ht="21.75" customHeight="1" x14ac:dyDescent="0.2">
      <c r="A9" s="40" t="s">
        <v>144</v>
      </c>
      <c r="B9" s="71" t="s">
        <v>194</v>
      </c>
      <c r="C9" s="71"/>
      <c r="E9" s="36" t="s">
        <v>183</v>
      </c>
      <c r="F9" s="70" t="s">
        <v>195</v>
      </c>
      <c r="G9" s="70"/>
    </row>
    <row r="10" spans="1:7" ht="21.75" customHeight="1" x14ac:dyDescent="0.2">
      <c r="A10" s="40" t="s">
        <v>196</v>
      </c>
      <c r="B10" s="70" t="s">
        <v>197</v>
      </c>
      <c r="C10" s="70"/>
      <c r="E10" s="36" t="s">
        <v>183</v>
      </c>
      <c r="F10" s="71" t="s">
        <v>198</v>
      </c>
      <c r="G10" s="71"/>
    </row>
    <row r="11" spans="1:7" ht="21.75" customHeight="1" x14ac:dyDescent="0.2">
      <c r="A11" s="41" t="s">
        <v>199</v>
      </c>
      <c r="B11" s="71" t="s">
        <v>200</v>
      </c>
      <c r="C11" s="71"/>
      <c r="E11" s="36" t="s">
        <v>183</v>
      </c>
      <c r="F11" s="70" t="s">
        <v>201</v>
      </c>
      <c r="G11" s="70"/>
    </row>
    <row r="12" spans="1:7" ht="21.75" customHeight="1" x14ac:dyDescent="0.2">
      <c r="A12" s="42" t="s">
        <v>152</v>
      </c>
      <c r="B12" s="70" t="s">
        <v>202</v>
      </c>
      <c r="C12" s="70"/>
      <c r="E12" s="36" t="s">
        <v>183</v>
      </c>
      <c r="F12" s="71" t="s">
        <v>203</v>
      </c>
      <c r="G12" s="71"/>
    </row>
    <row r="13" spans="1:7" ht="21.75" customHeight="1" x14ac:dyDescent="0.2">
      <c r="A13" s="42" t="s">
        <v>204</v>
      </c>
      <c r="B13" s="71" t="s">
        <v>205</v>
      </c>
      <c r="C13" s="71"/>
      <c r="E13" s="43" t="s">
        <v>206</v>
      </c>
      <c r="F13" s="70" t="s">
        <v>207</v>
      </c>
      <c r="G13" s="70"/>
    </row>
    <row r="14" spans="1:7" ht="21.75" customHeight="1" x14ac:dyDescent="0.2">
      <c r="A14" s="44" t="s">
        <v>208</v>
      </c>
      <c r="B14" s="70" t="s">
        <v>209</v>
      </c>
      <c r="C14" s="70"/>
      <c r="E14" s="43" t="s">
        <v>206</v>
      </c>
      <c r="F14" s="71" t="s">
        <v>210</v>
      </c>
      <c r="G14" s="71"/>
    </row>
    <row r="15" spans="1:7" ht="21.75" customHeight="1" x14ac:dyDescent="0.2">
      <c r="A15" s="44" t="s">
        <v>162</v>
      </c>
      <c r="B15" s="71" t="s">
        <v>211</v>
      </c>
      <c r="C15" s="71"/>
      <c r="E15" s="43" t="s">
        <v>206</v>
      </c>
      <c r="F15" s="70" t="s">
        <v>212</v>
      </c>
      <c r="G15" s="70"/>
    </row>
    <row r="16" spans="1:7" ht="21.75" customHeight="1" x14ac:dyDescent="0.2">
      <c r="A16" s="45" t="s">
        <v>213</v>
      </c>
      <c r="B16" s="70" t="s">
        <v>214</v>
      </c>
      <c r="C16" s="70"/>
    </row>
    <row r="17" spans="1:3" ht="21.75" customHeight="1" x14ac:dyDescent="0.2">
      <c r="A17" s="45" t="s">
        <v>215</v>
      </c>
      <c r="B17" s="71" t="s">
        <v>216</v>
      </c>
      <c r="C17" s="71"/>
    </row>
    <row r="18" spans="1:3" ht="21.75" customHeight="1" x14ac:dyDescent="0.2">
      <c r="A18" s="46" t="s">
        <v>217</v>
      </c>
      <c r="B18" s="70" t="s">
        <v>218</v>
      </c>
      <c r="C18" s="70"/>
    </row>
    <row r="19" spans="1:3" ht="21.75" customHeight="1" x14ac:dyDescent="0.2">
      <c r="A19" s="46" t="s">
        <v>219</v>
      </c>
      <c r="B19" s="71" t="s">
        <v>220</v>
      </c>
      <c r="C19" s="71"/>
    </row>
    <row r="20" spans="1:3" ht="21.75" customHeight="1" x14ac:dyDescent="0.2">
      <c r="A20" s="47" t="s">
        <v>221</v>
      </c>
      <c r="B20" s="70" t="s">
        <v>222</v>
      </c>
      <c r="C20" s="70"/>
    </row>
    <row r="22" spans="1:3" ht="4.5" customHeight="1" x14ac:dyDescent="0.2">
      <c r="A22" s="14"/>
      <c r="B22" s="14"/>
      <c r="C22" s="14"/>
    </row>
    <row r="23" spans="1:3" ht="21.75" customHeight="1" x14ac:dyDescent="0.2">
      <c r="A23" s="12" t="s">
        <v>223</v>
      </c>
      <c r="B23" s="12"/>
      <c r="C23" s="12"/>
    </row>
    <row r="24" spans="1:3" ht="18" customHeight="1" x14ac:dyDescent="0.2">
      <c r="A24" s="18" t="s">
        <v>224</v>
      </c>
      <c r="B24" s="17" t="s">
        <v>225</v>
      </c>
      <c r="C24" s="17" t="s">
        <v>226</v>
      </c>
    </row>
    <row r="25" spans="1:3" ht="21.75" customHeight="1" x14ac:dyDescent="0.2">
      <c r="A25" s="48" t="s">
        <v>227</v>
      </c>
      <c r="B25" s="49" t="s">
        <v>228</v>
      </c>
      <c r="C25" s="37" t="s">
        <v>229</v>
      </c>
    </row>
    <row r="26" spans="1:3" ht="21.75" customHeight="1" x14ac:dyDescent="0.2">
      <c r="A26" s="50" t="s">
        <v>230</v>
      </c>
      <c r="B26" s="51" t="s">
        <v>231</v>
      </c>
      <c r="C26" s="39" t="s">
        <v>232</v>
      </c>
    </row>
    <row r="27" spans="1:3" ht="21.75" customHeight="1" x14ac:dyDescent="0.2">
      <c r="A27" s="52" t="s">
        <v>149</v>
      </c>
      <c r="B27" s="49" t="s">
        <v>233</v>
      </c>
      <c r="C27" s="37" t="s">
        <v>234</v>
      </c>
    </row>
    <row r="28" spans="1:3" ht="21.75" customHeight="1" x14ac:dyDescent="0.2">
      <c r="A28" s="53" t="s">
        <v>167</v>
      </c>
      <c r="B28" s="51" t="s">
        <v>235</v>
      </c>
      <c r="C28" s="39" t="s">
        <v>236</v>
      </c>
    </row>
  </sheetData>
  <mergeCells count="31">
    <mergeCell ref="B19:C19"/>
    <mergeCell ref="B20:C20"/>
    <mergeCell ref="A23:C23"/>
    <mergeCell ref="B15:C15"/>
    <mergeCell ref="F15:G15"/>
    <mergeCell ref="B16:C16"/>
    <mergeCell ref="B17:C17"/>
    <mergeCell ref="B18:C18"/>
    <mergeCell ref="B12:C12"/>
    <mergeCell ref="F12:G12"/>
    <mergeCell ref="B13:C13"/>
    <mergeCell ref="F13:G13"/>
    <mergeCell ref="B14:C14"/>
    <mergeCell ref="F14:G14"/>
    <mergeCell ref="B9:C9"/>
    <mergeCell ref="F9:G9"/>
    <mergeCell ref="B10:C10"/>
    <mergeCell ref="F10:G10"/>
    <mergeCell ref="B11:C11"/>
    <mergeCell ref="F11:G11"/>
    <mergeCell ref="B6:C6"/>
    <mergeCell ref="F6:G6"/>
    <mergeCell ref="B7:C7"/>
    <mergeCell ref="F7:G7"/>
    <mergeCell ref="B8:C8"/>
    <mergeCell ref="F8:G8"/>
    <mergeCell ref="A2:G2"/>
    <mergeCell ref="A4:C4"/>
    <mergeCell ref="E4:G4"/>
    <mergeCell ref="B5:C5"/>
    <mergeCell ref="F5:G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Lessons Learned Form</vt:lpstr>
      <vt:lpstr>Lessons Database</vt:lpstr>
      <vt:lpstr>Reference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Bobby Fetting</cp:lastModifiedBy>
  <cp:revision>0</cp:revision>
  <dcterms:created xsi:type="dcterms:W3CDTF">2026-03-07T14:38:51Z</dcterms:created>
  <dcterms:modified xsi:type="dcterms:W3CDTF">2026-03-07T14:50:02Z</dcterms:modified>
  <dc:language>en-US</dc:language>
</cp:coreProperties>
</file>